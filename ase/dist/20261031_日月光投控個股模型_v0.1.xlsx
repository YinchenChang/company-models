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gp" vbProcedure="false">Q!$B$10</definedName>
    <definedName function="false" hidden="false" name="a25_atm" vbProcedure="false">Q!$B$5</definedName>
    <definedName function="false" hidden="false" name="a25_da" vbProcedure="false">Q!$B$26</definedName>
    <definedName function="false" hidden="false" name="a25_egp" vbProcedure="false">Q!$B$12</definedName>
    <definedName function="false" hidden="false" name="a25_elim" vbProcedure="false">Q!$B$9</definedName>
    <definedName function="false" hidden="false" name="a25_ems" vbProcedure="false">Q!$B$8</definedName>
    <definedName function="false" hidden="false" name="a25_eps" vbProcedure="false">Q!$B$24</definedName>
    <definedName function="false" hidden="false" name="a25_gp" vbProcedure="false">Q!$B$14</definedName>
    <definedName function="false" hidden="false" name="a25_leap" vbProcedure="false">Q!$B$6</definedName>
    <definedName function="false" hidden="false" name="a25_lgp" vbProcedure="false">Q!$B$13</definedName>
    <definedName function="false" hidden="false" name="a25_ms" vbProcedure="false">Q!$B$7</definedName>
    <definedName function="false" hidden="false" name="a25_nci" vbProcedure="false">Q!$B$21</definedName>
    <definedName function="false" hidden="false" name="a25_ni" vbProcedure="false">Q!$B$22</definedName>
    <definedName function="false" hidden="false" name="a25_nonop" vbProcedure="false">Q!$B$18</definedName>
    <definedName function="false" hidden="false" name="a25_oi" vbProcedure="false">Q!$B$17</definedName>
    <definedName function="false" hidden="false" name="a25_opx" vbProcedure="false">Q!$B$16</definedName>
    <definedName function="false" hidden="false" name="a25_rev" vbProcedure="false">Q!$B$4</definedName>
    <definedName function="false" hidden="false" name="a25_sh" vbProcedure="false">Q!$B$23</definedName>
    <definedName function="false" hidden="false" name="a25_tax" vbProcedure="false">Q!$B$20</definedName>
    <definedName function="false" hidden="false" name="a26_agp" vbProcedure="false">Q!$G$10</definedName>
    <definedName function="false" hidden="false" name="a26_atm" vbProcedure="false">Q!$G$5</definedName>
    <definedName function="false" hidden="false" name="a26_da" vbProcedure="false">Q!$G$26</definedName>
    <definedName function="false" hidden="false" name="a26_egp" vbProcedure="false">Q!$G$12</definedName>
    <definedName function="false" hidden="false" name="a26_elim" vbProcedure="false">Q!$G$9</definedName>
    <definedName function="false" hidden="false" name="a26_ems" vbProcedure="false">Q!$G$8</definedName>
    <definedName function="false" hidden="false" name="a26_eps" vbProcedure="false">Q!$G$24</definedName>
    <definedName function="false" hidden="false" name="a26_gp" vbProcedure="false">Q!$G$14</definedName>
    <definedName function="false" hidden="false" name="a26_leap" vbProcedure="false">Q!$G$6</definedName>
    <definedName function="false" hidden="false" name="a26_lgp" vbProcedure="false">Q!$G$13</definedName>
    <definedName function="false" hidden="false" name="a26_ms" vbProcedure="false">Q!$G$7</definedName>
    <definedName function="false" hidden="false" name="a26_nci" vbProcedure="false">Q!$G$21</definedName>
    <definedName function="false" hidden="false" name="a26_ni" vbProcedure="false">Q!$G$22</definedName>
    <definedName function="false" hidden="false" name="a26_nonop" vbProcedure="false">Q!$G$18</definedName>
    <definedName function="false" hidden="false" name="a26_oi" vbProcedure="false">Q!$G$17</definedName>
    <definedName function="false" hidden="false" name="a26_opx" vbProcedure="false">Q!$G$16</definedName>
    <definedName function="false" hidden="false" name="a26_rev" vbProcedure="false">Q!$G$4</definedName>
    <definedName function="false" hidden="false" name="a26_sh" vbProcedure="false">Q!$G$23</definedName>
    <definedName function="false" hidden="false" name="a26_tax" vbProcedure="false">Q!$G$20</definedName>
    <definedName function="false" hidden="false" name="ar_26" vbProcedure="false">In!$E$15</definedName>
    <definedName function="false" hidden="false" name="ar_27" vbProcedure="false">In!$E$16</definedName>
    <definedName function="false" hidden="false" name="ar_28" vbProcedure="false">In!$E$17</definedName>
    <definedName function="false" hidden="false" name="ar_29" vbProcedure="false">In!$E$18</definedName>
    <definedName function="false" hidden="false" name="bofa_eps26" vbProcedure="false">In!$E$91</definedName>
    <definedName function="false" hidden="false" name="bofa_eps27" vbProcedure="false">In!$E$92</definedName>
    <definedName function="false" hidden="false" name="bofa_eps28" vbProcedure="false">In!$E$93</definedName>
    <definedName function="false" hidden="false" name="bofa_gm28" vbProcedure="false">In!$E$94</definedName>
    <definedName function="false" hidden="false" name="capex25" vbProcedure="false">In!$E$62</definedName>
    <definedName function="false" hidden="false" name="capex26" vbProcedure="false">In!$E$63</definedName>
    <definedName function="false" hidden="false" name="capex27" vbProcedure="false">In!$E$64</definedName>
    <definedName function="false" hidden="false" name="capex27_hi" vbProcedure="false">In!$F$64</definedName>
    <definedName function="false" hidden="false" name="capex27_lo" vbProcedure="false">In!$D$64</definedName>
    <definedName function="false" hidden="false" name="capi" vbProcedure="false">In!$E$65</definedName>
    <definedName function="false" hidden="false" name="capi_hi" vbProcedure="false">In!$F$65</definedName>
    <definedName function="false" hidden="false" name="capi_lo" vbProcedure="false">In!$D$65</definedName>
    <definedName function="false" hidden="false" name="cons_feps" vbProcedure="false">In!$E$99</definedName>
    <definedName function="false" hidden="false" name="cons_tp" vbProcedure="false">In!$E$100</definedName>
    <definedName function="false" hidden="false" name="cpo27" vbProcedure="false">In!$E$43</definedName>
    <definedName function="false" hidden="false" name="cpo27_hi" vbProcedure="false">In!$F$43</definedName>
    <definedName function="false" hidden="false" name="cpo27_lo" vbProcedure="false">In!$D$43</definedName>
    <definedName function="false" hidden="false" name="cpo_A_26" vbProcedure="false">In!$E$19</definedName>
    <definedName function="false" hidden="false" name="cpo_A_27" vbProcedure="false">In!$E$20</definedName>
    <definedName function="false" hidden="false" name="cpo_A_28" vbProcedure="false">In!$E$21</definedName>
    <definedName function="false" hidden="false" name="cpo_A_29" vbProcedure="false">In!$E$22</definedName>
    <definedName function="false" hidden="false" name="cpo_B_26" vbProcedure="false">In!$E$23</definedName>
    <definedName function="false" hidden="false" name="cpo_B_27" vbProcedure="false">In!$E$24</definedName>
    <definedName function="false" hidden="false" name="cpo_B_28" vbProcedure="false">In!$E$25</definedName>
    <definedName function="false" hidden="false" name="cpo_B_29" vbProcedure="false">In!$E$26</definedName>
    <definedName function="false" hidden="false" name="cpo_C_26" vbProcedure="false">In!$E$27</definedName>
    <definedName function="false" hidden="false" name="cpo_C_27" vbProcedure="false">In!$E$28</definedName>
    <definedName function="false" hidden="false" name="cpo_C_28" vbProcedure="false">In!$E$29</definedName>
    <definedName function="false" hidden="false" name="cpo_C_29" vbProcedure="false">In!$E$30</definedName>
    <definedName function="false" hidden="false" name="el" vbProcedure="false">In!$E$53</definedName>
    <definedName function="false" hidden="false" name="el_hi" vbProcedure="false">In!$F$53</definedName>
    <definedName function="false" hidden="false" name="el_lo" vbProcedure="false">In!$D$53</definedName>
    <definedName function="false" hidden="false" name="ems_gm" vbProcedure="false">In!$E$60</definedName>
    <definedName function="false" hidden="false" name="ems_gm_hi" vbProcedure="false">In!$F$60</definedName>
    <definedName function="false" hidden="false" name="ems_gm_lo" vbProcedure="false">In!$D$60</definedName>
    <definedName function="false" hidden="false" name="fade_gA" vbProcedure="false">In!$E$109</definedName>
    <definedName function="false" hidden="false" name="fade_gB" vbProcedure="false">In!$E$110</definedName>
    <definedName function="false" hidden="false" name="fade_gC" vbProcedure="false">In!$E$111</definedName>
    <definedName function="false" hidden="false" name="fade_mA" vbProcedure="false">In!$E$112</definedName>
    <definedName function="false" hidden="false" name="fade_mB" vbProcedure="false">In!$E$113</definedName>
    <definedName function="false" hidden="false" name="fade_mC" vbProcedure="false">In!$E$114</definedName>
    <definedName function="false" hidden="false" name="fp26" vbProcedure="false">In!$E$38</definedName>
    <definedName function="false" hidden="false" name="fp27_A" vbProcedure="false">In!$E$39</definedName>
    <definedName function="false" hidden="false" name="fp27_B" vbProcedure="false">In!$E$40</definedName>
    <definedName function="false" hidden="false" name="fp27_C" vbProcedure="false">In!$E$41</definedName>
    <definedName function="false" hidden="false" name="fpe" vbProcedure="false">In!$E$98</definedName>
    <definedName function="false" hidden="false" name="fp_g" vbProcedure="false">In!$E$42</definedName>
    <definedName function="false" hidden="false" name="fp_g_hi" vbProcedure="false">In!$F$42</definedName>
    <definedName function="false" hidden="false" name="fp_g_lo" vbProcedure="false">In!$D$42</definedName>
    <definedName function="false" hidden="false" name="ft" vbProcedure="false">In!$E$69</definedName>
    <definedName function="false" hidden="false" name="ft_hi" vbProcedure="false">In!$F$69</definedName>
    <definedName function="false" hidden="false" name="ft_lo" vbProcedure="false">In!$D$69</definedName>
    <definedName function="false" hidden="false" name="fx" vbProcedure="false">In!$E$31</definedName>
    <definedName function="false" hidden="false" name="fx25" vbProcedure="false">In!$E$34</definedName>
    <definedName function="false" hidden="false" name="fx_hi" vbProcedure="false">In!$F$31</definedName>
    <definedName function="false" hidden="false" name="fx_lo" vbProcedure="false">In!$D$31</definedName>
    <definedName function="false" hidden="false" name="g4_gm_hi" vbProcedure="false">In!$E$88</definedName>
    <definedName function="false" hidden="false" name="g4_gm_lo" vbProcedure="false">In!$E$87</definedName>
    <definedName function="false" hidden="false" name="g4_om_hi" vbProcedure="false">In!$E$90</definedName>
    <definedName function="false" hidden="false" name="g4_om_lo" vbProcedure="false">In!$E$89</definedName>
    <definedName function="false" hidden="false" name="g4_rev_hi" vbProcedure="false">In!$E$86</definedName>
    <definedName function="false" hidden="false" name="g4_rev_lo" vbProcedure="false">In!$E$85</definedName>
    <definedName function="false" hidden="false" name="g_ems27" vbProcedure="false">In!$E$58</definedName>
    <definedName function="false" hidden="false" name="g_ems27_hi" vbProcedure="false">In!$F$58</definedName>
    <definedName function="false" hidden="false" name="g_ems27_lo" vbProcedure="false">In!$D$58</definedName>
    <definedName function="false" hidden="false" name="g_emsL" vbProcedure="false">In!$E$59</definedName>
    <definedName function="false" hidden="false" name="g_emsL_hi" vbProcedure="false">In!$F$59</definedName>
    <definedName function="false" hidden="false" name="g_emsL_lo" vbProcedure="false">In!$D$59</definedName>
    <definedName function="false" hidden="false" name="g_ms26" vbProcedure="false">In!$E$54</definedName>
    <definedName function="false" hidden="false" name="g_ms27" vbProcedure="false">In!$E$55</definedName>
    <definedName function="false" hidden="false" name="g_ms27_hi" vbProcedure="false">In!$F$55</definedName>
    <definedName function="false" hidden="false" name="g_ms27_lo" vbProcedure="false">In!$D$55</definedName>
    <definedName function="false" hidden="false" name="g_msL" vbProcedure="false">In!$E$56</definedName>
    <definedName function="false" hidden="false" name="g_msL_hi" vbProcedure="false">In!$F$56</definedName>
    <definedName function="false" hidden="false" name="g_msL_lo" vbProcedure="false">In!$D$56</definedName>
    <definedName function="false" hidden="false" name="leap25" vbProcedure="false">In!$E$33</definedName>
    <definedName function="false" hidden="false" name="leap26" vbProcedure="false">In!$E$35</definedName>
    <definedName function="false" hidden="false" name="life" vbProcedure="false">In!$E$66</definedName>
    <definedName function="false" hidden="false" name="life_hi" vbProcedure="false">In!$F$66</definedName>
    <definedName function="false" hidden="false" name="life_lo" vbProcedure="false">In!$D$66</definedName>
    <definedName function="false" hidden="false" name="lsh_1h" vbProcedure="false">In!$E$36</definedName>
    <definedName function="false" hidden="false" name="lsh_3q" vbProcedure="false">In!$E$37</definedName>
    <definedName function="false" hidden="false" name="nci" vbProcedure="false">In!$E$73</definedName>
    <definedName function="false" hidden="false" name="nonop_f" vbProcedure="false">In!$E$71</definedName>
    <definedName function="false" hidden="false" name="nonop_f_hi" vbProcedure="false">In!$F$71</definedName>
    <definedName function="false" hidden="false" name="nonop_f_lo" vbProcedure="false">In!$D$71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In!$E$97</definedName>
    <definedName function="false" hidden="false" name="phi" vbProcedure="false">In!$E$70</definedName>
    <definedName function="false" hidden="false" name="phi_hi" vbProcedure="false">In!$F$70</definedName>
    <definedName function="false" hidden="false" name="phi_lo" vbProcedure="false">In!$D$70</definedName>
    <definedName function="false" hidden="false" name="px" vbProcedure="false">In!$E$96</definedName>
    <definedName function="false" hidden="false" name="q4_atm" vbProcedure="false">In!$E$76</definedName>
    <definedName function="false" hidden="false" name="q4_atmgm" vbProcedure="false">In!$E$77</definedName>
    <definedName function="false" hidden="false" name="q4_da" vbProcedure="false">In!$E$67</definedName>
    <definedName function="false" hidden="false" name="q4_ems" vbProcedure="false">In!$E$78</definedName>
    <definedName function="false" hidden="false" name="q4_emsgm" vbProcedure="false">In!$E$79</definedName>
    <definedName function="false" hidden="false" name="q4_nci" vbProcedure="false">In!$E$83</definedName>
    <definedName function="false" hidden="false" name="q4_nonop" vbProcedure="false">In!$E$81</definedName>
    <definedName function="false" hidden="false" name="q4_opx" vbProcedure="false">In!$E$80</definedName>
    <definedName function="false" hidden="false" name="q4_tax" vbProcedure="false">In!$E$82</definedName>
    <definedName function="false" hidden="false" name="rel27_A" vbProcedure="false">In!$E$44</definedName>
    <definedName function="false" hidden="false" name="rel27_B" vbProcedure="false">In!$E$47</definedName>
    <definedName function="false" hidden="false" name="rel27_C" vbProcedure="false">In!$E$50</definedName>
    <definedName function="false" hidden="false" name="rel28_A" vbProcedure="false">In!$E$45</definedName>
    <definedName function="false" hidden="false" name="rel28_B" vbProcedure="false">In!$E$48</definedName>
    <definedName function="false" hidden="false" name="rel28_C" vbProcedure="false">In!$E$51</definedName>
    <definedName function="false" hidden="false" name="rel29_A" vbProcedure="false">In!$E$46</definedName>
    <definedName function="false" hidden="false" name="rel29_B" vbProcedure="false">In!$E$49</definedName>
    <definedName function="false" hidden="false" name="rel29_C" vbProcedure="false">In!$E$52</definedName>
    <definedName function="false" hidden="false" name="rm_factor" vbProcedure="false">Val!$B$151</definedName>
    <definedName function="false" hidden="false" name="sh_g" vbProcedure="false">In!$E$74</definedName>
    <definedName function="false" hidden="false" name="tax" vbProcedure="false">In!$E$72</definedName>
    <definedName function="false" hidden="false" name="tax_hi" vbProcedure="false">In!$F$72</definedName>
    <definedName function="false" hidden="false" name="tax_lo" vbProcedure="false">In!$D$72</definedName>
    <definedName function="false" hidden="false" name="tp_comp_adj" vbProcedure="false">Val!$B$152</definedName>
    <definedName function="false" hidden="false" name="tp_g" vbProcedure="false">In!$E$106</definedName>
    <definedName function="false" hidden="false" name="tp_r" vbProcedure="false">In!$E$105</definedName>
    <definedName function="false" hidden="false" name="tp_roe" vbProcedure="false">In!$E$107</definedName>
    <definedName function="false" hidden="false" name="tp_wA" vbProcedure="false">In!$E$102</definedName>
    <definedName function="false" hidden="false" name="tp_wB" vbProcedure="false">In!$E$103</definedName>
    <definedName function="false" hidden="false" name="tp_wC" vbProcedure="false">In!$E$104</definedName>
    <definedName function="false" hidden="false" name="tp_w_dcf" vbProcedure="false">In!$E$108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nits_26" vbProcedure="false">In!$E$5</definedName>
    <definedName function="false" hidden="false" name="units_27" vbProcedure="false">In!$E$6</definedName>
    <definedName function="false" hidden="false" name="units_28" vbProcedure="false">In!$E$7</definedName>
    <definedName function="false" hidden="false" name="units_29" vbProcedure="false">In!$E$8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<sst xmlns="http://schemas.openxmlformats.org/spreadsheetml/2006/main" count="13021" uniqueCount="1047">
  <si>
    <r>
      <rPr>
        <b val="true"/>
        <sz val="11"/>
        <rFont val="Noto Sans CJK SC"/>
        <family val="2"/>
      </rPr>
      <t xml:space="preserve">日月光投控（</t>
    </r>
    <r>
      <rPr>
        <b val="true"/>
        <sz val="11"/>
        <rFont val="Cambria"/>
        <family val="0"/>
        <charset val="1"/>
      </rPr>
      <t xml:space="preserve">3711.TW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ADR ASX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：封測次產業）　</t>
    </r>
    <r>
      <rPr>
        <b val="true"/>
        <sz val="11"/>
        <rFont val="Cambria"/>
        <family val="0"/>
        <charset val="1"/>
      </rPr>
      <t xml:space="preserve">2026-10-31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</si>
  <si>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2026-10-31</t>
    </r>
    <r>
      <rPr>
        <sz val="11"/>
        <rFont val="Noto Sans CJK SC"/>
        <family val="2"/>
      </rPr>
      <t xml:space="preserve">：初版）。全球最大封測代工（</t>
    </r>
    <r>
      <rPr>
        <sz val="11"/>
        <rFont val="Cambria"/>
        <family val="0"/>
        <charset val="1"/>
      </rPr>
      <t xml:space="preserve">OSAT</t>
    </r>
    <r>
      <rPr>
        <sz val="11"/>
        <rFont val="Noto Sans CJK SC"/>
        <family val="2"/>
      </rPr>
      <t xml:space="preserve">）；封測（</t>
    </r>
    <r>
      <rPr>
        <sz val="11"/>
        <rFont val="Cambria"/>
        <family val="0"/>
        <charset val="1"/>
      </rPr>
      <t xml:space="preserve">ATM</t>
    </r>
    <r>
      <rPr>
        <sz val="11"/>
        <rFont val="Noto Sans CJK SC"/>
        <family val="2"/>
      </rPr>
      <t xml:space="preserve">：封裝、測試、材料）約占營收六成五、</t>
    </r>
    <r>
      <rPr>
        <sz val="11"/>
        <rFont val="Cambria"/>
        <family val="0"/>
        <charset val="1"/>
      </rPr>
      <t xml:space="preserve">EMS</t>
    </r>
    <r>
      <rPr>
        <sz val="11"/>
        <rFont val="Noto Sans CJK SC"/>
        <family val="2"/>
      </rPr>
      <t xml:space="preserve">（環旭）約三成五。樣板 </t>
    </r>
    <r>
      <rPr>
        <sz val="11"/>
        <rFont val="Cambria"/>
        <family val="0"/>
        <charset val="1"/>
      </rPr>
      <t xml:space="preserve">amkr/</t>
    </r>
    <r>
      <rPr>
        <sz val="11"/>
        <rFont val="Noto Sans CJK SC"/>
        <family val="2"/>
      </rPr>
      <t xml:space="preserve">；行業變數讀 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快照 </t>
    </r>
    <r>
      <rPr>
        <sz val="11"/>
        <rFont val="Cambria"/>
        <family val="0"/>
        <charset val="1"/>
      </rPr>
      <t xml:space="preserve">v0.10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20261031_Siliconomics_v0.10.xlsx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</si>
  <si>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模型命題：封測（</t>
    </r>
    <r>
      <rPr>
        <sz val="11"/>
        <rFont val="Cambria"/>
        <family val="0"/>
        <charset val="1"/>
      </rPr>
      <t xml:space="preserve">ATM</t>
    </r>
    <r>
      <rPr>
        <sz val="11"/>
        <rFont val="Noto Sans CJK SC"/>
        <family val="2"/>
      </rPr>
      <t xml:space="preserve">）＝主流封測＋</t>
    </r>
    <r>
      <rPr>
        <sz val="11"/>
        <rFont val="Cambria"/>
        <family val="0"/>
        <charset val="1"/>
      </rPr>
      <t xml:space="preserve">LEAP </t>
    </r>
    <r>
      <rPr>
        <sz val="11"/>
        <rFont val="Noto Sans CJK SC"/>
        <family val="2"/>
      </rPr>
      <t xml:space="preserve">先進封裝；</t>
    </r>
    <r>
      <rPr>
        <sz val="11"/>
        <rFont val="Cambria"/>
        <family val="0"/>
        <charset val="1"/>
      </rPr>
      <t xml:space="preserve">LEAP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委外與份額相對值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每顆內容（隨封裝面積）＋全流程（</t>
    </r>
    <r>
      <rPr>
        <sz val="11"/>
        <rFont val="Cambria"/>
        <family val="0"/>
        <charset val="1"/>
      </rPr>
      <t xml:space="preserve">CoWoS full process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同字母滲透率）。公司稱 </t>
    </r>
    <r>
      <rPr>
        <sz val="11"/>
        <rFont val="Cambria"/>
        <family val="0"/>
        <charset val="1"/>
      </rPr>
      <t xml:space="preserve">LEAP 2026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US$4B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翻倍；全流程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US$0.3B → 2027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US$1B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CPO 2027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US$0.5B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EMS </t>
    </r>
    <r>
      <rPr>
        <sz val="11"/>
        <rFont val="Noto Sans CJK SC"/>
        <family val="2"/>
      </rPr>
      <t xml:space="preserve">用簡單成長率。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</si>
  <si>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LEAP </t>
    </r>
    <r>
      <rPr>
        <sz val="11"/>
        <rFont val="Noto Sans CJK SC"/>
        <family val="2"/>
      </rPr>
      <t xml:space="preserve">占封測營收升到三成以上後，前瞻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應停在歷史中位（約 </t>
    </r>
    <r>
      <rPr>
        <sz val="11"/>
        <rFont val="Cambria"/>
        <family val="0"/>
        <charset val="1"/>
      </rPr>
      <t xml:space="preserve">12.6 </t>
    </r>
    <r>
      <rPr>
        <sz val="11"/>
        <rFont val="Noto Sans CJK SC"/>
        <family val="2"/>
      </rPr>
      <t xml:space="preserve">倍）與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窗口（約 </t>
    </r>
    <r>
      <rPr>
        <sz val="11"/>
        <rFont val="Cambria"/>
        <family val="0"/>
        <charset val="1"/>
      </rPr>
      <t xml:space="preserve">24.1 </t>
    </r>
    <r>
      <rPr>
        <sz val="11"/>
        <rFont val="Noto Sans CJK SC"/>
        <family val="2"/>
      </rPr>
      <t xml:space="preserve">倍）之間的哪裡；資本支出約占營收 </t>
    </r>
    <r>
      <rPr>
        <sz val="11"/>
        <rFont val="Cambria"/>
        <family val="0"/>
        <charset val="1"/>
      </rPr>
      <t xml:space="preserve">42% </t>
    </r>
    <r>
      <rPr>
        <sz val="11"/>
        <rFont val="Noto Sans CJK SC"/>
        <family val="2"/>
      </rPr>
      <t xml:space="preserve">的報酬能否撐住毛利率與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</si>
  <si>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（三年）由驅動因子推導，</t>
    </r>
    <r>
      <rPr>
        <sz val="11"/>
        <rFont val="Cambria"/>
        <family val="0"/>
        <charset val="1"/>
      </rPr>
      <t xml:space="preserve">FY2030–32 </t>
    </r>
    <r>
      <rPr>
        <sz val="11"/>
        <rFont val="Noto Sans CJK SC"/>
        <family val="2"/>
      </rPr>
      <t xml:space="preserve">為收斂法。金額：十億新台幣；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）。現價 </t>
    </r>
    <r>
      <rPr>
        <sz val="11"/>
        <rFont val="Cambria"/>
        <family val="0"/>
        <charset val="1"/>
      </rPr>
      <t xml:space="preserve">668.00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2026-10-30 </t>
    </r>
    <r>
      <rPr>
        <sz val="11"/>
        <rFont val="Noto Sans CJK SC"/>
        <family val="2"/>
      </rPr>
      <t xml:space="preserve">收盤）；其他模型仍用 </t>
    </r>
    <r>
      <rPr>
        <sz val="11"/>
        <rFont val="Cambria"/>
        <family val="0"/>
        <charset val="1"/>
      </rPr>
      <t xml:space="preserve">10-22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10-23 </t>
    </r>
    <r>
      <rPr>
        <sz val="11"/>
        <rFont val="Noto Sans CJK SC"/>
        <family val="2"/>
      </rPr>
      <t xml:space="preserve">收盤。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</si>
  <si>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</si>
  <si>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LEAP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Siliconomics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委外與份額相對值（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，情境專屬）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LEAP </t>
    </r>
    <r>
      <rPr>
        <sz val="11"/>
        <rFont val="Noto Sans CJK SC"/>
        <family val="2"/>
      </rPr>
      <t xml:space="preserve">核心內容（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以公司「逾 </t>
    </r>
    <r>
      <rPr>
        <sz val="11"/>
        <rFont val="Cambria"/>
        <family val="0"/>
        <charset val="1"/>
      </rPr>
      <t xml:space="preserve">US$4B</t>
    </r>
    <r>
      <rPr>
        <sz val="11"/>
        <rFont val="Noto Sans CJK SC"/>
        <family val="2"/>
      </rPr>
      <t xml:space="preserve">」校準，之後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封裝面積指數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）＋全流程（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依情境，之後隨顆數 </t>
    </r>
    <r>
      <rPr>
        <sz val="11"/>
        <rFont val="Cambria"/>
        <family val="0"/>
        <charset val="1"/>
      </rPr>
      <t xml:space="preserve">× 1.3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US$0.5B × Siliconomics </t>
    </r>
    <r>
      <rPr>
        <sz val="11"/>
        <rFont val="Noto Sans CJK SC"/>
        <family val="2"/>
      </rPr>
      <t xml:space="preserve">同字母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滲透率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 2027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</si>
  <si>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主流封測：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（公司稱與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相近，逾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；本模型保守）、</t>
    </r>
    <r>
      <rPr>
        <sz val="11"/>
        <rFont val="Cambria"/>
        <family val="0"/>
        <charset val="1"/>
      </rPr>
      <t xml:space="preserve">FY2028–29 +7%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；行業變數待併入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EMS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+10%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，毛利率 </t>
    </r>
    <r>
      <rPr>
        <sz val="11"/>
        <rFont val="Cambria"/>
        <family val="0"/>
        <charset val="1"/>
      </rPr>
      <t xml:space="preserve">8.5%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</si>
  <si>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毛利：封測毛利＝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錨點＋現金流通率 </t>
    </r>
    <r>
      <rPr>
        <sz val="11"/>
        <rFont val="Cambria"/>
        <family val="0"/>
        <charset val="1"/>
      </rPr>
      <t xml:space="preserve">50% × </t>
    </r>
    <r>
      <rPr>
        <sz val="11"/>
        <rFont val="Noto Sans CJK SC"/>
        <family val="2"/>
      </rPr>
      <t xml:space="preserve">封測營收增量 − 折舊增量；折舊＝前一年 </t>
    </r>
    <r>
      <rPr>
        <sz val="11"/>
        <rFont val="Cambria"/>
        <family val="0"/>
        <charset val="1"/>
      </rPr>
      <t xml:space="preserve">× (1 − 1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8)</t>
    </r>
    <r>
      <rPr>
        <sz val="11"/>
        <rFont val="Noto Sans CJK SC"/>
        <family val="2"/>
      </rPr>
      <t xml:space="preserve">＋前一年資本支出 </t>
    </r>
    <r>
      <rPr>
        <sz val="11"/>
        <rFont val="Cambria"/>
        <family val="0"/>
        <charset val="1"/>
      </rPr>
      <t xml:space="preserve">÷ 8</t>
    </r>
    <r>
      <rPr>
        <sz val="11"/>
        <rFont val="Noto Sans CJK SC"/>
        <family val="2"/>
      </rPr>
      <t xml:space="preserve">；資本支出 </t>
    </r>
    <r>
      <rPr>
        <sz val="11"/>
        <rFont val="Cambria"/>
        <family val="0"/>
        <charset val="1"/>
      </rPr>
      <t xml:space="preserve">FY2026 US$11.5B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FY2027 US$13.0B</t>
    </r>
    <r>
      <rPr>
        <sz val="11"/>
        <rFont val="Noto Sans CJK SC"/>
        <family val="2"/>
      </rPr>
      <t xml:space="preserve">、之後營收 </t>
    </r>
    <r>
      <rPr>
        <sz val="11"/>
        <rFont val="Cambria"/>
        <family val="0"/>
        <charset val="1"/>
      </rPr>
      <t xml:space="preserve">× 30%</t>
    </r>
    <r>
      <rPr>
        <sz val="11"/>
        <rFont val="Noto Sans CJK SC"/>
        <family val="2"/>
      </rPr>
      <t xml:space="preserve">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；營業外每年 −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；稅率 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</si>
  <si>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1Q–3Q26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依公司指引（</t>
    </r>
    <r>
      <rPr>
        <sz val="11"/>
        <rFont val="Cambria"/>
        <family val="0"/>
        <charset val="1"/>
      </rPr>
      <t xml:space="preserve">ATM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ATM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+1.5pt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EMS </t>
    </r>
    <r>
      <rPr>
        <sz val="11"/>
        <rFont val="Noto Sans CJK SC"/>
        <family val="2"/>
      </rPr>
      <t xml:space="preserve">持平）。不用券商數字（只在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</si>
  <si>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Amkor</t>
    </r>
    <r>
      <rPr>
        <sz val="11"/>
        <rFont val="Noto Sans CJK SC"/>
        <family val="2"/>
      </rPr>
      <t xml:space="preserve">、力成、京元電、矽格、南茂前瞻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× </t>
    </r>
    <r>
      <rPr>
        <sz val="11"/>
        <rFont val="Noto Sans CJK SC"/>
        <family val="2"/>
      </rPr>
      <t xml:space="preserve">相對倍數調整係數）。十年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規則值保留為參考。本版未做先驗，無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</si>
  <si>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</si>
  <si>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 </t>
    </r>
    <r>
      <rPr>
        <sz val="11"/>
        <rFont val="Cambria"/>
        <family val="0"/>
        <charset val="1"/>
      </rPr>
      <t xml:space="preserve">SEC 6-K</t>
    </r>
    <r>
      <rPr>
        <sz val="11"/>
        <rFont val="Noto Sans CJK SC"/>
        <family val="2"/>
      </rPr>
      <t xml:space="preserve">；法說內容經逐字稿；券商、媒體與資料商為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</si>
  <si>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LEAP </t>
    </r>
    <r>
      <rPr>
        <sz val="11"/>
        <rFont val="Noto Sans CJK SC"/>
        <family val="2"/>
      </rPr>
      <t xml:space="preserve">季度與分項金額公司未揭露，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以全年說法校準、季度拆分用 </t>
    </r>
    <r>
      <rPr>
        <sz val="11"/>
        <rFont val="Cambria"/>
        <family val="0"/>
        <charset val="1"/>
      </rPr>
      <t xml:space="preserve">BofA </t>
    </r>
    <r>
      <rPr>
        <sz val="11"/>
        <rFont val="Noto Sans CJK SC"/>
        <family val="2"/>
      </rPr>
      <t xml:space="preserve">占比；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委外與份額相對值是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主流封測與 </t>
    </r>
    <r>
      <rPr>
        <sz val="11"/>
        <rFont val="Cambria"/>
        <family val="0"/>
        <charset val="1"/>
      </rPr>
      <t xml:space="preserve">EMS </t>
    </r>
    <r>
      <rPr>
        <sz val="11"/>
        <rFont val="Noto Sans CJK SC"/>
        <family val="2"/>
      </rPr>
      <t xml:space="preserve">只用成長率；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折舊全數歸封測、混合年限 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年；</t>
    </r>
    <r>
      <rPr>
        <sz val="11"/>
        <rFont val="Cambria"/>
        <family val="0"/>
        <charset val="1"/>
      </rPr>
      <t xml:space="preserve">(5) DCF </t>
    </r>
    <r>
      <rPr>
        <sz val="11"/>
        <rFont val="Noto Sans CJK SC"/>
        <family val="2"/>
      </rPr>
      <t xml:space="preserve">未扣資本支出高峰（偏高估）但 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用低谷年（偏低估）；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賣方共識未找到，以 </t>
    </r>
    <r>
      <rPr>
        <sz val="11"/>
        <rFont val="Cambria"/>
        <family val="0"/>
        <charset val="1"/>
      </rPr>
      <t xml:space="preserve">BofA </t>
    </r>
    <r>
      <rPr>
        <sz val="11"/>
        <rFont val="Noto Sans CJK SC"/>
        <family val="2"/>
      </rPr>
      <t xml:space="preserve">單一券商對照；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(8) </t>
    </r>
    <r>
      <rPr>
        <sz val="11"/>
        <rFont val="Noto Sans CJK SC"/>
        <family val="2"/>
      </rPr>
      <t xml:space="preserve">下次更新：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2027-02 </t>
    </r>
    <r>
      <rPr>
        <sz val="11"/>
        <rFont val="Noto Sans CJK SC"/>
        <family val="2"/>
      </rPr>
      <t xml:space="preserve">上旬）。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</si>
  <si>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：核心問題一（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三成以上後的倍數）：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占封測營收 </t>
    </r>
    <r>
      <rPr>
        <sz val="11"/>
        <color theme="1"/>
        <rFont val="Calibri"/>
        <family val="2"/>
        <charset val="1"/>
      </rPr>
      <t xml:space="preserve">FY2026 22.8% → FY2027 35.9%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），現價 </t>
    </r>
    <r>
      <rPr>
        <sz val="11"/>
        <color theme="1"/>
        <rFont val="Calibri"/>
        <family val="2"/>
        <charset val="1"/>
      </rPr>
      <t xml:space="preserve">÷ FY2027 EPS 21.6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24.6 </t>
    </r>
    <r>
      <rPr>
        <sz val="11"/>
        <color theme="1"/>
        <rFont val="Noto Sans CJK SC"/>
        <family val="2"/>
      </rPr>
      <t xml:space="preserve">倍，已接近 </t>
    </r>
    <r>
      <rPr>
        <sz val="11"/>
        <color theme="1"/>
        <rFont val="Calibri"/>
        <family val="2"/>
        <charset val="1"/>
      </rPr>
      <t xml:space="preserve">Bloomberg 2026 </t>
    </r>
    <r>
      <rPr>
        <sz val="11"/>
        <color theme="1"/>
        <rFont val="Noto Sans CJK SC"/>
        <family val="2"/>
      </rPr>
      <t xml:space="preserve">窗口前瞻 </t>
    </r>
    <r>
      <rPr>
        <sz val="11"/>
        <color theme="1"/>
        <rFont val="Calibri"/>
        <family val="2"/>
        <charset val="1"/>
      </rPr>
      <t xml:space="preserve">P/E 24.1 </t>
    </r>
    <r>
      <rPr>
        <sz val="11"/>
        <color theme="1"/>
        <rFont val="Noto Sans CJK SC"/>
        <family val="2"/>
      </rPr>
      <t xml:space="preserve">倍、約為十年中位 </t>
    </r>
    <r>
      <rPr>
        <sz val="11"/>
        <color theme="1"/>
        <rFont val="Calibri"/>
        <family val="2"/>
        <charset val="1"/>
      </rPr>
      <t xml:space="preserve">12.6 </t>
    </r>
    <r>
      <rPr>
        <sz val="11"/>
        <color theme="1"/>
        <rFont val="Noto Sans CJK SC"/>
        <family val="2"/>
      </rPr>
      <t xml:space="preserve">倍的兩倍；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等於 </t>
    </r>
    <r>
      <rPr>
        <sz val="11"/>
        <color theme="1"/>
        <rFont val="Calibri"/>
        <family val="2"/>
        <charset val="1"/>
      </rPr>
      <t xml:space="preserve">22.1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相對倍數係數 </t>
    </r>
    <r>
      <rPr>
        <sz val="11"/>
        <color theme="1"/>
        <rFont val="Calibri"/>
        <family val="2"/>
        <charset val="1"/>
      </rPr>
      <t xml:space="preserve">1.12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24.7 </t>
    </r>
    <r>
      <rPr>
        <sz val="11"/>
        <color theme="1"/>
        <rFont val="Noto Sans CJK SC"/>
        <family val="2"/>
      </rPr>
      <t xml:space="preserve">倍，若倍數回到十年中位，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目標價約減半。與 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的差距主要在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27.2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同口徑 </t>
    </r>
    <r>
      <rPr>
        <sz val="11"/>
        <color theme="1"/>
        <rFont val="Calibri"/>
        <family val="2"/>
        <charset val="1"/>
      </rPr>
      <t xml:space="preserve">47.2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），倍數因素只 −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</si>
  <si>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：核心問題二（資本支出約占營收四成的報酬）：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US$11.5B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US$13.0B</t>
    </r>
    <r>
      <rPr>
        <sz val="11"/>
        <color theme="1"/>
        <rFont val="Noto Sans CJK SC"/>
        <family val="2"/>
      </rPr>
      <t xml:space="preserve">，折舊由 </t>
    </r>
    <r>
      <rPr>
        <sz val="11"/>
        <color theme="1"/>
        <rFont val="Calibri"/>
        <family val="2"/>
        <charset val="1"/>
      </rPr>
      <t xml:space="preserve">FY2026 NT$97B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FY2028 NT$166B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+71%</t>
    </r>
    <r>
      <rPr>
        <sz val="11"/>
        <color theme="1"/>
        <rFont val="Noto Sans CJK SC"/>
        <family val="2"/>
      </rPr>
      <t xml:space="preserve">），營業利益增量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起累計資本支出在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12.4%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），股東自由現金流到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都為負。加權上檔空間 −</t>
    </r>
    <r>
      <rPr>
        <sz val="11"/>
        <color theme="1"/>
        <rFont val="Calibri"/>
        <family val="2"/>
        <charset val="1"/>
      </rPr>
      <t xml:space="preserve">24.6% </t>
    </r>
    <r>
      <rPr>
        <sz val="11"/>
        <color theme="1"/>
        <rFont val="Noto Sans CJK SC"/>
        <family val="2"/>
      </rPr>
      <t xml:space="preserve">距放空門檻僅 </t>
    </r>
    <r>
      <rPr>
        <sz val="11"/>
        <color theme="1"/>
        <rFont val="Calibri"/>
        <family val="2"/>
        <charset val="1"/>
      </rPr>
      <t xml:space="preserve">0.4 </t>
    </r>
    <r>
      <rPr>
        <sz val="11"/>
        <color theme="1"/>
        <rFont val="Noto Sans CJK SC"/>
        <family val="2"/>
      </rPr>
      <t xml:space="preserve">個百分點（現金流通率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或折舊年限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年即跨線）；下一個檢驗點是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2027-02 </t>
    </r>
    <r>
      <rPr>
        <sz val="11"/>
        <color theme="1"/>
        <rFont val="Noto Sans CJK SC"/>
        <family val="2"/>
      </rPr>
      <t xml:space="preserve">上旬）的封測毛利率能否達指引 </t>
    </r>
    <r>
      <rPr>
        <sz val="11"/>
        <color theme="1"/>
        <rFont val="Calibri"/>
        <family val="2"/>
        <charset val="1"/>
      </rPr>
      <t xml:space="preserve">31.6–32.6%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</si>
  <si>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相對倍數調整（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使用相對倍數調整後的值（同業前瞻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比，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「照建議做」）；「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的第一句為公式，其餘重點觀察的數字以調整後撰寫。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</si>
  <si>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</si>
  <si>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與資本支出為十億美元（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</si>
  <si>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給低／高區間（放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），情境專屬列不給區間。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（季度新聞稿與簡報）；法說內容經 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逐字稿；公司指引與說法為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</si>
  <si>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</si>
  <si>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</si>
  <si>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</si>
  <si>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</si>
  <si>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</si>
  <si>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</si>
  <si>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</si>
  <si>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</si>
  <si>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</si>
  <si>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加速器顆數、情境係數與封裝面積（讀 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快照 </t>
    </r>
    <r>
      <rPr>
        <b val="true"/>
        <sz val="11"/>
        <rFont val="Cambria"/>
        <family val="0"/>
        <charset val="1"/>
      </rPr>
      <t xml:space="preserve">v0.10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20261031_Siliconomics_v0.10.xlsx</t>
    </r>
    <r>
      <rPr>
        <b val="true"/>
        <sz val="11"/>
        <rFont val="Noto Sans CJK SC"/>
        <family val="2"/>
      </rPr>
      <t xml:space="preserve">）；唯讀，不自行重估）</t>
    </r>
  </si>
  <si>
    <t xml:space="preserve">units_26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</si>
  <si>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</si>
  <si>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</si>
  <si>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</si>
  <si>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Siliconomics SIF_UnitsPlat_Total_A</t>
    </r>
    <r>
      <rPr>
        <sz val="11"/>
        <color theme="1"/>
        <rFont val="Noto Sans CJK SC"/>
        <family val="2"/>
      </rPr>
      <t xml:space="preserve">（八類加速器合計）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</si>
  <si>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合計；與台積電、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、京元電模型同一份</t>
    </r>
  </si>
  <si>
    <t xml:space="preserve">units_27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</si>
  <si>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</si>
  <si>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同上</t>
  </si>
  <si>
    <t xml:space="preserve">units_28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</si>
  <si>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</si>
  <si>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units_29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</si>
  <si>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</si>
  <si>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</si>
  <si>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</si>
  <si>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</si>
  <si>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</si>
  <si>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Siliconomics um28_A</t>
    </r>
    <r>
      <rPr>
        <sz val="11"/>
        <color theme="1"/>
        <rFont val="Noto Sans CJK SC"/>
        <family val="2"/>
      </rPr>
      <t xml:space="preserve">（同字母行業情境）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</si>
  <si>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</si>
  <si>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</si>
  <si>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</si>
  <si>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um29_A</t>
    </r>
    <r>
      <rPr>
        <sz val="11"/>
        <color theme="1"/>
        <rFont val="Noto Sans CJK SC"/>
        <family val="2"/>
      </rPr>
      <t xml:space="preserve">（同字母行業情境）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</si>
  <si>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</si>
  <si>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</si>
  <si>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um28_B</t>
    </r>
    <r>
      <rPr>
        <sz val="11"/>
        <color theme="1"/>
        <rFont val="Noto Sans CJK SC"/>
        <family val="2"/>
      </rPr>
      <t xml:space="preserve">（同字母行業情境）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</si>
  <si>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</si>
  <si>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</si>
  <si>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um29_B</t>
    </r>
    <r>
      <rPr>
        <sz val="11"/>
        <color theme="1"/>
        <rFont val="Noto Sans CJK SC"/>
        <family val="2"/>
      </rPr>
      <t xml:space="preserve">（同字母行業情境）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</si>
  <si>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</si>
  <si>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</si>
  <si>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um28_C</t>
    </r>
    <r>
      <rPr>
        <sz val="11"/>
        <color theme="1"/>
        <rFont val="Noto Sans CJK SC"/>
        <family val="2"/>
      </rPr>
      <t xml:space="preserve">（同字母行業情境）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</si>
  <si>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</si>
  <si>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</si>
  <si>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Siliconomics um29_C</t>
    </r>
    <r>
      <rPr>
        <sz val="11"/>
        <color theme="1"/>
        <rFont val="Noto Sans CJK SC"/>
        <family val="2"/>
      </rPr>
      <t xml:space="preserve">（同字母行業情境）</t>
    </r>
  </si>
  <si>
    <t xml:space="preserve">ar_26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</si>
  <si>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</si>
  <si>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平台別顆數 </t>
    </r>
    <r>
      <rPr>
        <sz val="11"/>
        <color theme="1"/>
        <rFont val="Calibri"/>
        <family val="2"/>
        <charset val="1"/>
      </rPr>
      <t xml:space="preserve">SIF_UnitsPlat_* ÷ </t>
    </r>
    <r>
      <rPr>
        <sz val="11"/>
        <color theme="1"/>
        <rFont val="Noto Sans CJK SC"/>
        <family val="2"/>
      </rPr>
      <t xml:space="preserve">每片封裝數 </t>
    </r>
    <r>
      <rPr>
        <sz val="11"/>
        <color theme="1"/>
        <rFont val="Calibri"/>
        <family val="2"/>
        <charset val="1"/>
      </rPr>
      <t xml:space="preserve">cw_pp_*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Blackwell→GB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Rubin→VR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Ultra→RU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2026 MI3xx→AMD8</t>
    </r>
    <r>
      <rPr>
        <sz val="11"/>
        <color theme="1"/>
        <rFont val="Noto Sans CJK SC"/>
        <family val="2"/>
      </rPr>
      <t xml:space="preserve">／之後→</t>
    </r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2026→TPU7</t>
    </r>
    <r>
      <rPr>
        <sz val="11"/>
        <color theme="1"/>
        <rFont val="Noto Sans CJK SC"/>
        <family val="2"/>
      </rPr>
      <t xml:space="preserve">／之後→</t>
    </r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</si>
  <si>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平台對應為本模型假設；每片封裝數下降＝單顆封裝面積變大（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</si>
  <si>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ar_27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</si>
  <si>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</si>
  <si>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ar_28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</si>
  <si>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</si>
  <si>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ar_29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</si>
  <si>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</si>
  <si>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</si>
  <si>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</si>
  <si>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</si>
  <si>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Calibri"/>
        <family val="2"/>
        <charset val="1"/>
      </rPr>
      <t xml:space="preserve">Siliconomics cpo_A_26</t>
    </r>
    <r>
      <rPr>
        <sz val="11"/>
        <color theme="1"/>
        <rFont val="Noto Sans CJK SC"/>
        <family val="2"/>
      </rPr>
      <t xml:space="preserve">（技術替代屬行業情境，同字母）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</si>
  <si>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營收依此滲透率相對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縮放</t>
    </r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</si>
  <si>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</si>
  <si>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</si>
  <si>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 cpo_A_27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</si>
  <si>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</si>
  <si>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</si>
  <si>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 cpo_A_28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</si>
  <si>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</si>
  <si>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</si>
  <si>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 cpo_A_29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</si>
  <si>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</si>
  <si>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</si>
  <si>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 cpo_B_26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</si>
  <si>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</si>
  <si>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</si>
  <si>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 cpo_B_27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</si>
  <si>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</si>
  <si>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</si>
  <si>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 cpo_B_28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</si>
  <si>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</si>
  <si>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</si>
  <si>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 cpo_B_29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</si>
  <si>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</si>
  <si>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</si>
  <si>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 cpo_C_26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</si>
  <si>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</si>
  <si>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</si>
  <si>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 cpo_C_27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</si>
  <si>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</si>
  <si>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</si>
  <si>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 cpo_C_28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</si>
  <si>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</si>
  <si>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</si>
  <si>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 cpo_C_29</t>
    </r>
    <r>
      <rPr>
        <sz val="11"/>
        <color theme="1"/>
        <rFont val="Noto Sans CJK SC"/>
        <family val="2"/>
      </rPr>
      <t xml:space="preserve">（技術替代屬行業情境，同字母）</t>
    </r>
  </si>
  <si>
    <t xml:space="preserve">fx</t>
  </si>
  <si>
    <r>
      <rPr>
        <sz val="11"/>
        <color theme="1"/>
        <rFont val="Noto Sans CJK SC"/>
        <family val="2"/>
      </rPr>
      <t xml:space="preserve">匯率：新台幣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起換算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與資本支出）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</si>
  <si>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</si>
  <si>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Siliconomics fx_twd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</si>
  <si>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指引假設 </t>
    </r>
    <r>
      <rPr>
        <sz val="11"/>
        <color theme="1"/>
        <rFont val="Calibri"/>
        <family val="2"/>
        <charset val="1"/>
      </rPr>
      <t xml:space="preserve">31.9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</si>
  <si>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封測（</t>
    </r>
    <r>
      <rPr>
        <b val="true"/>
        <sz val="11"/>
        <rFont val="Cambria"/>
        <family val="0"/>
        <charset val="1"/>
      </rPr>
      <t xml:space="preserve">ATM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LEAP </t>
    </r>
    <r>
      <rPr>
        <b val="true"/>
        <sz val="11"/>
        <rFont val="Noto Sans CJK SC"/>
        <family val="2"/>
      </rPr>
      <t xml:space="preserve">先進封裝＝顆數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委外／份額相對值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每顆內容（隨封裝面積）＋全流程（</t>
    </r>
    <r>
      <rPr>
        <b val="true"/>
        <sz val="11"/>
        <rFont val="Cambria"/>
        <family val="0"/>
        <charset val="1"/>
      </rPr>
      <t xml:space="preserve">CoWoS full process</t>
    </r>
    <r>
      <rPr>
        <b val="true"/>
        <sz val="11"/>
        <rFont val="Noto Sans CJK SC"/>
        <family val="2"/>
      </rPr>
      <t xml:space="preserve">）＋</t>
    </r>
    <r>
      <rPr>
        <b val="true"/>
        <sz val="11"/>
        <rFont val="Cambria"/>
        <family val="0"/>
        <charset val="1"/>
      </rPr>
      <t xml:space="preserve">CPO</t>
    </r>
    <r>
      <rPr>
        <b val="true"/>
        <sz val="11"/>
        <rFont val="Noto Sans CJK SC"/>
        <family val="2"/>
      </rPr>
      <t xml:space="preserve">；主流封測另依成長率</t>
    </r>
  </si>
  <si>
    <t xml:space="preserve">leap25</t>
  </si>
  <si>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</si>
  <si>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US$B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</si>
  <si>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</si>
  <si>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LEAP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US$1.6B</t>
    </r>
    <r>
      <rPr>
        <sz val="11"/>
        <color theme="1"/>
        <rFont val="Noto Sans CJK SC"/>
        <family val="2"/>
      </rPr>
      <t xml:space="preserve">（占 </t>
    </r>
    <r>
      <rPr>
        <sz val="11"/>
        <color theme="1"/>
        <rFont val="Calibri"/>
        <family val="2"/>
        <charset val="1"/>
      </rPr>
      <t xml:space="preserve">ATM 13%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US$0.6B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</si>
  <si>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年初目標 </t>
    </r>
    <r>
      <rPr>
        <sz val="11"/>
        <color theme="1"/>
        <rFont val="Calibri"/>
        <family val="2"/>
        <charset val="1"/>
      </rPr>
      <t xml:space="preserve">US$3.2B</t>
    </r>
    <r>
      <rPr>
        <sz val="11"/>
        <color theme="1"/>
        <rFont val="Noto Sans CJK SC"/>
        <family val="2"/>
      </rPr>
      <t xml:space="preserve">（同上）</t>
    </r>
  </si>
  <si>
    <t xml:space="preserve">fx25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</si>
  <si>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平均匯率（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換算新台幣用）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</si>
  <si>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美元營收年增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、新台幣年增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簡報）；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指引假設 </t>
    </r>
    <r>
      <rPr>
        <sz val="11"/>
        <color theme="1"/>
        <rFont val="Calibri"/>
        <family val="2"/>
        <charset val="1"/>
      </rPr>
      <t xml:space="preserve">30.9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</si>
  <si>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LEAP</t>
    </r>
    <r>
      <rPr>
        <sz val="11"/>
        <color theme="1"/>
        <rFont val="Noto Sans CJK SC"/>
        <family val="2"/>
      </rPr>
      <t xml:space="preserve">／主流拆分</t>
    </r>
  </si>
  <si>
    <t xml:space="preserve">leap26</t>
  </si>
  <si>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（公司：逾 </t>
    </r>
    <r>
      <rPr>
        <sz val="11"/>
        <color theme="1"/>
        <rFont val="Calibri"/>
        <family val="2"/>
        <charset val="1"/>
      </rPr>
      <t xml:space="preserve">US$4B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</si>
  <si>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LEAP 2026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US$3.7B </t>
    </r>
    <r>
      <rPr>
        <sz val="11"/>
        <color theme="1"/>
        <rFont val="Noto Sans CJK SC"/>
        <family val="2"/>
      </rPr>
      <t xml:space="preserve">上調到 </t>
    </r>
    <r>
      <rPr>
        <sz val="11"/>
        <color theme="1"/>
        <rFont val="Calibri"/>
        <family val="2"/>
        <charset val="1"/>
      </rPr>
      <t xml:space="preserve">over US$4 billion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</si>
  <si>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法說報導（數位時代）：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法說時為逾 </t>
    </r>
    <r>
      <rPr>
        <sz val="11"/>
        <color theme="1"/>
        <rFont val="Calibri"/>
        <family val="2"/>
        <charset val="1"/>
      </rPr>
      <t xml:space="preserve">US$3.5B</t>
    </r>
  </si>
  <si>
    <t xml:space="preserve">lsh_1h</t>
  </si>
  <si>
    <r>
      <rPr>
        <sz val="11"/>
        <color theme="1"/>
        <rFont val="Calibri"/>
        <family val="2"/>
        <charset val="1"/>
      </rPr>
      <t xml:space="preserve">LEAP ÷ ATM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1H26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</si>
  <si>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報告摘要（科技新報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1H26 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22%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（券商）</t>
    </r>
  </si>
  <si>
    <r>
      <rPr>
        <sz val="11"/>
        <color theme="1"/>
        <rFont val="Noto Sans CJK SC"/>
        <family val="2"/>
      </rPr>
      <t xml:space="preserve">公司未揭露季度 </t>
    </r>
    <r>
      <rPr>
        <sz val="11"/>
        <color theme="1"/>
        <rFont val="Calibri"/>
        <family val="2"/>
        <charset val="1"/>
      </rPr>
      <t xml:space="preserve">LEAP</t>
    </r>
    <r>
      <rPr>
        <sz val="11"/>
        <color theme="1"/>
        <rFont val="Noto Sans CJK SC"/>
        <family val="2"/>
      </rPr>
      <t xml:space="preserve">；只影響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頁季度拆分</t>
    </r>
  </si>
  <si>
    <t xml:space="preserve">lsh_3q</t>
  </si>
  <si>
    <r>
      <rPr>
        <sz val="11"/>
        <color theme="1"/>
        <rFont val="Calibri"/>
        <family val="2"/>
        <charset val="1"/>
      </rPr>
      <t xml:space="preserve">LEAP ÷ ATM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</si>
  <si>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BofA 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</si>
  <si>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＝全年 </t>
    </r>
    <r>
      <rPr>
        <sz val="11"/>
        <color theme="1"/>
        <rFont val="Calibri"/>
        <family val="2"/>
        <charset val="1"/>
      </rPr>
      <t xml:space="preserve">US$4.0B </t>
    </r>
    <r>
      <rPr>
        <sz val="11"/>
        <color theme="1"/>
        <rFont val="Noto Sans CJK SC"/>
        <family val="2"/>
      </rPr>
      <t xml:space="preserve">減前三季（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</si>
  <si>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fp26</t>
  </si>
  <si>
    <r>
      <rPr>
        <sz val="11"/>
        <color theme="1"/>
        <rFont val="Noto Sans CJK SC"/>
        <family val="2"/>
      </rPr>
      <t xml:space="preserve">全流程（</t>
    </r>
    <r>
      <rPr>
        <sz val="11"/>
        <color theme="1"/>
        <rFont val="Calibri"/>
        <family val="2"/>
        <charset val="1"/>
      </rPr>
      <t xml:space="preserve">CoWoS full process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（含在 </t>
    </r>
    <r>
      <rPr>
        <sz val="11"/>
        <color theme="1"/>
        <rFont val="Calibri"/>
        <family val="2"/>
        <charset val="1"/>
      </rPr>
      <t xml:space="preserve">LEAP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</si>
  <si>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full process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US$300M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on track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</si>
  <si>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法說報導（數位時代）：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法說同（約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億美元）</t>
    </r>
  </si>
  <si>
    <t xml:space="preserve">fp27_A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</si>
  <si>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：全流程營收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</si>
  <si>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full process 2027 over US$1 billion</t>
    </r>
    <r>
      <rPr>
        <sz val="11"/>
        <color theme="1"/>
        <rFont val="Noto Sans CJK SC"/>
        <family val="2"/>
      </rPr>
      <t xml:space="preserve">（保守；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</si>
  <si>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US$1B </t>
    </r>
    <r>
      <rPr>
        <sz val="11"/>
        <color theme="1"/>
        <rFont val="Noto Sans CJK SC"/>
        <family val="2"/>
      </rPr>
      <t xml:space="preserve">為保守數字；取高於公司說法</t>
    </r>
  </si>
  <si>
    <t xml:space="preserve">fp27_B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</si>
  <si>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：全流程營收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</si>
  <si>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公司說法下緣（逾 </t>
    </r>
    <r>
      <rPr>
        <sz val="11"/>
        <color theme="1"/>
        <rFont val="Calibri"/>
        <family val="2"/>
        <charset val="1"/>
      </rPr>
      <t xml:space="preserve">US$1B</t>
    </r>
    <r>
      <rPr>
        <sz val="11"/>
        <color theme="1"/>
        <rFont val="Noto Sans CJK SC"/>
        <family val="2"/>
      </rPr>
      <t xml:space="preserve">）</t>
    </r>
  </si>
  <si>
    <t xml:space="preserve">fp27_C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</si>
  <si>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：全流程營收 </t>
    </r>
    <r>
      <rPr>
        <sz val="11"/>
        <color theme="1"/>
        <rFont val="Calibri"/>
        <family val="2"/>
        <charset val="1"/>
      </rPr>
      <t xml:space="preserve">FY2027</t>
    </r>
  </si>
  <si>
    <t xml:space="preserve">全流程導入延後、台積電自製比例維持</t>
  </si>
  <si>
    <t xml:space="preserve">fp_g</t>
  </si>
  <si>
    <r>
      <rPr>
        <sz val="11"/>
        <color theme="1"/>
        <rFont val="Noto Sans CJK SC"/>
        <family val="2"/>
      </rPr>
      <t xml:space="preserve">全流程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：每年隨顆數成長外再加的滲透成長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</si>
  <si>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需求接近產能（</t>
    </r>
    <r>
      <rPr>
        <sz val="11"/>
        <color theme="1"/>
        <rFont val="Calibri"/>
        <family val="2"/>
        <charset val="1"/>
      </rPr>
      <t xml:space="preserve">Siliconomics cw_capend27 200 </t>
    </r>
    <r>
      <rPr>
        <sz val="11"/>
        <color theme="1"/>
        <rFont val="Noto Sans CJK SC"/>
        <family val="2"/>
      </rPr>
      <t xml:space="preserve">千片／月）；全流程擴大由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補充</t>
    </r>
  </si>
  <si>
    <t xml:space="preserve">量化資料：未找到</t>
  </si>
  <si>
    <t xml:space="preserve">cpo27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</si>
  <si>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滲透率下；含在 </t>
    </r>
    <r>
      <rPr>
        <sz val="11"/>
        <color theme="1"/>
        <rFont val="Calibri"/>
        <family val="2"/>
        <charset val="1"/>
      </rPr>
      <t xml:space="preserve">LEAP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</si>
  <si>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CPO 2027 over US$0.5 billion</t>
    </r>
    <r>
      <rPr>
        <sz val="11"/>
        <color theme="1"/>
        <rFont val="Noto Sans CJK SC"/>
        <family val="2"/>
      </rPr>
      <t xml:space="preserve">，含在 </t>
    </r>
    <r>
      <rPr>
        <sz val="11"/>
        <color theme="1"/>
        <rFont val="Calibri"/>
        <family val="2"/>
        <charset val="1"/>
      </rPr>
      <t xml:space="preserve">LEAP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</si>
  <si>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法說報導（數位時代）：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時稱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年底小量（媒體）</t>
    </r>
  </si>
  <si>
    <t xml:space="preserve">rel27_A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</si>
  <si>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</si>
  <si>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吃緊、委外補充（</t>
    </r>
    <r>
      <rPr>
        <sz val="11"/>
        <color theme="1"/>
        <rFont val="Calibri"/>
        <family val="2"/>
        <charset val="1"/>
      </rPr>
      <t xml:space="preserve">Siliconomics cw_osat 10%</t>
    </r>
    <r>
      <rPr>
        <sz val="11"/>
        <color theme="1"/>
        <rFont val="Noto Sans CJK SC"/>
        <family val="2"/>
      </rPr>
      <t xml:space="preserve">）；日月光直接專案擴大（</t>
    </r>
    <r>
      <rPr>
        <sz val="11"/>
        <color theme="1"/>
        <rFont val="Calibri"/>
        <family val="2"/>
        <charset val="1"/>
      </rPr>
      <t xml:space="preserve">AMD Venice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BofA 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</si>
  <si>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＝委外擴大、份額上升；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＝小幅上升（公司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翻倍的中性路徑）；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＝台積電自製與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分食</t>
    </r>
  </si>
  <si>
    <t xml:space="preserve">rel28_A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</si>
  <si>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</si>
  <si>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</si>
  <si>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</si>
  <si>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</si>
  <si>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</si>
  <si>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</si>
  <si>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</si>
  <si>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</si>
  <si>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</si>
  <si>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</si>
  <si>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</si>
  <si>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</si>
  <si>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</si>
  <si>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</si>
  <si>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：日月光委外與份額相對值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</si>
  <si>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el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</si>
  <si>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內容對封裝面積的彈性</t>
    </r>
  </si>
  <si>
    <r>
      <rPr>
        <sz val="11"/>
        <color theme="1"/>
        <rFont val="Noto Sans CJK SC"/>
        <family val="2"/>
      </rPr>
      <t xml:space="preserve">封裝面積大 → 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、測試時間與良率成本上升；後段金額不與面積等比例（與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模型同值）</t>
    </r>
  </si>
  <si>
    <t xml:space="preserve">第二來源：未找到</t>
  </si>
  <si>
    <t xml:space="preserve">g_ms26</t>
  </si>
  <si>
    <r>
      <rPr>
        <sz val="11"/>
        <color theme="1"/>
        <rFont val="Noto Sans CJK SC"/>
        <family val="2"/>
      </rPr>
      <t xml:space="preserve">主流封測年增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（參考；錨點已由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頁實績決定）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</si>
  <si>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（主流＝</t>
    </r>
    <r>
      <rPr>
        <sz val="11"/>
        <color theme="1"/>
        <rFont val="Calibri"/>
        <family val="2"/>
        <charset val="1"/>
      </rPr>
      <t xml:space="preserve">ATM − LEAP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</si>
  <si>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general market </t>
    </r>
    <r>
      <rPr>
        <sz val="11"/>
        <color theme="1"/>
        <rFont val="Noto Sans CJK SC"/>
        <family val="2"/>
      </rPr>
      <t xml:space="preserve">成長逾 </t>
    </r>
    <r>
      <rPr>
        <sz val="11"/>
        <color theme="1"/>
        <rFont val="Calibri"/>
        <family val="2"/>
        <charset val="1"/>
      </rPr>
      <t xml:space="preserve">20%</t>
    </r>
  </si>
  <si>
    <t xml:space="preserve">g_ms27</t>
  </si>
  <si>
    <r>
      <rPr>
        <sz val="11"/>
        <color theme="1"/>
        <rFont val="Noto Sans CJK SC"/>
        <family val="2"/>
      </rPr>
      <t xml:space="preserve">主流封測年增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</si>
  <si>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）：公司預期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general market </t>
    </r>
    <r>
      <rPr>
        <sz val="11"/>
        <color theme="1"/>
        <rFont val="Noto Sans CJK SC"/>
        <family val="2"/>
      </rPr>
      <t xml:space="preserve">成長與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相近（逾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</si>
  <si>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本模型基準取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（漲價與成熟製程滿載不必然延續）；行業變數，待併入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封測需求）</t>
    </r>
  </si>
  <si>
    <t xml:space="preserve">g_msL</t>
  </si>
  <si>
    <r>
      <rPr>
        <sz val="11"/>
        <color theme="1"/>
        <rFont val="Noto Sans CJK SC"/>
        <family val="2"/>
      </rPr>
      <t xml:space="preserve">主流封測年增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</si>
  <si>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半導體封測長期成長；公司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：運算 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、車用工業 </t>
    </r>
    <r>
      <rPr>
        <sz val="11"/>
        <color theme="1"/>
        <rFont val="Calibri"/>
        <family val="2"/>
        <charset val="1"/>
      </rPr>
      <t xml:space="preserve">+14%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+14%</t>
    </r>
    <r>
      <rPr>
        <sz val="11"/>
        <color theme="1"/>
        <rFont val="Noto Sans CJK SC"/>
        <family val="2"/>
      </rPr>
      <t xml:space="preserve">、通訊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（年增）</t>
    </r>
  </si>
  <si>
    <r>
      <rPr>
        <sz val="11"/>
        <color theme="1"/>
        <rFont val="Noto Sans CJK SC"/>
        <family val="2"/>
      </rPr>
      <t xml:space="preserve">行業變數，待併入 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封測需求）</t>
    </r>
  </si>
  <si>
    <r>
      <rPr>
        <b val="true"/>
        <sz val="11"/>
        <rFont val="Cambria"/>
        <family val="0"/>
        <charset val="1"/>
      </rPr>
      <t xml:space="preserve">C. EMS</t>
    </r>
    <r>
      <rPr>
        <b val="true"/>
        <sz val="11"/>
        <rFont val="Noto Sans CJK SC"/>
        <family val="2"/>
      </rPr>
      <t xml:space="preserve">（環旭電子；簡單成長率）與沖銷</t>
    </r>
  </si>
  <si>
    <t xml:space="preserve">g_ems27</t>
  </si>
  <si>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</si>
  <si>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EMS 2027 </t>
    </r>
    <r>
      <rPr>
        <sz val="11"/>
        <color theme="1"/>
        <rFont val="Noto Sans CJK SC"/>
        <family val="2"/>
      </rPr>
      <t xml:space="preserve">成長，由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帶動（約占 </t>
    </r>
    <r>
      <rPr>
        <sz val="11"/>
        <color theme="1"/>
        <rFont val="Calibri"/>
        <family val="2"/>
        <charset val="1"/>
      </rPr>
      <t xml:space="preserve">EMS mid-teens</t>
    </r>
    <r>
      <rPr>
        <sz val="11"/>
        <color theme="1"/>
        <rFont val="Noto Sans CJK SC"/>
        <family val="2"/>
      </rPr>
      <t xml:space="preserve">、快速放量）；通訊、消費較弱（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</si>
  <si>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t xml:space="preserve">量化指引：未找到</t>
  </si>
  <si>
    <t xml:space="preserve">g_emsL</t>
  </si>
  <si>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</si>
  <si>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Calibri"/>
        <family val="2"/>
        <charset val="1"/>
      </rPr>
      <t xml:space="preserve">FY2024→FY2025 EMS −5%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新案</t>
    </r>
  </si>
  <si>
    <t xml:space="preserve">—</t>
  </si>
  <si>
    <t xml:space="preserve">ems_gm</t>
  </si>
  <si>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</si>
  <si>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8.3%</t>
    </r>
    <r>
      <rPr>
        <sz val="11"/>
        <color theme="1"/>
        <rFont val="Noto Sans CJK SC"/>
        <family val="2"/>
      </rPr>
      <t xml:space="preserve">（公司分部表）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</si>
  <si>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營業利益率約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3.3%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</si>
  <si>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資本支出與折舊（資本支出約占營收四成：核心問題之二）</t>
    </r>
  </si>
  <si>
    <t xml:space="preserve">capex25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</si>
  <si>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</si>
  <si>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）：機器設備 </t>
    </r>
    <r>
      <rPr>
        <sz val="11"/>
        <color theme="1"/>
        <rFont val="Calibri"/>
        <family val="2"/>
        <charset val="1"/>
      </rPr>
      <t xml:space="preserve">US$3.4B</t>
    </r>
    <r>
      <rPr>
        <sz val="11"/>
        <color theme="1"/>
        <rFont val="Noto Sans CJK SC"/>
        <family val="2"/>
      </rPr>
      <t xml:space="preserve">＋廠房設施與自動化 </t>
    </r>
    <r>
      <rPr>
        <sz val="11"/>
        <color theme="1"/>
        <rFont val="Calibri"/>
        <family val="2"/>
        <charset val="1"/>
      </rPr>
      <t xml:space="preserve">US$2.1B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簡報）</t>
    </r>
  </si>
  <si>
    <t xml:space="preserve">capex26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</si>
  <si>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US$11.5B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</si>
  <si>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資本支出由 </t>
    </r>
    <r>
      <rPr>
        <sz val="11"/>
        <color theme="1"/>
        <rFont val="Calibri"/>
        <family val="2"/>
        <charset val="1"/>
      </rPr>
      <t xml:space="preserve">US$10.5B </t>
    </r>
    <r>
      <rPr>
        <sz val="11"/>
        <color theme="1"/>
        <rFont val="Noto Sans CJK SC"/>
        <family val="2"/>
      </rPr>
      <t xml:space="preserve">上調到 </t>
    </r>
    <r>
      <rPr>
        <sz val="11"/>
        <color theme="1"/>
        <rFont val="Calibri"/>
        <family val="2"/>
        <charset val="1"/>
      </rPr>
      <t xml:space="preserve">US$11.5B</t>
    </r>
    <r>
      <rPr>
        <sz val="11"/>
        <color theme="1"/>
        <rFont val="Noto Sans CJK SC"/>
        <family val="2"/>
      </rPr>
      <t xml:space="preserve">；前三季 </t>
    </r>
    <r>
      <rPr>
        <sz val="11"/>
        <color theme="1"/>
        <rFont val="Calibri"/>
        <family val="2"/>
        <charset val="1"/>
      </rPr>
      <t xml:space="preserve">US$8B</t>
    </r>
    <r>
      <rPr>
        <sz val="11"/>
        <color theme="1"/>
        <rFont val="Noto Sans CJK SC"/>
        <family val="2"/>
      </rPr>
      <t xml:space="preserve">（設備 </t>
    </r>
    <r>
      <rPr>
        <sz val="11"/>
        <color theme="1"/>
        <rFont val="Calibri"/>
        <family val="2"/>
        <charset val="1"/>
      </rPr>
      <t xml:space="preserve">4.8</t>
    </r>
    <r>
      <rPr>
        <sz val="11"/>
        <color theme="1"/>
        <rFont val="Noto Sans CJK SC"/>
        <family val="2"/>
      </rPr>
      <t xml:space="preserve">、廠房 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</si>
  <si>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法說報導（數位時代）：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US$10.5B</t>
    </r>
    <r>
      <rPr>
        <sz val="11"/>
        <color theme="1"/>
        <rFont val="Noto Sans CJK SC"/>
        <family val="2"/>
      </rPr>
      <t xml:space="preserve">（廠房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、設備 </t>
    </r>
    <r>
      <rPr>
        <sz val="11"/>
        <color theme="1"/>
        <rFont val="Calibri"/>
        <family val="2"/>
        <charset val="1"/>
      </rPr>
      <t xml:space="preserve">6.5</t>
    </r>
    <r>
      <rPr>
        <sz val="11"/>
        <color theme="1"/>
        <rFont val="Noto Sans CJK SC"/>
        <family val="2"/>
      </rPr>
      <t xml:space="preserve">）</t>
    </r>
  </si>
  <si>
    <t xml:space="preserve">capex27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</si>
  <si>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</si>
  <si>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even larger than this year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現金流為負（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</si>
  <si>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報告摘要（科技新報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每年逾 </t>
    </r>
    <r>
      <rPr>
        <sz val="11"/>
        <color theme="1"/>
        <rFont val="Calibri"/>
        <family val="2"/>
        <charset val="1"/>
      </rPr>
      <t xml:space="preserve">US$13B</t>
    </r>
    <r>
      <rPr>
        <sz val="11"/>
        <color theme="1"/>
        <rFont val="Noto Sans CJK SC"/>
        <family val="2"/>
      </rPr>
      <t xml:space="preserve">（券商）</t>
    </r>
  </si>
  <si>
    <t xml:space="preserve">capi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</si>
  <si>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合併營收（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</si>
  <si>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US$5.5B × 31.0 ÷ 645.4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</si>
  <si>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成長放緩後回落（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</si>
  <si>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life</t>
  </si>
  <si>
    <t xml:space="preserve">新增資本支出的平均折舊年限（廠房與設備混合）</t>
  </si>
  <si>
    <t xml:space="preserve">年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</si>
  <si>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為廠房設施（公司）；設備 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年、廠房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年以上</t>
    </r>
  </si>
  <si>
    <t xml:space="preserve">混合年限：未找到</t>
  </si>
  <si>
    <t xml:space="preserve">q4_da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</si>
  <si>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</si>
  <si>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NT$B</t>
  </si>
  <si>
    <r>
      <rPr>
        <sz val="11"/>
        <color theme="1"/>
        <rFont val="Calibri"/>
        <family val="2"/>
        <charset val="1"/>
      </rPr>
      <t xml:space="preserve">1Q26 20.7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24.8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營業利益；公司簡報推得）；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US$3.9B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</si>
  <si>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毛利率、營業費用與淨利（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</si>
  <si>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</t>
  </si>
  <si>
    <r>
      <rPr>
        <sz val="11"/>
        <color theme="1"/>
        <rFont val="Noto Sans CJK SC"/>
        <family val="2"/>
      </rPr>
      <t xml:space="preserve">封測現金毛利增量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封測營收增量（現金流通率）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</si>
  <si>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頁（漲價、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組合、稼動率滿載）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</si>
  <si>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）：公司稱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毛利率由天花板變成基準、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逐季改善；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專案毛利率 </t>
    </r>
    <r>
      <rPr>
        <sz val="11"/>
        <color theme="1"/>
        <rFont val="Calibri"/>
        <family val="2"/>
        <charset val="1"/>
      </rPr>
      <t xml:space="preserve">35–45%</t>
    </r>
  </si>
  <si>
    <t xml:space="preserve">phi</t>
  </si>
  <si>
    <r>
      <rPr>
        <sz val="11"/>
        <color theme="1"/>
        <rFont val="Noto Sans CJK SC"/>
        <family val="2"/>
      </rPr>
      <t xml:space="preserve">營業費用成長對營收成長的彈性（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</si>
  <si>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</si>
  <si>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公司：增加研發、人才與智慧工廠投入（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簡報）</t>
    </r>
  </si>
  <si>
    <t xml:space="preserve">nonop_f</t>
  </si>
  <si>
    <r>
      <rPr>
        <sz val="11"/>
        <color theme="1"/>
        <rFont val="Noto Sans CJK SC"/>
        <family val="2"/>
      </rPr>
      <t xml:space="preserve">營業外淨額（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</si>
  <si>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1Q26 +0.7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+4.6</t>
    </r>
    <r>
      <rPr>
        <sz val="11"/>
        <color theme="1"/>
        <rFont val="Noto Sans CJK SC"/>
        <family val="2"/>
      </rPr>
      <t xml:space="preserve">（含投資評價利益 </t>
    </r>
    <r>
      <rPr>
        <sz val="11"/>
        <color theme="1"/>
        <rFont val="Calibri"/>
        <family val="2"/>
        <charset val="1"/>
      </rPr>
      <t xml:space="preserve">4.2</t>
    </r>
    <r>
      <rPr>
        <sz val="11"/>
        <color theme="1"/>
        <rFont val="Noto Sans CJK SC"/>
        <family val="2"/>
      </rPr>
      <t xml:space="preserve">、匯兌避險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，淨利息 −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；媒體）、</t>
    </r>
    <r>
      <rPr>
        <sz val="11"/>
        <color theme="1"/>
        <rFont val="Calibri"/>
        <family val="2"/>
        <charset val="1"/>
      </rPr>
      <t xml:space="preserve">3Q26 −0.4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</si>
  <si>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淨負債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3Q26 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47%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現金流為負（公司）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</si>
  <si>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</si>
  <si>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</si>
  <si>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全年有效稅率 </t>
    </r>
    <r>
      <rPr>
        <sz val="11"/>
        <color theme="1"/>
        <rFont val="Calibri"/>
        <family val="2"/>
        <charset val="1"/>
      </rPr>
      <t xml:space="preserve">16–17%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</si>
  <si>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18.4%</t>
    </r>
    <r>
      <rPr>
        <sz val="11"/>
        <color theme="1"/>
        <rFont val="Noto Sans CJK SC"/>
        <family val="2"/>
      </rPr>
      <t xml:space="preserve">（公司損益推得）</t>
    </r>
  </si>
  <si>
    <t xml:space="preserve">nci</t>
  </si>
  <si>
    <r>
      <rPr>
        <sz val="11"/>
        <color theme="1"/>
        <rFont val="Noto Sans CJK SC"/>
        <family val="2"/>
      </rPr>
      <t xml:space="preserve">非控制權益（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</si>
  <si>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FY2025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1Q–3Q26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</si>
  <si>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</si>
  <si>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基本股數年變動</t>
  </si>
  <si>
    <r>
      <rPr>
        <sz val="11"/>
        <color theme="1"/>
        <rFont val="Calibri"/>
        <family val="2"/>
        <charset val="1"/>
      </rPr>
      <t xml:space="preserve">FY2025 4,339 → 3Q26 4,404 </t>
    </r>
    <r>
      <rPr>
        <sz val="11"/>
        <color theme="1"/>
        <rFont val="Noto Sans CJK SC"/>
        <family val="2"/>
      </rPr>
      <t xml:space="preserve">百萬股（淨利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推得）；員工認股與可轉債轉換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</si>
  <si>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1Q–3Q26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依公司指引）</t>
    </r>
  </si>
  <si>
    <t xml:space="preserve">q4_atm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</si>
  <si>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封測（</t>
    </r>
    <r>
      <rPr>
        <sz val="11"/>
        <color theme="1"/>
        <rFont val="Calibri"/>
        <family val="2"/>
        <charset val="1"/>
      </rPr>
      <t xml:space="preserve">ATM</t>
    </r>
    <r>
      <rPr>
        <sz val="11"/>
        <color theme="1"/>
        <rFont val="Noto Sans CJK SC"/>
        <family val="2"/>
      </rPr>
      <t xml:space="preserve">）季增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</si>
  <si>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4Q26 ATM </t>
    </r>
    <r>
      <rPr>
        <sz val="11"/>
        <color theme="1"/>
        <rFont val="Noto Sans CJK SC"/>
        <family val="2"/>
      </rPr>
      <t xml:space="preserve">營收季增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（新台幣）；取中點</t>
    </r>
  </si>
  <si>
    <t xml:space="preserve">q4_atmgm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</si>
  <si>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封測毛利率增幅（百分點）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</si>
  <si>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4Q26 ATM </t>
    </r>
    <r>
      <rPr>
        <sz val="11"/>
        <color theme="1"/>
        <rFont val="Noto Sans CJK SC"/>
        <family val="2"/>
      </rPr>
      <t xml:space="preserve">毛利率季增 </t>
    </r>
    <r>
      <rPr>
        <sz val="11"/>
        <color theme="1"/>
        <rFont val="Calibri"/>
        <family val="2"/>
        <charset val="1"/>
      </rPr>
      <t xml:space="preserve">100–200 bps</t>
    </r>
    <r>
      <rPr>
        <sz val="11"/>
        <color theme="1"/>
        <rFont val="Noto Sans CJK SC"/>
        <family val="2"/>
      </rPr>
      <t xml:space="preserve">；取中點</t>
    </r>
  </si>
  <si>
    <t xml:space="preserve">q4_ems</t>
  </si>
  <si>
    <r>
      <rPr>
        <sz val="11"/>
        <color theme="1"/>
        <rFont val="Calibri"/>
        <family val="2"/>
        <charset val="1"/>
      </rPr>
      <t xml:space="preserve">4Q26 EMS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</si>
  <si>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4Q26 EMS </t>
    </r>
    <r>
      <rPr>
        <sz val="11"/>
        <color theme="1"/>
        <rFont val="Noto Sans CJK SC"/>
        <family val="2"/>
      </rPr>
      <t xml:space="preserve">營收約持平；營業利益率約 </t>
    </r>
    <r>
      <rPr>
        <sz val="11"/>
        <color theme="1"/>
        <rFont val="Calibri"/>
        <family val="2"/>
        <charset val="1"/>
      </rPr>
      <t xml:space="preserve">2%</t>
    </r>
  </si>
  <si>
    <t xml:space="preserve">q4_emsgm</t>
  </si>
  <si>
    <r>
      <rPr>
        <sz val="11"/>
        <color theme="1"/>
        <rFont val="Calibri"/>
        <family val="2"/>
        <charset val="1"/>
      </rPr>
      <t xml:space="preserve">4Q26 EMS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</si>
  <si>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8.3%</t>
    </r>
    <r>
      <rPr>
        <sz val="11"/>
        <color theme="1"/>
        <rFont val="Noto Sans CJK SC"/>
        <family val="2"/>
      </rPr>
      <t xml:space="preserve">；營業利益率指引由 </t>
    </r>
    <r>
      <rPr>
        <sz val="11"/>
        <color theme="1"/>
        <rFont val="Calibri"/>
        <family val="2"/>
        <charset val="1"/>
      </rPr>
      <t xml:space="preserve">3.3% </t>
    </r>
    <r>
      <rPr>
        <sz val="11"/>
        <color theme="1"/>
        <rFont val="Noto Sans CJK SC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2%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</si>
  <si>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</si>
  <si>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營業費用季增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</si>
  <si>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20.8</t>
    </r>
    <r>
      <rPr>
        <sz val="11"/>
        <color theme="1"/>
        <rFont val="Noto Sans CJK SC"/>
        <family val="2"/>
      </rPr>
      <t xml:space="preserve">（毛利 − 營業利益）；以合併營業利益率指引 </t>
    </r>
    <r>
      <rPr>
        <sz val="11"/>
        <color theme="1"/>
        <rFont val="Calibri"/>
        <family val="2"/>
        <charset val="1"/>
      </rPr>
      <t xml:space="preserve">14.5–15.5% </t>
    </r>
    <r>
      <rPr>
        <sz val="11"/>
        <color theme="1"/>
        <rFont val="Noto Sans CJK SC"/>
        <family val="2"/>
      </rPr>
      <t xml:space="preserve">校準</t>
    </r>
  </si>
  <si>
    <t xml:space="preserve">q4_nonop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</si>
  <si>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</t>
    </r>
  </si>
  <si>
    <r>
      <rPr>
        <sz val="11"/>
        <color theme="1"/>
        <rFont val="Calibri"/>
        <family val="2"/>
        <charset val="1"/>
      </rPr>
      <t xml:space="preserve">3Q26 −0.4</t>
    </r>
    <r>
      <rPr>
        <sz val="11"/>
        <color theme="1"/>
        <rFont val="Noto Sans CJK SC"/>
        <family val="2"/>
      </rPr>
      <t xml:space="preserve">；淨負債上升</t>
    </r>
  </si>
  <si>
    <t xml:space="preserve">q4_tax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</si>
  <si>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</si>
  <si>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公司全年 </t>
    </r>
    <r>
      <rPr>
        <sz val="11"/>
        <color theme="1"/>
        <rFont val="Calibri"/>
        <family val="2"/>
        <charset val="1"/>
      </rPr>
      <t xml:space="preserve">16–17%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</si>
  <si>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3Q26 14.8%</t>
    </r>
    <r>
      <rPr>
        <sz val="11"/>
        <color theme="1"/>
        <rFont val="Noto Sans CJK SC"/>
        <family val="2"/>
      </rPr>
      <t xml:space="preserve">（公司損益推得）</t>
    </r>
  </si>
  <si>
    <t xml:space="preserve">q4_nci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</si>
  <si>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</t>
    </r>
  </si>
  <si>
    <r>
      <rPr>
        <sz val="11"/>
        <color theme="1"/>
        <rFont val="Calibri"/>
        <family val="2"/>
        <charset val="1"/>
      </rPr>
      <t xml:space="preserve">3Q26 0.9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</si>
  <si>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公司指引、券商預估（只作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</si>
  <si>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g4_rev_lo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</si>
  <si>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合併營收季增指引下緣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</si>
  <si>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</si>
  <si>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8%</t>
    </r>
  </si>
  <si>
    <t xml:space="preserve">g4_rev_hi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</si>
  <si>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合併營收季增指引上緣</t>
    </r>
  </si>
  <si>
    <t xml:space="preserve">g4_gm_lo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</si>
  <si>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合併毛利率指引下緣</t>
    </r>
  </si>
  <si>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24%</t>
    </r>
  </si>
  <si>
    <t xml:space="preserve">g4_gm_hi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</si>
  <si>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合併毛利率指引上緣</t>
    </r>
  </si>
  <si>
    <t xml:space="preserve">g4_om_lo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</si>
  <si>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合併營業利益率指引下緣</t>
    </r>
  </si>
  <si>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15.5%</t>
    </r>
  </si>
  <si>
    <t xml:space="preserve">g4_om_hi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</si>
  <si>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合併營業利益率指引上緣</t>
    </r>
  </si>
  <si>
    <t xml:space="preserve">bofa_eps26</t>
  </si>
  <si>
    <t xml:space="preserve">BofA EPS FY2026</t>
  </si>
  <si>
    <t xml:space="preserve">NT$</t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</si>
  <si>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報告摘要（科技新報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BofA 2026-10-14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財報前、月營收後；券商）</t>
    </r>
  </si>
  <si>
    <r>
      <rPr>
        <sz val="11"/>
        <color theme="1"/>
        <rFont val="Noto Sans CJK SC"/>
        <family val="2"/>
      </rPr>
      <t xml:space="preserve">賣方共識：未找到（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皆未取得）</t>
    </r>
  </si>
  <si>
    <t xml:space="preserve">bofa_eps27</t>
  </si>
  <si>
    <t xml:space="preserve">BofA EPS FY2027</t>
  </si>
  <si>
    <t xml:space="preserve">bofa_eps28</t>
  </si>
  <si>
    <t xml:space="preserve">BofA EPS FY2028</t>
  </si>
  <si>
    <t xml:space="preserve">bofa_gm28</t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</si>
  <si>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封測毛利率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中段）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</si>
  <si>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2026 29%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（低段）、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（中段）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</si>
  <si>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</si>
  <si>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</si>
  <si>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收盤，臺灣證券交易所）</t>
    </r>
  </si>
  <si>
    <r>
      <rPr>
        <sz val="11"/>
        <color theme="1"/>
        <rFont val="Noto Sans CJK SC"/>
        <family val="2"/>
      </rPr>
      <t xml:space="preserve">富邦證券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點通（</t>
    </r>
    <r>
      <rPr>
        <sz val="11"/>
        <color theme="1"/>
        <rFont val="Calibri"/>
        <family val="2"/>
        <charset val="1"/>
      </rPr>
      <t xml:space="preserve">3711 </t>
    </r>
    <r>
      <rPr>
        <sz val="11"/>
        <color theme="1"/>
        <rFont val="Noto Sans CJK SC"/>
        <family val="2"/>
      </rPr>
      <t xml:space="preserve">日線）：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668.00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15.00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</si>
  <si>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奇摩股市頁面為 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盤中 </t>
    </r>
    <r>
      <rPr>
        <sz val="11"/>
        <color theme="1"/>
        <rFont val="Calibri"/>
        <family val="2"/>
        <charset val="1"/>
      </rPr>
      <t xml:space="preserve">652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ADR ASX 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US$39.91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ADS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股）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</si>
  <si>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</si>
  <si>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奇摩股市，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盤中）</t>
    </r>
  </si>
  <si>
    <t xml:space="preserve">https://tw.stock.yahoo.com/quote/3711</t>
  </si>
  <si>
    <r>
      <rPr>
        <sz val="11"/>
        <color theme="1"/>
        <rFont val="Calibri"/>
        <family val="2"/>
        <charset val="1"/>
      </rPr>
      <t xml:space="preserve">stockanalysis ADR 49.19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</si>
  <si>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</si>
  <si>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</si>
  <si>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</si>
  <si>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</si>
  <si>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</si>
  <si>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；單一券商）</t>
    </r>
  </si>
  <si>
    <r>
      <rPr>
        <sz val="11"/>
        <color theme="1"/>
        <rFont val="Calibri"/>
        <family val="2"/>
        <charset val="1"/>
      </rPr>
      <t xml:space="preserve">BofA 2026-10-14</t>
    </r>
    <r>
      <rPr>
        <sz val="11"/>
        <color theme="1"/>
        <rFont val="Noto Sans CJK SC"/>
        <family val="2"/>
      </rPr>
      <t xml:space="preserve">（單一券商；與本模型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</si>
  <si>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賣方共識前瞻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</si>
  <si>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</si>
  <si>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市場共識目標價（以 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單一券商代替）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</si>
  <si>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報告摘要（科技新報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800 → 900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倍目標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</si>
  <si>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賣方平均目標價：未找到；經濟日報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：法人目標價調升近一成（無數字）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</si>
  <si>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</si>
  <si>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</si>
  <si>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</si>
  <si>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</si>
  <si>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</si>
  <si>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</si>
  <si>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</si>
  <si>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</si>
  <si>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</si>
  <si>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</si>
  <si>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</si>
  <si>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</si>
  <si>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</si>
  <si>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</si>
  <si>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</si>
  <si>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</si>
  <si>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成熟倍數與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</si>
  <si>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</si>
  <si>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</si>
  <si>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macrotrends ROE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2023 11.72%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2024 9.73%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月至 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10.15%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</si>
  <si>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隨獲利倍增明顯上升（未納入）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</si>
  <si>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</si>
  <si>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</si>
  <si>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</si>
  <si>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</si>
  <si>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</si>
  <si>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</si>
  <si>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</si>
  <si>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</si>
  <si>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</si>
  <si>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</si>
  <si>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</si>
  <si>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</si>
  <si>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</si>
  <si>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</si>
  <si>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</si>
  <si>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與其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的中點）</t>
    </r>
  </si>
  <si>
    <r>
      <rPr>
        <sz val="11"/>
        <color theme="1"/>
        <rFont val="Noto Sans CJK SC"/>
        <family val="2"/>
      </rPr>
      <t xml:space="preserve">十年平均淨利率未找到（</t>
    </r>
    <r>
      <rPr>
        <sz val="11"/>
        <color theme="1"/>
        <rFont val="Calibri"/>
        <family val="2"/>
        <charset val="1"/>
      </rPr>
      <t xml:space="preserve">FY2016–2023 </t>
    </r>
    <r>
      <rPr>
        <sz val="11"/>
        <color theme="1"/>
        <rFont val="Noto Sans CJK SC"/>
        <family val="2"/>
      </rPr>
      <t xml:space="preserve">本專案未逐年核對）：工作單規則以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</si>
  <si>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</si>
  <si>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</si>
  <si>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</si>
  <si>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t xml:space="preserve">同上（十年平均未找到）</t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</si>
  <si>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</si>
  <si>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</si>
  <si>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</si>
  <si>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</si>
  <si>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</si>
  <si>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</si>
  <si>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</si>
  <si>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</si>
  <si>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</si>
  <si>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</si>
  <si>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</si>
  <si>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</si>
  <si>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scn_cpo__26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</si>
  <si>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</si>
  <si>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</si>
  <si>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</si>
  <si>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</si>
  <si>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</si>
  <si>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scn_cpo__28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</si>
  <si>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</si>
  <si>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</si>
  <si>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scn_cpo__29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</si>
  <si>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</si>
  <si>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</si>
  <si>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scn_fp27</t>
  </si>
  <si>
    <r>
      <rPr>
        <sz val="11"/>
        <color theme="1"/>
        <rFont val="Noto Sans CJK SC"/>
        <family val="2"/>
      </rPr>
      <t xml:space="preserve">全流程營收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</si>
  <si>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fp27_A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fp27_B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fp27_C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</si>
  <si>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scn_rel27</t>
  </si>
  <si>
    <r>
      <rPr>
        <sz val="11"/>
        <color theme="1"/>
        <rFont val="Noto Sans CJK SC"/>
        <family val="2"/>
      </rPr>
      <t xml:space="preserve">日月光委外與份額相對值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</si>
  <si>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</si>
  <si>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scn_rel28</t>
  </si>
  <si>
    <r>
      <rPr>
        <sz val="11"/>
        <color theme="1"/>
        <rFont val="Noto Sans CJK SC"/>
        <family val="2"/>
      </rPr>
      <t xml:space="preserve">日月光委外與份額相對值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</si>
  <si>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</si>
  <si>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scn_rel29</t>
  </si>
  <si>
    <r>
      <rPr>
        <sz val="11"/>
        <color theme="1"/>
        <rFont val="Noto Sans CJK SC"/>
        <family val="2"/>
      </rPr>
      <t xml:space="preserve">日月光委外與份額相對值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</si>
  <si>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</si>
  <si>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</si>
  <si>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</si>
  <si>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</si>
  <si>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</si>
  <si>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</si>
  <si>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</si>
  <si>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</si>
  <si>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</si>
  <si>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</si>
  <si>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為新台幣、基本；股數為百萬股）。藍字＝輸入（</t>
    </r>
    <r>
      <rPr>
        <sz val="11"/>
        <color theme="1"/>
        <rFont val="Calibri"/>
        <family val="2"/>
        <charset val="1"/>
      </rPr>
      <t xml:space="preserve">SEC 6-K </t>
    </r>
    <r>
      <rPr>
        <sz val="11"/>
        <color theme="1"/>
        <rFont val="Noto Sans CJK SC"/>
        <family val="2"/>
      </rPr>
      <t xml:space="preserve">公司新聞稿與簡報，原單位百萬元 </t>
    </r>
    <r>
      <rPr>
        <sz val="11"/>
        <color theme="1"/>
        <rFont val="Calibri"/>
        <family val="2"/>
        <charset val="1"/>
      </rPr>
      <t xml:space="preserve">÷ 1,000</t>
    </r>
    <r>
      <rPr>
        <sz val="11"/>
        <color theme="1"/>
        <rFont val="Noto Sans CJK SC"/>
        <family val="2"/>
      </rPr>
      <t xml:space="preserve">）；黑字＝公式。分部營收取分部表（含部門間交易），差額列「沖銷及其他」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</si>
  <si>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新聞稿）＋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依公司指引（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+1.5pt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持平；合併營收季增約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，指引 </t>
    </r>
    <r>
      <rPr>
        <sz val="11"/>
        <color theme="1"/>
        <rFont val="Calibri"/>
        <family val="2"/>
        <charset val="1"/>
      </rPr>
      <t xml:space="preserve">6–8%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</si>
  <si>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</si>
  <si>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</si>
  <si>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</si>
  <si>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</si>
  <si>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</si>
  <si>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</si>
  <si>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</si>
  <si>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</si>
  <si>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t xml:space="preserve">Verified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</si>
  <si>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 2026-02-05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 2026-07-30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6-K 2026-10-29</t>
    </r>
  </si>
  <si>
    <r>
      <rPr>
        <sz val="11"/>
        <color theme="1"/>
        <rFont val="Calibri"/>
        <family val="2"/>
        <charset val="1"/>
      </rPr>
      <t xml:space="preserve">9M26 608.887</t>
    </r>
    <r>
      <rPr>
        <sz val="11"/>
        <color theme="1"/>
        <rFont val="Noto Sans CJK SC"/>
        <family val="2"/>
      </rPr>
      <t xml:space="preserve">（公司月營收）＝三季合計</t>
    </r>
  </si>
  <si>
    <r>
      <rPr>
        <sz val="11"/>
        <color theme="1"/>
        <rFont val="Noto Sans CJK SC"/>
        <family val="2"/>
      </rPr>
      <t xml:space="preserve">封測（</t>
    </r>
    <r>
      <rPr>
        <sz val="11"/>
        <color theme="1"/>
        <rFont val="Calibri"/>
        <family val="2"/>
        <charset val="1"/>
      </rPr>
      <t xml:space="preserve">ATM</t>
    </r>
    <r>
      <rPr>
        <sz val="11"/>
        <color theme="1"/>
        <rFont val="Noto Sans CJK SC"/>
        <family val="2"/>
      </rPr>
      <t xml:space="preserve">；分部表）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</si>
  <si>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</si>
  <si>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ATM</t>
    </r>
    <r>
      <rPr>
        <sz val="11"/>
        <color theme="1"/>
        <rFont val="Noto Sans CJK SC"/>
        <family val="2"/>
      </rPr>
      <t xml:space="preserve">＝封裝、測試、材料；合併表口徑 </t>
    </r>
    <r>
      <rPr>
        <sz val="11"/>
        <color theme="1"/>
        <rFont val="Calibri"/>
        <family val="2"/>
        <charset val="1"/>
      </rPr>
      <t xml:space="preserve">FY2025 385.3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3Q26 150.6</t>
    </r>
    <r>
      <rPr>
        <sz val="11"/>
        <color theme="1"/>
        <rFont val="Noto Sans CJK SC"/>
        <family val="2"/>
      </rPr>
      <t xml:space="preserve">（含沖銷）</t>
    </r>
  </si>
  <si>
    <r>
      <rPr>
        <sz val="11"/>
        <color theme="1"/>
        <rFont val="Calibri"/>
        <family val="2"/>
        <charset val="1"/>
      </rPr>
      <t xml:space="preserve">  LEAP </t>
    </r>
    <r>
      <rPr>
        <sz val="11"/>
        <color theme="1"/>
        <rFont val="Noto Sans CJK SC"/>
        <family val="2"/>
      </rPr>
      <t xml:space="preserve">先進封裝（命題子列）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</si>
  <si>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</si>
  <si>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US$1.6B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＝全年 </t>
    </r>
    <r>
      <rPr>
        <sz val="11"/>
        <color theme="1"/>
        <rFont val="Calibri"/>
        <family val="2"/>
        <charset val="1"/>
      </rPr>
      <t xml:space="preserve">US$4.0B × 31.9 − </t>
    </r>
    <r>
      <rPr>
        <sz val="11"/>
        <color theme="1"/>
        <rFont val="Noto Sans CJK SC"/>
        <family val="2"/>
      </rPr>
      <t xml:space="preserve">前三季（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</si>
  <si>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主流封測（</t>
    </r>
    <r>
      <rPr>
        <sz val="11"/>
        <color theme="1"/>
        <rFont val="Calibri"/>
        <family val="2"/>
        <charset val="1"/>
      </rPr>
      <t xml:space="preserve">ATM − LEAP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</si>
  <si>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EMS</t>
    </r>
    <r>
      <rPr>
        <sz val="11"/>
        <color theme="1"/>
        <rFont val="Noto Sans CJK SC"/>
        <family val="2"/>
      </rPr>
      <t xml:space="preserve">（環旭；分部表）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</si>
  <si>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簡報另一頁 </t>
    </r>
    <r>
      <rPr>
        <sz val="11"/>
        <color theme="1"/>
        <rFont val="Calibri"/>
        <family val="2"/>
        <charset val="1"/>
      </rPr>
      <t xml:space="preserve">61.361</t>
    </r>
    <r>
      <rPr>
        <sz val="11"/>
        <color theme="1"/>
        <rFont val="Noto Sans CJK SC"/>
        <family val="2"/>
      </rPr>
      <t xml:space="preserve">（口徑不同）；取分部頁</t>
    </r>
  </si>
  <si>
    <t xml:space="preserve">沖銷及其他（合併 − 分部合計）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</si>
  <si>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比例</t>
    </r>
  </si>
  <si>
    <t xml:space="preserve">封測毛利</t>
  </si>
  <si>
    <t xml:space="preserve">封測毛利率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</si>
  <si>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23.5%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30.6%</t>
    </r>
  </si>
  <si>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毛利</t>
    </r>
  </si>
  <si>
    <t xml:space="preserve">沖銷及其他毛利（合併毛利 − 分部毛利）</t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</si>
  <si>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</si>
  <si>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</si>
  <si>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17.7%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22.1%</t>
    </r>
  </si>
  <si>
    <t xml:space="preserve">營業費用（毛利 − 營業利益）</t>
  </si>
  <si>
    <t xml:space="preserve">營業利益</t>
  </si>
  <si>
    <t xml:space="preserve">營業外淨額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</si>
  <si>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</si>
  <si>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含投資評價利益 </t>
    </r>
    <r>
      <rPr>
        <sz val="11"/>
        <color theme="1"/>
        <rFont val="Calibri"/>
        <family val="2"/>
        <charset val="1"/>
      </rPr>
      <t xml:space="preserve">4.2</t>
    </r>
    <r>
      <rPr>
        <sz val="11"/>
        <color theme="1"/>
        <rFont val="Noto Sans CJK SC"/>
        <family val="2"/>
      </rPr>
      <t xml:space="preserve">、匯兌避險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（風傳媒）</t>
    </r>
  </si>
  <si>
    <t xml:space="preserve">稅前利益</t>
  </si>
  <si>
    <t xml:space="preserve">所得稅</t>
  </si>
  <si>
    <t xml:space="preserve">非控制權益</t>
  </si>
  <si>
    <t xml:space="preserve">歸屬母公司淨利</t>
  </si>
  <si>
    <t xml:space="preserve">基本股數（百萬股）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</si>
  <si>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公司揭露基本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</si>
  <si>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</si>
  <si>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＝四季加總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</si>
  <si>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</si>
  <si>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8.89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5.84</t>
    </r>
    <r>
      <rPr>
        <sz val="11"/>
        <color theme="1"/>
        <rFont val="Noto Sans CJK SC"/>
        <family val="2"/>
      </rPr>
      <t xml:space="preserve">（可轉債）</t>
    </r>
  </si>
  <si>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</si>
  <si>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126.0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38.1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45.8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58.0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</si>
  <si>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</si>
  <si>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US$8.0B</t>
    </r>
    <r>
      <rPr>
        <sz val="11"/>
        <color theme="1"/>
        <rFont val="Noto Sans CJK SC"/>
        <family val="2"/>
      </rPr>
      <t xml:space="preserve">；全年 </t>
    </r>
    <r>
      <rPr>
        <sz val="11"/>
        <color theme="1"/>
        <rFont val="Calibri"/>
        <family val="2"/>
        <charset val="1"/>
      </rPr>
      <t xml:space="preserve">US$11.5B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</si>
  <si>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</si>
  <si>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31.9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</si>
  <si>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LEAP ÷ </t>
    </r>
    <r>
      <rPr>
        <sz val="11"/>
        <color theme="1"/>
        <rFont val="Noto Sans CJK SC"/>
        <family val="2"/>
      </rPr>
      <t xml:space="preserve">封測營收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</si>
  <si>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</si>
  <si>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</si>
  <si>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封測年增（公司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：逾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</si>
  <si>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主流封測年增（公司：逾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</si>
  <si>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封測現金毛利增量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封測營收增量（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的對照；折舊增量全數歸封測）</t>
    </r>
  </si>
  <si>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</si>
  <si>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合併營收季增（指引 </t>
    </r>
    <r>
      <rPr>
        <sz val="11"/>
        <color theme="1"/>
        <rFont val="Calibri"/>
        <family val="2"/>
        <charset val="1"/>
      </rPr>
      <t xml:space="preserve">6–8%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</si>
  <si>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合併毛利率（指引 </t>
    </r>
    <r>
      <rPr>
        <sz val="11"/>
        <color theme="1"/>
        <rFont val="Calibri"/>
        <family val="2"/>
        <charset val="1"/>
      </rPr>
      <t xml:space="preserve">23–24%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</si>
  <si>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合併營業利益率（指引 </t>
    </r>
    <r>
      <rPr>
        <sz val="11"/>
        <color theme="1"/>
        <rFont val="Calibri"/>
        <family val="2"/>
        <charset val="1"/>
      </rPr>
      <t xml:space="preserve">14.5–15.5%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</si>
  <si>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分部毛利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沖銷 − 合併毛利（應為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</si>
  <si>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自算 − 公司 </t>
    </r>
    <r>
      <rPr>
        <sz val="11"/>
        <color theme="1"/>
        <rFont val="Calibri"/>
        <family val="2"/>
        <charset val="1"/>
      </rPr>
      <t xml:space="preserve">6.13</t>
    </r>
    <r>
      <rPr>
        <sz val="11"/>
        <color theme="1"/>
        <rFont val="Noto Sans CJK SC"/>
        <family val="2"/>
      </rPr>
      <t xml:space="preserve">（應約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</si>
  <si>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</si>
  <si>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條：官方分部＝封測（</t>
    </r>
    <r>
      <rPr>
        <sz val="11"/>
        <color theme="1"/>
        <rFont val="Calibri"/>
        <family val="2"/>
        <charset val="1"/>
      </rPr>
      <t xml:space="preserve">ATM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EMS</t>
    </r>
    <r>
      <rPr>
        <sz val="11"/>
        <color theme="1"/>
        <rFont val="Noto Sans CJK SC"/>
        <family val="2"/>
      </rPr>
      <t xml:space="preserve">（分部表口徑），沖銷及其他為合併與分部合計的差額；分部宣告見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</si>
  <si>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b val="true"/>
        <sz val="11"/>
        <rFont val="Noto Sans CJK SC"/>
        <family val="2"/>
      </rPr>
      <t xml:space="preserve">檢查：</t>
    </r>
    <r>
      <rPr>
        <b val="true"/>
        <sz val="11"/>
        <rFont val="Cambria"/>
        <family val="0"/>
        <charset val="1"/>
      </rPr>
      <t xml:space="preserve">LEAP</t>
    </r>
    <r>
      <rPr>
        <b val="true"/>
        <sz val="11"/>
        <rFont val="Noto Sans CJK SC"/>
        <family val="2"/>
      </rPr>
      <t xml:space="preserve">＋主流 − 封測（命題子列合計）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</si>
  <si>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）→ 日月光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先進封裝營收（情境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Siliconomics SIF_DeployGW_A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</si>
  <si>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</si>
  <si>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</si>
  <si>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</si>
  <si>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</si>
  <si>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</si>
  <si>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（台積電、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、京元電模型同一份）</t>
    </r>
  </si>
  <si>
    <r>
      <rPr>
        <sz val="11"/>
        <color theme="1"/>
        <rFont val="Noto Sans CJK SC"/>
        <family val="2"/>
      </rPr>
      <t xml:space="preserve">封裝面積指數（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</si>
  <si>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平台顆數 </t>
    </r>
    <r>
      <rPr>
        <sz val="11"/>
        <color theme="1"/>
        <rFont val="Calibri"/>
        <family val="2"/>
        <charset val="1"/>
      </rPr>
      <t xml:space="preserve">÷ CoWoS </t>
    </r>
    <r>
      <rPr>
        <sz val="11"/>
        <color theme="1"/>
        <rFont val="Noto Sans CJK SC"/>
        <family val="2"/>
      </rPr>
      <t xml:space="preserve">每片封裝數</t>
    </r>
  </si>
  <si>
    <t xml:space="preserve">委外與份額相對值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</si>
  <si>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</si>
  <si>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核心內容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</si>
  <si>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</si>
  <si>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校準；之後隨封裝面積</t>
    </r>
  </si>
  <si>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核心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</si>
  <si>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</t>
    </r>
  </si>
  <si>
    <t xml:space="preserve">全流程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</si>
  <si>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1.0</t>
    </r>
  </si>
  <si>
    <t xml:space="preserve">CPO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</si>
  <si>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滲透率</t>
    </r>
  </si>
  <si>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</si>
  <si>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翻倍</t>
    </r>
  </si>
  <si>
    <r>
      <rPr>
        <sz val="11"/>
        <color theme="1"/>
        <rFont val="Noto Sans CJK SC"/>
        <family val="2"/>
      </rPr>
      <t xml:space="preserve">每顆加速器的日月光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</si>
  <si>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含全流程與 </t>
    </r>
    <r>
      <rPr>
        <sz val="11"/>
        <color theme="1"/>
        <rFont val="Calibri"/>
        <family val="2"/>
        <charset val="1"/>
      </rPr>
      <t xml:space="preserve">CPO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</si>
  <si>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Siliconomics SIF_DeployGW_A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</si>
  <si>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</si>
  <si>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推導值（唯讀）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</si>
  <si>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的日月光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</si>
  <si>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</si>
  <si>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先進封裝可服務市場約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</si>
  <si>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LEAP FY2026 </t>
    </r>
    <r>
      <rPr>
        <b val="true"/>
        <sz val="11"/>
        <rFont val="Noto Sans CJK SC"/>
        <family val="2"/>
      </rPr>
      <t xml:space="preserve">以公司「逾 </t>
    </r>
    <r>
      <rPr>
        <b val="true"/>
        <sz val="11"/>
        <rFont val="Cambria"/>
        <family val="0"/>
        <charset val="1"/>
      </rPr>
      <t xml:space="preserve">US$4B</t>
    </r>
    <r>
      <rPr>
        <b val="true"/>
        <sz val="11"/>
        <rFont val="Noto Sans CJK SC"/>
        <family val="2"/>
      </rPr>
      <t xml:space="preserve">」校準，不是公司揭露的拆分；委外與份額相對值是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，只有相對變化影響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起的營收。每顆內容隨封裝面積上升（彈性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），全流程與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另計；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同字母滲透率縮放。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</si>
  <si>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日月光投控損益（十億新台幣；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1Q–3Q26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依指引；三情境相同），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</si>
  <si>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</si>
  <si>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</si>
  <si>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</si>
  <si>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</si>
  <si>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</si>
  <si>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</si>
  <si>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</si>
  <si>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</si>
  <si>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</si>
  <si>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</si>
  <si>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</si>
  <si>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封測（</t>
    </r>
    <r>
      <rPr>
        <sz val="11"/>
        <color theme="1"/>
        <rFont val="Calibri"/>
        <family val="2"/>
        <charset val="1"/>
      </rPr>
      <t xml:space="preserve">ATM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</si>
  <si>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  LEAP </t>
    </r>
    <r>
      <rPr>
        <sz val="11"/>
        <color theme="1"/>
        <rFont val="Noto Sans CJK SC"/>
        <family val="2"/>
      </rPr>
      <t xml:space="preserve">先進封裝</t>
    </r>
  </si>
  <si>
    <r>
      <rPr>
        <sz val="11"/>
        <color theme="1"/>
        <rFont val="Calibri"/>
        <family val="2"/>
        <charset val="1"/>
      </rPr>
      <t xml:space="preserve">    LEAP ÷ </t>
    </r>
    <r>
      <rPr>
        <sz val="11"/>
        <color theme="1"/>
        <rFont val="Noto Sans CJK SC"/>
        <family val="2"/>
      </rPr>
      <t xml:space="preserve">封測營收</t>
    </r>
  </si>
  <si>
    <t xml:space="preserve">  EMS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</si>
  <si>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</si>
  <si>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</si>
  <si>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</si>
  <si>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</si>
  <si>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</si>
  <si>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</si>
  <si>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</si>
  <si>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</si>
  <si>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</si>
  <si>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LEAP</t>
    </r>
    <r>
      <rPr>
        <sz val="11"/>
        <color theme="1"/>
        <rFont val="Noto Sans CJK SC"/>
        <family val="2"/>
      </rPr>
      <t xml:space="preserve">＋主流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頁封測（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</si>
  <si>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：顆數基準；委外與份額相對值 </t>
    </r>
    <r>
      <rPr>
        <b val="true"/>
        <sz val="11"/>
        <rFont val="Cambria"/>
        <family val="0"/>
        <charset val="1"/>
      </rPr>
      <t xml:space="preserve">1.10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1.15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1.20</t>
    </r>
    <r>
      <rPr>
        <b val="true"/>
        <sz val="11"/>
        <rFont val="Noto Sans CJK SC"/>
        <family val="2"/>
      </rPr>
      <t xml:space="preserve">；全流程 </t>
    </r>
    <r>
      <rPr>
        <b val="true"/>
        <sz val="11"/>
        <rFont val="Cambria"/>
        <family val="0"/>
        <charset val="1"/>
      </rPr>
      <t xml:space="preserve">FY2027 US$1.2B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滲透率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</si>
  <si>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 → </t>
    </r>
    <r>
      <rPr>
        <b val="true"/>
        <sz val="11"/>
        <rFont val="Cambria"/>
        <family val="0"/>
        <charset val="1"/>
      </rPr>
      <t xml:space="preserve">LEAP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</si>
  <si>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加速器顆數（含情境係數）</t>
    </r>
  </si>
  <si>
    <r>
      <rPr>
        <sz val="11"/>
        <color theme="1"/>
        <rFont val="Noto Sans CJK SC"/>
        <family val="2"/>
      </rPr>
      <t xml:space="preserve">委外與份額相對值（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</si>
  <si>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核心內容（不含全流程、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</si>
  <si>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</t>
    </r>
  </si>
  <si>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核心（</t>
    </r>
    <r>
      <rPr>
        <sz val="11"/>
        <color theme="1"/>
        <rFont val="Calibri"/>
        <family val="2"/>
        <charset val="1"/>
      </rPr>
      <t xml:space="preserve">2.5D oS</t>
    </r>
    <r>
      <rPr>
        <sz val="11"/>
        <color theme="1"/>
        <rFont val="Noto Sans CJK SC"/>
        <family val="2"/>
      </rPr>
      <t xml:space="preserve">、先進測試等）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</si>
  <si>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US$4B − </t>
    </r>
    <r>
      <rPr>
        <sz val="11"/>
        <color theme="1"/>
        <rFont val="Noto Sans CJK SC"/>
        <family val="2"/>
      </rPr>
      <t xml:space="preserve">全流程 −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；之後＝顆數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</si>
  <si>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Noto Sans CJK SC"/>
        <family val="2"/>
      </rPr>
      <t xml:space="preserve">全流程（</t>
    </r>
    <r>
      <rPr>
        <sz val="11"/>
        <color theme="1"/>
        <rFont val="Calibri"/>
        <family val="2"/>
        <charset val="1"/>
      </rPr>
      <t xml:space="preserve">CoWoS full process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</si>
  <si>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（共同封裝光學）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</si>
  <si>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＝公司逾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；依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同字母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滲透率縮放（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起另乘顆數比）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</si>
  <si>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</si>
  <si>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美元（隱含）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</si>
  <si>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營收分部（十億新台幣）</t>
    </r>
  </si>
  <si>
    <t xml:space="preserve">  主流封測</t>
  </si>
  <si>
    <r>
      <rPr>
        <sz val="11"/>
        <color theme="1"/>
        <rFont val="Noto Sans CJK SC"/>
        <family val="2"/>
      </rPr>
      <t xml:space="preserve">封測（</t>
    </r>
    <r>
      <rPr>
        <sz val="11"/>
        <color theme="1"/>
        <rFont val="Calibri"/>
        <family val="2"/>
        <charset val="1"/>
      </rPr>
      <t xml:space="preserve">ATM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</si>
  <si>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EMS</t>
    </r>
    <r>
      <rPr>
        <sz val="11"/>
        <color theme="1"/>
        <rFont val="Noto Sans CJK SC"/>
        <family val="2"/>
      </rPr>
      <t xml:space="preserve">（環旭）</t>
    </r>
  </si>
  <si>
    <t xml:space="preserve">沖銷及其他</t>
  </si>
  <si>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</si>
  <si>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</si>
  <si>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</si>
  <si>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t xml:space="preserve">封測年增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</si>
  <si>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資本支出、折舊、毛利與損益</t>
    </r>
  </si>
  <si>
    <t xml:space="preserve">資本支出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</si>
  <si>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US$11.5B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公司「更大」；之後＝營收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資本支出率</t>
    </r>
  </si>
  <si>
    <t xml:space="preserve">資本支出（新台幣）</t>
  </si>
  <si>
    <t xml:space="preserve">折舊攤提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</si>
  <si>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</si>
  <si>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r>
      <rPr>
        <sz val="11"/>
        <color theme="1"/>
        <rFont val="Noto Sans CJK SC"/>
        <family val="2"/>
      </rPr>
      <t xml:space="preserve">封測毛利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流通率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封測營收增量 − 折舊增量</t>
    </r>
  </si>
  <si>
    <t xml:space="preserve">流通率為現金毛利口徑；折舊增量全數歸封測</t>
  </si>
  <si>
    <t xml:space="preserve">沖銷及其他毛利</t>
  </si>
  <si>
    <t xml:space="preserve">營業費用</t>
  </si>
  <si>
    <t xml:space="preserve">基本股數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</si>
  <si>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</si>
  <si>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</si>
  <si>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</si>
  <si>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股東自由現金流（淨利＋折舊 − 資本支出；參考）</t>
  </si>
  <si>
    <r>
      <rPr>
        <sz val="11"/>
        <color theme="1"/>
        <rFont val="Noto Sans CJK SC"/>
        <family val="2"/>
      </rPr>
      <t xml:space="preserve">不含營運資金與融資；只作參考，不進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</si>
  <si>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營業利益增量（相對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起累計資本支出</t>
    </r>
  </si>
  <si>
    <t xml:space="preserve">資本支出的稅前邊際報酬（核心問題之二）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</si>
  <si>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；相對值 </t>
    </r>
    <r>
      <rPr>
        <b val="true"/>
        <sz val="11"/>
        <rFont val="Cambria"/>
        <family val="0"/>
        <charset val="1"/>
      </rPr>
      <t xml:space="preserve">1.05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1.08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1.10</t>
    </r>
    <r>
      <rPr>
        <b val="true"/>
        <sz val="11"/>
        <rFont val="Noto Sans CJK SC"/>
        <family val="2"/>
      </rPr>
      <t xml:space="preserve">；全流程 </t>
    </r>
    <r>
      <rPr>
        <b val="true"/>
        <sz val="11"/>
        <rFont val="Cambria"/>
        <family val="0"/>
        <charset val="1"/>
      </rPr>
      <t xml:space="preserve">US$1.0B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</si>
  <si>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；相對值 </t>
    </r>
    <r>
      <rPr>
        <b val="true"/>
        <sz val="11"/>
        <rFont val="Cambria"/>
        <family val="0"/>
        <charset val="1"/>
      </rPr>
      <t xml:space="preserve">1.00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0.92</t>
    </r>
    <r>
      <rPr>
        <b val="true"/>
        <sz val="11"/>
        <rFont val="Noto Sans CJK SC"/>
        <family val="2"/>
      </rPr>
      <t xml:space="preserve">；全流程 </t>
    </r>
    <r>
      <rPr>
        <b val="true"/>
        <sz val="11"/>
        <rFont val="Cambria"/>
        <family val="0"/>
        <charset val="1"/>
      </rPr>
      <t xml:space="preserve">US$0.7B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</si>
  <si>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</si>
  <si>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循環位置：日月光不是設備股，不套設備市場見頂年；以本模型封測（</t>
    </r>
    <r>
      <rPr>
        <sz val="11"/>
        <color theme="1"/>
        <rFont val="Calibri"/>
        <family val="2"/>
        <charset val="1"/>
      </rPr>
      <t xml:space="preserve">ATM</t>
    </r>
    <r>
      <rPr>
        <sz val="11"/>
        <color theme="1"/>
        <rFont val="Noto Sans CJK SC"/>
        <family val="2"/>
      </rPr>
      <t xml:space="preserve">）營收最高的會計年度為見頂年（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前一串定案；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）。封測營收到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</si>
  <si>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</si>
  <si>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</si>
  <si>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</si>
  <si>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</si>
  <si>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</si>
  <si>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</si>
  <si>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</si>
  <si>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</si>
  <si>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</si>
  <si>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</si>
  <si>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</si>
  <si>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</si>
  <si>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</si>
  <si>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</si>
  <si>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</si>
  <si>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</si>
  <si>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</si>
  <si>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年底；下限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</si>
  <si>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</si>
  <si>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</si>
  <si>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</si>
  <si>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</si>
  <si>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</si>
  <si>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</si>
  <si>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</si>
  <si>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</si>
  <si>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</si>
  <si>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Amkor Technology</t>
    </r>
    <r>
      <rPr>
        <sz val="11"/>
        <color theme="1"/>
        <rFont val="Noto Sans CJK SC"/>
        <family val="2"/>
      </rPr>
      <t xml:space="preserve">（艾克爾）</t>
    </r>
  </si>
  <si>
    <t xml:space="preserve">AMKR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</si>
  <si>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</si>
  <si>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 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、京元電模型同一組數字）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</si>
  <si>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</si>
  <si>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</si>
  <si>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</si>
  <si>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Noto Sans CJK SC"/>
        <family val="2"/>
      </rPr>
      <t xml:space="preserve">京元電子（</t>
    </r>
    <r>
      <rPr>
        <sz val="11"/>
        <color theme="1"/>
        <rFont val="Calibri"/>
        <family val="2"/>
        <charset val="1"/>
      </rPr>
      <t xml:space="preserve">KYEC</t>
    </r>
    <r>
      <rPr>
        <sz val="11"/>
        <color theme="1"/>
        <rFont val="Noto Sans CJK SC"/>
        <family val="2"/>
      </rPr>
      <t xml:space="preserve">）</t>
    </r>
  </si>
  <si>
    <t xml:space="preserve">2449.TW</t>
  </si>
  <si>
    <t xml:space="preserve">2026-10-06</t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</si>
  <si>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</si>
  <si>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</si>
  <si>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</si>
  <si>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t xml:space="preserve">8150.TW</t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</si>
  <si>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</si>
  <si>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</si>
  <si>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台美封測同業：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、力成、京元電、矽格、南茂（不放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</si>
  <si>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</si>
  <si>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</si>
  <si>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</si>
  <si>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</si>
  <si>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</si>
  <si>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</si>
  <si>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</si>
  <si>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（相對倍數調整後，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</si>
  <si>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</si>
  <si>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</si>
  <si>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Noto Sans CJK SC"/>
        <family val="2"/>
      </rPr>
      <t xml:space="preserve">賣方平均：未找到；以 </t>
    </r>
    <r>
      <rPr>
        <sz val="11"/>
        <color theme="1"/>
        <rFont val="Calibri"/>
        <family val="2"/>
        <charset val="1"/>
      </rPr>
      <t xml:space="preserve">BofA 900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，單一券商）代替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</si>
  <si>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</si>
  <si>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</si>
  <si>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</si>
  <si>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</si>
  <si>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BofA </t>
    </r>
    <r>
      <rPr>
        <sz val="11"/>
        <color theme="1"/>
        <rFont val="Noto Sans CJK SC"/>
        <family val="2"/>
      </rPr>
      <t xml:space="preserve">同口徑前瞻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</si>
  <si>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</si>
  <si>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</si>
  <si>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</si>
  <si>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</si>
  <si>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</si>
  <si>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</si>
  <si>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：股東現金流＝基本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10.5%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明確期＋永續；日月光資本支出約占營收四成，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股東自由現金流為負（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頁參考列），本式未扣資本支出高峰，現金流偏高估；但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低谷年，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明顯上升，再投資率偏高（偏低估）。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、力成、京元電、矽格、南茂）前瞻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中位數，再乘相對倍數調整係數（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十年前瞻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，日月光相對同業）；不放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</si>
  <si>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</si>
  <si>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</si>
  <si>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</si>
  <si>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</si>
  <si>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</si>
  <si>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</si>
  <si>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</si>
  <si>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</si>
  <si>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</si>
  <si>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</si>
  <si>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</si>
  <si>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</si>
  <si>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三情境只差委外相對值、全流程與 </t>
    </r>
    <r>
      <rPr>
        <sz val="11"/>
        <color theme="1"/>
        <rFont val="Calibri"/>
        <family val="2"/>
        <charset val="1"/>
      </rPr>
      <t xml:space="preserve">CPO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</si>
  <si>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</si>
  <si>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</si>
  <si>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</si>
  <si>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</si>
  <si>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奇摩股市，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</si>
  <si>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循環位置（本模型封測營收最高年；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</si>
  <si>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</si>
  <si>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封測營收最高年（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</si>
  <si>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</si>
  <si>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</si>
  <si>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</si>
  <si>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；日月光自身封測營收最高年取代設備市場見頂年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</si>
  <si>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</si>
  <si>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</si>
  <si>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</si>
  <si>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</si>
  <si>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</si>
  <si>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</si>
  <si>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</si>
  <si>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</si>
  <si>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</si>
  <si>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</si>
  <si>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</si>
  <si>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</si>
  <si>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</si>
  <si>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</si>
  <si>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年底；單一來源，分位排名用；無負值或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</si>
  <si>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</si>
  <si>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</si>
  <si>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ADR</t>
    </r>
    <r>
      <rPr>
        <b val="true"/>
        <sz val="11"/>
        <rFont val="Noto Sans CJK SC"/>
        <family val="2"/>
      </rPr>
      <t xml:space="preserve">）</t>
    </r>
  </si>
  <si>
    <t xml:space="preserve">（第二來源：未找到）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</si>
  <si>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</si>
  <si>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</si>
  <si>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</si>
  <si>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</si>
  <si>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</si>
  <si>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</si>
  <si>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</si>
  <si>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</si>
  <si>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</si>
  <si>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</si>
  <si>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</si>
  <si>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</si>
  <si>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依循環位置取分位。日月光的落後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與盈餘反向：盈餘高峰年（</t>
    </r>
    <r>
      <rPr>
        <sz val="11"/>
        <color theme="1"/>
        <rFont val="Calibri"/>
        <family val="2"/>
        <charset val="1"/>
      </rPr>
      <t xml:space="preserve">2021–2022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6x</t>
    </r>
    <r>
      <rPr>
        <sz val="11"/>
        <color theme="1"/>
        <rFont val="Noto Sans CJK SC"/>
        <family val="2"/>
      </rPr>
      <t xml:space="preserve">，低谷年（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19–22x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為合併前的日月光半導體（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代號相同）。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</si>
  <si>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</si>
  <si>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ADR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</si>
  <si>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</si>
  <si>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月底值，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月底未列）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</si>
  <si>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</si>
  <si>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</si>
  <si>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</si>
  <si>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</si>
  <si>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</si>
  <si>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</si>
  <si>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</si>
  <si>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</si>
  <si>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</si>
  <si>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</si>
  <si>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</si>
  <si>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</si>
  <si>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</si>
  <si>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</si>
  <si>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</si>
  <si>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</si>
  <si>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</si>
  <si>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</si>
  <si>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</si>
  <si>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</si>
  <si>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</si>
  <si>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</si>
  <si>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</si>
  <si>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</si>
  <si>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</si>
  <si>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</si>
  <si>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</si>
  <si>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</si>
  <si>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</si>
  <si>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</si>
  <si>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</si>
  <si>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</si>
  <si>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</si>
  <si>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</si>
  <si>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</si>
  <si>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</si>
  <si>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</si>
  <si>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</si>
  <si>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</si>
  <si>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</si>
  <si>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</si>
  <si>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日月光投控</t>
  </si>
  <si>
    <t xml:space="preserve">3711.TW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</si>
  <si>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</si>
  <si>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3711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</si>
  <si>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</si>
  <si>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AMKR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</si>
  <si>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6239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</si>
  <si>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2449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</si>
  <si>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6257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</si>
  <si>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8150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</si>
  <si>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</si>
  <si>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</si>
  <si>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</si>
  <si>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</si>
  <si>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</si>
  <si>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</si>
  <si>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</si>
  <si>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</si>
  <si>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</si>
  <si>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</si>
  <si>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</si>
  <si>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</si>
  <si>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</si>
  <si>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</si>
  <si>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公司指引、公司說法、券商預估與市場口徑。只作事後對照，不為對上數字而調參數。賣方共識未找到，以 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，單一券商，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財報前）對照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</si>
  <si>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</si>
  <si>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</si>
  <si>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</si>
  <si>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</si>
  <si>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</si>
  <si>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</si>
  <si>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</si>
  <si>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</si>
  <si>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4Q26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公司指引（錨點用指引中點，非獨立檢驗）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</si>
  <si>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合併營收季增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</si>
  <si>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6–8%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</si>
  <si>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</si>
  <si>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23–24%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</si>
  <si>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</si>
  <si>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14.5–15.5%</t>
    </r>
  </si>
  <si>
    <r>
      <rPr>
        <sz val="11"/>
        <color theme="1"/>
        <rFont val="Noto Sans CJK SC"/>
        <family val="2"/>
      </rPr>
      <t xml:space="preserve">營業費用季增 </t>
    </r>
    <r>
      <rPr>
        <sz val="11"/>
        <color theme="1"/>
        <rFont val="Calibri"/>
        <family val="2"/>
        <charset val="1"/>
      </rPr>
      <t xml:space="preserve">8% </t>
    </r>
    <r>
      <rPr>
        <sz val="11"/>
        <color theme="1"/>
        <rFont val="Noto Sans CJK SC"/>
        <family val="2"/>
      </rPr>
      <t xml:space="preserve">校準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</si>
  <si>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公司說法（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法說 </t>
    </r>
    <r>
      <rPr>
        <b val="true"/>
        <sz val="11"/>
        <rFont val="Cambria"/>
        <family val="0"/>
        <charset val="1"/>
      </rPr>
      <t xml:space="preserve">2026-10-29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</si>
  <si>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LEAP ÷ FY2026</t>
    </r>
    <r>
      <rPr>
        <sz val="11"/>
        <color theme="1"/>
        <rFont val="Noto Sans CJK SC"/>
        <family val="2"/>
      </rPr>
      <t xml:space="preserve">（公司：翻倍）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</si>
  <si>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expecting … to double our LEAP revenue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</si>
  <si>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高於翻倍、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約翻倍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</si>
  <si>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全流程（公司：逾 </t>
    </r>
    <r>
      <rPr>
        <sz val="11"/>
        <color theme="1"/>
        <rFont val="Calibri"/>
        <family val="2"/>
        <charset val="1"/>
      </rPr>
      <t xml:space="preserve">US$1B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</si>
  <si>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over US$1 billion</t>
    </r>
    <r>
      <rPr>
        <sz val="11"/>
        <color theme="1"/>
        <rFont val="Noto Sans CJK SC"/>
        <family val="2"/>
      </rPr>
      <t xml:space="preserve">（保守）</t>
    </r>
  </si>
  <si>
    <r>
      <rPr>
        <sz val="11"/>
        <color theme="1"/>
        <rFont val="Calibri"/>
        <family val="2"/>
        <charset val="1"/>
      </rPr>
      <t xml:space="preserve">FY2027 CPO</t>
    </r>
    <r>
      <rPr>
        <sz val="11"/>
        <color theme="1"/>
        <rFont val="Noto Sans CJK SC"/>
        <family val="2"/>
      </rPr>
      <t xml:space="preserve">（公司：逾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</si>
  <si>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over US$0.5 billion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</si>
  <si>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較低滲透率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</si>
  <si>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主流封測年增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相近」（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實測，百分點）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</si>
  <si>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general market 2027 similar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</si>
  <si>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本模型取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（偏保守）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</si>
  <si>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FY2026 US$11.5B</t>
    </r>
    <r>
      <rPr>
        <sz val="11"/>
        <color theme="1"/>
        <rFont val="Noto Sans CJK SC"/>
        <family val="2"/>
      </rPr>
      <t xml:space="preserve">（公司：更大）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</si>
  <si>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even larger than this year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</si>
  <si>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券商（</t>
    </r>
    <r>
      <rPr>
        <b val="true"/>
        <sz val="11"/>
        <rFont val="Cambria"/>
        <family val="0"/>
        <charset val="1"/>
      </rPr>
      <t xml:space="preserve">BofA 2026-10-14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財報前、單一來源）</t>
    </r>
  </si>
  <si>
    <t xml:space="preserve">FY2026 EPS vs BofA</t>
  </si>
  <si>
    <t xml:space="preserve">BofA</t>
  </si>
  <si>
    <r>
      <rPr>
        <sz val="11"/>
        <color theme="1"/>
        <rFont val="Noto Sans CJK SC"/>
        <family val="2"/>
      </rPr>
      <t xml:space="preserve">錨點含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為財報前）</t>
    </r>
  </si>
  <si>
    <t xml:space="preserve">FY2027 EPS vs BofA</t>
  </si>
  <si>
    <t xml:space="preserve">FY2028 EPS vs BofA</t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</si>
  <si>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說明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</si>
  <si>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封測毛利率 </t>
    </r>
    <r>
      <rPr>
        <sz val="11"/>
        <color theme="1"/>
        <rFont val="Calibri"/>
        <family val="2"/>
        <charset val="1"/>
      </rPr>
      <t xml:space="preserve">vs 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</si>
  <si>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D. LEAP </t>
    </r>
    <r>
      <rPr>
        <b val="true"/>
        <sz val="11"/>
        <rFont val="Noto Sans CJK SC"/>
        <family val="2"/>
      </rPr>
      <t xml:space="preserve">的市場口徑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</si>
  <si>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的日月光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</si>
  <si>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</si>
  <si>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（全體 </t>
    </r>
    <r>
      <rPr>
        <sz val="11"/>
        <color theme="1"/>
        <rFont val="Calibri"/>
        <family val="2"/>
        <charset val="1"/>
      </rPr>
      <t xml:space="preserve">OSAT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</si>
  <si>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的日月光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</si>
  <si>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</si>
  <si>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FY2028 LEAP ÷ </t>
    </r>
    <r>
      <rPr>
        <sz val="11"/>
        <color theme="1"/>
        <rFont val="Noto Sans CJK SC"/>
        <family val="2"/>
      </rPr>
      <t xml:space="preserve">封測營收（核心問題：三成以上）</t>
    </r>
  </si>
  <si>
    <t xml:space="preserve">核心問題門檻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</si>
  <si>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一次動一個輸入（三情境同時重算，再依情境權重求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）與加權目標價的影響。每個案例的三情境推導區塊在本頁下方</t>
    </r>
  </si>
  <si>
    <r>
      <rPr>
        <sz val="11"/>
        <color theme="1"/>
        <rFont val="Noto Sans CJK SC"/>
        <family val="2"/>
      </rPr>
      <t xml:space="preserve">註：情境專屬列（委外相對值、全流程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滲透率、顆數係數）不給敏感度區間，差異見情境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欄已乘相對倍數調整係數（</t>
    </r>
    <r>
      <rPr>
        <sz val="11"/>
        <color theme="1"/>
        <rFont val="Calibri"/>
        <family val="2"/>
        <charset val="1"/>
      </rPr>
      <t xml:space="preserve">rm_factor</t>
    </r>
    <r>
      <rPr>
        <sz val="11"/>
        <color theme="1"/>
        <rFont val="Noto Sans CJK SC"/>
        <family val="2"/>
      </rPr>
      <t xml:space="preserve">），與加權目標價同口徑。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</si>
  <si>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</si>
  <si>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</si>
  <si>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</si>
  <si>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</si>
  <si>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）相對基準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</si>
  <si>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</si>
  <si>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</si>
  <si>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</si>
  <si>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加權目標價相對基準</t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</si>
  <si>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三情境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</si>
  <si>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</si>
  <si>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t xml:space="preserve">mf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</si>
  <si>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（三情境）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</si>
  <si>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</si>
  <si>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</si>
  <si>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每顆內容彈性 </t>
    </r>
    <r>
      <rPr>
        <sz val="11"/>
        <color theme="1"/>
        <rFont val="Calibri"/>
        <family val="2"/>
        <charset val="1"/>
      </rPr>
      <t xml:space="preserve">0.3</t>
    </r>
  </si>
  <si>
    <t xml:space="preserve">封裝面積帶動較少</t>
  </si>
  <si>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每顆內容彈性 </t>
    </r>
    <r>
      <rPr>
        <sz val="11"/>
        <color theme="1"/>
        <rFont val="Calibri"/>
        <family val="2"/>
        <charset val="1"/>
      </rPr>
      <t xml:space="preserve">1.0</t>
    </r>
  </si>
  <si>
    <t xml:space="preserve">與面積等比例</t>
  </si>
  <si>
    <r>
      <rPr>
        <sz val="11"/>
        <color theme="1"/>
        <rFont val="Noto Sans CJK SC"/>
        <family val="2"/>
      </rPr>
      <t xml:space="preserve">全流程滲透成長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</si>
  <si>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</si>
  <si>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全流程滲透成長 </t>
    </r>
    <r>
      <rPr>
        <sz val="11"/>
        <color theme="1"/>
        <rFont val="Calibri"/>
        <family val="2"/>
        <charset val="1"/>
      </rPr>
      <t xml:space="preserve">50%</t>
    </r>
  </si>
  <si>
    <t xml:space="preserve">CPO 2027 US$0.3B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</si>
  <si>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（公司逾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</si>
  <si>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t xml:space="preserve">CPO 2027 US$0.8B</t>
  </si>
  <si>
    <r>
      <rPr>
        <sz val="11"/>
        <color theme="1"/>
        <rFont val="Noto Sans CJK SC"/>
        <family val="2"/>
      </rPr>
      <t xml:space="preserve">主流封測 </t>
    </r>
    <r>
      <rPr>
        <sz val="11"/>
        <color theme="1"/>
        <rFont val="Calibri"/>
        <family val="2"/>
        <charset val="1"/>
      </rPr>
      <t xml:space="preserve">FY2027 +5%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</si>
  <si>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（公司：與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相近，逾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</si>
  <si>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主流封測 </t>
    </r>
    <r>
      <rPr>
        <sz val="11"/>
        <color theme="1"/>
        <rFont val="Calibri"/>
        <family val="2"/>
        <charset val="1"/>
      </rPr>
      <t xml:space="preserve">FY2027 +22%</t>
    </r>
  </si>
  <si>
    <r>
      <rPr>
        <sz val="11"/>
        <color theme="1"/>
        <rFont val="Noto Sans CJK SC"/>
        <family val="2"/>
      </rPr>
      <t xml:space="preserve">主流封測 </t>
    </r>
    <r>
      <rPr>
        <sz val="11"/>
        <color theme="1"/>
        <rFont val="Calibri"/>
        <family val="2"/>
        <charset val="1"/>
      </rPr>
      <t xml:space="preserve">FY2028–29 +2%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</si>
  <si>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+7%</t>
    </r>
  </si>
  <si>
    <r>
      <rPr>
        <sz val="11"/>
        <color theme="1"/>
        <rFont val="Noto Sans CJK SC"/>
        <family val="2"/>
      </rPr>
      <t xml:space="preserve">主流封測 </t>
    </r>
    <r>
      <rPr>
        <sz val="11"/>
        <color theme="1"/>
        <rFont val="Calibri"/>
        <family val="2"/>
        <charset val="1"/>
      </rPr>
      <t xml:space="preserve">FY2028–29 +12%</t>
    </r>
  </si>
  <si>
    <t xml:space="preserve">EMS FY2027 0%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</si>
  <si>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+10%</t>
    </r>
  </si>
  <si>
    <t xml:space="preserve">EMS FY2027 +15%</t>
  </si>
  <si>
    <t xml:space="preserve">EMS FY2028–29 0%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</si>
  <si>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+5%</t>
    </r>
  </si>
  <si>
    <t xml:space="preserve">EMS FY2028–29 +8%</t>
  </si>
  <si>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7.5%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</si>
  <si>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</si>
  <si>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9.5%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</si>
  <si>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30.5</t>
    </r>
  </si>
  <si>
    <r>
      <rPr>
        <sz val="11"/>
        <color theme="1"/>
        <rFont val="Calibri"/>
        <family val="2"/>
        <charset val="1"/>
      </rPr>
      <t xml:space="preserve">Siliconomics fx_twd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</si>
  <si>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33</t>
    </r>
  </si>
  <si>
    <r>
      <rPr>
        <sz val="11"/>
        <color theme="1"/>
        <rFont val="Calibri"/>
        <family val="2"/>
        <charset val="1"/>
      </rPr>
      <t xml:space="preserve">Siliconomics fx_twd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</si>
  <si>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 US$11.5B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</si>
  <si>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13.0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</si>
  <si>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 US$15B</t>
    </r>
  </si>
  <si>
    <r>
      <rPr>
        <sz val="11"/>
        <color theme="1"/>
        <rFont val="Noto Sans CJK SC"/>
        <family val="2"/>
      </rPr>
      <t xml:space="preserve">資本支出率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</si>
  <si>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</si>
  <si>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資本支出率 </t>
    </r>
    <r>
      <rPr>
        <sz val="11"/>
        <color theme="1"/>
        <rFont val="Calibri"/>
        <family val="2"/>
        <charset val="1"/>
      </rPr>
      <t xml:space="preserve">38%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</si>
  <si>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</si>
  <si>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</si>
  <si>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</si>
  <si>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</si>
  <si>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</si>
  <si>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</si>
  <si>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</si>
  <si>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</si>
  <si>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</si>
  <si>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</si>
  <si>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Noto Sans CJK SC"/>
        <family val="2"/>
      </rPr>
      <t xml:space="preserve">每年；基準 −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</si>
  <si>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</si>
  <si>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</si>
  <si>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</si>
  <si>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</si>
  <si>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</si>
  <si>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</si>
  <si>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</si>
  <si>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</si>
  <si>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</si>
  <si>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</si>
  <si>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</si>
  <si>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</si>
  <si>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</si>
  <si>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</si>
  <si>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</si>
  <si>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</si>
  <si>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全權重</t>
    </r>
  </si>
  <si>
    <r>
      <rPr>
        <sz val="11"/>
        <color theme="1"/>
        <rFont val="Noto Sans CJK SC"/>
        <family val="2"/>
      </rPr>
      <t xml:space="preserve">只看情境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</si>
  <si>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全權重</t>
    </r>
  </si>
  <si>
    <r>
      <rPr>
        <sz val="11"/>
        <color theme="1"/>
        <rFont val="Noto Sans CJK SC"/>
        <family val="2"/>
      </rPr>
      <t xml:space="preserve">只看情境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</si>
  <si>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只差委外相對值、全流程與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。主流封測約占封測營收七成、</t>
    </r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約占營收三成五，所以主流成長率與現金流通率對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 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單項；折舊年限與資本支出決定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起的毛利率。</t>
    </r>
  </si>
  <si>
    <t xml:space="preserve">敏感度「逐案推導區塊」（以下每案三個情境各一區塊；不是案例列）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</si>
  <si>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</si>
  <si>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</si>
  <si>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</si>
  <si>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</si>
  <si>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</si>
  <si>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</si>
  <si>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LEAP </t>
    </r>
    <r>
      <rPr>
        <b val="true"/>
        <sz val="11"/>
        <rFont val="Noto Sans CJK SC"/>
        <family val="2"/>
      </rPr>
      <t xml:space="preserve">每顆內容彈性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</si>
  <si>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LEAP </t>
    </r>
    <r>
      <rPr>
        <b val="true"/>
        <sz val="11"/>
        <rFont val="Noto Sans CJK SC"/>
        <family val="2"/>
      </rPr>
      <t xml:space="preserve">每顆內容彈性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</si>
  <si>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LEAP </t>
    </r>
    <r>
      <rPr>
        <b val="true"/>
        <sz val="11"/>
        <rFont val="Noto Sans CJK SC"/>
        <family val="2"/>
      </rPr>
      <t xml:space="preserve">每顆內容彈性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</si>
  <si>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LEAP </t>
    </r>
    <r>
      <rPr>
        <b val="true"/>
        <sz val="11"/>
        <rFont val="Noto Sans CJK SC"/>
        <family val="2"/>
      </rPr>
      <t xml:space="preserve">每顆內容彈性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</si>
  <si>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LEAP </t>
    </r>
    <r>
      <rPr>
        <b val="true"/>
        <sz val="11"/>
        <rFont val="Noto Sans CJK SC"/>
        <family val="2"/>
      </rPr>
      <t xml:space="preserve">每顆內容彈性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</si>
  <si>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LEAP </t>
    </r>
    <r>
      <rPr>
        <b val="true"/>
        <sz val="11"/>
        <rFont val="Noto Sans CJK SC"/>
        <family val="2"/>
      </rPr>
      <t xml:space="preserve">每顆內容彈性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</si>
  <si>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案例區塊：全流程滲透成長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</si>
  <si>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案例區塊：全流程滲透成長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</si>
  <si>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案例區塊：全流程滲透成長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</si>
  <si>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案例區塊：全流程滲透成長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</si>
  <si>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案例區塊：全流程滲透成長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</si>
  <si>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案例區塊：全流程滲透成長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</si>
  <si>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2027 US$0.3B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</si>
  <si>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2027 US$0.3B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</si>
  <si>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2027 US$0.3B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</si>
  <si>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2027 US$0.8B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</si>
  <si>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2027 US$0.8B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</si>
  <si>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2027 US$0.8B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</si>
  <si>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FY2027 +5%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</si>
  <si>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FY2027 +5%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</si>
  <si>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FY2027 +5%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</si>
  <si>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FY2027 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</si>
  <si>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FY2027 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</si>
  <si>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FY2027 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</si>
  <si>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FY2028–29 +2%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</si>
  <si>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FY2028–29 +2%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</si>
  <si>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FY2028–29 +2%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</si>
  <si>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FY2028–29 +12%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</si>
  <si>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FY2028–29 +12%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</si>
  <si>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案例區塊：主流封測 </t>
    </r>
    <r>
      <rPr>
        <b val="true"/>
        <sz val="11"/>
        <rFont val="Cambria"/>
        <family val="0"/>
        <charset val="1"/>
      </rPr>
      <t xml:space="preserve">FY2028–29 +12%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</si>
  <si>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FY2027 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</si>
  <si>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FY2027 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</si>
  <si>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FY2027 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</si>
  <si>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FY2027 +15%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</si>
  <si>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FY2027 +15%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</si>
  <si>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FY2027 +15%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</si>
  <si>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FY2028–29 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</si>
  <si>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FY2028–29 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</si>
  <si>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FY2028–29 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</si>
  <si>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FY2028–29 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</si>
  <si>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FY2028–29 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</si>
  <si>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FY2028–29 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</si>
  <si>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7.5%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</si>
  <si>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7.5%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</si>
  <si>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7.5%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</si>
  <si>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9.5%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</si>
  <si>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9.5%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</si>
  <si>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EMS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9.5%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</si>
  <si>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</si>
  <si>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</si>
  <si>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</si>
  <si>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</si>
  <si>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</si>
  <si>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</si>
  <si>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</t>
    </r>
    <r>
      <rPr>
        <b val="true"/>
        <sz val="11"/>
        <rFont val="Cambria"/>
        <family val="0"/>
        <charset val="1"/>
      </rPr>
      <t xml:space="preserve">FY2027 US$11.5B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</si>
  <si>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</t>
    </r>
    <r>
      <rPr>
        <b val="true"/>
        <sz val="11"/>
        <rFont val="Cambria"/>
        <family val="0"/>
        <charset val="1"/>
      </rPr>
      <t xml:space="preserve">FY2027 US$11.5B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</si>
  <si>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</t>
    </r>
    <r>
      <rPr>
        <b val="true"/>
        <sz val="11"/>
        <rFont val="Cambria"/>
        <family val="0"/>
        <charset val="1"/>
      </rPr>
      <t xml:space="preserve">FY2027 US$11.5B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</si>
  <si>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</t>
    </r>
    <r>
      <rPr>
        <b val="true"/>
        <sz val="11"/>
        <rFont val="Cambria"/>
        <family val="0"/>
        <charset val="1"/>
      </rPr>
      <t xml:space="preserve">FY2027 US$15B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</si>
  <si>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</t>
    </r>
    <r>
      <rPr>
        <b val="true"/>
        <sz val="11"/>
        <rFont val="Cambria"/>
        <family val="0"/>
        <charset val="1"/>
      </rPr>
      <t xml:space="preserve">FY2027 US$15B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</si>
  <si>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</t>
    </r>
    <r>
      <rPr>
        <b val="true"/>
        <sz val="11"/>
        <rFont val="Cambria"/>
        <family val="0"/>
        <charset val="1"/>
      </rPr>
      <t xml:space="preserve">FY2027 US$15B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</si>
  <si>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案例區塊：資本支出率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</si>
  <si>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案例區塊：資本支出率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</si>
  <si>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案例區塊：資本支出率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</si>
  <si>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案例區塊：資本支出率 </t>
    </r>
    <r>
      <rPr>
        <b val="true"/>
        <sz val="11"/>
        <rFont val="Cambria"/>
        <family val="0"/>
        <charset val="1"/>
      </rPr>
      <t xml:space="preserve">38%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</si>
  <si>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案例區塊：資本支出率 </t>
    </r>
    <r>
      <rPr>
        <b val="true"/>
        <sz val="11"/>
        <rFont val="Cambria"/>
        <family val="0"/>
        <charset val="1"/>
      </rPr>
      <t xml:space="preserve">38%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</si>
  <si>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案例區塊：資本支出率 </t>
    </r>
    <r>
      <rPr>
        <b val="true"/>
        <sz val="11"/>
        <rFont val="Cambria"/>
        <family val="0"/>
        <charset val="1"/>
      </rPr>
      <t xml:space="preserve">38%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</si>
  <si>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</si>
  <si>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</si>
  <si>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</si>
  <si>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</si>
  <si>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</si>
  <si>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</si>
  <si>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</si>
  <si>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</si>
  <si>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</si>
  <si>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</si>
  <si>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</si>
  <si>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</si>
  <si>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</si>
  <si>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</si>
  <si>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</si>
  <si>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</si>
  <si>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</si>
  <si>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</si>
  <si>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</si>
  <si>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</si>
  <si>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</si>
  <si>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</si>
  <si>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</si>
  <si>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</si>
  <si>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</si>
  <si>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</si>
  <si>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</si>
  <si>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</si>
  <si>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</si>
  <si>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</si>
  <si>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6-K </t>
    </r>
    <r>
      <rPr>
        <b val="true"/>
        <sz val="11"/>
        <rFont val="Noto Sans CJK SC"/>
        <family val="2"/>
      </rPr>
      <t xml:space="preserve">為公司原文；法說內容經逐字稿；券商、媒體與資料商皆為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</si>
  <si>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損益、分部、應用別、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、淨負債）</t>
    </r>
  </si>
  <si>
    <t xml:space="preserve">https://www.sec.gov/Archives/edgar/data/0001122411/000095010326016323/dp255782_6k.htm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</si>
  <si>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損益與分部、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資本支出）</t>
    </r>
  </si>
  <si>
    <t xml:space="preserve">https://www.sec.gov/Archives/edgar/data/0001122411/000095010326011353/dp250875_6k.htm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</si>
  <si>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損益與分部、</t>
    </r>
    <r>
      <rPr>
        <sz val="11"/>
        <color theme="1"/>
        <rFont val="Calibri"/>
        <family val="2"/>
        <charset val="1"/>
      </rPr>
      <t xml:space="preserve">LEAP 2025 US$1.6B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US$5.5B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</si>
  <si>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https://www.sec.gov/Archives/edgar/data/1122411/000095010326001662/dp241167_6k.htm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</si>
  <si>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US$4B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翻倍、全流程、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US$11.5B</t>
    </r>
    <r>
      <rPr>
        <sz val="11"/>
        <color theme="1"/>
        <rFont val="Noto Sans CJK SC"/>
        <family val="2"/>
      </rPr>
      <t xml:space="preserve">、稅率）</t>
    </r>
  </si>
  <si>
    <t xml:space="preserve">https://www.fool.com/earnings/call-transcripts/2026/10/29/ase-asx-q3-2026-earnings-call-transcript/</t>
  </si>
  <si>
    <r>
      <rPr>
        <sz val="11"/>
        <color theme="1"/>
        <rFont val="Noto Sans CJK SC"/>
        <family val="2"/>
      </rPr>
      <t xml:space="preserve">媒體：數位時代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3.5B</t>
    </r>
    <r>
      <rPr>
        <sz val="11"/>
        <color theme="1"/>
        <rFont val="Noto Sans CJK SC"/>
        <family val="2"/>
      </rPr>
      <t xml:space="preserve">、全流程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億美元、資本支出 </t>
    </r>
    <r>
      <rPr>
        <sz val="11"/>
        <color theme="1"/>
        <rFont val="Calibri"/>
        <family val="2"/>
        <charset val="1"/>
      </rPr>
      <t xml:space="preserve">10.5B </t>
    </r>
    <r>
      <rPr>
        <sz val="11"/>
        <color theme="1"/>
        <rFont val="Noto Sans CJK SC"/>
        <family val="2"/>
      </rPr>
      <t xml:space="preserve">拆分）</t>
    </r>
  </si>
  <si>
    <t xml:space="preserve">https://www.bnext.com.tw/article/91677/ase_leap_revenue_2027_capex</t>
  </si>
  <si>
    <r>
      <rPr>
        <sz val="11"/>
        <color theme="1"/>
        <rFont val="Noto Sans CJK SC"/>
        <family val="2"/>
      </rPr>
      <t xml:space="preserve">媒體：風傳媒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；營業外項目、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指引）</t>
    </r>
  </si>
  <si>
    <t xml:space="preserve">https://www.storm.mg/article/11152966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</si>
  <si>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摘要；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900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占比、資本支出）</t>
    </r>
  </si>
  <si>
    <t xml:space="preserve">https://finance.technews.tw/2026/10/14/ase-technology-holding-co-ltd-reported-better-than-expected-results-for-the-third-quarter-of-2026/</t>
  </si>
  <si>
    <r>
      <rPr>
        <sz val="11"/>
        <color theme="1"/>
        <rFont val="Noto Sans CJK SC"/>
        <family val="2"/>
      </rPr>
      <t xml:space="preserve">價格：富邦證券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點通 </t>
    </r>
    <r>
      <rPr>
        <sz val="11"/>
        <color theme="1"/>
        <rFont val="Calibri"/>
        <family val="2"/>
        <charset val="1"/>
      </rPr>
      <t xml:space="preserve">3711 </t>
    </r>
    <r>
      <rPr>
        <sz val="11"/>
        <color theme="1"/>
        <rFont val="Noto Sans CJK SC"/>
        <family val="2"/>
      </rPr>
      <t xml:space="preserve">日線（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668.00</t>
    </r>
    <r>
      <rPr>
        <sz val="11"/>
        <color theme="1"/>
        <rFont val="Noto Sans CJK SC"/>
        <family val="2"/>
      </rPr>
      <t xml:space="preserve">）</t>
    </r>
  </si>
  <si>
    <t xml:space="preserve">https://fubon-ebrokerdj.fbs.com.tw/Z/ZC/ZCX/ZCX_3711.djhtm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</si>
  <si>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價格、前瞻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</si>
  <si>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https://stockanalysis.com/stocks/asx/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</si>
  <si>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2016–2025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</si>
  <si>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https://www.macrotrends.net/stocks/charts/ASX/ase-technology-holding/pe-ratio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</si>
  <si>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2023–2025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</si>
  <si>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https://www.macrotrends.net/stocks/charts/ASX/ase-technology-holding/roe</t>
  </si>
  <si>
    <r>
      <rPr>
        <sz val="11"/>
        <color theme="1"/>
        <rFont val="Noto Sans CJK SC"/>
        <family val="2"/>
      </rPr>
      <t xml:space="preserve">行業層：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20261031_Siliconomics_v0.10.xlsx</t>
    </r>
    <r>
      <rPr>
        <sz val="11"/>
        <color theme="1"/>
        <rFont val="Noto Sans CJK SC"/>
        <family val="2"/>
      </rPr>
      <t xml:space="preserve">）（加速器顆數、情境係數、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滲透率、匯率、部署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</si>
  <si>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siliconomics/data/siliconomics_snapshot_v0.10.json</t>
  </si>
  <si>
    <r>
      <rPr>
        <sz val="11"/>
        <color theme="1"/>
        <rFont val="Noto Sans CJK SC"/>
        <family val="2"/>
      </rPr>
      <t xml:space="preserve">待補（人工）：賣方共識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與平均目標價；</t>
    </r>
    <r>
      <rPr>
        <sz val="11"/>
        <color theme="1"/>
        <rFont val="Calibri"/>
        <family val="2"/>
        <charset val="1"/>
      </rPr>
      <t xml:space="preserve">LEAP </t>
    </r>
    <r>
      <rPr>
        <sz val="11"/>
        <color theme="1"/>
        <rFont val="Noto Sans CJK SC"/>
        <family val="2"/>
      </rPr>
      <t xml:space="preserve">季度金額（公司未揭露）；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委外比例與份額的量化；十年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</t>
    </r>
    <r>
      <rPr>
        <sz val="11"/>
        <color theme="1"/>
        <rFont val="Calibri"/>
        <family val="2"/>
        <charset val="1"/>
      </rPr>
      <t xml:space="preserve">FY2016–2023 </t>
    </r>
    <r>
      <rPr>
        <sz val="11"/>
        <color theme="1"/>
        <rFont val="Noto Sans CJK SC"/>
        <family val="2"/>
      </rPr>
      <t xml:space="preserve">淨利率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</si>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</sst>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#,##0.0"/>
    <numFmt numFmtId="169" formatCode="0.00"/>
    <numFmt numFmtId="170" formatCode="0.0%"/>
    <numFmt numFmtId="171" formatCode="0.000"/>
    <numFmt numFmtId="172" formatCode="#,##0"/>
    <numFmt numFmtId="173" formatCode="0.0"/>
    <numFmt numFmtId="174" formatCode="0.0000"/>
    <numFmt numFmtId="175" formatCode="#,##0.00"/>
    <numFmt numFmtId="176" formatCode="@"/>
    <numFmt numFmtId="177" formatCode="0%"/>
    <numFmt numFmtId="17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投資建議：中立（依上檔空間固定規則）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"&amp;TEXT(px,"0.00")&amp;"（2026-10-30）"&amp;IF(Val!$B$42&gt;=0,"高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</f>
        <v>重點觀察 1：目標價 NT$503.84（DCF 336.54、Comparable（相對倍數調整後）671.15；DCF 權重 50%），比現價 668.00（2026-10-30）低 24.6%，級距 0%～−25%、投資建議 中立。相對倍數調整係數 1.12（本公司 10 年前瞻倍數中位數 ÷ 同業的中位數，夾在 0.5–2.0；Val 第 0.5 節），調整前加權上檔空間 −29.9%；Comparable 單獨（市場主流同業法、未調整）為 −10.2%。</v>
      </c>
    </row>
    <row r="21" customFormat="false" ht="17.15" hidden="false" customHeight="false" outlineLevel="0" collapsed="false">
      <c r="A21" s="4" t="s">
        <v>14</v>
      </c>
    </row>
    <row r="22" customFormat="false" ht="17.15" hidden="false" customHeight="false" outlineLevel="0" collapsed="false">
      <c r="A22" s="4" t="s">
        <v>15</v>
      </c>
    </row>
    <row r="24" customFormat="false" ht="17.15" hidden="false" customHeight="false" outlineLevel="0" collapsed="false">
      <c r="A24" s="4" t="s">
        <v>16</v>
      </c>
    </row>
    <row r="26" customFormat="false" ht="17.15" hidden="false" customHeight="false" outlineLevel="0" collapsed="false">
      <c r="A26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4" t="s">
        <v>32</v>
      </c>
      <c r="E5" s="7" t="n">
        <v>15.2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4" t="s">
        <v>32</v>
      </c>
      <c r="E6" s="7" t="n">
        <v>23.7</v>
      </c>
      <c r="G6" s="8" t="s">
        <v>33</v>
      </c>
      <c r="H6" s="4" t="s">
        <v>38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4" t="s">
        <v>32</v>
      </c>
      <c r="E7" s="7" t="n">
        <v>26.5</v>
      </c>
      <c r="G7" s="8" t="s">
        <v>33</v>
      </c>
      <c r="H7" s="4" t="s">
        <v>38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4" t="s">
        <v>32</v>
      </c>
      <c r="E8" s="7" t="n">
        <v>30.15</v>
      </c>
      <c r="G8" s="8" t="s">
        <v>33</v>
      </c>
      <c r="H8" s="4" t="s">
        <v>38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45</v>
      </c>
      <c r="E9" s="7" t="n">
        <v>1</v>
      </c>
      <c r="G9" s="8" t="s">
        <v>46</v>
      </c>
      <c r="H9" s="8" t="s">
        <v>47</v>
      </c>
      <c r="I9" s="8" t="s">
        <v>48</v>
      </c>
    </row>
    <row r="10" customFormat="false" ht="17.15" hidden="false" customHeight="false" outlineLevel="0" collapsed="false">
      <c r="A10" s="0" t="s">
        <v>49</v>
      </c>
      <c r="B10" s="4" t="s">
        <v>50</v>
      </c>
      <c r="C10" s="0" t="s">
        <v>45</v>
      </c>
      <c r="E10" s="7" t="n">
        <v>1</v>
      </c>
      <c r="G10" s="8" t="s">
        <v>46</v>
      </c>
      <c r="H10" s="8" t="s">
        <v>51</v>
      </c>
      <c r="I10" s="4" t="s">
        <v>38</v>
      </c>
    </row>
    <row r="11" customFormat="false" ht="17.15" hidden="false" customHeight="false" outlineLevel="0" collapsed="false">
      <c r="A11" s="0" t="s">
        <v>52</v>
      </c>
      <c r="B11" s="4" t="s">
        <v>53</v>
      </c>
      <c r="C11" s="0" t="s">
        <v>45</v>
      </c>
      <c r="E11" s="7" t="n">
        <v>0.8</v>
      </c>
      <c r="G11" s="8" t="s">
        <v>46</v>
      </c>
      <c r="H11" s="8" t="s">
        <v>54</v>
      </c>
      <c r="I11" s="4" t="s">
        <v>38</v>
      </c>
    </row>
    <row r="12" customFormat="false" ht="17.15" hidden="false" customHeight="false" outlineLevel="0" collapsed="false">
      <c r="A12" s="0" t="s">
        <v>55</v>
      </c>
      <c r="B12" s="4" t="s">
        <v>56</v>
      </c>
      <c r="C12" s="0" t="s">
        <v>45</v>
      </c>
      <c r="E12" s="7" t="n">
        <v>0.85</v>
      </c>
      <c r="G12" s="8" t="s">
        <v>46</v>
      </c>
      <c r="H12" s="8" t="s">
        <v>57</v>
      </c>
      <c r="I12" s="4" t="s">
        <v>38</v>
      </c>
    </row>
    <row r="13" customFormat="false" ht="17.15" hidden="false" customHeight="false" outlineLevel="0" collapsed="false">
      <c r="A13" s="0" t="s">
        <v>58</v>
      </c>
      <c r="B13" s="4" t="s">
        <v>59</v>
      </c>
      <c r="C13" s="0" t="s">
        <v>45</v>
      </c>
      <c r="E13" s="7" t="n">
        <v>0.6</v>
      </c>
      <c r="G13" s="8" t="s">
        <v>46</v>
      </c>
      <c r="H13" s="8" t="s">
        <v>60</v>
      </c>
      <c r="I13" s="4" t="s">
        <v>38</v>
      </c>
    </row>
    <row r="14" customFormat="false" ht="17.15" hidden="false" customHeight="false" outlineLevel="0" collapsed="false">
      <c r="A14" s="0" t="s">
        <v>61</v>
      </c>
      <c r="B14" s="4" t="s">
        <v>62</v>
      </c>
      <c r="C14" s="0" t="s">
        <v>45</v>
      </c>
      <c r="E14" s="7" t="n">
        <v>0.6</v>
      </c>
      <c r="G14" s="8" t="s">
        <v>46</v>
      </c>
      <c r="H14" s="8" t="s">
        <v>63</v>
      </c>
      <c r="I14" s="4" t="s">
        <v>38</v>
      </c>
    </row>
    <row r="15" customFormat="false" ht="17.15" hidden="false" customHeight="false" outlineLevel="0" collapsed="false">
      <c r="A15" s="0" t="s">
        <v>64</v>
      </c>
      <c r="B15" s="4" t="s">
        <v>65</v>
      </c>
      <c r="C15" s="0" t="s">
        <v>45</v>
      </c>
      <c r="E15" s="7" t="n">
        <v>1</v>
      </c>
      <c r="G15" s="8" t="s">
        <v>33</v>
      </c>
      <c r="H15" s="8" t="s">
        <v>66</v>
      </c>
      <c r="I15" s="4" t="s">
        <v>67</v>
      </c>
    </row>
    <row r="16" customFormat="false" ht="17.15" hidden="false" customHeight="false" outlineLevel="0" collapsed="false">
      <c r="A16" s="0" t="s">
        <v>68</v>
      </c>
      <c r="B16" s="4" t="s">
        <v>69</v>
      </c>
      <c r="C16" s="0" t="s">
        <v>45</v>
      </c>
      <c r="E16" s="7" t="n">
        <v>1.278156</v>
      </c>
      <c r="G16" s="8" t="s">
        <v>33</v>
      </c>
      <c r="H16" s="4" t="s">
        <v>38</v>
      </c>
      <c r="I16" s="4" t="s">
        <v>38</v>
      </c>
    </row>
    <row r="17" customFormat="false" ht="17.15" hidden="false" customHeight="false" outlineLevel="0" collapsed="false">
      <c r="A17" s="0" t="s">
        <v>70</v>
      </c>
      <c r="B17" s="4" t="s">
        <v>71</v>
      </c>
      <c r="C17" s="0" t="s">
        <v>45</v>
      </c>
      <c r="E17" s="7" t="n">
        <v>1.428615</v>
      </c>
      <c r="G17" s="8" t="s">
        <v>33</v>
      </c>
      <c r="H17" s="4" t="s">
        <v>38</v>
      </c>
      <c r="I17" s="4" t="s">
        <v>38</v>
      </c>
    </row>
    <row r="18" customFormat="false" ht="17.15" hidden="false" customHeight="false" outlineLevel="0" collapsed="false">
      <c r="A18" s="0" t="s">
        <v>72</v>
      </c>
      <c r="B18" s="4" t="s">
        <v>73</v>
      </c>
      <c r="C18" s="0" t="s">
        <v>45</v>
      </c>
      <c r="E18" s="7" t="n">
        <v>1.431796</v>
      </c>
      <c r="G18" s="8" t="s">
        <v>33</v>
      </c>
      <c r="H18" s="4" t="s">
        <v>38</v>
      </c>
      <c r="I18" s="4" t="s">
        <v>38</v>
      </c>
    </row>
    <row r="19" customFormat="false" ht="17.15" hidden="false" customHeight="false" outlineLevel="0" collapsed="false">
      <c r="A19" s="0" t="s">
        <v>74</v>
      </c>
      <c r="B19" s="4" t="s">
        <v>75</v>
      </c>
      <c r="C19" s="0" t="s">
        <v>76</v>
      </c>
      <c r="E19" s="7" t="n">
        <v>0.01</v>
      </c>
      <c r="G19" s="8" t="s">
        <v>46</v>
      </c>
      <c r="H19" s="8" t="s">
        <v>77</v>
      </c>
      <c r="I19" s="4" t="s">
        <v>78</v>
      </c>
    </row>
    <row r="20" customFormat="false" ht="17.15" hidden="false" customHeight="false" outlineLevel="0" collapsed="false">
      <c r="A20" s="0" t="s">
        <v>79</v>
      </c>
      <c r="B20" s="4" t="s">
        <v>80</v>
      </c>
      <c r="C20" s="0" t="s">
        <v>76</v>
      </c>
      <c r="E20" s="7" t="n">
        <v>0.05</v>
      </c>
      <c r="G20" s="8" t="s">
        <v>46</v>
      </c>
      <c r="H20" s="8" t="s">
        <v>81</v>
      </c>
      <c r="I20" s="4" t="s">
        <v>38</v>
      </c>
    </row>
    <row r="21" customFormat="false" ht="17.15" hidden="false" customHeight="false" outlineLevel="0" collapsed="false">
      <c r="A21" s="0" t="s">
        <v>82</v>
      </c>
      <c r="B21" s="4" t="s">
        <v>83</v>
      </c>
      <c r="C21" s="0" t="s">
        <v>76</v>
      </c>
      <c r="E21" s="7" t="n">
        <v>0.1</v>
      </c>
      <c r="G21" s="8" t="s">
        <v>46</v>
      </c>
      <c r="H21" s="8" t="s">
        <v>84</v>
      </c>
      <c r="I21" s="4" t="s">
        <v>38</v>
      </c>
    </row>
    <row r="22" customFormat="false" ht="17.15" hidden="false" customHeight="false" outlineLevel="0" collapsed="false">
      <c r="A22" s="0" t="s">
        <v>85</v>
      </c>
      <c r="B22" s="4" t="s">
        <v>86</v>
      </c>
      <c r="C22" s="0" t="s">
        <v>76</v>
      </c>
      <c r="E22" s="7" t="n">
        <v>0.16</v>
      </c>
      <c r="G22" s="8" t="s">
        <v>46</v>
      </c>
      <c r="H22" s="8" t="s">
        <v>87</v>
      </c>
      <c r="I22" s="4" t="s">
        <v>38</v>
      </c>
    </row>
    <row r="23" customFormat="false" ht="17.15" hidden="false" customHeight="false" outlineLevel="0" collapsed="false">
      <c r="A23" s="0" t="s">
        <v>88</v>
      </c>
      <c r="B23" s="4" t="s">
        <v>89</v>
      </c>
      <c r="C23" s="0" t="s">
        <v>76</v>
      </c>
      <c r="E23" s="7" t="n">
        <v>0.01</v>
      </c>
      <c r="G23" s="8" t="s">
        <v>46</v>
      </c>
      <c r="H23" s="8" t="s">
        <v>90</v>
      </c>
      <c r="I23" s="4" t="s">
        <v>38</v>
      </c>
    </row>
    <row r="24" customFormat="false" ht="17.15" hidden="false" customHeight="false" outlineLevel="0" collapsed="false">
      <c r="A24" s="0" t="s">
        <v>91</v>
      </c>
      <c r="B24" s="4" t="s">
        <v>92</v>
      </c>
      <c r="C24" s="0" t="s">
        <v>76</v>
      </c>
      <c r="E24" s="7" t="n">
        <v>0.03</v>
      </c>
      <c r="G24" s="8" t="s">
        <v>46</v>
      </c>
      <c r="H24" s="8" t="s">
        <v>93</v>
      </c>
      <c r="I24" s="4" t="s">
        <v>38</v>
      </c>
    </row>
    <row r="25" customFormat="false" ht="17.15" hidden="false" customHeight="false" outlineLevel="0" collapsed="false">
      <c r="A25" s="0" t="s">
        <v>94</v>
      </c>
      <c r="B25" s="4" t="s">
        <v>95</v>
      </c>
      <c r="C25" s="0" t="s">
        <v>76</v>
      </c>
      <c r="E25" s="7" t="n">
        <v>0.05</v>
      </c>
      <c r="G25" s="8" t="s">
        <v>46</v>
      </c>
      <c r="H25" s="8" t="s">
        <v>96</v>
      </c>
      <c r="I25" s="4" t="s">
        <v>38</v>
      </c>
    </row>
    <row r="26" customFormat="false" ht="17.15" hidden="false" customHeight="false" outlineLevel="0" collapsed="false">
      <c r="A26" s="0" t="s">
        <v>97</v>
      </c>
      <c r="B26" s="4" t="s">
        <v>98</v>
      </c>
      <c r="C26" s="0" t="s">
        <v>76</v>
      </c>
      <c r="E26" s="7" t="n">
        <v>0.08</v>
      </c>
      <c r="G26" s="8" t="s">
        <v>46</v>
      </c>
      <c r="H26" s="8" t="s">
        <v>99</v>
      </c>
      <c r="I26" s="4" t="s">
        <v>38</v>
      </c>
    </row>
    <row r="27" customFormat="false" ht="17.15" hidden="false" customHeight="false" outlineLevel="0" collapsed="false">
      <c r="A27" s="0" t="s">
        <v>100</v>
      </c>
      <c r="B27" s="4" t="s">
        <v>101</v>
      </c>
      <c r="C27" s="0" t="s">
        <v>76</v>
      </c>
      <c r="E27" s="7" t="n">
        <v>0.01</v>
      </c>
      <c r="G27" s="8" t="s">
        <v>46</v>
      </c>
      <c r="H27" s="8" t="s">
        <v>102</v>
      </c>
      <c r="I27" s="4" t="s">
        <v>38</v>
      </c>
    </row>
    <row r="28" customFormat="false" ht="17.15" hidden="false" customHeight="false" outlineLevel="0" collapsed="false">
      <c r="A28" s="0" t="s">
        <v>103</v>
      </c>
      <c r="B28" s="4" t="s">
        <v>104</v>
      </c>
      <c r="C28" s="0" t="s">
        <v>76</v>
      </c>
      <c r="E28" s="7" t="n">
        <v>0.02</v>
      </c>
      <c r="G28" s="8" t="s">
        <v>46</v>
      </c>
      <c r="H28" s="8" t="s">
        <v>105</v>
      </c>
      <c r="I28" s="4" t="s">
        <v>38</v>
      </c>
    </row>
    <row r="29" customFormat="false" ht="17.15" hidden="false" customHeight="false" outlineLevel="0" collapsed="false">
      <c r="A29" s="0" t="s">
        <v>106</v>
      </c>
      <c r="B29" s="4" t="s">
        <v>107</v>
      </c>
      <c r="C29" s="0" t="s">
        <v>76</v>
      </c>
      <c r="E29" s="7" t="n">
        <v>0.03</v>
      </c>
      <c r="G29" s="8" t="s">
        <v>46</v>
      </c>
      <c r="H29" s="8" t="s">
        <v>108</v>
      </c>
      <c r="I29" s="4" t="s">
        <v>38</v>
      </c>
    </row>
    <row r="30" customFormat="false" ht="17.15" hidden="false" customHeight="false" outlineLevel="0" collapsed="false">
      <c r="A30" s="0" t="s">
        <v>109</v>
      </c>
      <c r="B30" s="4" t="s">
        <v>110</v>
      </c>
      <c r="C30" s="0" t="s">
        <v>76</v>
      </c>
      <c r="E30" s="7" t="n">
        <v>0.05</v>
      </c>
      <c r="G30" s="8" t="s">
        <v>46</v>
      </c>
      <c r="H30" s="8" t="s">
        <v>111</v>
      </c>
      <c r="I30" s="4" t="s">
        <v>38</v>
      </c>
    </row>
    <row r="31" customFormat="false" ht="17.15" hidden="false" customHeight="false" outlineLevel="0" collapsed="false">
      <c r="A31" s="0" t="s">
        <v>112</v>
      </c>
      <c r="B31" s="4" t="s">
        <v>113</v>
      </c>
      <c r="C31" s="0" t="s">
        <v>114</v>
      </c>
      <c r="D31" s="7" t="n">
        <v>30.5</v>
      </c>
      <c r="E31" s="7" t="n">
        <v>32</v>
      </c>
      <c r="F31" s="7" t="n">
        <v>33</v>
      </c>
      <c r="G31" s="8" t="s">
        <v>46</v>
      </c>
      <c r="H31" s="8" t="s">
        <v>115</v>
      </c>
      <c r="I31" s="4" t="s">
        <v>116</v>
      </c>
    </row>
    <row r="32" customFormat="false" ht="17.15" hidden="false" customHeight="false" outlineLevel="0" collapsed="false">
      <c r="A32" s="6" t="s">
        <v>117</v>
      </c>
    </row>
    <row r="33" customFormat="false" ht="17.15" hidden="false" customHeight="false" outlineLevel="0" collapsed="false">
      <c r="A33" s="0" t="s">
        <v>118</v>
      </c>
      <c r="B33" s="0" t="s">
        <v>119</v>
      </c>
      <c r="C33" s="0" t="s">
        <v>120</v>
      </c>
      <c r="E33" s="7" t="n">
        <v>1.6</v>
      </c>
      <c r="G33" s="8" t="s">
        <v>121</v>
      </c>
      <c r="H33" s="4" t="s">
        <v>122</v>
      </c>
      <c r="I33" s="8" t="s">
        <v>123</v>
      </c>
    </row>
    <row r="34" customFormat="false" ht="17.15" hidden="false" customHeight="false" outlineLevel="0" collapsed="false">
      <c r="A34" s="0" t="s">
        <v>124</v>
      </c>
      <c r="B34" s="0" t="s">
        <v>125</v>
      </c>
      <c r="C34" s="0" t="s">
        <v>114</v>
      </c>
      <c r="E34" s="7" t="n">
        <v>31</v>
      </c>
      <c r="G34" s="8" t="s">
        <v>46</v>
      </c>
      <c r="H34" s="4" t="s">
        <v>126</v>
      </c>
      <c r="I34" s="4" t="s">
        <v>127</v>
      </c>
    </row>
    <row r="35" customFormat="false" ht="17.15" hidden="false" customHeight="false" outlineLevel="0" collapsed="false">
      <c r="A35" s="0" t="s">
        <v>128</v>
      </c>
      <c r="B35" s="0" t="s">
        <v>129</v>
      </c>
      <c r="C35" s="0" t="s">
        <v>120</v>
      </c>
      <c r="E35" s="7" t="n">
        <v>4</v>
      </c>
      <c r="G35" s="8" t="s">
        <v>121</v>
      </c>
      <c r="H35" s="8" t="s">
        <v>130</v>
      </c>
      <c r="I35" s="8" t="s">
        <v>131</v>
      </c>
    </row>
    <row r="36" customFormat="false" ht="17.15" hidden="false" customHeight="false" outlineLevel="0" collapsed="false">
      <c r="A36" s="0" t="s">
        <v>132</v>
      </c>
      <c r="B36" s="0" t="s">
        <v>133</v>
      </c>
      <c r="C36" s="0" t="s">
        <v>76</v>
      </c>
      <c r="E36" s="7" t="n">
        <v>0.18</v>
      </c>
      <c r="G36" s="8" t="s">
        <v>121</v>
      </c>
      <c r="H36" s="8" t="s">
        <v>134</v>
      </c>
      <c r="I36" s="4" t="s">
        <v>135</v>
      </c>
    </row>
    <row r="37" customFormat="false" ht="17.15" hidden="false" customHeight="false" outlineLevel="0" collapsed="false">
      <c r="A37" s="0" t="s">
        <v>136</v>
      </c>
      <c r="B37" s="0" t="s">
        <v>137</v>
      </c>
      <c r="C37" s="0" t="s">
        <v>76</v>
      </c>
      <c r="E37" s="7" t="n">
        <v>0.22</v>
      </c>
      <c r="G37" s="8" t="s">
        <v>121</v>
      </c>
      <c r="H37" s="4" t="s">
        <v>138</v>
      </c>
      <c r="I37" s="8" t="s">
        <v>139</v>
      </c>
    </row>
    <row r="38" customFormat="false" ht="17.15" hidden="false" customHeight="false" outlineLevel="0" collapsed="false">
      <c r="A38" s="0" t="s">
        <v>140</v>
      </c>
      <c r="B38" s="4" t="s">
        <v>141</v>
      </c>
      <c r="C38" s="0" t="s">
        <v>120</v>
      </c>
      <c r="E38" s="7" t="n">
        <v>0.3</v>
      </c>
      <c r="G38" s="8" t="s">
        <v>121</v>
      </c>
      <c r="H38" s="8" t="s">
        <v>142</v>
      </c>
      <c r="I38" s="8" t="s">
        <v>143</v>
      </c>
    </row>
    <row r="39" customFormat="false" ht="17.15" hidden="false" customHeight="false" outlineLevel="0" collapsed="false">
      <c r="A39" s="0" t="s">
        <v>144</v>
      </c>
      <c r="B39" s="4" t="s">
        <v>145</v>
      </c>
      <c r="C39" s="0" t="s">
        <v>120</v>
      </c>
      <c r="E39" s="7" t="n">
        <v>1.2</v>
      </c>
      <c r="G39" s="8" t="s">
        <v>46</v>
      </c>
      <c r="H39" s="8" t="s">
        <v>146</v>
      </c>
      <c r="I39" s="4" t="s">
        <v>147</v>
      </c>
    </row>
    <row r="40" customFormat="false" ht="17.15" hidden="false" customHeight="false" outlineLevel="0" collapsed="false">
      <c r="A40" s="0" t="s">
        <v>148</v>
      </c>
      <c r="B40" s="4" t="s">
        <v>149</v>
      </c>
      <c r="C40" s="0" t="s">
        <v>120</v>
      </c>
      <c r="E40" s="7" t="n">
        <v>1</v>
      </c>
      <c r="G40" s="8" t="s">
        <v>121</v>
      </c>
      <c r="H40" s="4" t="s">
        <v>38</v>
      </c>
      <c r="I40" s="4" t="s">
        <v>150</v>
      </c>
    </row>
    <row r="41" customFormat="false" ht="17.15" hidden="false" customHeight="false" outlineLevel="0" collapsed="false">
      <c r="A41" s="0" t="s">
        <v>151</v>
      </c>
      <c r="B41" s="4" t="s">
        <v>152</v>
      </c>
      <c r="C41" s="0" t="s">
        <v>120</v>
      </c>
      <c r="E41" s="7" t="n">
        <v>0.7</v>
      </c>
      <c r="G41" s="8" t="s">
        <v>46</v>
      </c>
      <c r="H41" s="4" t="s">
        <v>38</v>
      </c>
      <c r="I41" s="4" t="s">
        <v>153</v>
      </c>
    </row>
    <row r="42" customFormat="false" ht="17.15" hidden="false" customHeight="false" outlineLevel="0" collapsed="false">
      <c r="A42" s="0" t="s">
        <v>154</v>
      </c>
      <c r="B42" s="4" t="s">
        <v>155</v>
      </c>
      <c r="C42" s="0" t="s">
        <v>76</v>
      </c>
      <c r="D42" s="7" t="n">
        <v>0.1</v>
      </c>
      <c r="E42" s="7" t="n">
        <v>0.3</v>
      </c>
      <c r="F42" s="7" t="n">
        <v>0.5</v>
      </c>
      <c r="G42" s="8" t="s">
        <v>46</v>
      </c>
      <c r="H42" s="4" t="s">
        <v>156</v>
      </c>
      <c r="I42" s="4" t="s">
        <v>157</v>
      </c>
    </row>
    <row r="43" customFormat="false" ht="17.15" hidden="false" customHeight="false" outlineLevel="0" collapsed="false">
      <c r="A43" s="0" t="s">
        <v>158</v>
      </c>
      <c r="B43" s="0" t="s">
        <v>159</v>
      </c>
      <c r="C43" s="0" t="s">
        <v>120</v>
      </c>
      <c r="D43" s="7" t="n">
        <v>0.3</v>
      </c>
      <c r="E43" s="7" t="n">
        <v>0.5</v>
      </c>
      <c r="F43" s="7" t="n">
        <v>0.8</v>
      </c>
      <c r="G43" s="8" t="s">
        <v>121</v>
      </c>
      <c r="H43" s="8" t="s">
        <v>160</v>
      </c>
      <c r="I43" s="8" t="s">
        <v>161</v>
      </c>
    </row>
    <row r="44" customFormat="false" ht="17.15" hidden="false" customHeight="false" outlineLevel="0" collapsed="false">
      <c r="A44" s="0" t="s">
        <v>162</v>
      </c>
      <c r="B44" s="4" t="s">
        <v>163</v>
      </c>
      <c r="C44" s="0" t="s">
        <v>45</v>
      </c>
      <c r="E44" s="7" t="n">
        <v>1.1</v>
      </c>
      <c r="G44" s="8" t="s">
        <v>46</v>
      </c>
      <c r="H44" s="4" t="s">
        <v>164</v>
      </c>
      <c r="I44" s="8" t="s">
        <v>165</v>
      </c>
    </row>
    <row r="45" customFormat="false" ht="17.15" hidden="false" customHeight="false" outlineLevel="0" collapsed="false">
      <c r="A45" s="0" t="s">
        <v>166</v>
      </c>
      <c r="B45" s="4" t="s">
        <v>167</v>
      </c>
      <c r="C45" s="0" t="s">
        <v>45</v>
      </c>
      <c r="E45" s="7" t="n">
        <v>1.15</v>
      </c>
      <c r="G45" s="8" t="s">
        <v>46</v>
      </c>
      <c r="H45" s="4" t="s">
        <v>38</v>
      </c>
      <c r="I45" s="4" t="s">
        <v>38</v>
      </c>
    </row>
    <row r="46" customFormat="false" ht="17.15" hidden="false" customHeight="false" outlineLevel="0" collapsed="false">
      <c r="A46" s="0" t="s">
        <v>168</v>
      </c>
      <c r="B46" s="4" t="s">
        <v>169</v>
      </c>
      <c r="C46" s="0" t="s">
        <v>45</v>
      </c>
      <c r="E46" s="7" t="n">
        <v>1.2</v>
      </c>
      <c r="G46" s="8" t="s">
        <v>46</v>
      </c>
      <c r="H46" s="4" t="s">
        <v>38</v>
      </c>
      <c r="I46" s="4" t="s">
        <v>38</v>
      </c>
    </row>
    <row r="47" customFormat="false" ht="17.15" hidden="false" customHeight="false" outlineLevel="0" collapsed="false">
      <c r="A47" s="0" t="s">
        <v>170</v>
      </c>
      <c r="B47" s="4" t="s">
        <v>171</v>
      </c>
      <c r="C47" s="0" t="s">
        <v>45</v>
      </c>
      <c r="E47" s="7" t="n">
        <v>1.05</v>
      </c>
      <c r="G47" s="8" t="s">
        <v>46</v>
      </c>
      <c r="H47" s="4" t="s">
        <v>38</v>
      </c>
      <c r="I47" s="4" t="s">
        <v>38</v>
      </c>
    </row>
    <row r="48" customFormat="false" ht="17.15" hidden="false" customHeight="false" outlineLevel="0" collapsed="false">
      <c r="A48" s="0" t="s">
        <v>172</v>
      </c>
      <c r="B48" s="4" t="s">
        <v>173</v>
      </c>
      <c r="C48" s="0" t="s">
        <v>45</v>
      </c>
      <c r="E48" s="7" t="n">
        <v>1.08</v>
      </c>
      <c r="G48" s="8" t="s">
        <v>46</v>
      </c>
      <c r="H48" s="4" t="s">
        <v>38</v>
      </c>
      <c r="I48" s="4" t="s">
        <v>38</v>
      </c>
    </row>
    <row r="49" customFormat="false" ht="17.15" hidden="false" customHeight="false" outlineLevel="0" collapsed="false">
      <c r="A49" s="0" t="s">
        <v>174</v>
      </c>
      <c r="B49" s="4" t="s">
        <v>175</v>
      </c>
      <c r="C49" s="0" t="s">
        <v>45</v>
      </c>
      <c r="E49" s="7" t="n">
        <v>1.1</v>
      </c>
      <c r="G49" s="8" t="s">
        <v>46</v>
      </c>
      <c r="H49" s="4" t="s">
        <v>38</v>
      </c>
      <c r="I49" s="4" t="s">
        <v>38</v>
      </c>
    </row>
    <row r="50" customFormat="false" ht="17.15" hidden="false" customHeight="false" outlineLevel="0" collapsed="false">
      <c r="A50" s="0" t="s">
        <v>176</v>
      </c>
      <c r="B50" s="4" t="s">
        <v>177</v>
      </c>
      <c r="C50" s="0" t="s">
        <v>45</v>
      </c>
      <c r="E50" s="7" t="n">
        <v>1</v>
      </c>
      <c r="G50" s="8" t="s">
        <v>46</v>
      </c>
      <c r="H50" s="4" t="s">
        <v>38</v>
      </c>
      <c r="I50" s="4" t="s">
        <v>38</v>
      </c>
    </row>
    <row r="51" customFormat="false" ht="17.15" hidden="false" customHeight="false" outlineLevel="0" collapsed="false">
      <c r="A51" s="0" t="s">
        <v>178</v>
      </c>
      <c r="B51" s="4" t="s">
        <v>179</v>
      </c>
      <c r="C51" s="0" t="s">
        <v>45</v>
      </c>
      <c r="E51" s="7" t="n">
        <v>0.95</v>
      </c>
      <c r="G51" s="8" t="s">
        <v>46</v>
      </c>
      <c r="H51" s="4" t="s">
        <v>38</v>
      </c>
      <c r="I51" s="4" t="s">
        <v>38</v>
      </c>
    </row>
    <row r="52" customFormat="false" ht="17.15" hidden="false" customHeight="false" outlineLevel="0" collapsed="false">
      <c r="A52" s="0" t="s">
        <v>180</v>
      </c>
      <c r="B52" s="4" t="s">
        <v>181</v>
      </c>
      <c r="C52" s="0" t="s">
        <v>45</v>
      </c>
      <c r="E52" s="7" t="n">
        <v>0.92</v>
      </c>
      <c r="G52" s="8" t="s">
        <v>46</v>
      </c>
      <c r="H52" s="4" t="s">
        <v>38</v>
      </c>
      <c r="I52" s="4" t="s">
        <v>38</v>
      </c>
    </row>
    <row r="53" customFormat="false" ht="17.15" hidden="false" customHeight="false" outlineLevel="0" collapsed="false">
      <c r="A53" s="0" t="s">
        <v>182</v>
      </c>
      <c r="B53" s="4" t="s">
        <v>183</v>
      </c>
      <c r="C53" s="0" t="s">
        <v>45</v>
      </c>
      <c r="D53" s="7" t="n">
        <v>0.3</v>
      </c>
      <c r="E53" s="7" t="n">
        <v>0.5</v>
      </c>
      <c r="F53" s="7" t="n">
        <v>1</v>
      </c>
      <c r="G53" s="8" t="s">
        <v>46</v>
      </c>
      <c r="H53" s="4" t="s">
        <v>184</v>
      </c>
      <c r="I53" s="4" t="s">
        <v>185</v>
      </c>
    </row>
    <row r="54" customFormat="false" ht="17.15" hidden="false" customHeight="false" outlineLevel="0" collapsed="false">
      <c r="A54" s="0" t="s">
        <v>186</v>
      </c>
      <c r="B54" s="4" t="s">
        <v>187</v>
      </c>
      <c r="C54" s="0" t="s">
        <v>76</v>
      </c>
      <c r="E54" s="0" t="n">
        <f aca="false">Q!G7/Q!B7-1</f>
        <v>0.272363291601399</v>
      </c>
      <c r="G54" s="0" t="s">
        <v>33</v>
      </c>
      <c r="H54" s="0" t="s">
        <v>188</v>
      </c>
      <c r="I54" s="0" t="s">
        <v>189</v>
      </c>
    </row>
    <row r="55" customFormat="false" ht="17.15" hidden="false" customHeight="false" outlineLevel="0" collapsed="false">
      <c r="A55" s="0" t="s">
        <v>190</v>
      </c>
      <c r="B55" s="4" t="s">
        <v>191</v>
      </c>
      <c r="C55" s="0" t="s">
        <v>76</v>
      </c>
      <c r="D55" s="7" t="n">
        <v>0.05</v>
      </c>
      <c r="E55" s="7" t="n">
        <v>0.15</v>
      </c>
      <c r="F55" s="7" t="n">
        <v>0.22</v>
      </c>
      <c r="G55" s="8" t="s">
        <v>121</v>
      </c>
      <c r="H55" s="8" t="s">
        <v>192</v>
      </c>
      <c r="I55" s="4" t="s">
        <v>193</v>
      </c>
    </row>
    <row r="56" customFormat="false" ht="17.15" hidden="false" customHeight="false" outlineLevel="0" collapsed="false">
      <c r="A56" s="0" t="s">
        <v>194</v>
      </c>
      <c r="B56" s="4" t="s">
        <v>195</v>
      </c>
      <c r="C56" s="0" t="s">
        <v>76</v>
      </c>
      <c r="D56" s="7" t="n">
        <v>0.02</v>
      </c>
      <c r="E56" s="7" t="n">
        <v>0.07</v>
      </c>
      <c r="F56" s="7" t="n">
        <v>0.12</v>
      </c>
      <c r="G56" s="8" t="s">
        <v>46</v>
      </c>
      <c r="H56" s="4" t="s">
        <v>196</v>
      </c>
      <c r="I56" s="4" t="s">
        <v>197</v>
      </c>
    </row>
    <row r="57" customFormat="false" ht="17.15" hidden="false" customHeight="false" outlineLevel="0" collapsed="false">
      <c r="A57" s="6" t="s">
        <v>198</v>
      </c>
    </row>
    <row r="58" customFormat="false" ht="17.15" hidden="false" customHeight="false" outlineLevel="0" collapsed="false">
      <c r="A58" s="0" t="s">
        <v>199</v>
      </c>
      <c r="B58" s="0" t="s">
        <v>200</v>
      </c>
      <c r="C58" s="0" t="s">
        <v>76</v>
      </c>
      <c r="D58" s="7" t="n">
        <v>0</v>
      </c>
      <c r="E58" s="7" t="n">
        <v>0.1</v>
      </c>
      <c r="F58" s="7" t="n">
        <v>0.15</v>
      </c>
      <c r="G58" s="8" t="s">
        <v>46</v>
      </c>
      <c r="H58" s="8" t="s">
        <v>201</v>
      </c>
      <c r="I58" s="4" t="s">
        <v>202</v>
      </c>
    </row>
    <row r="59" customFormat="false" ht="17.15" hidden="false" customHeight="false" outlineLevel="0" collapsed="false">
      <c r="A59" s="0" t="s">
        <v>203</v>
      </c>
      <c r="B59" s="0" t="s">
        <v>204</v>
      </c>
      <c r="C59" s="0" t="s">
        <v>76</v>
      </c>
      <c r="D59" s="7" t="n">
        <v>0</v>
      </c>
      <c r="E59" s="7" t="n">
        <v>0.05</v>
      </c>
      <c r="F59" s="7" t="n">
        <v>0.08</v>
      </c>
      <c r="G59" s="8" t="s">
        <v>46</v>
      </c>
      <c r="H59" s="8" t="s">
        <v>205</v>
      </c>
      <c r="I59" s="8" t="s">
        <v>206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76</v>
      </c>
      <c r="D60" s="7" t="n">
        <v>0.075</v>
      </c>
      <c r="E60" s="7" t="n">
        <v>0.085</v>
      </c>
      <c r="F60" s="7" t="n">
        <v>0.095</v>
      </c>
      <c r="G60" s="8" t="s">
        <v>33</v>
      </c>
      <c r="H60" s="8" t="s">
        <v>209</v>
      </c>
      <c r="I60" s="8" t="s">
        <v>210</v>
      </c>
    </row>
    <row r="61" customFormat="false" ht="17.15" hidden="false" customHeight="false" outlineLevel="0" collapsed="false">
      <c r="A61" s="6" t="s">
        <v>211</v>
      </c>
    </row>
    <row r="62" customFormat="false" ht="17.15" hidden="false" customHeight="false" outlineLevel="0" collapsed="false">
      <c r="A62" s="0" t="s">
        <v>212</v>
      </c>
      <c r="B62" s="4" t="s">
        <v>213</v>
      </c>
      <c r="C62" s="0" t="s">
        <v>120</v>
      </c>
      <c r="E62" s="7" t="n">
        <v>5.5</v>
      </c>
      <c r="G62" s="8" t="s">
        <v>121</v>
      </c>
      <c r="H62" s="4" t="s">
        <v>214</v>
      </c>
      <c r="I62" s="8" t="s">
        <v>206</v>
      </c>
    </row>
    <row r="63" customFormat="false" ht="17.15" hidden="false" customHeight="false" outlineLevel="0" collapsed="false">
      <c r="A63" s="0" t="s">
        <v>215</v>
      </c>
      <c r="B63" s="4" t="s">
        <v>216</v>
      </c>
      <c r="C63" s="0" t="s">
        <v>120</v>
      </c>
      <c r="E63" s="7" t="n">
        <v>11.5</v>
      </c>
      <c r="G63" s="8" t="s">
        <v>121</v>
      </c>
      <c r="H63" s="8" t="s">
        <v>217</v>
      </c>
      <c r="I63" s="8" t="s">
        <v>218</v>
      </c>
    </row>
    <row r="64" customFormat="false" ht="17.15" hidden="false" customHeight="false" outlineLevel="0" collapsed="false">
      <c r="A64" s="0" t="s">
        <v>219</v>
      </c>
      <c r="B64" s="4" t="s">
        <v>220</v>
      </c>
      <c r="C64" s="0" t="s">
        <v>120</v>
      </c>
      <c r="D64" s="7" t="n">
        <v>11.5</v>
      </c>
      <c r="E64" s="7" t="n">
        <v>13</v>
      </c>
      <c r="F64" s="7" t="n">
        <v>15</v>
      </c>
      <c r="G64" s="8" t="s">
        <v>121</v>
      </c>
      <c r="H64" s="8" t="s">
        <v>221</v>
      </c>
      <c r="I64" s="8" t="s">
        <v>222</v>
      </c>
    </row>
    <row r="65" customFormat="false" ht="17.15" hidden="false" customHeight="false" outlineLevel="0" collapsed="false">
      <c r="A65" s="0" t="s">
        <v>223</v>
      </c>
      <c r="B65" s="4" t="s">
        <v>224</v>
      </c>
      <c r="C65" s="0" t="s">
        <v>76</v>
      </c>
      <c r="D65" s="7" t="n">
        <v>0.22</v>
      </c>
      <c r="E65" s="7" t="n">
        <v>0.3</v>
      </c>
      <c r="F65" s="7" t="n">
        <v>0.38</v>
      </c>
      <c r="G65" s="8" t="s">
        <v>46</v>
      </c>
      <c r="H65" s="8" t="s">
        <v>225</v>
      </c>
      <c r="I65" s="8" t="s">
        <v>226</v>
      </c>
    </row>
    <row r="66" customFormat="false" ht="17.15" hidden="false" customHeight="false" outlineLevel="0" collapsed="false">
      <c r="A66" s="0" t="s">
        <v>227</v>
      </c>
      <c r="B66" s="4" t="s">
        <v>228</v>
      </c>
      <c r="C66" s="4" t="s">
        <v>229</v>
      </c>
      <c r="D66" s="7" t="n">
        <v>6</v>
      </c>
      <c r="E66" s="7" t="n">
        <v>8</v>
      </c>
      <c r="F66" s="7" t="n">
        <v>12</v>
      </c>
      <c r="G66" s="8" t="s">
        <v>46</v>
      </c>
      <c r="H66" s="8" t="s">
        <v>230</v>
      </c>
      <c r="I66" s="4" t="s">
        <v>231</v>
      </c>
    </row>
    <row r="67" customFormat="false" ht="17.15" hidden="false" customHeight="false" outlineLevel="0" collapsed="false">
      <c r="A67" s="0" t="s">
        <v>232</v>
      </c>
      <c r="B67" s="0" t="s">
        <v>233</v>
      </c>
      <c r="C67" s="0" t="s">
        <v>234</v>
      </c>
      <c r="E67" s="7" t="n">
        <v>27</v>
      </c>
      <c r="G67" s="8" t="s">
        <v>46</v>
      </c>
      <c r="H67" s="8" t="s">
        <v>235</v>
      </c>
      <c r="I67" s="8" t="s">
        <v>206</v>
      </c>
    </row>
    <row r="68" customFormat="false" ht="17.15" hidden="false" customHeight="false" outlineLevel="0" collapsed="false">
      <c r="A68" s="6" t="s">
        <v>236</v>
      </c>
    </row>
    <row r="69" customFormat="false" ht="17.15" hidden="false" customHeight="false" outlineLevel="0" collapsed="false">
      <c r="A69" s="0" t="s">
        <v>237</v>
      </c>
      <c r="B69" s="4" t="s">
        <v>238</v>
      </c>
      <c r="C69" s="0" t="s">
        <v>76</v>
      </c>
      <c r="D69" s="7" t="n">
        <v>0.4</v>
      </c>
      <c r="E69" s="7" t="n">
        <v>0.5</v>
      </c>
      <c r="F69" s="7" t="n">
        <v>0.6</v>
      </c>
      <c r="G69" s="8" t="s">
        <v>46</v>
      </c>
      <c r="H69" s="8" t="s">
        <v>239</v>
      </c>
      <c r="I69" s="8" t="s">
        <v>240</v>
      </c>
    </row>
    <row r="70" customFormat="false" ht="17.15" hidden="false" customHeight="false" outlineLevel="0" collapsed="false">
      <c r="A70" s="0" t="s">
        <v>241</v>
      </c>
      <c r="B70" s="4" t="s">
        <v>242</v>
      </c>
      <c r="C70" s="0" t="s">
        <v>45</v>
      </c>
      <c r="D70" s="7" t="n">
        <v>0.3</v>
      </c>
      <c r="E70" s="7" t="n">
        <v>0.6</v>
      </c>
      <c r="F70" s="7" t="n">
        <v>1</v>
      </c>
      <c r="G70" s="8" t="s">
        <v>46</v>
      </c>
      <c r="H70" s="8" t="s">
        <v>243</v>
      </c>
      <c r="I70" s="4" t="s">
        <v>244</v>
      </c>
    </row>
    <row r="71" customFormat="false" ht="17.15" hidden="false" customHeight="false" outlineLevel="0" collapsed="false">
      <c r="A71" s="0" t="s">
        <v>245</v>
      </c>
      <c r="B71" s="4" t="s">
        <v>246</v>
      </c>
      <c r="C71" s="0" t="s">
        <v>234</v>
      </c>
      <c r="D71" s="7" t="n">
        <v>-8</v>
      </c>
      <c r="E71" s="7" t="n">
        <v>-5</v>
      </c>
      <c r="F71" s="7" t="n">
        <v>-2</v>
      </c>
      <c r="G71" s="8" t="s">
        <v>46</v>
      </c>
      <c r="H71" s="8" t="s">
        <v>247</v>
      </c>
      <c r="I71" s="4" t="s">
        <v>248</v>
      </c>
    </row>
    <row r="72" customFormat="false" ht="17.15" hidden="false" customHeight="false" outlineLevel="0" collapsed="false">
      <c r="A72" s="0" t="s">
        <v>249</v>
      </c>
      <c r="B72" s="4" t="s">
        <v>250</v>
      </c>
      <c r="C72" s="0" t="s">
        <v>76</v>
      </c>
      <c r="D72" s="7" t="n">
        <v>0.15</v>
      </c>
      <c r="E72" s="7" t="n">
        <v>0.17</v>
      </c>
      <c r="F72" s="7" t="n">
        <v>0.2</v>
      </c>
      <c r="G72" s="8" t="s">
        <v>121</v>
      </c>
      <c r="H72" s="8" t="s">
        <v>251</v>
      </c>
      <c r="I72" s="8" t="s">
        <v>252</v>
      </c>
    </row>
    <row r="73" customFormat="false" ht="17.15" hidden="false" customHeight="false" outlineLevel="0" collapsed="false">
      <c r="A73" s="0" t="s">
        <v>253</v>
      </c>
      <c r="B73" s="4" t="s">
        <v>254</v>
      </c>
      <c r="C73" s="0" t="s">
        <v>234</v>
      </c>
      <c r="E73" s="7" t="n">
        <v>3</v>
      </c>
      <c r="G73" s="8" t="s">
        <v>33</v>
      </c>
      <c r="H73" s="8" t="s">
        <v>255</v>
      </c>
      <c r="I73" s="8" t="s">
        <v>206</v>
      </c>
    </row>
    <row r="74" customFormat="false" ht="17.15" hidden="false" customHeight="false" outlineLevel="0" collapsed="false">
      <c r="A74" s="0" t="s">
        <v>256</v>
      </c>
      <c r="B74" s="4" t="s">
        <v>257</v>
      </c>
      <c r="C74" s="0" t="s">
        <v>76</v>
      </c>
      <c r="E74" s="7" t="n">
        <v>0.005</v>
      </c>
      <c r="G74" s="8" t="s">
        <v>46</v>
      </c>
      <c r="H74" s="8" t="s">
        <v>258</v>
      </c>
      <c r="I74" s="8" t="s">
        <v>206</v>
      </c>
    </row>
    <row r="75" customFormat="false" ht="17.15" hidden="false" customHeight="false" outlineLevel="0" collapsed="false">
      <c r="A75" s="6" t="s">
        <v>259</v>
      </c>
    </row>
    <row r="76" customFormat="false" ht="17.15" hidden="false" customHeight="false" outlineLevel="0" collapsed="false">
      <c r="A76" s="0" t="s">
        <v>260</v>
      </c>
      <c r="B76" s="0" t="s">
        <v>261</v>
      </c>
      <c r="C76" s="0" t="s">
        <v>76</v>
      </c>
      <c r="E76" s="7" t="n">
        <v>0.12</v>
      </c>
      <c r="G76" s="8" t="s">
        <v>121</v>
      </c>
      <c r="H76" s="4" t="s">
        <v>262</v>
      </c>
      <c r="I76" s="8" t="s">
        <v>206</v>
      </c>
    </row>
    <row r="77" customFormat="false" ht="17.15" hidden="false" customHeight="false" outlineLevel="0" collapsed="false">
      <c r="A77" s="0" t="s">
        <v>263</v>
      </c>
      <c r="B77" s="0" t="s">
        <v>264</v>
      </c>
      <c r="C77" s="0" t="s">
        <v>76</v>
      </c>
      <c r="E77" s="7" t="n">
        <v>0.015</v>
      </c>
      <c r="G77" s="8" t="s">
        <v>121</v>
      </c>
      <c r="H77" s="4" t="s">
        <v>265</v>
      </c>
      <c r="I77" s="8" t="s">
        <v>206</v>
      </c>
    </row>
    <row r="78" customFormat="false" ht="17.15" hidden="false" customHeight="false" outlineLevel="0" collapsed="false">
      <c r="A78" s="0" t="s">
        <v>266</v>
      </c>
      <c r="B78" s="0" t="s">
        <v>267</v>
      </c>
      <c r="C78" s="0" t="s">
        <v>76</v>
      </c>
      <c r="E78" s="7" t="n">
        <v>0</v>
      </c>
      <c r="G78" s="8" t="s">
        <v>121</v>
      </c>
      <c r="H78" s="4" t="s">
        <v>268</v>
      </c>
      <c r="I78" s="8" t="s">
        <v>206</v>
      </c>
    </row>
    <row r="79" customFormat="false" ht="17.15" hidden="false" customHeight="false" outlineLevel="0" collapsed="false">
      <c r="A79" s="0" t="s">
        <v>269</v>
      </c>
      <c r="B79" s="0" t="s">
        <v>270</v>
      </c>
      <c r="C79" s="0" t="s">
        <v>76</v>
      </c>
      <c r="E79" s="7" t="n">
        <v>0.08</v>
      </c>
      <c r="G79" s="8" t="s">
        <v>46</v>
      </c>
      <c r="H79" s="8" t="s">
        <v>271</v>
      </c>
      <c r="I79" s="8" t="s">
        <v>206</v>
      </c>
    </row>
    <row r="80" customFormat="false" ht="17.15" hidden="false" customHeight="false" outlineLevel="0" collapsed="false">
      <c r="A80" s="0" t="s">
        <v>272</v>
      </c>
      <c r="B80" s="0" t="s">
        <v>273</v>
      </c>
      <c r="C80" s="0" t="s">
        <v>76</v>
      </c>
      <c r="E80" s="7" t="n">
        <v>0.08</v>
      </c>
      <c r="G80" s="8" t="s">
        <v>46</v>
      </c>
      <c r="H80" s="8" t="s">
        <v>274</v>
      </c>
      <c r="I80" s="8" t="s">
        <v>206</v>
      </c>
    </row>
    <row r="81" customFormat="false" ht="17.15" hidden="false" customHeight="false" outlineLevel="0" collapsed="false">
      <c r="A81" s="0" t="s">
        <v>275</v>
      </c>
      <c r="B81" s="0" t="s">
        <v>276</v>
      </c>
      <c r="C81" s="0" t="s">
        <v>234</v>
      </c>
      <c r="E81" s="7" t="n">
        <v>-0.5</v>
      </c>
      <c r="G81" s="8" t="s">
        <v>46</v>
      </c>
      <c r="H81" s="8" t="s">
        <v>277</v>
      </c>
      <c r="I81" s="8" t="s">
        <v>206</v>
      </c>
    </row>
    <row r="82" customFormat="false" ht="17.15" hidden="false" customHeight="false" outlineLevel="0" collapsed="false">
      <c r="A82" s="0" t="s">
        <v>278</v>
      </c>
      <c r="B82" s="0" t="s">
        <v>279</v>
      </c>
      <c r="C82" s="0" t="s">
        <v>76</v>
      </c>
      <c r="E82" s="7" t="n">
        <v>0.17</v>
      </c>
      <c r="G82" s="8" t="s">
        <v>121</v>
      </c>
      <c r="H82" s="4" t="s">
        <v>280</v>
      </c>
      <c r="I82" s="8" t="s">
        <v>281</v>
      </c>
    </row>
    <row r="83" customFormat="false" ht="17.15" hidden="false" customHeight="false" outlineLevel="0" collapsed="false">
      <c r="A83" s="0" t="s">
        <v>282</v>
      </c>
      <c r="B83" s="0" t="s">
        <v>283</v>
      </c>
      <c r="C83" s="0" t="s">
        <v>234</v>
      </c>
      <c r="E83" s="7" t="n">
        <v>0.8</v>
      </c>
      <c r="G83" s="8" t="s">
        <v>33</v>
      </c>
      <c r="H83" s="8" t="s">
        <v>284</v>
      </c>
      <c r="I83" s="8" t="s">
        <v>206</v>
      </c>
    </row>
    <row r="84" customFormat="false" ht="17.15" hidden="false" customHeight="false" outlineLevel="0" collapsed="false">
      <c r="A84" s="6" t="s">
        <v>285</v>
      </c>
    </row>
    <row r="85" customFormat="false" ht="17.15" hidden="false" customHeight="false" outlineLevel="0" collapsed="false">
      <c r="A85" s="0" t="s">
        <v>286</v>
      </c>
      <c r="B85" s="0" t="s">
        <v>287</v>
      </c>
      <c r="C85" s="0" t="s">
        <v>76</v>
      </c>
      <c r="E85" s="7" t="n">
        <v>0.06</v>
      </c>
      <c r="G85" s="8" t="s">
        <v>121</v>
      </c>
      <c r="H85" s="4" t="s">
        <v>288</v>
      </c>
      <c r="I85" s="4" t="s">
        <v>289</v>
      </c>
    </row>
    <row r="86" customFormat="false" ht="17.15" hidden="false" customHeight="false" outlineLevel="0" collapsed="false">
      <c r="A86" s="0" t="s">
        <v>290</v>
      </c>
      <c r="B86" s="0" t="s">
        <v>291</v>
      </c>
      <c r="C86" s="0" t="s">
        <v>76</v>
      </c>
      <c r="E86" s="7" t="n">
        <v>0.08</v>
      </c>
      <c r="G86" s="8" t="s">
        <v>121</v>
      </c>
      <c r="H86" s="4" t="s">
        <v>288</v>
      </c>
      <c r="I86" s="8" t="s">
        <v>206</v>
      </c>
    </row>
    <row r="87" customFormat="false" ht="17.15" hidden="false" customHeight="false" outlineLevel="0" collapsed="false">
      <c r="A87" s="0" t="s">
        <v>292</v>
      </c>
      <c r="B87" s="0" t="s">
        <v>293</v>
      </c>
      <c r="C87" s="0" t="s">
        <v>76</v>
      </c>
      <c r="E87" s="7" t="n">
        <v>0.23</v>
      </c>
      <c r="G87" s="8" t="s">
        <v>121</v>
      </c>
      <c r="H87" s="4" t="s">
        <v>288</v>
      </c>
      <c r="I87" s="4" t="s">
        <v>294</v>
      </c>
    </row>
    <row r="88" customFormat="false" ht="17.15" hidden="false" customHeight="false" outlineLevel="0" collapsed="false">
      <c r="A88" s="0" t="s">
        <v>295</v>
      </c>
      <c r="B88" s="0" t="s">
        <v>296</v>
      </c>
      <c r="C88" s="0" t="s">
        <v>76</v>
      </c>
      <c r="E88" s="7" t="n">
        <v>0.24</v>
      </c>
      <c r="G88" s="8" t="s">
        <v>121</v>
      </c>
      <c r="H88" s="4" t="s">
        <v>288</v>
      </c>
      <c r="I88" s="8" t="s">
        <v>206</v>
      </c>
    </row>
    <row r="89" customFormat="false" ht="17.15" hidden="false" customHeight="false" outlineLevel="0" collapsed="false">
      <c r="A89" s="0" t="s">
        <v>297</v>
      </c>
      <c r="B89" s="0" t="s">
        <v>298</v>
      </c>
      <c r="C89" s="0" t="s">
        <v>76</v>
      </c>
      <c r="E89" s="7" t="n">
        <v>0.145</v>
      </c>
      <c r="G89" s="8" t="s">
        <v>121</v>
      </c>
      <c r="H89" s="4" t="s">
        <v>288</v>
      </c>
      <c r="I89" s="4" t="s">
        <v>299</v>
      </c>
    </row>
    <row r="90" customFormat="false" ht="17.15" hidden="false" customHeight="false" outlineLevel="0" collapsed="false">
      <c r="A90" s="0" t="s">
        <v>300</v>
      </c>
      <c r="B90" s="0" t="s">
        <v>301</v>
      </c>
      <c r="C90" s="0" t="s">
        <v>76</v>
      </c>
      <c r="E90" s="7" t="n">
        <v>0.155</v>
      </c>
      <c r="G90" s="8" t="s">
        <v>121</v>
      </c>
      <c r="H90" s="4" t="s">
        <v>288</v>
      </c>
      <c r="I90" s="8" t="s">
        <v>206</v>
      </c>
    </row>
    <row r="91" customFormat="false" ht="17.15" hidden="false" customHeight="false" outlineLevel="0" collapsed="false">
      <c r="A91" s="0" t="s">
        <v>302</v>
      </c>
      <c r="B91" s="0" t="s">
        <v>303</v>
      </c>
      <c r="C91" s="0" t="s">
        <v>304</v>
      </c>
      <c r="E91" s="7" t="n">
        <v>19.64</v>
      </c>
      <c r="G91" s="8" t="s">
        <v>121</v>
      </c>
      <c r="H91" s="8" t="s">
        <v>305</v>
      </c>
      <c r="I91" s="4" t="s">
        <v>306</v>
      </c>
    </row>
    <row r="92" customFormat="false" ht="15" hidden="false" customHeight="false" outlineLevel="0" collapsed="false">
      <c r="A92" s="0" t="s">
        <v>307</v>
      </c>
      <c r="B92" s="0" t="s">
        <v>308</v>
      </c>
      <c r="C92" s="0" t="s">
        <v>304</v>
      </c>
      <c r="E92" s="7" t="n">
        <v>34.26</v>
      </c>
      <c r="G92" s="8" t="s">
        <v>121</v>
      </c>
      <c r="H92" s="4" t="s">
        <v>38</v>
      </c>
      <c r="I92" s="8" t="s">
        <v>206</v>
      </c>
    </row>
    <row r="93" customFormat="false" ht="15" hidden="false" customHeight="false" outlineLevel="0" collapsed="false">
      <c r="A93" s="0" t="s">
        <v>309</v>
      </c>
      <c r="B93" s="0" t="s">
        <v>310</v>
      </c>
      <c r="C93" s="0" t="s">
        <v>304</v>
      </c>
      <c r="E93" s="7" t="n">
        <v>49.78</v>
      </c>
      <c r="G93" s="8" t="s">
        <v>121</v>
      </c>
      <c r="H93" s="4" t="s">
        <v>38</v>
      </c>
      <c r="I93" s="8" t="s">
        <v>206</v>
      </c>
    </row>
    <row r="94" customFormat="false" ht="17.15" hidden="false" customHeight="false" outlineLevel="0" collapsed="false">
      <c r="A94" s="0" t="s">
        <v>311</v>
      </c>
      <c r="B94" s="0" t="s">
        <v>312</v>
      </c>
      <c r="C94" s="0" t="s">
        <v>76</v>
      </c>
      <c r="E94" s="7" t="n">
        <v>0.3</v>
      </c>
      <c r="G94" s="8" t="s">
        <v>121</v>
      </c>
      <c r="H94" s="4" t="s">
        <v>313</v>
      </c>
      <c r="I94" s="8" t="s">
        <v>206</v>
      </c>
    </row>
    <row r="95" customFormat="false" ht="17.15" hidden="false" customHeight="false" outlineLevel="0" collapsed="false">
      <c r="A95" s="6" t="s">
        <v>314</v>
      </c>
    </row>
    <row r="96" customFormat="false" ht="17.15" hidden="false" customHeight="false" outlineLevel="0" collapsed="false">
      <c r="A96" s="0" t="s">
        <v>315</v>
      </c>
      <c r="B96" s="4" t="s">
        <v>316</v>
      </c>
      <c r="C96" s="0" t="s">
        <v>304</v>
      </c>
      <c r="E96" s="7" t="n">
        <v>668</v>
      </c>
      <c r="G96" s="8" t="s">
        <v>121</v>
      </c>
      <c r="H96" s="4" t="s">
        <v>317</v>
      </c>
      <c r="I96" s="4" t="s">
        <v>318</v>
      </c>
    </row>
    <row r="97" customFormat="false" ht="17.15" hidden="false" customHeight="false" outlineLevel="0" collapsed="false">
      <c r="A97" s="0" t="s">
        <v>319</v>
      </c>
      <c r="B97" s="4" t="s">
        <v>320</v>
      </c>
      <c r="C97" s="0" t="s">
        <v>45</v>
      </c>
      <c r="E97" s="7" t="n">
        <v>47.32</v>
      </c>
      <c r="G97" s="8" t="s">
        <v>121</v>
      </c>
      <c r="H97" s="8" t="s">
        <v>321</v>
      </c>
      <c r="I97" s="8" t="s">
        <v>322</v>
      </c>
    </row>
    <row r="98" customFormat="false" ht="17.15" hidden="false" customHeight="false" outlineLevel="0" collapsed="false">
      <c r="A98" s="0" t="s">
        <v>323</v>
      </c>
      <c r="B98" s="4" t="s">
        <v>324</v>
      </c>
      <c r="C98" s="0" t="s">
        <v>45</v>
      </c>
      <c r="E98" s="7" t="n">
        <v>26.99</v>
      </c>
      <c r="G98" s="8" t="s">
        <v>121</v>
      </c>
      <c r="H98" s="8" t="s">
        <v>325</v>
      </c>
      <c r="I98" s="8" t="s">
        <v>326</v>
      </c>
    </row>
    <row r="99" customFormat="false" ht="17.15" hidden="false" customHeight="false" outlineLevel="0" collapsed="false">
      <c r="A99" s="0" t="s">
        <v>327</v>
      </c>
      <c r="B99" s="4" t="s">
        <v>328</v>
      </c>
      <c r="C99" s="0" t="s">
        <v>304</v>
      </c>
      <c r="E99" s="0" t="n">
        <f aca="false">2/12*bofa_eps27+10/12*bofa_eps28</f>
        <v>47.1933333333333</v>
      </c>
      <c r="G99" s="0" t="s">
        <v>33</v>
      </c>
      <c r="H99" s="0" t="s">
        <v>329</v>
      </c>
      <c r="I99" s="4" t="s">
        <v>330</v>
      </c>
    </row>
    <row r="100" customFormat="false" ht="17.15" hidden="false" customHeight="false" outlineLevel="0" collapsed="false">
      <c r="A100" s="0" t="s">
        <v>331</v>
      </c>
      <c r="B100" s="4" t="s">
        <v>332</v>
      </c>
      <c r="C100" s="0" t="s">
        <v>304</v>
      </c>
      <c r="E100" s="7" t="n">
        <v>900</v>
      </c>
      <c r="G100" s="8" t="s">
        <v>121</v>
      </c>
      <c r="H100" s="8" t="s">
        <v>333</v>
      </c>
      <c r="I100" s="4" t="s">
        <v>334</v>
      </c>
    </row>
    <row r="101" customFormat="false" ht="17.15" hidden="false" customHeight="false" outlineLevel="0" collapsed="false">
      <c r="A101" s="6" t="s">
        <v>335</v>
      </c>
    </row>
    <row r="102" customFormat="false" ht="17.15" hidden="false" customHeight="false" outlineLevel="0" collapsed="false">
      <c r="A102" s="9" t="s">
        <v>336</v>
      </c>
      <c r="B102" s="10" t="s">
        <v>337</v>
      </c>
      <c r="C102" s="9" t="s">
        <v>76</v>
      </c>
      <c r="D102" s="9"/>
      <c r="E102" s="11" t="n">
        <v>0.3</v>
      </c>
      <c r="F102" s="9"/>
      <c r="G102" s="9" t="s">
        <v>46</v>
      </c>
      <c r="H102" s="9" t="s">
        <v>338</v>
      </c>
      <c r="I102" s="10" t="s">
        <v>339</v>
      </c>
    </row>
    <row r="103" customFormat="false" ht="17.15" hidden="false" customHeight="false" outlineLevel="0" collapsed="false">
      <c r="A103" s="9" t="s">
        <v>340</v>
      </c>
      <c r="B103" s="10" t="s">
        <v>341</v>
      </c>
      <c r="C103" s="9" t="s">
        <v>76</v>
      </c>
      <c r="D103" s="9"/>
      <c r="E103" s="11" t="n">
        <v>0.5</v>
      </c>
      <c r="F103" s="9"/>
      <c r="G103" s="9" t="s">
        <v>46</v>
      </c>
      <c r="H103" s="9" t="s">
        <v>338</v>
      </c>
      <c r="I103" s="10" t="s">
        <v>339</v>
      </c>
    </row>
    <row r="104" customFormat="false" ht="17.15" hidden="false" customHeight="false" outlineLevel="0" collapsed="false">
      <c r="A104" s="9" t="s">
        <v>342</v>
      </c>
      <c r="B104" s="10" t="s">
        <v>343</v>
      </c>
      <c r="C104" s="9" t="s">
        <v>76</v>
      </c>
      <c r="D104" s="9"/>
      <c r="E104" s="11" t="n">
        <v>0.2</v>
      </c>
      <c r="F104" s="9"/>
      <c r="G104" s="9" t="s">
        <v>46</v>
      </c>
      <c r="H104" s="9" t="s">
        <v>338</v>
      </c>
      <c r="I104" s="10" t="s">
        <v>339</v>
      </c>
    </row>
    <row r="105" customFormat="false" ht="17.15" hidden="false" customHeight="false" outlineLevel="0" collapsed="false">
      <c r="A105" s="9" t="s">
        <v>344</v>
      </c>
      <c r="B105" s="10" t="s">
        <v>345</v>
      </c>
      <c r="C105" s="9" t="s">
        <v>76</v>
      </c>
      <c r="D105" s="9"/>
      <c r="E105" s="11" t="n">
        <v>0.1</v>
      </c>
      <c r="F105" s="9"/>
      <c r="G105" s="9" t="s">
        <v>46</v>
      </c>
      <c r="H105" s="9" t="s">
        <v>346</v>
      </c>
      <c r="I105" s="9" t="s">
        <v>347</v>
      </c>
    </row>
    <row r="106" customFormat="false" ht="17.15" hidden="false" customHeight="false" outlineLevel="0" collapsed="false">
      <c r="A106" s="9" t="s">
        <v>348</v>
      </c>
      <c r="B106" s="10" t="s">
        <v>349</v>
      </c>
      <c r="C106" s="9" t="s">
        <v>76</v>
      </c>
      <c r="D106" s="9"/>
      <c r="E106" s="11" t="n">
        <v>0.04</v>
      </c>
      <c r="F106" s="9"/>
      <c r="G106" s="9" t="s">
        <v>46</v>
      </c>
      <c r="H106" s="9" t="s">
        <v>350</v>
      </c>
      <c r="I106" s="10" t="s">
        <v>351</v>
      </c>
    </row>
    <row r="107" customFormat="false" ht="17.15" hidden="false" customHeight="false" outlineLevel="0" collapsed="false">
      <c r="A107" s="9" t="s">
        <v>352</v>
      </c>
      <c r="B107" s="9" t="s">
        <v>353</v>
      </c>
      <c r="C107" s="9" t="s">
        <v>76</v>
      </c>
      <c r="D107" s="9"/>
      <c r="E107" s="9" t="n">
        <f aca="false">AVERAGE(0.1172,0.0973,0.1015)</f>
        <v>0.105333333333333</v>
      </c>
      <c r="F107" s="9"/>
      <c r="G107" s="9" t="s">
        <v>33</v>
      </c>
      <c r="H107" s="9" t="s">
        <v>354</v>
      </c>
      <c r="I107" s="10" t="s">
        <v>355</v>
      </c>
    </row>
    <row r="108" customFormat="false" ht="17.15" hidden="false" customHeight="false" outlineLevel="0" collapsed="false">
      <c r="A108" s="9" t="s">
        <v>356</v>
      </c>
      <c r="B108" s="10" t="s">
        <v>357</v>
      </c>
      <c r="C108" s="9" t="s">
        <v>76</v>
      </c>
      <c r="D108" s="9"/>
      <c r="E108" s="11" t="n">
        <v>0.5</v>
      </c>
      <c r="F108" s="9"/>
      <c r="G108" s="9" t="s">
        <v>46</v>
      </c>
      <c r="H108" s="9" t="s">
        <v>358</v>
      </c>
      <c r="I108" s="9" t="s">
        <v>206</v>
      </c>
    </row>
    <row r="109" customFormat="false" ht="17.15" hidden="false" customHeight="false" outlineLevel="0" collapsed="false">
      <c r="A109" s="9" t="s">
        <v>359</v>
      </c>
      <c r="B109" s="10" t="s">
        <v>360</v>
      </c>
      <c r="C109" s="9" t="s">
        <v>76</v>
      </c>
      <c r="D109" s="9"/>
      <c r="E109" s="9" t="n">
        <f aca="false">tp_g+0.02</f>
        <v>0.06</v>
      </c>
      <c r="F109" s="9"/>
      <c r="G109" s="9" t="s">
        <v>46</v>
      </c>
      <c r="H109" s="10" t="s">
        <v>361</v>
      </c>
      <c r="I109" s="9" t="s">
        <v>362</v>
      </c>
    </row>
    <row r="110" customFormat="false" ht="17.15" hidden="false" customHeight="false" outlineLevel="0" collapsed="false">
      <c r="A110" s="9" t="s">
        <v>363</v>
      </c>
      <c r="B110" s="10" t="s">
        <v>364</v>
      </c>
      <c r="C110" s="9" t="s">
        <v>76</v>
      </c>
      <c r="D110" s="9"/>
      <c r="E110" s="9" t="n">
        <f aca="false">tp_g</f>
        <v>0.04</v>
      </c>
      <c r="F110" s="9"/>
      <c r="G110" s="9" t="s">
        <v>46</v>
      </c>
      <c r="H110" s="10" t="s">
        <v>38</v>
      </c>
      <c r="I110" s="9" t="s">
        <v>206</v>
      </c>
    </row>
    <row r="111" customFormat="false" ht="17.15" hidden="false" customHeight="false" outlineLevel="0" collapsed="false">
      <c r="A111" s="9" t="s">
        <v>365</v>
      </c>
      <c r="B111" s="10" t="s">
        <v>366</v>
      </c>
      <c r="C111" s="9" t="s">
        <v>76</v>
      </c>
      <c r="D111" s="9"/>
      <c r="E111" s="9" t="n">
        <f aca="false">tp_g-0.02</f>
        <v>0.02</v>
      </c>
      <c r="F111" s="9"/>
      <c r="G111" s="9" t="s">
        <v>46</v>
      </c>
      <c r="H111" s="10" t="s">
        <v>38</v>
      </c>
      <c r="I111" s="9" t="s">
        <v>206</v>
      </c>
    </row>
    <row r="112" customFormat="false" ht="17.15" hidden="false" customHeight="false" outlineLevel="0" collapsed="false">
      <c r="A112" s="9" t="s">
        <v>367</v>
      </c>
      <c r="B112" s="10" t="s">
        <v>368</v>
      </c>
      <c r="C112" s="9" t="s">
        <v>76</v>
      </c>
      <c r="D112" s="9"/>
      <c r="E112" s="12" t="n">
        <f aca="false">PL!G16</f>
        <v>0.131805834814164</v>
      </c>
      <c r="F112" s="9"/>
      <c r="G112" s="9" t="s">
        <v>33</v>
      </c>
      <c r="H112" s="9" t="s">
        <v>369</v>
      </c>
      <c r="I112" s="9" t="s">
        <v>206</v>
      </c>
    </row>
    <row r="113" customFormat="false" ht="17.15" hidden="false" customHeight="false" outlineLevel="0" collapsed="false">
      <c r="A113" s="9" t="s">
        <v>370</v>
      </c>
      <c r="B113" s="10" t="s">
        <v>371</v>
      </c>
      <c r="C113" s="9" t="s">
        <v>76</v>
      </c>
      <c r="D113" s="9"/>
      <c r="E113" s="13" t="n">
        <f aca="false">(PL!G32+PL!G32*0.8)/2</f>
        <v>0.0982647700722541</v>
      </c>
      <c r="F113" s="9"/>
      <c r="G113" s="9" t="s">
        <v>46</v>
      </c>
      <c r="H113" s="10" t="s">
        <v>372</v>
      </c>
      <c r="I113" s="9" t="s">
        <v>373</v>
      </c>
    </row>
    <row r="114" customFormat="false" ht="17.15" hidden="false" customHeight="false" outlineLevel="0" collapsed="false">
      <c r="A114" s="9" t="s">
        <v>374</v>
      </c>
      <c r="B114" s="10" t="s">
        <v>375</v>
      </c>
      <c r="C114" s="9" t="s">
        <v>76</v>
      </c>
      <c r="D114" s="9"/>
      <c r="E114" s="13" t="n">
        <f aca="false">PL!G48*0.8</f>
        <v>0.0616430581791315</v>
      </c>
      <c r="F114" s="9"/>
      <c r="G114" s="9" t="s">
        <v>46</v>
      </c>
      <c r="H114" s="10" t="s">
        <v>376</v>
      </c>
      <c r="I114" s="9" t="s">
        <v>377</v>
      </c>
    </row>
    <row r="116" customFormat="false" ht="17.15" hidden="false" customHeight="false" outlineLevel="0" collapsed="false">
      <c r="A116" s="1" t="s">
        <v>378</v>
      </c>
    </row>
    <row r="117" customFormat="false" ht="17.15" hidden="false" customHeight="false" outlineLevel="0" collapsed="false">
      <c r="A117" s="1" t="s">
        <v>20</v>
      </c>
      <c r="B117" s="1" t="s">
        <v>21</v>
      </c>
      <c r="C117" s="1" t="s">
        <v>22</v>
      </c>
      <c r="D117" s="1" t="s">
        <v>379</v>
      </c>
      <c r="E117" s="1" t="s">
        <v>380</v>
      </c>
      <c r="F117" s="1" t="s">
        <v>381</v>
      </c>
      <c r="G117" s="1" t="s">
        <v>26</v>
      </c>
      <c r="H117" s="1" t="s">
        <v>382</v>
      </c>
    </row>
    <row r="118" customFormat="false" ht="17.15" hidden="false" customHeight="false" outlineLevel="0" collapsed="false">
      <c r="A118" s="0" t="s">
        <v>383</v>
      </c>
      <c r="B118" s="0" t="s">
        <v>384</v>
      </c>
      <c r="C118" s="0" t="s">
        <v>45</v>
      </c>
      <c r="D118" s="0" t="n">
        <f aca="false">E9</f>
        <v>1</v>
      </c>
      <c r="E118" s="0" t="n">
        <f aca="false">E11</f>
        <v>0.8</v>
      </c>
      <c r="F118" s="0" t="n">
        <f aca="false">E13</f>
        <v>0.6</v>
      </c>
      <c r="G118" s="0" t="s">
        <v>33</v>
      </c>
      <c r="H118" s="4" t="s">
        <v>385</v>
      </c>
    </row>
    <row r="119" customFormat="false" ht="17.15" hidden="false" customHeight="false" outlineLevel="0" collapsed="false">
      <c r="A119" s="0" t="s">
        <v>386</v>
      </c>
      <c r="B119" s="0" t="s">
        <v>387</v>
      </c>
      <c r="C119" s="0" t="s">
        <v>45</v>
      </c>
      <c r="D119" s="0" t="n">
        <f aca="false">E10</f>
        <v>1</v>
      </c>
      <c r="E119" s="0" t="n">
        <f aca="false">E12</f>
        <v>0.85</v>
      </c>
      <c r="F119" s="0" t="n">
        <f aca="false">E14</f>
        <v>0.6</v>
      </c>
      <c r="G119" s="0" t="s">
        <v>33</v>
      </c>
      <c r="H119" s="4" t="s">
        <v>388</v>
      </c>
    </row>
    <row r="120" customFormat="false" ht="17.15" hidden="false" customHeight="false" outlineLevel="0" collapsed="false">
      <c r="A120" s="0" t="s">
        <v>389</v>
      </c>
      <c r="B120" s="0" t="s">
        <v>390</v>
      </c>
      <c r="C120" s="0" t="s">
        <v>76</v>
      </c>
      <c r="D120" s="0" t="n">
        <f aca="false">E19</f>
        <v>0.01</v>
      </c>
      <c r="E120" s="0" t="n">
        <f aca="false">E23</f>
        <v>0.01</v>
      </c>
      <c r="F120" s="0" t="n">
        <f aca="false">E27</f>
        <v>0.01</v>
      </c>
      <c r="G120" s="0" t="s">
        <v>33</v>
      </c>
      <c r="H120" s="4" t="s">
        <v>391</v>
      </c>
    </row>
    <row r="121" customFormat="false" ht="17.15" hidden="false" customHeight="false" outlineLevel="0" collapsed="false">
      <c r="A121" s="0" t="s">
        <v>392</v>
      </c>
      <c r="B121" s="0" t="s">
        <v>393</v>
      </c>
      <c r="C121" s="0" t="s">
        <v>76</v>
      </c>
      <c r="D121" s="0" t="n">
        <f aca="false">E20</f>
        <v>0.05</v>
      </c>
      <c r="E121" s="0" t="n">
        <f aca="false">E24</f>
        <v>0.03</v>
      </c>
      <c r="F121" s="0" t="n">
        <f aca="false">E28</f>
        <v>0.02</v>
      </c>
      <c r="G121" s="0" t="s">
        <v>33</v>
      </c>
      <c r="H121" s="4" t="s">
        <v>394</v>
      </c>
    </row>
    <row r="122" customFormat="false" ht="17.15" hidden="false" customHeight="false" outlineLevel="0" collapsed="false">
      <c r="A122" s="0" t="s">
        <v>395</v>
      </c>
      <c r="B122" s="0" t="s">
        <v>396</v>
      </c>
      <c r="C122" s="0" t="s">
        <v>76</v>
      </c>
      <c r="D122" s="0" t="n">
        <f aca="false">E21</f>
        <v>0.1</v>
      </c>
      <c r="E122" s="0" t="n">
        <f aca="false">E25</f>
        <v>0.05</v>
      </c>
      <c r="F122" s="0" t="n">
        <f aca="false">E29</f>
        <v>0.03</v>
      </c>
      <c r="G122" s="0" t="s">
        <v>33</v>
      </c>
      <c r="H122" s="4" t="s">
        <v>397</v>
      </c>
    </row>
    <row r="123" customFormat="false" ht="17.15" hidden="false" customHeight="false" outlineLevel="0" collapsed="false">
      <c r="A123" s="0" t="s">
        <v>398</v>
      </c>
      <c r="B123" s="0" t="s">
        <v>399</v>
      </c>
      <c r="C123" s="0" t="s">
        <v>76</v>
      </c>
      <c r="D123" s="0" t="n">
        <f aca="false">E22</f>
        <v>0.16</v>
      </c>
      <c r="E123" s="0" t="n">
        <f aca="false">E26</f>
        <v>0.08</v>
      </c>
      <c r="F123" s="0" t="n">
        <f aca="false">E30</f>
        <v>0.05</v>
      </c>
      <c r="G123" s="0" t="s">
        <v>33</v>
      </c>
      <c r="H123" s="4" t="s">
        <v>400</v>
      </c>
    </row>
    <row r="124" customFormat="false" ht="17.15" hidden="false" customHeight="false" outlineLevel="0" collapsed="false">
      <c r="A124" s="0" t="s">
        <v>401</v>
      </c>
      <c r="B124" s="4" t="s">
        <v>402</v>
      </c>
      <c r="C124" s="0" t="s">
        <v>120</v>
      </c>
      <c r="D124" s="0" t="n">
        <f aca="false">E39</f>
        <v>1.2</v>
      </c>
      <c r="E124" s="0" t="n">
        <f aca="false">E40</f>
        <v>1</v>
      </c>
      <c r="F124" s="0" t="n">
        <f aca="false">E41</f>
        <v>0.7</v>
      </c>
      <c r="G124" s="0" t="s">
        <v>33</v>
      </c>
      <c r="H124" s="4" t="s">
        <v>403</v>
      </c>
    </row>
    <row r="125" customFormat="false" ht="17.15" hidden="false" customHeight="false" outlineLevel="0" collapsed="false">
      <c r="A125" s="0" t="s">
        <v>404</v>
      </c>
      <c r="B125" s="4" t="s">
        <v>405</v>
      </c>
      <c r="C125" s="0" t="s">
        <v>45</v>
      </c>
      <c r="D125" s="0" t="n">
        <f aca="false">E44</f>
        <v>1.1</v>
      </c>
      <c r="E125" s="0" t="n">
        <f aca="false">E47</f>
        <v>1.05</v>
      </c>
      <c r="F125" s="0" t="n">
        <f aca="false">E50</f>
        <v>1</v>
      </c>
      <c r="G125" s="0" t="s">
        <v>33</v>
      </c>
      <c r="H125" s="4" t="s">
        <v>406</v>
      </c>
    </row>
    <row r="126" customFormat="false" ht="17.15" hidden="false" customHeight="false" outlineLevel="0" collapsed="false">
      <c r="A126" s="0" t="s">
        <v>407</v>
      </c>
      <c r="B126" s="4" t="s">
        <v>408</v>
      </c>
      <c r="C126" s="0" t="s">
        <v>45</v>
      </c>
      <c r="D126" s="0" t="n">
        <f aca="false">E45</f>
        <v>1.15</v>
      </c>
      <c r="E126" s="0" t="n">
        <f aca="false">E48</f>
        <v>1.08</v>
      </c>
      <c r="F126" s="0" t="n">
        <f aca="false">E51</f>
        <v>0.95</v>
      </c>
      <c r="G126" s="0" t="s">
        <v>33</v>
      </c>
      <c r="H126" s="4" t="s">
        <v>409</v>
      </c>
    </row>
    <row r="127" customFormat="false" ht="17.15" hidden="false" customHeight="false" outlineLevel="0" collapsed="false">
      <c r="A127" s="0" t="s">
        <v>410</v>
      </c>
      <c r="B127" s="4" t="s">
        <v>411</v>
      </c>
      <c r="C127" s="0" t="s">
        <v>45</v>
      </c>
      <c r="D127" s="0" t="n">
        <f aca="false">E46</f>
        <v>1.2</v>
      </c>
      <c r="E127" s="0" t="n">
        <f aca="false">E49</f>
        <v>1.1</v>
      </c>
      <c r="F127" s="0" t="n">
        <f aca="false">E52</f>
        <v>0.92</v>
      </c>
      <c r="G127" s="0" t="s">
        <v>33</v>
      </c>
      <c r="H127" s="4" t="s">
        <v>412</v>
      </c>
    </row>
    <row r="128" customFormat="false" ht="17.15" hidden="false" customHeight="false" outlineLevel="0" collapsed="false">
      <c r="A128" s="0" t="s">
        <v>413</v>
      </c>
      <c r="B128" s="0" t="s">
        <v>414</v>
      </c>
      <c r="C128" s="0" t="s">
        <v>76</v>
      </c>
      <c r="D128" s="0" t="n">
        <f aca="false">E109</f>
        <v>0.06</v>
      </c>
      <c r="E128" s="0" t="n">
        <f aca="false">E110</f>
        <v>0.04</v>
      </c>
      <c r="F128" s="0" t="n">
        <f aca="false">E111</f>
        <v>0.02</v>
      </c>
      <c r="G128" s="0" t="s">
        <v>33</v>
      </c>
      <c r="H128" s="4" t="s">
        <v>415</v>
      </c>
    </row>
    <row r="129" customFormat="false" ht="17.15" hidden="false" customHeight="false" outlineLevel="0" collapsed="false">
      <c r="A129" s="0" t="s">
        <v>416</v>
      </c>
      <c r="B129" s="0" t="s">
        <v>417</v>
      </c>
      <c r="C129" s="0" t="s">
        <v>76</v>
      </c>
      <c r="D129" s="14" t="n">
        <f aca="false">E112</f>
        <v>0.131805834814164</v>
      </c>
      <c r="E129" s="8" t="n">
        <f aca="false">E113</f>
        <v>0.0982647700722541</v>
      </c>
      <c r="F129" s="8" t="n">
        <f aca="false">E114</f>
        <v>0.0616430581791315</v>
      </c>
      <c r="G129" s="8" t="s">
        <v>33</v>
      </c>
      <c r="H129" s="4" t="s">
        <v>418</v>
      </c>
    </row>
    <row r="130" customFormat="false" ht="17.15" hidden="false" customHeight="false" outlineLevel="0" collapsed="false">
      <c r="A130" s="0" t="s">
        <v>419</v>
      </c>
      <c r="B130" s="4" t="s">
        <v>420</v>
      </c>
      <c r="C130" s="0" t="s">
        <v>76</v>
      </c>
      <c r="D130" s="0" t="n">
        <f aca="false">E102</f>
        <v>0.3</v>
      </c>
      <c r="E130" s="0" t="n">
        <f aca="false">E103</f>
        <v>0.5</v>
      </c>
      <c r="F130" s="0" t="n">
        <f aca="false">E104</f>
        <v>0.2</v>
      </c>
      <c r="G130" s="0" t="s">
        <v>33</v>
      </c>
      <c r="H130" s="4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10" min="9" style="0" width="60"/>
  </cols>
  <sheetData>
    <row r="1" customFormat="false" ht="17.15" hidden="false" customHeight="false" outlineLevel="0" collapsed="false">
      <c r="A1" s="0" t="s">
        <v>422</v>
      </c>
    </row>
    <row r="2" customFormat="false" ht="17.15" hidden="false" customHeight="false" outlineLevel="0" collapsed="false">
      <c r="A2" s="0" t="s">
        <v>423</v>
      </c>
    </row>
    <row r="3" customFormat="false" ht="17.15" hidden="false" customHeight="false" outlineLevel="0" collapsed="false">
      <c r="A3" s="5" t="s">
        <v>21</v>
      </c>
      <c r="B3" s="15" t="s">
        <v>424</v>
      </c>
      <c r="C3" s="15" t="s">
        <v>425</v>
      </c>
      <c r="D3" s="15" t="s">
        <v>426</v>
      </c>
      <c r="E3" s="15" t="s">
        <v>427</v>
      </c>
      <c r="F3" s="15" t="s">
        <v>428</v>
      </c>
      <c r="G3" s="15" t="s">
        <v>429</v>
      </c>
      <c r="H3" s="5" t="s">
        <v>26</v>
      </c>
      <c r="I3" s="5" t="s">
        <v>430</v>
      </c>
      <c r="J3" s="5" t="s">
        <v>28</v>
      </c>
    </row>
    <row r="4" customFormat="false" ht="17.15" hidden="false" customHeight="false" outlineLevel="0" collapsed="false">
      <c r="A4" s="4" t="s">
        <v>431</v>
      </c>
      <c r="B4" s="16" t="n">
        <v>645.388</v>
      </c>
      <c r="C4" s="16" t="n">
        <v>173.662</v>
      </c>
      <c r="D4" s="16" t="n">
        <v>191.064</v>
      </c>
      <c r="E4" s="16" t="n">
        <v>244.161</v>
      </c>
      <c r="F4" s="17" t="n">
        <f aca="false">F5+F8+F9</f>
        <v>262.280350940177</v>
      </c>
      <c r="G4" s="17" t="n">
        <f aca="false">SUM(C4:F4)</f>
        <v>871.167350940176</v>
      </c>
      <c r="H4" s="8" t="s">
        <v>432</v>
      </c>
      <c r="I4" s="8" t="s">
        <v>433</v>
      </c>
      <c r="J4" s="8" t="s">
        <v>434</v>
      </c>
    </row>
    <row r="5" customFormat="false" ht="17.15" hidden="false" customHeight="false" outlineLevel="0" collapsed="false">
      <c r="A5" s="4" t="s">
        <v>435</v>
      </c>
      <c r="B5" s="16" t="n">
        <v>389.228</v>
      </c>
      <c r="C5" s="16" t="n">
        <v>112.434</v>
      </c>
      <c r="D5" s="16" t="n">
        <v>126.148</v>
      </c>
      <c r="E5" s="16" t="n">
        <v>151.485</v>
      </c>
      <c r="F5" s="17" t="n">
        <f aca="false">E5*(1+q4_atm)</f>
        <v>169.6632</v>
      </c>
      <c r="G5" s="17" t="n">
        <f aca="false">SUM(C5:F5)</f>
        <v>559.7302</v>
      </c>
      <c r="H5" s="8" t="s">
        <v>436</v>
      </c>
      <c r="I5" s="8" t="s">
        <v>433</v>
      </c>
      <c r="J5" s="8" t="s">
        <v>437</v>
      </c>
    </row>
    <row r="6" customFormat="false" ht="17.15" hidden="false" customHeight="false" outlineLevel="0" collapsed="false">
      <c r="A6" s="0" t="s">
        <v>438</v>
      </c>
      <c r="B6" s="17" t="n">
        <f aca="false">leap25*fx25</f>
        <v>49.6</v>
      </c>
      <c r="C6" s="17" t="n">
        <f aca="false">C5*lsh_1h</f>
        <v>20.23812</v>
      </c>
      <c r="D6" s="17" t="n">
        <f aca="false">D5*lsh_1h</f>
        <v>22.70664</v>
      </c>
      <c r="E6" s="17" t="n">
        <f aca="false">E5*lsh_3q</f>
        <v>33.3267</v>
      </c>
      <c r="F6" s="17" t="n">
        <f aca="false">leap26*31.9-SUM(C6:E6)</f>
        <v>51.32854</v>
      </c>
      <c r="G6" s="17" t="n">
        <f aca="false">SUM(C6:F6)</f>
        <v>127.6</v>
      </c>
      <c r="H6" s="8" t="s">
        <v>439</v>
      </c>
      <c r="I6" s="8" t="s">
        <v>433</v>
      </c>
      <c r="J6" s="8" t="s">
        <v>440</v>
      </c>
    </row>
    <row r="7" customFormat="false" ht="17.15" hidden="false" customHeight="false" outlineLevel="0" collapsed="false">
      <c r="A7" s="4" t="s">
        <v>441</v>
      </c>
      <c r="B7" s="17" t="n">
        <f aca="false">B5-B6</f>
        <v>339.628</v>
      </c>
      <c r="C7" s="17" t="n">
        <f aca="false">C5-C6</f>
        <v>92.19588</v>
      </c>
      <c r="D7" s="17" t="n">
        <f aca="false">D5-D6</f>
        <v>103.44136</v>
      </c>
      <c r="E7" s="17" t="n">
        <f aca="false">E5-E6</f>
        <v>118.1583</v>
      </c>
      <c r="F7" s="17" t="n">
        <f aca="false">F5-F6</f>
        <v>118.33466</v>
      </c>
      <c r="G7" s="17" t="n">
        <f aca="false">SUM(C7:F7)</f>
        <v>432.1302</v>
      </c>
      <c r="H7" s="8" t="s">
        <v>33</v>
      </c>
      <c r="I7" s="8" t="s">
        <v>206</v>
      </c>
      <c r="J7" s="8" t="s">
        <v>206</v>
      </c>
    </row>
    <row r="8" customFormat="false" ht="17.15" hidden="false" customHeight="false" outlineLevel="0" collapsed="false">
      <c r="A8" s="0" t="s">
        <v>442</v>
      </c>
      <c r="B8" s="16" t="n">
        <v>259.079</v>
      </c>
      <c r="C8" s="16" t="n">
        <v>61.875</v>
      </c>
      <c r="D8" s="16" t="n">
        <v>65.789</v>
      </c>
      <c r="E8" s="16" t="n">
        <v>93.469</v>
      </c>
      <c r="F8" s="17" t="n">
        <f aca="false">E8*(1+q4_ems)</f>
        <v>93.469</v>
      </c>
      <c r="G8" s="17" t="n">
        <f aca="false">SUM(C8:F8)</f>
        <v>314.602</v>
      </c>
      <c r="H8" s="8" t="s">
        <v>436</v>
      </c>
      <c r="I8" s="8" t="s">
        <v>433</v>
      </c>
      <c r="J8" s="8" t="s">
        <v>443</v>
      </c>
    </row>
    <row r="9" customFormat="false" ht="17.15" hidden="false" customHeight="false" outlineLevel="0" collapsed="false">
      <c r="A9" s="4" t="s">
        <v>444</v>
      </c>
      <c r="B9" s="17" t="n">
        <f aca="false">B4-B5-B8</f>
        <v>-2.91899999999998</v>
      </c>
      <c r="C9" s="17" t="n">
        <f aca="false">C4-C5-C8</f>
        <v>-0.646999999999991</v>
      </c>
      <c r="D9" s="17" t="n">
        <f aca="false">D4-D5-D8</f>
        <v>-0.873000000000005</v>
      </c>
      <c r="E9" s="17" t="n">
        <f aca="false">E4-E5-E8</f>
        <v>-0.793000000000006</v>
      </c>
      <c r="F9" s="17" t="n">
        <f aca="false">E9/(E5+E8)*(F5+F8)</f>
        <v>-0.851849059823484</v>
      </c>
      <c r="G9" s="17" t="n">
        <f aca="false">SUM(C9:F9)</f>
        <v>-3.16484905982349</v>
      </c>
      <c r="H9" s="8" t="s">
        <v>33</v>
      </c>
      <c r="I9" s="8" t="s">
        <v>206</v>
      </c>
      <c r="J9" s="8" t="s">
        <v>445</v>
      </c>
    </row>
    <row r="10" customFormat="false" ht="17.15" hidden="false" customHeight="false" outlineLevel="0" collapsed="false">
      <c r="A10" s="4" t="s">
        <v>446</v>
      </c>
      <c r="B10" s="16" t="n">
        <v>91.38</v>
      </c>
      <c r="C10" s="16" t="n">
        <v>29.198</v>
      </c>
      <c r="D10" s="16" t="n">
        <v>34.487</v>
      </c>
      <c r="E10" s="16" t="n">
        <v>46.412</v>
      </c>
      <c r="F10" s="17" t="n">
        <f aca="false">F5*F11</f>
        <v>54.526388</v>
      </c>
      <c r="G10" s="17" t="n">
        <f aca="false">SUM(C10:F10)</f>
        <v>164.623388</v>
      </c>
      <c r="H10" s="8" t="s">
        <v>432</v>
      </c>
      <c r="I10" s="8" t="s">
        <v>433</v>
      </c>
      <c r="J10" s="8" t="s">
        <v>206</v>
      </c>
    </row>
    <row r="11" customFormat="false" ht="17.15" hidden="false" customHeight="false" outlineLevel="0" collapsed="false">
      <c r="A11" s="4" t="s">
        <v>447</v>
      </c>
      <c r="B11" s="14" t="n">
        <f aca="false">B10/B5</f>
        <v>0.234772421305764</v>
      </c>
      <c r="C11" s="14" t="n">
        <f aca="false">C10/C5</f>
        <v>0.259690129320312</v>
      </c>
      <c r="D11" s="14" t="n">
        <f aca="false">D10/D5</f>
        <v>0.273385230047246</v>
      </c>
      <c r="E11" s="14" t="n">
        <f aca="false">E10/E5</f>
        <v>0.306380169653761</v>
      </c>
      <c r="F11" s="14" t="n">
        <f aca="false">E11+q4_atmgm</f>
        <v>0.321380169653761</v>
      </c>
      <c r="G11" s="14" t="n">
        <f aca="false">G10/G5</f>
        <v>0.294112034690999</v>
      </c>
      <c r="H11" s="8" t="s">
        <v>33</v>
      </c>
      <c r="I11" s="8" t="s">
        <v>206</v>
      </c>
      <c r="J11" s="4" t="s">
        <v>448</v>
      </c>
    </row>
    <row r="12" customFormat="false" ht="17.15" hidden="false" customHeight="false" outlineLevel="0" collapsed="false">
      <c r="A12" s="0" t="s">
        <v>449</v>
      </c>
      <c r="B12" s="16" t="n">
        <v>23.695</v>
      </c>
      <c r="C12" s="16" t="n">
        <v>5.862</v>
      </c>
      <c r="D12" s="16" t="n">
        <v>5.873</v>
      </c>
      <c r="E12" s="16" t="n">
        <v>7.793</v>
      </c>
      <c r="F12" s="17" t="n">
        <f aca="false">F8*q4_emsgm</f>
        <v>7.47752</v>
      </c>
      <c r="G12" s="17" t="n">
        <f aca="false">SUM(C12:F12)</f>
        <v>27.00552</v>
      </c>
      <c r="H12" s="8" t="s">
        <v>432</v>
      </c>
      <c r="I12" s="8" t="s">
        <v>433</v>
      </c>
      <c r="J12" s="8" t="s">
        <v>206</v>
      </c>
    </row>
    <row r="13" customFormat="false" ht="15" hidden="false" customHeight="false" outlineLevel="0" collapsed="false">
      <c r="A13" s="4" t="s">
        <v>450</v>
      </c>
      <c r="B13" s="17" t="n">
        <f aca="false">B14-B10-B12</f>
        <v>-0.881999999999998</v>
      </c>
      <c r="C13" s="17" t="n">
        <f aca="false">C14-C10-C12</f>
        <v>-0.242000000000003</v>
      </c>
      <c r="D13" s="17" t="n">
        <f aca="false">D14-D10-D12</f>
        <v>-0.213000000000004</v>
      </c>
      <c r="E13" s="17" t="n">
        <f aca="false">E14-E10-E12</f>
        <v>-0.238</v>
      </c>
      <c r="F13" s="17" t="n">
        <f aca="false">E13/E9*F9</f>
        <v>-0.255662139013856</v>
      </c>
      <c r="G13" s="17" t="n">
        <f aca="false">SUM(C13:F13)</f>
        <v>-0.948662139013863</v>
      </c>
      <c r="H13" s="8" t="s">
        <v>33</v>
      </c>
      <c r="I13" s="8" t="s">
        <v>206</v>
      </c>
      <c r="J13" s="8" t="s">
        <v>206</v>
      </c>
    </row>
    <row r="14" customFormat="false" ht="17.15" hidden="false" customHeight="false" outlineLevel="0" collapsed="false">
      <c r="A14" s="4" t="s">
        <v>451</v>
      </c>
      <c r="B14" s="16" t="n">
        <v>114.193</v>
      </c>
      <c r="C14" s="16" t="n">
        <v>34.818</v>
      </c>
      <c r="D14" s="16" t="n">
        <v>40.147</v>
      </c>
      <c r="E14" s="16" t="n">
        <v>53.967</v>
      </c>
      <c r="F14" s="17" t="n">
        <f aca="false">F10+F12+F13</f>
        <v>61.7482458609861</v>
      </c>
      <c r="G14" s="17" t="n">
        <f aca="false">SUM(C14:F14)</f>
        <v>190.680245860986</v>
      </c>
      <c r="H14" s="8" t="s">
        <v>432</v>
      </c>
      <c r="I14" s="8" t="s">
        <v>433</v>
      </c>
      <c r="J14" s="8" t="s">
        <v>206</v>
      </c>
    </row>
    <row r="15" customFormat="false" ht="17.15" hidden="false" customHeight="false" outlineLevel="0" collapsed="false">
      <c r="A15" s="4" t="s">
        <v>452</v>
      </c>
      <c r="B15" s="14" t="n">
        <f aca="false">B14/B4</f>
        <v>0.176936974347214</v>
      </c>
      <c r="C15" s="14" t="n">
        <f aca="false">C14/C4</f>
        <v>0.200492911517776</v>
      </c>
      <c r="D15" s="14" t="n">
        <f aca="false">D14/D4</f>
        <v>0.210123309466985</v>
      </c>
      <c r="E15" s="14" t="n">
        <f aca="false">E14/E4</f>
        <v>0.221030385688132</v>
      </c>
      <c r="F15" s="14" t="n">
        <f aca="false">F14/F4</f>
        <v>0.235428409484896</v>
      </c>
      <c r="G15" s="14" t="n">
        <f aca="false">G14/G4</f>
        <v>0.218879008327391</v>
      </c>
      <c r="H15" s="8" t="s">
        <v>33</v>
      </c>
      <c r="I15" s="8" t="s">
        <v>206</v>
      </c>
      <c r="J15" s="4" t="s">
        <v>453</v>
      </c>
    </row>
    <row r="16" customFormat="false" ht="15" hidden="false" customHeight="false" outlineLevel="0" collapsed="false">
      <c r="A16" s="4" t="s">
        <v>454</v>
      </c>
      <c r="B16" s="17" t="n">
        <f aca="false">B14-B17</f>
        <v>63.437</v>
      </c>
      <c r="C16" s="17" t="n">
        <f aca="false">C14-C17</f>
        <v>17.325</v>
      </c>
      <c r="D16" s="17" t="n">
        <f aca="false">D14-D17</f>
        <v>19.017</v>
      </c>
      <c r="E16" s="17" t="n">
        <f aca="false">E14-E17</f>
        <v>20.825</v>
      </c>
      <c r="F16" s="17" t="n">
        <f aca="false">E16*(1+q4_opx)</f>
        <v>22.491</v>
      </c>
      <c r="G16" s="17" t="n">
        <f aca="false">SUM(C16:F16)</f>
        <v>79.658</v>
      </c>
      <c r="H16" s="8" t="s">
        <v>33</v>
      </c>
      <c r="I16" s="8" t="s">
        <v>206</v>
      </c>
      <c r="J16" s="8" t="s">
        <v>206</v>
      </c>
    </row>
    <row r="17" customFormat="false" ht="17.15" hidden="false" customHeight="false" outlineLevel="0" collapsed="false">
      <c r="A17" s="4" t="s">
        <v>455</v>
      </c>
      <c r="B17" s="16" t="n">
        <v>50.756</v>
      </c>
      <c r="C17" s="16" t="n">
        <v>17.493</v>
      </c>
      <c r="D17" s="16" t="n">
        <v>21.13</v>
      </c>
      <c r="E17" s="16" t="n">
        <v>33.142</v>
      </c>
      <c r="F17" s="17" t="n">
        <f aca="false">F14-F16</f>
        <v>39.2572458609861</v>
      </c>
      <c r="G17" s="17" t="n">
        <f aca="false">SUM(C17:F17)</f>
        <v>111.022245860986</v>
      </c>
      <c r="H17" s="8" t="s">
        <v>432</v>
      </c>
      <c r="I17" s="8" t="s">
        <v>433</v>
      </c>
      <c r="J17" s="8" t="s">
        <v>206</v>
      </c>
    </row>
    <row r="18" customFormat="false" ht="17.15" hidden="false" customHeight="false" outlineLevel="0" collapsed="false">
      <c r="A18" s="4" t="s">
        <v>456</v>
      </c>
      <c r="B18" s="16" t="n">
        <v>0.545</v>
      </c>
      <c r="C18" s="16" t="n">
        <v>0.668</v>
      </c>
      <c r="D18" s="16" t="n">
        <v>4.566</v>
      </c>
      <c r="E18" s="17" t="n">
        <f aca="false">E19-E17</f>
        <v>-0.432000000000002</v>
      </c>
      <c r="F18" s="17" t="n">
        <f aca="false">q4_nonop</f>
        <v>-0.5</v>
      </c>
      <c r="G18" s="17" t="n">
        <f aca="false">SUM(C18:F18)</f>
        <v>4.302</v>
      </c>
      <c r="H18" s="8" t="s">
        <v>457</v>
      </c>
      <c r="I18" s="8" t="s">
        <v>433</v>
      </c>
      <c r="J18" s="8" t="s">
        <v>458</v>
      </c>
    </row>
    <row r="19" customFormat="false" ht="17.15" hidden="false" customHeight="false" outlineLevel="0" collapsed="false">
      <c r="A19" s="4" t="s">
        <v>459</v>
      </c>
      <c r="B19" s="16" t="n">
        <v>51.301</v>
      </c>
      <c r="C19" s="16" t="n">
        <v>18.161</v>
      </c>
      <c r="D19" s="16" t="n">
        <v>25.696</v>
      </c>
      <c r="E19" s="16" t="n">
        <v>32.71</v>
      </c>
      <c r="F19" s="17" t="n">
        <f aca="false">F17+F18</f>
        <v>38.7572458609861</v>
      </c>
      <c r="G19" s="17" t="n">
        <f aca="false">SUM(C19:F19)</f>
        <v>115.324245860986</v>
      </c>
      <c r="H19" s="8" t="s">
        <v>432</v>
      </c>
      <c r="I19" s="8" t="s">
        <v>433</v>
      </c>
      <c r="J19" s="8" t="s">
        <v>206</v>
      </c>
    </row>
    <row r="20" customFormat="false" ht="17.15" hidden="false" customHeight="false" outlineLevel="0" collapsed="false">
      <c r="A20" s="4" t="s">
        <v>460</v>
      </c>
      <c r="B20" s="16" t="n">
        <v>9.461</v>
      </c>
      <c r="C20" s="16" t="n">
        <v>3.629</v>
      </c>
      <c r="D20" s="16" t="n">
        <v>4.171</v>
      </c>
      <c r="E20" s="16" t="n">
        <v>4.831</v>
      </c>
      <c r="F20" s="17" t="n">
        <f aca="false">F19*q4_tax</f>
        <v>6.58873179636765</v>
      </c>
      <c r="G20" s="17" t="n">
        <f aca="false">SUM(C20:F20)</f>
        <v>19.2197317963676</v>
      </c>
      <c r="H20" s="8" t="s">
        <v>432</v>
      </c>
      <c r="I20" s="8" t="s">
        <v>433</v>
      </c>
      <c r="J20" s="8" t="s">
        <v>206</v>
      </c>
    </row>
    <row r="21" customFormat="false" ht="17.15" hidden="false" customHeight="false" outlineLevel="0" collapsed="false">
      <c r="A21" s="4" t="s">
        <v>461</v>
      </c>
      <c r="B21" s="16" t="n">
        <v>1.182</v>
      </c>
      <c r="C21" s="16" t="n">
        <v>0.4</v>
      </c>
      <c r="D21" s="16" t="n">
        <v>0.46</v>
      </c>
      <c r="E21" s="16" t="n">
        <v>0.883</v>
      </c>
      <c r="F21" s="17" t="n">
        <f aca="false">q4_nci</f>
        <v>0.8</v>
      </c>
      <c r="G21" s="17" t="n">
        <f aca="false">SUM(C21:F21)</f>
        <v>2.543</v>
      </c>
      <c r="H21" s="8" t="s">
        <v>432</v>
      </c>
      <c r="I21" s="8" t="s">
        <v>433</v>
      </c>
      <c r="J21" s="8" t="s">
        <v>206</v>
      </c>
    </row>
    <row r="22" customFormat="false" ht="17.15" hidden="false" customHeight="false" outlineLevel="0" collapsed="false">
      <c r="A22" s="4" t="s">
        <v>462</v>
      </c>
      <c r="B22" s="16" t="n">
        <v>40.658</v>
      </c>
      <c r="C22" s="16" t="n">
        <v>14.132</v>
      </c>
      <c r="D22" s="16" t="n">
        <v>21.065</v>
      </c>
      <c r="E22" s="16" t="n">
        <v>26.996</v>
      </c>
      <c r="F22" s="17" t="n">
        <f aca="false">F19-F20-F21</f>
        <v>31.3685140646185</v>
      </c>
      <c r="G22" s="17" t="n">
        <f aca="false">SUM(C22:F22)</f>
        <v>93.5615140646185</v>
      </c>
      <c r="H22" s="8" t="s">
        <v>432</v>
      </c>
      <c r="I22" s="8" t="s">
        <v>433</v>
      </c>
      <c r="J22" s="8" t="s">
        <v>206</v>
      </c>
    </row>
    <row r="23" customFormat="false" ht="17.15" hidden="false" customHeight="false" outlineLevel="0" collapsed="false">
      <c r="A23" s="4" t="s">
        <v>463</v>
      </c>
      <c r="B23" s="18" t="n">
        <f aca="false">B22/B25*1000</f>
        <v>4339.16755602988</v>
      </c>
      <c r="C23" s="18" t="n">
        <f aca="false">C22/C25*1000</f>
        <v>4375.23219814242</v>
      </c>
      <c r="D23" s="18" t="n">
        <f aca="false">D22/D25*1000</f>
        <v>4388.54166666667</v>
      </c>
      <c r="E23" s="18" t="n">
        <f aca="false">E22/E25*1000</f>
        <v>4403.91517128874</v>
      </c>
      <c r="F23" s="18" t="n">
        <f aca="false">E23</f>
        <v>4403.91517128874</v>
      </c>
      <c r="G23" s="18" t="n">
        <f aca="false">AVERAGE(C23:F23)</f>
        <v>4392.90105184664</v>
      </c>
      <c r="H23" s="8" t="s">
        <v>33</v>
      </c>
      <c r="I23" s="4" t="s">
        <v>464</v>
      </c>
      <c r="J23" s="8" t="s">
        <v>206</v>
      </c>
    </row>
    <row r="24" customFormat="false" ht="17.15" hidden="false" customHeight="false" outlineLevel="0" collapsed="false">
      <c r="A24" s="0" t="s">
        <v>465</v>
      </c>
      <c r="B24" s="19" t="n">
        <f aca="false">B22/B23*1000</f>
        <v>9.37</v>
      </c>
      <c r="C24" s="19" t="n">
        <f aca="false">C22/C23*1000</f>
        <v>3.23</v>
      </c>
      <c r="D24" s="19" t="n">
        <f aca="false">D22/D23*1000</f>
        <v>4.8</v>
      </c>
      <c r="E24" s="19" t="n">
        <f aca="false">E22/E23*1000</f>
        <v>6.13</v>
      </c>
      <c r="F24" s="19" t="n">
        <f aca="false">F22/F23*1000</f>
        <v>7.12286972944553</v>
      </c>
      <c r="G24" s="19" t="n">
        <f aca="false">SUM(C24:F24)</f>
        <v>21.2828697294455</v>
      </c>
      <c r="H24" s="8" t="s">
        <v>33</v>
      </c>
      <c r="I24" s="4" t="s">
        <v>466</v>
      </c>
      <c r="J24" s="8" t="s">
        <v>206</v>
      </c>
    </row>
    <row r="25" customFormat="false" ht="17.15" hidden="false" customHeight="false" outlineLevel="0" collapsed="false">
      <c r="A25" s="4" t="s">
        <v>467</v>
      </c>
      <c r="B25" s="20" t="n">
        <v>9.37</v>
      </c>
      <c r="C25" s="20" t="n">
        <v>3.23</v>
      </c>
      <c r="D25" s="20" t="n">
        <v>4.8</v>
      </c>
      <c r="E25" s="20" t="n">
        <v>6.13</v>
      </c>
      <c r="H25" s="8" t="s">
        <v>432</v>
      </c>
      <c r="I25" s="8" t="s">
        <v>433</v>
      </c>
      <c r="J25" s="4" t="s">
        <v>468</v>
      </c>
    </row>
    <row r="26" customFormat="false" ht="17.15" hidden="false" customHeight="false" outlineLevel="0" collapsed="false">
      <c r="A26" s="4" t="s">
        <v>469</v>
      </c>
      <c r="B26" s="17" t="n">
        <f aca="false">126.011-B17</f>
        <v>75.255</v>
      </c>
      <c r="C26" s="17" t="n">
        <f aca="false">38.147-C17</f>
        <v>20.654</v>
      </c>
      <c r="D26" s="17" t="n">
        <f aca="false">45.779-D17</f>
        <v>24.649</v>
      </c>
      <c r="E26" s="17" t="n">
        <f aca="false">57.963-E17</f>
        <v>24.821</v>
      </c>
      <c r="F26" s="17" t="n">
        <f aca="false">q4_da</f>
        <v>27</v>
      </c>
      <c r="G26" s="17" t="n">
        <f aca="false">SUM(C26:F26)</f>
        <v>97.124</v>
      </c>
      <c r="H26" s="8" t="s">
        <v>33</v>
      </c>
      <c r="I26" s="8" t="s">
        <v>433</v>
      </c>
      <c r="J26" s="8" t="s">
        <v>470</v>
      </c>
    </row>
    <row r="27" customFormat="false" ht="17.15" hidden="false" customHeight="false" outlineLevel="0" collapsed="false">
      <c r="A27" s="4" t="s">
        <v>471</v>
      </c>
      <c r="B27" s="19" t="n">
        <f aca="false">capex25</f>
        <v>5.5</v>
      </c>
      <c r="G27" s="19" t="n">
        <f aca="false">capex26</f>
        <v>11.5</v>
      </c>
      <c r="H27" s="8" t="s">
        <v>121</v>
      </c>
      <c r="I27" s="8" t="s">
        <v>433</v>
      </c>
      <c r="J27" s="4" t="s">
        <v>472</v>
      </c>
    </row>
    <row r="28" customFormat="false" ht="17.15" hidden="false" customHeight="false" outlineLevel="0" collapsed="false">
      <c r="A28" s="4" t="s">
        <v>473</v>
      </c>
      <c r="B28" s="21" t="n">
        <f aca="false">B27*fx25/B4</f>
        <v>0.264182166386732</v>
      </c>
      <c r="G28" s="21" t="n">
        <f aca="false">G27*31.9/G4</f>
        <v>0.421101639775745</v>
      </c>
      <c r="H28" s="8" t="s">
        <v>33</v>
      </c>
      <c r="I28" s="8" t="s">
        <v>206</v>
      </c>
      <c r="J28" s="8" t="s">
        <v>474</v>
      </c>
    </row>
    <row r="29" customFormat="false" ht="17.15" hidden="false" customHeight="false" outlineLevel="0" collapsed="false">
      <c r="A29" s="0" t="s">
        <v>475</v>
      </c>
      <c r="B29" s="21" t="n">
        <f aca="false">B6/B5</f>
        <v>0.127431736668482</v>
      </c>
      <c r="C29" s="21" t="n">
        <f aca="false">C6/C5</f>
        <v>0.18</v>
      </c>
      <c r="D29" s="21" t="n">
        <f aca="false">D6/D5</f>
        <v>0.18</v>
      </c>
      <c r="E29" s="21" t="n">
        <f aca="false">E6/E5</f>
        <v>0.22</v>
      </c>
      <c r="F29" s="21" t="n">
        <f aca="false">F6/F5</f>
        <v>0.302531957430957</v>
      </c>
      <c r="G29" s="21" t="n">
        <f aca="false">G6/G5</f>
        <v>0.227966974088588</v>
      </c>
      <c r="H29" s="8" t="s">
        <v>33</v>
      </c>
      <c r="I29" s="8" t="s">
        <v>206</v>
      </c>
      <c r="J29" s="8" t="s">
        <v>206</v>
      </c>
    </row>
    <row r="31" customFormat="false" ht="17.15" hidden="false" customHeight="false" outlineLevel="0" collapsed="false">
      <c r="A31" s="6" t="s">
        <v>476</v>
      </c>
    </row>
    <row r="32" customFormat="false" ht="17.15" hidden="false" customHeight="false" outlineLevel="0" collapsed="false">
      <c r="A32" s="0" t="s">
        <v>477</v>
      </c>
      <c r="B32" s="21" t="n">
        <f aca="false">G4/B4-1</f>
        <v>0.349835061916516</v>
      </c>
    </row>
    <row r="33" customFormat="false" ht="17.15" hidden="false" customHeight="false" outlineLevel="0" collapsed="false">
      <c r="A33" s="0" t="s">
        <v>478</v>
      </c>
      <c r="B33" s="21" t="n">
        <f aca="false">G5/B5-1</f>
        <v>0.438052247012034</v>
      </c>
    </row>
    <row r="34" customFormat="false" ht="17.15" hidden="false" customHeight="false" outlineLevel="0" collapsed="false">
      <c r="A34" s="0" t="s">
        <v>479</v>
      </c>
      <c r="B34" s="21" t="n">
        <f aca="false">G7/B7-1</f>
        <v>0.272363291601399</v>
      </c>
    </row>
    <row r="35" customFormat="false" ht="17.15" hidden="false" customHeight="false" outlineLevel="0" collapsed="false">
      <c r="A35" s="4" t="s">
        <v>480</v>
      </c>
      <c r="B35" s="21" t="n">
        <f aca="false">((G10+G26)-(B10+B26))/(G5-B5)</f>
        <v>0.557836719995402</v>
      </c>
    </row>
    <row r="36" customFormat="false" ht="17.15" hidden="false" customHeight="false" outlineLevel="0" collapsed="false">
      <c r="A36" s="4" t="s">
        <v>481</v>
      </c>
      <c r="B36" s="19" t="n">
        <f aca="false">(G16/B16-1)/(G4/B4-1)</f>
        <v>0.730923042988422</v>
      </c>
    </row>
    <row r="37" customFormat="false" ht="17.15" hidden="false" customHeight="false" outlineLevel="0" collapsed="false">
      <c r="A37" s="0" t="s">
        <v>482</v>
      </c>
      <c r="B37" s="21" t="n">
        <f aca="false">F4/E4-1</f>
        <v>0.074210668125444</v>
      </c>
    </row>
    <row r="38" customFormat="false" ht="17.15" hidden="false" customHeight="false" outlineLevel="0" collapsed="false">
      <c r="A38" s="0" t="s">
        <v>483</v>
      </c>
      <c r="B38" s="21" t="n">
        <f aca="false">F15</f>
        <v>0.235428409484896</v>
      </c>
    </row>
    <row r="39" customFormat="false" ht="17.15" hidden="false" customHeight="false" outlineLevel="0" collapsed="false">
      <c r="A39" s="0" t="s">
        <v>484</v>
      </c>
      <c r="B39" s="21" t="n">
        <f aca="false">F17/F4</f>
        <v>0.149676655991437</v>
      </c>
    </row>
    <row r="40" customFormat="false" ht="17.15" hidden="false" customHeight="false" outlineLevel="0" collapsed="false">
      <c r="A40" s="0" t="s">
        <v>485</v>
      </c>
      <c r="B40" s="22" t="n">
        <f aca="false">B10+B12+B13-B14</f>
        <v>0</v>
      </c>
    </row>
    <row r="41" customFormat="false" ht="17.15" hidden="false" customHeight="false" outlineLevel="0" collapsed="false">
      <c r="A41" s="0" t="s">
        <v>486</v>
      </c>
      <c r="B41" s="22" t="n">
        <f aca="false">E24-E25</f>
        <v>0</v>
      </c>
    </row>
    <row r="43" customFormat="false" ht="15" hidden="false" customHeight="false" outlineLevel="0" collapsed="false">
      <c r="A43" s="1" t="s">
        <v>487</v>
      </c>
      <c r="B43" s="22" t="n">
        <f aca="false">ROUND(B5+B8+B9-B4,6)</f>
        <v>0</v>
      </c>
      <c r="C43" s="22" t="n">
        <f aca="false">ROUND(C5+C8+C9-C4,6)</f>
        <v>0</v>
      </c>
      <c r="D43" s="22" t="n">
        <f aca="false">ROUND(D5+D8+D9-D4,6)</f>
        <v>0</v>
      </c>
      <c r="E43" s="22" t="n">
        <f aca="false">ROUND(E5+E8+E9-E4,6)</f>
        <v>0</v>
      </c>
      <c r="F43" s="22" t="n">
        <f aca="false">ROUND(F5+F8+F9-F4,6)</f>
        <v>0</v>
      </c>
      <c r="G43" s="22" t="n">
        <f aca="false">ROUND(G5+G8+G9-G4,6)</f>
        <v>0</v>
      </c>
    </row>
    <row r="44" customFormat="false" ht="17.15" hidden="false" customHeight="false" outlineLevel="0" collapsed="false">
      <c r="A44" s="4" t="s">
        <v>488</v>
      </c>
    </row>
    <row r="45" customFormat="false" ht="17.15" hidden="false" customHeight="false" outlineLevel="0" collapsed="false">
      <c r="A45" s="1" t="s">
        <v>489</v>
      </c>
      <c r="B45" s="22" t="n">
        <f aca="false">ROUND(B6+B7-B5,6)</f>
        <v>0</v>
      </c>
      <c r="C45" s="22" t="n">
        <f aca="false">ROUND(C6+C7-C5,6)</f>
        <v>0</v>
      </c>
      <c r="D45" s="22" t="n">
        <f aca="false">ROUND(D6+D7-D5,6)</f>
        <v>0</v>
      </c>
      <c r="E45" s="22" t="n">
        <f aca="false">ROUND(E6+E7-E5,6)</f>
        <v>0</v>
      </c>
      <c r="F45" s="22" t="n">
        <f aca="false">ROUND(F6+F7-F5,6)</f>
        <v>0</v>
      </c>
      <c r="G45" s="22" t="n">
        <f aca="false">ROUND(G6+G7-G5,6)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490</v>
      </c>
    </row>
    <row r="3" customFormat="false" ht="15" hidden="false" customHeight="false" outlineLevel="0" collapsed="false">
      <c r="A3" s="5" t="s">
        <v>21</v>
      </c>
      <c r="B3" s="5" t="s">
        <v>22</v>
      </c>
      <c r="C3" s="15" t="s">
        <v>491</v>
      </c>
      <c r="D3" s="15" t="s">
        <v>492</v>
      </c>
      <c r="E3" s="15" t="s">
        <v>493</v>
      </c>
      <c r="F3" s="15" t="s">
        <v>494</v>
      </c>
      <c r="G3" s="5" t="s">
        <v>382</v>
      </c>
    </row>
    <row r="4" customFormat="false" ht="17.15" hidden="false" customHeight="false" outlineLevel="0" collapsed="false">
      <c r="A4" s="0" t="s">
        <v>495</v>
      </c>
      <c r="B4" s="4" t="s">
        <v>32</v>
      </c>
      <c r="C4" s="19" t="n">
        <f aca="false">PL!D73</f>
        <v>15.2</v>
      </c>
      <c r="D4" s="19" t="n">
        <f aca="false">PL!E73</f>
        <v>23.7</v>
      </c>
      <c r="E4" s="19" t="n">
        <f aca="false">PL!F73</f>
        <v>26.5</v>
      </c>
      <c r="F4" s="19" t="n">
        <f aca="false">PL!G73</f>
        <v>30.15</v>
      </c>
      <c r="G4" s="8" t="s">
        <v>496</v>
      </c>
    </row>
    <row r="5" customFormat="false" ht="17.15" hidden="false" customHeight="false" outlineLevel="0" collapsed="false">
      <c r="A5" s="4" t="s">
        <v>497</v>
      </c>
      <c r="B5" s="0" t="s">
        <v>45</v>
      </c>
      <c r="C5" s="22" t="n">
        <f aca="false">PL!D74</f>
        <v>1</v>
      </c>
      <c r="D5" s="22" t="n">
        <f aca="false">PL!E74</f>
        <v>1.278156</v>
      </c>
      <c r="E5" s="22" t="n">
        <f aca="false">PL!F74</f>
        <v>1.428615</v>
      </c>
      <c r="F5" s="22" t="n">
        <f aca="false">PL!G74</f>
        <v>1.431796</v>
      </c>
      <c r="G5" s="8" t="s">
        <v>498</v>
      </c>
    </row>
    <row r="6" customFormat="false" ht="17.15" hidden="false" customHeight="false" outlineLevel="0" collapsed="false">
      <c r="A6" s="4" t="s">
        <v>499</v>
      </c>
      <c r="B6" s="0" t="s">
        <v>45</v>
      </c>
      <c r="C6" s="19" t="n">
        <f aca="false">PL!D75</f>
        <v>1</v>
      </c>
      <c r="D6" s="19" t="n">
        <f aca="false">PL!E75</f>
        <v>1.1</v>
      </c>
      <c r="E6" s="19" t="n">
        <f aca="false">PL!F75</f>
        <v>1.15</v>
      </c>
      <c r="F6" s="19" t="n">
        <f aca="false">PL!G75</f>
        <v>1.2</v>
      </c>
      <c r="G6" s="8" t="s">
        <v>500</v>
      </c>
    </row>
    <row r="7" customFormat="false" ht="17.15" hidden="false" customHeight="false" outlineLevel="0" collapsed="false">
      <c r="A7" s="4" t="s">
        <v>501</v>
      </c>
      <c r="B7" s="0" t="s">
        <v>502</v>
      </c>
      <c r="C7" s="23" t="n">
        <f aca="false">PL!D76</f>
        <v>236.842105263158</v>
      </c>
      <c r="D7" s="23" t="n">
        <f aca="false">PL!E76</f>
        <v>267.763172119488</v>
      </c>
      <c r="E7" s="23" t="n">
        <f aca="false">PL!F76</f>
        <v>283.084777049615</v>
      </c>
      <c r="F7" s="23" t="n">
        <f aca="false">PL!G76</f>
        <v>283.399764630809</v>
      </c>
      <c r="G7" s="8" t="s">
        <v>503</v>
      </c>
    </row>
    <row r="8" customFormat="false" ht="17.15" hidden="false" customHeight="false" outlineLevel="0" collapsed="false">
      <c r="A8" s="0" t="s">
        <v>504</v>
      </c>
      <c r="B8" s="0" t="s">
        <v>120</v>
      </c>
      <c r="C8" s="19" t="n">
        <f aca="false">PL!D77</f>
        <v>3.6</v>
      </c>
      <c r="D8" s="19" t="n">
        <f aca="false">PL!E77</f>
        <v>6.98058589715504</v>
      </c>
      <c r="E8" s="19" t="n">
        <f aca="false">PL!F77</f>
        <v>8.627008580587</v>
      </c>
      <c r="F8" s="19" t="n">
        <f aca="false">PL!G77</f>
        <v>10.2534034843427</v>
      </c>
      <c r="G8" s="4" t="s">
        <v>505</v>
      </c>
    </row>
    <row r="9" customFormat="false" ht="17.15" hidden="false" customHeight="false" outlineLevel="0" collapsed="false">
      <c r="A9" s="4" t="s">
        <v>506</v>
      </c>
      <c r="B9" s="0" t="s">
        <v>120</v>
      </c>
      <c r="C9" s="19" t="n">
        <f aca="false">PL!D78</f>
        <v>0.3</v>
      </c>
      <c r="D9" s="19" t="n">
        <f aca="false">PL!E78</f>
        <v>1.2</v>
      </c>
      <c r="E9" s="19" t="n">
        <f aca="false">PL!F78</f>
        <v>1.74430379746835</v>
      </c>
      <c r="F9" s="19" t="n">
        <f aca="false">PL!G78</f>
        <v>2.57992405063291</v>
      </c>
      <c r="G9" s="4" t="s">
        <v>507</v>
      </c>
    </row>
    <row r="10" customFormat="false" ht="17.15" hidden="false" customHeight="false" outlineLevel="0" collapsed="false">
      <c r="A10" s="0" t="s">
        <v>508</v>
      </c>
      <c r="B10" s="0" t="s">
        <v>120</v>
      </c>
      <c r="C10" s="19" t="n">
        <f aca="false">PL!D79</f>
        <v>0.1</v>
      </c>
      <c r="D10" s="19" t="n">
        <f aca="false">PL!E79</f>
        <v>0.5</v>
      </c>
      <c r="E10" s="19" t="n">
        <f aca="false">PL!F79</f>
        <v>1.11814345991561</v>
      </c>
      <c r="F10" s="19" t="n">
        <f aca="false">PL!G79</f>
        <v>2.03544303797468</v>
      </c>
      <c r="G10" s="4" t="s">
        <v>509</v>
      </c>
    </row>
    <row r="11" customFormat="false" ht="17.15" hidden="false" customHeight="false" outlineLevel="0" collapsed="false">
      <c r="A11" s="0" t="s">
        <v>510</v>
      </c>
      <c r="B11" s="0" t="s">
        <v>120</v>
      </c>
      <c r="C11" s="19" t="n">
        <f aca="false">PL!D80</f>
        <v>4</v>
      </c>
      <c r="D11" s="19" t="n">
        <f aca="false">PL!E80</f>
        <v>8.68058589715504</v>
      </c>
      <c r="E11" s="19" t="n">
        <f aca="false">PL!F80</f>
        <v>11.489455837971</v>
      </c>
      <c r="F11" s="19" t="n">
        <f aca="false">PL!G80</f>
        <v>14.8687705729503</v>
      </c>
      <c r="G11" s="4" t="s">
        <v>511</v>
      </c>
    </row>
    <row r="12" customFormat="false" ht="17.15" hidden="false" customHeight="false" outlineLevel="0" collapsed="false">
      <c r="A12" s="4" t="s">
        <v>512</v>
      </c>
      <c r="B12" s="0" t="s">
        <v>502</v>
      </c>
      <c r="C12" s="23" t="n">
        <f aca="false">PL!D80/PL!D73*1000</f>
        <v>263.157894736842</v>
      </c>
      <c r="D12" s="23" t="n">
        <f aca="false">PL!E80/PL!E73*1000</f>
        <v>366.269447137343</v>
      </c>
      <c r="E12" s="23" t="n">
        <f aca="false">PL!F80/PL!F73*1000</f>
        <v>433.564371244188</v>
      </c>
      <c r="F12" s="23" t="n">
        <f aca="false">PL!G80/PL!G73*1000</f>
        <v>493.159886333342</v>
      </c>
      <c r="G12" s="4" t="s">
        <v>513</v>
      </c>
    </row>
    <row r="13" customFormat="false" ht="17.15" hidden="false" customHeight="false" outlineLevel="0" collapsed="false">
      <c r="A13" s="4" t="s">
        <v>514</v>
      </c>
      <c r="B13" s="0" t="s">
        <v>515</v>
      </c>
      <c r="C13" s="24" t="n">
        <v>23.3995380420639</v>
      </c>
      <c r="D13" s="24" t="n">
        <v>41.6467658260637</v>
      </c>
      <c r="E13" s="24" t="n">
        <v>52.792138191248</v>
      </c>
      <c r="F13" s="24" t="n">
        <v>60.1385917361115</v>
      </c>
      <c r="G13" s="8" t="s">
        <v>516</v>
      </c>
    </row>
    <row r="14" customFormat="false" ht="17.15" hidden="false" customHeight="false" outlineLevel="0" collapsed="false">
      <c r="A14" s="4" t="s">
        <v>517</v>
      </c>
      <c r="B14" s="0" t="s">
        <v>518</v>
      </c>
      <c r="C14" s="22" t="n">
        <f aca="false">C11/C13</f>
        <v>0.170943545672117</v>
      </c>
      <c r="D14" s="22" t="n">
        <f aca="false">D11/D13</f>
        <v>0.208433613630629</v>
      </c>
      <c r="E14" s="22" t="n">
        <f aca="false">E11/E13</f>
        <v>0.217635735767106</v>
      </c>
      <c r="F14" s="22" t="n">
        <f aca="false">F11/F13</f>
        <v>0.247241748496448</v>
      </c>
      <c r="G14" s="4" t="s">
        <v>519</v>
      </c>
    </row>
    <row r="16" customFormat="false" ht="17.15" hidden="false" customHeight="false" outlineLevel="0" collapsed="false">
      <c r="A16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521</v>
      </c>
    </row>
    <row r="2" customFormat="false" ht="17.15" hidden="false" customHeight="false" outlineLevel="0" collapsed="false">
      <c r="A2" s="4" t="s">
        <v>522</v>
      </c>
    </row>
    <row r="3" customFormat="false" ht="17.15" hidden="false" customHeight="false" outlineLevel="0" collapsed="false">
      <c r="A3" s="5" t="s">
        <v>523</v>
      </c>
      <c r="B3" s="5" t="s">
        <v>22</v>
      </c>
      <c r="C3" s="15" t="s">
        <v>424</v>
      </c>
      <c r="D3" s="15" t="s">
        <v>524</v>
      </c>
      <c r="E3" s="15" t="s">
        <v>525</v>
      </c>
      <c r="F3" s="15" t="s">
        <v>526</v>
      </c>
      <c r="G3" s="15" t="s">
        <v>527</v>
      </c>
      <c r="H3" s="15" t="s">
        <v>528</v>
      </c>
      <c r="I3" s="15" t="s">
        <v>529</v>
      </c>
      <c r="J3" s="15" t="s">
        <v>530</v>
      </c>
      <c r="K3" s="5" t="s">
        <v>382</v>
      </c>
    </row>
    <row r="4" customFormat="false" ht="17.15" hidden="false" customHeight="false" outlineLevel="0" collapsed="false">
      <c r="A4" s="1" t="s">
        <v>531</v>
      </c>
    </row>
    <row r="5" customFormat="false" ht="15" hidden="false" customHeight="false" outlineLevel="0" collapsed="false">
      <c r="A5" s="4" t="s">
        <v>431</v>
      </c>
      <c r="B5" s="0" t="s">
        <v>234</v>
      </c>
      <c r="C5" s="18" t="n">
        <f aca="false">C88</f>
        <v>645.388</v>
      </c>
      <c r="D5" s="18" t="n">
        <f aca="false">D88</f>
        <v>871.167350940177</v>
      </c>
      <c r="E5" s="18" t="n">
        <f aca="false">E88</f>
        <v>1116.73371577683</v>
      </c>
      <c r="F5" s="18" t="n">
        <f aca="false">F88</f>
        <v>1258.19323908545</v>
      </c>
      <c r="G5" s="18" t="n">
        <f aca="false">G88</f>
        <v>1421.12918365858</v>
      </c>
      <c r="H5" s="25" t="n">
        <f aca="false">H88</f>
        <v>1572.24252669828</v>
      </c>
      <c r="I5" s="25" t="n">
        <f aca="false">I88</f>
        <v>1703.00066355907</v>
      </c>
      <c r="J5" s="25" t="n">
        <f aca="false">J88</f>
        <v>1805.18070337261</v>
      </c>
    </row>
    <row r="6" customFormat="false" ht="15" hidden="false" customHeight="false" outlineLevel="0" collapsed="false">
      <c r="A6" s="4" t="s">
        <v>532</v>
      </c>
      <c r="B6" s="0" t="s">
        <v>76</v>
      </c>
      <c r="D6" s="21" t="n">
        <f aca="false">D89</f>
        <v>0.349835061916516</v>
      </c>
      <c r="E6" s="21" t="n">
        <f aca="false">E89</f>
        <v>0.281881965126026</v>
      </c>
      <c r="F6" s="21" t="n">
        <f aca="false">F89</f>
        <v>0.126672564202309</v>
      </c>
      <c r="G6" s="21" t="n">
        <f aca="false">G89</f>
        <v>0.129499936505429</v>
      </c>
      <c r="H6" s="26" t="n">
        <f aca="false">H89</f>
        <v>0.10633329100362</v>
      </c>
      <c r="I6" s="26" t="n">
        <f aca="false">I89</f>
        <v>0.0831666455018098</v>
      </c>
      <c r="J6" s="26" t="n">
        <f aca="false">J89</f>
        <v>0.06</v>
      </c>
    </row>
    <row r="7" customFormat="false" ht="17.15" hidden="false" customHeight="false" outlineLevel="0" collapsed="false">
      <c r="A7" s="4" t="s">
        <v>533</v>
      </c>
      <c r="B7" s="0" t="s">
        <v>234</v>
      </c>
      <c r="C7" s="18" t="n">
        <f aca="false">C85</f>
        <v>389.228</v>
      </c>
      <c r="D7" s="18" t="n">
        <f aca="false">D85</f>
        <v>559.7302</v>
      </c>
      <c r="E7" s="18" t="n">
        <f aca="false">E85</f>
        <v>774.728478708961</v>
      </c>
      <c r="F7" s="18" t="n">
        <f aca="false">F85</f>
        <v>899.398797915071</v>
      </c>
      <c r="G7" s="18" t="n">
        <f aca="false">G85</f>
        <v>1044.75840421141</v>
      </c>
    </row>
    <row r="8" customFormat="false" ht="17.15" hidden="false" customHeight="false" outlineLevel="0" collapsed="false">
      <c r="A8" s="0" t="s">
        <v>534</v>
      </c>
      <c r="B8" s="0" t="s">
        <v>234</v>
      </c>
      <c r="C8" s="18" t="n">
        <f aca="false">C83</f>
        <v>49.6</v>
      </c>
      <c r="D8" s="18" t="n">
        <f aca="false">D83</f>
        <v>127.6</v>
      </c>
      <c r="E8" s="18" t="n">
        <f aca="false">E83</f>
        <v>277.778748708961</v>
      </c>
      <c r="F8" s="18" t="n">
        <f aca="false">F83</f>
        <v>367.662586815071</v>
      </c>
      <c r="G8" s="18" t="n">
        <f aca="false">G83</f>
        <v>475.800658334408</v>
      </c>
    </row>
    <row r="9" customFormat="false" ht="17.15" hidden="false" customHeight="false" outlineLevel="0" collapsed="false">
      <c r="A9" s="0" t="s">
        <v>535</v>
      </c>
      <c r="B9" s="0" t="s">
        <v>76</v>
      </c>
      <c r="C9" s="21" t="n">
        <f aca="false">C90</f>
        <v>0.127431736668482</v>
      </c>
      <c r="D9" s="21" t="n">
        <f aca="false">D90</f>
        <v>0.227966974088588</v>
      </c>
      <c r="E9" s="21" t="n">
        <f aca="false">E90</f>
        <v>0.35854980982739</v>
      </c>
      <c r="F9" s="21" t="n">
        <f aca="false">F90</f>
        <v>0.408787056050512</v>
      </c>
      <c r="G9" s="21" t="n">
        <f aca="false">G90</f>
        <v>0.455416923583923</v>
      </c>
    </row>
    <row r="10" customFormat="false" ht="15" hidden="false" customHeight="false" outlineLevel="0" collapsed="false">
      <c r="A10" s="0" t="s">
        <v>536</v>
      </c>
      <c r="B10" s="0" t="s">
        <v>234</v>
      </c>
      <c r="C10" s="18" t="n">
        <f aca="false">C86</f>
        <v>259.079</v>
      </c>
      <c r="D10" s="18" t="n">
        <f aca="false">D86</f>
        <v>314.602</v>
      </c>
      <c r="E10" s="18" t="n">
        <f aca="false">E86</f>
        <v>346.0622</v>
      </c>
      <c r="F10" s="18" t="n">
        <f aca="false">F86</f>
        <v>363.36531</v>
      </c>
      <c r="G10" s="18" t="n">
        <f aca="false">G86</f>
        <v>381.5335755</v>
      </c>
    </row>
    <row r="11" customFormat="false" ht="15" hidden="false" customHeight="false" outlineLevel="0" collapsed="false">
      <c r="A11" s="4" t="s">
        <v>447</v>
      </c>
      <c r="B11" s="0" t="s">
        <v>76</v>
      </c>
      <c r="C11" s="14" t="n">
        <f aca="false">C98</f>
        <v>0.234772421305764</v>
      </c>
      <c r="D11" s="14" t="n">
        <f aca="false">D98</f>
        <v>0.294112034690999</v>
      </c>
      <c r="E11" s="14" t="n">
        <f aca="false">E98</f>
        <v>0.307729461232368</v>
      </c>
      <c r="F11" s="14" t="n">
        <f aca="false">F98</f>
        <v>0.294749010474626</v>
      </c>
      <c r="G11" s="14" t="n">
        <f aca="false">G98</f>
        <v>0.298064182868479</v>
      </c>
    </row>
    <row r="12" customFormat="false" ht="15" hidden="false" customHeight="false" outlineLevel="0" collapsed="false">
      <c r="A12" s="4" t="s">
        <v>452</v>
      </c>
      <c r="B12" s="0" t="s">
        <v>76</v>
      </c>
      <c r="C12" s="14" t="n">
        <f aca="false">C102</f>
        <v>0.176936974347214</v>
      </c>
      <c r="D12" s="14" t="n">
        <f aca="false">D102</f>
        <v>0.218879008327391</v>
      </c>
      <c r="E12" s="14" t="n">
        <f aca="false">E102</f>
        <v>0.238737299412531</v>
      </c>
      <c r="F12" s="14" t="n">
        <f aca="false">F102</f>
        <v>0.234155479418908</v>
      </c>
      <c r="G12" s="14" t="n">
        <f aca="false">G102</f>
        <v>0.24085626557549</v>
      </c>
    </row>
    <row r="13" customFormat="false" ht="15" hidden="false" customHeight="false" outlineLevel="0" collapsed="false">
      <c r="A13" s="4" t="s">
        <v>537</v>
      </c>
      <c r="B13" s="0" t="s">
        <v>76</v>
      </c>
      <c r="C13" s="14" t="n">
        <f aca="false">C105</f>
        <v>0.0786441644406156</v>
      </c>
      <c r="D13" s="14" t="n">
        <f aca="false">D105</f>
        <v>0.127440779020437</v>
      </c>
      <c r="E13" s="14" t="n">
        <f aca="false">E105</f>
        <v>0.155341866077717</v>
      </c>
      <c r="F13" s="14" t="n">
        <f aca="false">F105</f>
        <v>0.154510528245081</v>
      </c>
      <c r="G13" s="14" t="n">
        <f aca="false">G105</f>
        <v>0.164863909957143</v>
      </c>
    </row>
    <row r="14" customFormat="false" ht="17.15" hidden="false" customHeight="false" outlineLevel="0" collapsed="false">
      <c r="A14" s="4" t="s">
        <v>473</v>
      </c>
      <c r="B14" s="0" t="s">
        <v>76</v>
      </c>
      <c r="C14" s="21" t="n">
        <f aca="false">C95</f>
        <v>0.264182166386732</v>
      </c>
      <c r="D14" s="21" t="n">
        <f aca="false">D95</f>
        <v>0.421101639775745</v>
      </c>
      <c r="E14" s="21" t="n">
        <f aca="false">E95</f>
        <v>0.372514946153139</v>
      </c>
      <c r="F14" s="21" t="n">
        <f aca="false">F95</f>
        <v>0.3</v>
      </c>
      <c r="G14" s="21" t="n">
        <f aca="false">G95</f>
        <v>0.3</v>
      </c>
    </row>
    <row r="15" customFormat="false" ht="15" hidden="false" customHeight="false" outlineLevel="0" collapsed="false">
      <c r="A15" s="4" t="s">
        <v>462</v>
      </c>
      <c r="B15" s="0" t="s">
        <v>234</v>
      </c>
      <c r="C15" s="18" t="n">
        <f aca="false">C110</f>
        <v>40.658</v>
      </c>
      <c r="D15" s="18" t="n">
        <f aca="false">D110</f>
        <v>93.5615140646185</v>
      </c>
      <c r="E15" s="18" t="n">
        <f aca="false">E110</f>
        <v>136.834664436161</v>
      </c>
      <c r="F15" s="18" t="n">
        <f aca="false">F110</f>
        <v>154.20540466455</v>
      </c>
      <c r="G15" s="18" t="n">
        <f aca="false">G110</f>
        <v>187.31311843089</v>
      </c>
      <c r="H15" s="25" t="n">
        <f aca="false">H110</f>
        <v>207.230738761797</v>
      </c>
      <c r="I15" s="25" t="n">
        <f aca="false">I110</f>
        <v>224.465424149478</v>
      </c>
      <c r="J15" s="25" t="n">
        <f aca="false">J110</f>
        <v>237.933349598446</v>
      </c>
    </row>
    <row r="16" customFormat="false" ht="15" hidden="false" customHeight="false" outlineLevel="0" collapsed="false">
      <c r="A16" s="4" t="s">
        <v>538</v>
      </c>
      <c r="B16" s="0" t="s">
        <v>76</v>
      </c>
      <c r="C16" s="14" t="n">
        <f aca="false">C114</f>
        <v>0.0629977625862272</v>
      </c>
      <c r="D16" s="14" t="n">
        <f aca="false">D114</f>
        <v>0.107397865592237</v>
      </c>
      <c r="E16" s="14" t="n">
        <f aca="false">E114</f>
        <v>0.122531148207498</v>
      </c>
      <c r="F16" s="14" t="n">
        <f aca="false">F114</f>
        <v>0.122560986559297</v>
      </c>
      <c r="G16" s="14" t="n">
        <f aca="false">G114</f>
        <v>0.131805834814164</v>
      </c>
      <c r="H16" s="27" t="n">
        <f aca="false">H114</f>
        <v>0.131805834814164</v>
      </c>
      <c r="I16" s="27" t="n">
        <f aca="false">I114</f>
        <v>0.131805834814164</v>
      </c>
      <c r="J16" s="27" t="n">
        <f aca="false">J114</f>
        <v>0.131805834814164</v>
      </c>
    </row>
    <row r="17" customFormat="false" ht="15" hidden="false" customHeight="false" outlineLevel="0" collapsed="false">
      <c r="A17" s="0" t="s">
        <v>539</v>
      </c>
      <c r="B17" s="0" t="s">
        <v>304</v>
      </c>
      <c r="C17" s="19" t="n">
        <f aca="false">C112</f>
        <v>9.37</v>
      </c>
      <c r="D17" s="19" t="n">
        <f aca="false">D112</f>
        <v>21.2828697294455</v>
      </c>
      <c r="E17" s="19" t="n">
        <f aca="false">E112</f>
        <v>30.9940727902621</v>
      </c>
      <c r="F17" s="19" t="n">
        <f aca="false">F112</f>
        <v>34.754900599318</v>
      </c>
      <c r="G17" s="19" t="n">
        <f aca="false">G112</f>
        <v>42.0067021876286</v>
      </c>
      <c r="H17" s="28" t="n">
        <f aca="false">H112</f>
        <v>46.2422020651225</v>
      </c>
      <c r="I17" s="28" t="n">
        <f aca="false">I112</f>
        <v>49.8388168074584</v>
      </c>
      <c r="J17" s="28" t="n">
        <f aca="false">J112</f>
        <v>52.5663142446825</v>
      </c>
    </row>
    <row r="18" customFormat="false" ht="17.15" hidden="false" customHeight="false" outlineLevel="0" collapsed="false">
      <c r="A18" s="0" t="s">
        <v>540</v>
      </c>
      <c r="B18" s="0" t="s">
        <v>76</v>
      </c>
      <c r="D18" s="21" t="n">
        <f aca="false">D113</f>
        <v>1.27138417603474</v>
      </c>
      <c r="E18" s="21" t="n">
        <f aca="false">E113</f>
        <v>0.456291993714591</v>
      </c>
      <c r="F18" s="21" t="n">
        <f aca="false">F113</f>
        <v>0.121340226387977</v>
      </c>
      <c r="G18" s="21" t="n">
        <f aca="false">G113</f>
        <v>0.208655512266174</v>
      </c>
      <c r="H18" s="26" t="n">
        <f aca="false">H113</f>
        <v>0.100829145277234</v>
      </c>
      <c r="I18" s="26" t="n">
        <f aca="false">I113</f>
        <v>0.0777777567182187</v>
      </c>
      <c r="J18" s="26" t="n">
        <f aca="false">J113</f>
        <v>0.0547263681592043</v>
      </c>
    </row>
    <row r="20" customFormat="false" ht="17.15" hidden="false" customHeight="false" outlineLevel="0" collapsed="false">
      <c r="A20" s="1" t="s">
        <v>541</v>
      </c>
    </row>
    <row r="21" customFormat="false" ht="15" hidden="false" customHeight="false" outlineLevel="0" collapsed="false">
      <c r="A21" s="4" t="s">
        <v>431</v>
      </c>
      <c r="B21" s="0" t="s">
        <v>234</v>
      </c>
      <c r="C21" s="18" t="n">
        <f aca="false">C137</f>
        <v>645.388</v>
      </c>
      <c r="D21" s="18" t="n">
        <f aca="false">D137</f>
        <v>871.167350940177</v>
      </c>
      <c r="E21" s="18" t="n">
        <f aca="false">E137</f>
        <v>1093.86322211768</v>
      </c>
      <c r="F21" s="18" t="n">
        <f aca="false">F137</f>
        <v>1149.85656712767</v>
      </c>
      <c r="G21" s="18" t="n">
        <f aca="false">G137</f>
        <v>1287.62535977022</v>
      </c>
      <c r="H21" s="25" t="n">
        <f aca="false">H137</f>
        <v>1407.64396999115</v>
      </c>
      <c r="I21" s="25" t="n">
        <f aca="false">I137</f>
        <v>1501.39957757674</v>
      </c>
      <c r="J21" s="25" t="n">
        <f aca="false">J137</f>
        <v>1561.45556067981</v>
      </c>
    </row>
    <row r="22" customFormat="false" ht="15" hidden="false" customHeight="false" outlineLevel="0" collapsed="false">
      <c r="A22" s="4" t="s">
        <v>532</v>
      </c>
      <c r="B22" s="0" t="s">
        <v>76</v>
      </c>
      <c r="D22" s="21" t="n">
        <f aca="false">D138</f>
        <v>0.349835061916516</v>
      </c>
      <c r="E22" s="21" t="n">
        <f aca="false">E138</f>
        <v>0.255629266796065</v>
      </c>
      <c r="F22" s="21" t="n">
        <f aca="false">F138</f>
        <v>0.0511886165270159</v>
      </c>
      <c r="G22" s="21" t="n">
        <f aca="false">G138</f>
        <v>0.11981389382042</v>
      </c>
      <c r="H22" s="26" t="n">
        <f aca="false">H138</f>
        <v>0.0932092625469469</v>
      </c>
      <c r="I22" s="26" t="n">
        <f aca="false">I138</f>
        <v>0.0666046312734734</v>
      </c>
      <c r="J22" s="26" t="n">
        <f aca="false">J138</f>
        <v>0.04</v>
      </c>
    </row>
    <row r="23" customFormat="false" ht="17.15" hidden="false" customHeight="false" outlineLevel="0" collapsed="false">
      <c r="A23" s="4" t="s">
        <v>533</v>
      </c>
      <c r="B23" s="0" t="s">
        <v>234</v>
      </c>
      <c r="C23" s="18" t="n">
        <f aca="false">C134</f>
        <v>389.228</v>
      </c>
      <c r="D23" s="18" t="n">
        <f aca="false">D134</f>
        <v>559.7302</v>
      </c>
      <c r="E23" s="18" t="n">
        <f aca="false">E134</f>
        <v>751.77489922219</v>
      </c>
      <c r="F23" s="18" t="n">
        <f aca="false">F134</f>
        <v>790.668551503407</v>
      </c>
      <c r="G23" s="18" t="n">
        <f aca="false">G134</f>
        <v>910.769576550745</v>
      </c>
    </row>
    <row r="24" customFormat="false" ht="17.15" hidden="false" customHeight="false" outlineLevel="0" collapsed="false">
      <c r="A24" s="0" t="s">
        <v>534</v>
      </c>
      <c r="B24" s="0" t="s">
        <v>234</v>
      </c>
      <c r="C24" s="18" t="n">
        <f aca="false">C132</f>
        <v>49.6</v>
      </c>
      <c r="D24" s="18" t="n">
        <f aca="false">D132</f>
        <v>127.6</v>
      </c>
      <c r="E24" s="18" t="n">
        <f aca="false">E132</f>
        <v>254.82516922219</v>
      </c>
      <c r="F24" s="18" t="n">
        <f aca="false">F132</f>
        <v>258.932340403407</v>
      </c>
      <c r="G24" s="18" t="n">
        <f aca="false">G132</f>
        <v>341.811830673745</v>
      </c>
    </row>
    <row r="25" customFormat="false" ht="17.15" hidden="false" customHeight="false" outlineLevel="0" collapsed="false">
      <c r="A25" s="0" t="s">
        <v>535</v>
      </c>
      <c r="B25" s="0" t="s">
        <v>76</v>
      </c>
      <c r="C25" s="21" t="n">
        <f aca="false">C139</f>
        <v>0.127431736668482</v>
      </c>
      <c r="D25" s="21" t="n">
        <f aca="false">D139</f>
        <v>0.227966974088588</v>
      </c>
      <c r="E25" s="21" t="n">
        <f aca="false">E139</f>
        <v>0.338964721335922</v>
      </c>
      <c r="F25" s="21" t="n">
        <f aca="false">F139</f>
        <v>0.327485315953269</v>
      </c>
      <c r="G25" s="21" t="n">
        <f aca="false">G139</f>
        <v>0.375300009436251</v>
      </c>
    </row>
    <row r="26" customFormat="false" ht="15" hidden="false" customHeight="false" outlineLevel="0" collapsed="false">
      <c r="A26" s="0" t="s">
        <v>536</v>
      </c>
      <c r="B26" s="0" t="s">
        <v>234</v>
      </c>
      <c r="C26" s="18" t="n">
        <f aca="false">C135</f>
        <v>259.079</v>
      </c>
      <c r="D26" s="18" t="n">
        <f aca="false">D135</f>
        <v>314.602</v>
      </c>
      <c r="E26" s="18" t="n">
        <f aca="false">E135</f>
        <v>346.0622</v>
      </c>
      <c r="F26" s="18" t="n">
        <f aca="false">F135</f>
        <v>363.36531</v>
      </c>
      <c r="G26" s="18" t="n">
        <f aca="false">G135</f>
        <v>381.5335755</v>
      </c>
    </row>
    <row r="27" customFormat="false" ht="15" hidden="false" customHeight="false" outlineLevel="0" collapsed="false">
      <c r="A27" s="4" t="s">
        <v>447</v>
      </c>
      <c r="B27" s="0" t="s">
        <v>76</v>
      </c>
      <c r="C27" s="14" t="n">
        <f aca="false">C147</f>
        <v>0.234772421305764</v>
      </c>
      <c r="D27" s="14" t="n">
        <f aca="false">D147</f>
        <v>0.294112034690999</v>
      </c>
      <c r="E27" s="14" t="n">
        <f aca="false">E147</f>
        <v>0.301858957842147</v>
      </c>
      <c r="F27" s="14" t="n">
        <f aca="false">F147</f>
        <v>0.26652354150296</v>
      </c>
      <c r="G27" s="14" t="n">
        <f aca="false">G147</f>
        <v>0.272816832941818</v>
      </c>
    </row>
    <row r="28" customFormat="false" ht="15" hidden="false" customHeight="false" outlineLevel="0" collapsed="false">
      <c r="A28" s="4" t="s">
        <v>452</v>
      </c>
      <c r="B28" s="0" t="s">
        <v>76</v>
      </c>
      <c r="C28" s="14" t="n">
        <f aca="false">C151</f>
        <v>0.176936974347214</v>
      </c>
      <c r="D28" s="14" t="n">
        <f aca="false">D151</f>
        <v>0.218879008327391</v>
      </c>
      <c r="E28" s="14" t="n">
        <f aca="false">E151</f>
        <v>0.233259608245241</v>
      </c>
      <c r="F28" s="14" t="n">
        <f aca="false">F151</f>
        <v>0.209039717246541</v>
      </c>
      <c r="G28" s="14" t="n">
        <f aca="false">G151</f>
        <v>0.217067376776133</v>
      </c>
    </row>
    <row r="29" customFormat="false" ht="15" hidden="false" customHeight="false" outlineLevel="0" collapsed="false">
      <c r="A29" s="4" t="s">
        <v>537</v>
      </c>
      <c r="B29" s="0" t="s">
        <v>76</v>
      </c>
      <c r="C29" s="14" t="n">
        <f aca="false">C154</f>
        <v>0.0786441644406156</v>
      </c>
      <c r="D29" s="14" t="n">
        <f aca="false">D154</f>
        <v>0.127440779020437</v>
      </c>
      <c r="E29" s="14" t="n">
        <f aca="false">E154</f>
        <v>0.149267617452465</v>
      </c>
      <c r="F29" s="14" t="n">
        <f aca="false">F154</f>
        <v>0.126683753990759</v>
      </c>
      <c r="G29" s="14" t="n">
        <f aca="false">G154</f>
        <v>0.138236066569026</v>
      </c>
    </row>
    <row r="30" customFormat="false" ht="17.15" hidden="false" customHeight="false" outlineLevel="0" collapsed="false">
      <c r="A30" s="4" t="s">
        <v>473</v>
      </c>
      <c r="B30" s="0" t="s">
        <v>76</v>
      </c>
      <c r="C30" s="21" t="n">
        <f aca="false">C144</f>
        <v>0.264182166386732</v>
      </c>
      <c r="D30" s="21" t="n">
        <f aca="false">D144</f>
        <v>0.421101639775745</v>
      </c>
      <c r="E30" s="21" t="n">
        <f aca="false">E144</f>
        <v>0.380303489127861</v>
      </c>
      <c r="F30" s="21" t="n">
        <f aca="false">F144</f>
        <v>0.3</v>
      </c>
      <c r="G30" s="21" t="n">
        <f aca="false">G144</f>
        <v>0.3</v>
      </c>
    </row>
    <row r="31" customFormat="false" ht="15" hidden="false" customHeight="false" outlineLevel="0" collapsed="false">
      <c r="A31" s="4" t="s">
        <v>462</v>
      </c>
      <c r="B31" s="0" t="s">
        <v>234</v>
      </c>
      <c r="C31" s="18" t="n">
        <f aca="false">C159</f>
        <v>40.658</v>
      </c>
      <c r="D31" s="18" t="n">
        <f aca="false">D159</f>
        <v>93.5615140646185</v>
      </c>
      <c r="E31" s="18" t="n">
        <f aca="false">E159</f>
        <v>128.371036297038</v>
      </c>
      <c r="F31" s="18" t="n">
        <f aca="false">F159</f>
        <v>113.754561573968</v>
      </c>
      <c r="G31" s="18" t="n">
        <f aca="false">G159</f>
        <v>140.586899907805</v>
      </c>
      <c r="H31" s="25" t="n">
        <f aca="false">H159</f>
        <v>148.567871132907</v>
      </c>
      <c r="I31" s="25" t="n">
        <f aca="false">I159</f>
        <v>152.998931842978</v>
      </c>
      <c r="J31" s="25" t="n">
        <f aca="false">J159</f>
        <v>153.436071648244</v>
      </c>
    </row>
    <row r="32" customFormat="false" ht="15" hidden="false" customHeight="false" outlineLevel="0" collapsed="false">
      <c r="A32" s="4" t="s">
        <v>538</v>
      </c>
      <c r="B32" s="0" t="s">
        <v>76</v>
      </c>
      <c r="C32" s="14" t="n">
        <f aca="false">C163</f>
        <v>0.0629977625862272</v>
      </c>
      <c r="D32" s="14" t="n">
        <f aca="false">D163</f>
        <v>0.107397865592237</v>
      </c>
      <c r="E32" s="14" t="n">
        <f aca="false">E163</f>
        <v>0.117355656266161</v>
      </c>
      <c r="F32" s="14" t="n">
        <f aca="false">F163</f>
        <v>0.0989293489518662</v>
      </c>
      <c r="G32" s="14" t="n">
        <f aca="false">G163</f>
        <v>0.10918307785806</v>
      </c>
      <c r="H32" s="27" t="n">
        <f aca="false">H163</f>
        <v>0.105543641929458</v>
      </c>
      <c r="I32" s="27" t="n">
        <f aca="false">I163</f>
        <v>0.101904206000856</v>
      </c>
      <c r="J32" s="27" t="n">
        <f aca="false">J163</f>
        <v>0.0982647700722541</v>
      </c>
    </row>
    <row r="33" customFormat="false" ht="15" hidden="false" customHeight="false" outlineLevel="0" collapsed="false">
      <c r="A33" s="0" t="s">
        <v>539</v>
      </c>
      <c r="B33" s="0" t="s">
        <v>304</v>
      </c>
      <c r="C33" s="19" t="n">
        <f aca="false">C161</f>
        <v>9.37</v>
      </c>
      <c r="D33" s="19" t="n">
        <f aca="false">D161</f>
        <v>21.2828697294455</v>
      </c>
      <c r="E33" s="19" t="n">
        <f aca="false">E161</f>
        <v>29.0769978466096</v>
      </c>
      <c r="F33" s="19" t="n">
        <f aca="false">F161</f>
        <v>25.638066894105</v>
      </c>
      <c r="G33" s="19" t="n">
        <f aca="false">G161</f>
        <v>31.5279147845056</v>
      </c>
      <c r="H33" s="28" t="n">
        <f aca="false">H161</f>
        <v>33.151961713604</v>
      </c>
      <c r="I33" s="28" t="n">
        <f aca="false">I161</f>
        <v>33.9708699669537</v>
      </c>
      <c r="J33" s="28" t="n">
        <f aca="false">J161</f>
        <v>33.8984374083887</v>
      </c>
    </row>
    <row r="34" customFormat="false" ht="17.15" hidden="false" customHeight="false" outlineLevel="0" collapsed="false">
      <c r="A34" s="0" t="s">
        <v>540</v>
      </c>
      <c r="B34" s="0" t="s">
        <v>76</v>
      </c>
      <c r="D34" s="21" t="n">
        <f aca="false">D162</f>
        <v>1.27138417603474</v>
      </c>
      <c r="E34" s="21" t="n">
        <f aca="false">E162</f>
        <v>0.366216032717646</v>
      </c>
      <c r="F34" s="21" t="n">
        <f aca="false">F162</f>
        <v>-0.118269807998955</v>
      </c>
      <c r="G34" s="21" t="n">
        <f aca="false">G162</f>
        <v>0.229730576596431</v>
      </c>
      <c r="H34" s="26" t="n">
        <f aca="false">H162</f>
        <v>0.0515113968113254</v>
      </c>
      <c r="I34" s="26" t="n">
        <f aca="false">I162</f>
        <v>0.0247016529647368</v>
      </c>
      <c r="J34" s="26" t="n">
        <f aca="false">J162</f>
        <v>-0.00213219616204696</v>
      </c>
    </row>
    <row r="36" customFormat="false" ht="17.15" hidden="false" customHeight="false" outlineLevel="0" collapsed="false">
      <c r="A36" s="1" t="s">
        <v>542</v>
      </c>
    </row>
    <row r="37" customFormat="false" ht="15" hidden="false" customHeight="false" outlineLevel="0" collapsed="false">
      <c r="A37" s="4" t="s">
        <v>431</v>
      </c>
      <c r="B37" s="0" t="s">
        <v>234</v>
      </c>
      <c r="C37" s="18" t="n">
        <f aca="false">C186</f>
        <v>645.388</v>
      </c>
      <c r="D37" s="18" t="n">
        <f aca="false">D186</f>
        <v>871.167350940177</v>
      </c>
      <c r="E37" s="18" t="n">
        <f aca="false">E186</f>
        <v>1070.99272845854</v>
      </c>
      <c r="F37" s="18" t="n">
        <f aca="false">F186</f>
        <v>1054.08073580918</v>
      </c>
      <c r="G37" s="18" t="n">
        <f aca="false">G186</f>
        <v>1138.39357758557</v>
      </c>
      <c r="H37" s="25" t="n">
        <f aca="false">H186</f>
        <v>1206.68738805437</v>
      </c>
      <c r="I37" s="25" t="n">
        <f aca="false">I186</f>
        <v>1254.9496874</v>
      </c>
      <c r="J37" s="25" t="n">
        <f aca="false">J186</f>
        <v>1280.048681148</v>
      </c>
    </row>
    <row r="38" customFormat="false" ht="15" hidden="false" customHeight="false" outlineLevel="0" collapsed="false">
      <c r="A38" s="4" t="s">
        <v>532</v>
      </c>
      <c r="B38" s="0" t="s">
        <v>76</v>
      </c>
      <c r="D38" s="21" t="n">
        <f aca="false">D187</f>
        <v>0.349835061916516</v>
      </c>
      <c r="E38" s="21" t="n">
        <f aca="false">E187</f>
        <v>0.229376568466104</v>
      </c>
      <c r="F38" s="21" t="n">
        <f aca="false">F187</f>
        <v>-0.0157909500223209</v>
      </c>
      <c r="G38" s="21" t="n">
        <f aca="false">G187</f>
        <v>0.079987081550885</v>
      </c>
      <c r="H38" s="26" t="n">
        <f aca="false">H187</f>
        <v>0.05999138770059</v>
      </c>
      <c r="I38" s="26" t="n">
        <f aca="false">I187</f>
        <v>0.039995693850295</v>
      </c>
      <c r="J38" s="26" t="n">
        <f aca="false">J187</f>
        <v>0.02</v>
      </c>
    </row>
    <row r="39" customFormat="false" ht="17.15" hidden="false" customHeight="false" outlineLevel="0" collapsed="false">
      <c r="A39" s="4" t="s">
        <v>533</v>
      </c>
      <c r="B39" s="0" t="s">
        <v>234</v>
      </c>
      <c r="C39" s="18" t="n">
        <f aca="false">C183</f>
        <v>389.228</v>
      </c>
      <c r="D39" s="18" t="n">
        <f aca="false">D183</f>
        <v>559.7302</v>
      </c>
      <c r="E39" s="18" t="n">
        <f aca="false">E183</f>
        <v>728.821319735419</v>
      </c>
      <c r="F39" s="18" t="n">
        <f aca="false">F183</f>
        <v>694.544777795461</v>
      </c>
      <c r="G39" s="18" t="n">
        <f aca="false">G183</f>
        <v>760.995652761461</v>
      </c>
    </row>
    <row r="40" customFormat="false" ht="17.15" hidden="false" customHeight="false" outlineLevel="0" collapsed="false">
      <c r="A40" s="0" t="s">
        <v>534</v>
      </c>
      <c r="B40" s="0" t="s">
        <v>234</v>
      </c>
      <c r="C40" s="18" t="n">
        <f aca="false">C181</f>
        <v>49.6</v>
      </c>
      <c r="D40" s="18" t="n">
        <f aca="false">D181</f>
        <v>127.6</v>
      </c>
      <c r="E40" s="18" t="n">
        <f aca="false">E181</f>
        <v>231.871589735419</v>
      </c>
      <c r="F40" s="18" t="n">
        <f aca="false">F181</f>
        <v>162.808566695461</v>
      </c>
      <c r="G40" s="18" t="n">
        <f aca="false">G181</f>
        <v>192.037906884461</v>
      </c>
    </row>
    <row r="41" customFormat="false" ht="17.15" hidden="false" customHeight="false" outlineLevel="0" collapsed="false">
      <c r="A41" s="0" t="s">
        <v>535</v>
      </c>
      <c r="B41" s="0" t="s">
        <v>76</v>
      </c>
      <c r="C41" s="21" t="n">
        <f aca="false">C188</f>
        <v>0.127431736668482</v>
      </c>
      <c r="D41" s="21" t="n">
        <f aca="false">D188</f>
        <v>0.227966974088588</v>
      </c>
      <c r="E41" s="21" t="n">
        <f aca="false">E188</f>
        <v>0.31814600294568</v>
      </c>
      <c r="F41" s="21" t="n">
        <f aca="false">F188</f>
        <v>0.234410468411019</v>
      </c>
      <c r="G41" s="21" t="n">
        <f aca="false">G188</f>
        <v>0.252350859282315</v>
      </c>
    </row>
    <row r="42" customFormat="false" ht="15" hidden="false" customHeight="false" outlineLevel="0" collapsed="false">
      <c r="A42" s="0" t="s">
        <v>536</v>
      </c>
      <c r="B42" s="0" t="s">
        <v>234</v>
      </c>
      <c r="C42" s="18" t="n">
        <f aca="false">C184</f>
        <v>259.079</v>
      </c>
      <c r="D42" s="18" t="n">
        <f aca="false">D184</f>
        <v>314.602</v>
      </c>
      <c r="E42" s="18" t="n">
        <f aca="false">E184</f>
        <v>346.0622</v>
      </c>
      <c r="F42" s="18" t="n">
        <f aca="false">F184</f>
        <v>363.36531</v>
      </c>
      <c r="G42" s="18" t="n">
        <f aca="false">G184</f>
        <v>381.5335755</v>
      </c>
    </row>
    <row r="43" customFormat="false" ht="15" hidden="false" customHeight="false" outlineLevel="0" collapsed="false">
      <c r="A43" s="4" t="s">
        <v>447</v>
      </c>
      <c r="B43" s="0" t="s">
        <v>76</v>
      </c>
      <c r="C43" s="14" t="n">
        <f aca="false">C196</f>
        <v>0.234772421305764</v>
      </c>
      <c r="D43" s="14" t="n">
        <f aca="false">D196</f>
        <v>0.294112034690999</v>
      </c>
      <c r="E43" s="14" t="n">
        <f aca="false">E196</f>
        <v>0.295618681882035</v>
      </c>
      <c r="F43" s="14" t="n">
        <f aca="false">F196</f>
        <v>0.234210810948802</v>
      </c>
      <c r="G43" s="14" t="n">
        <f aca="false">G196</f>
        <v>0.232823804644878</v>
      </c>
    </row>
    <row r="44" customFormat="false" ht="15" hidden="false" customHeight="false" outlineLevel="0" collapsed="false">
      <c r="A44" s="4" t="s">
        <v>452</v>
      </c>
      <c r="B44" s="0" t="s">
        <v>76</v>
      </c>
      <c r="C44" s="14" t="n">
        <f aca="false">C200</f>
        <v>0.176936974347214</v>
      </c>
      <c r="D44" s="14" t="n">
        <f aca="false">D200</f>
        <v>0.218879008327391</v>
      </c>
      <c r="E44" s="14" t="n">
        <f aca="false">E200</f>
        <v>0.227547970576207</v>
      </c>
      <c r="F44" s="14" t="n">
        <f aca="false">F200</f>
        <v>0.182536397694202</v>
      </c>
      <c r="G44" s="14" t="n">
        <f aca="false">G200</f>
        <v>0.183037397355452</v>
      </c>
    </row>
    <row r="45" customFormat="false" ht="15" hidden="false" customHeight="false" outlineLevel="0" collapsed="false">
      <c r="A45" s="4" t="s">
        <v>537</v>
      </c>
      <c r="B45" s="0" t="s">
        <v>76</v>
      </c>
      <c r="C45" s="14" t="n">
        <f aca="false">C203</f>
        <v>0.0786441644406156</v>
      </c>
      <c r="D45" s="14" t="n">
        <f aca="false">D203</f>
        <v>0.127440779020437</v>
      </c>
      <c r="E45" s="14" t="n">
        <f aca="false">E203</f>
        <v>0.142933943975902</v>
      </c>
      <c r="F45" s="14" t="n">
        <f aca="false">F203</f>
        <v>0.0973793417993538</v>
      </c>
      <c r="G45" s="14" t="n">
        <f aca="false">G203</f>
        <v>0.100403136220227</v>
      </c>
    </row>
    <row r="46" customFormat="false" ht="17.15" hidden="false" customHeight="false" outlineLevel="0" collapsed="false">
      <c r="A46" s="4" t="s">
        <v>473</v>
      </c>
      <c r="B46" s="0" t="s">
        <v>76</v>
      </c>
      <c r="C46" s="21" t="n">
        <f aca="false">C193</f>
        <v>0.264182166386732</v>
      </c>
      <c r="D46" s="21" t="n">
        <f aca="false">D193</f>
        <v>0.421101639775745</v>
      </c>
      <c r="E46" s="21" t="n">
        <f aca="false">E193</f>
        <v>0.388424672685445</v>
      </c>
      <c r="F46" s="21" t="n">
        <f aca="false">F193</f>
        <v>0.3</v>
      </c>
      <c r="G46" s="21" t="n">
        <f aca="false">G193</f>
        <v>0.3</v>
      </c>
    </row>
    <row r="47" customFormat="false" ht="15" hidden="false" customHeight="false" outlineLevel="0" collapsed="false">
      <c r="A47" s="4" t="s">
        <v>462</v>
      </c>
      <c r="B47" s="0" t="s">
        <v>234</v>
      </c>
      <c r="C47" s="18" t="n">
        <f aca="false">C208</f>
        <v>40.658</v>
      </c>
      <c r="D47" s="18" t="n">
        <f aca="false">D208</f>
        <v>93.5615140646185</v>
      </c>
      <c r="E47" s="18" t="n">
        <f aca="false">E208</f>
        <v>119.907408157916</v>
      </c>
      <c r="F47" s="18" t="n">
        <f aca="false">F208</f>
        <v>78.0459212528757</v>
      </c>
      <c r="G47" s="18" t="n">
        <f aca="false">G208</f>
        <v>87.7175769173211</v>
      </c>
      <c r="H47" s="25" t="n">
        <f aca="false">H208</f>
        <v>86.7812176768361</v>
      </c>
      <c r="I47" s="25" t="n">
        <f aca="false">I208</f>
        <v>83.8055146416379</v>
      </c>
      <c r="J47" s="25" t="n">
        <f aca="false">J208</f>
        <v>78.9061153241268</v>
      </c>
    </row>
    <row r="48" customFormat="false" ht="15" hidden="false" customHeight="false" outlineLevel="0" collapsed="false">
      <c r="A48" s="4" t="s">
        <v>538</v>
      </c>
      <c r="B48" s="0" t="s">
        <v>76</v>
      </c>
      <c r="C48" s="14" t="n">
        <f aca="false">C212</f>
        <v>0.0629977625862272</v>
      </c>
      <c r="D48" s="14" t="n">
        <f aca="false">D212</f>
        <v>0.107397865592237</v>
      </c>
      <c r="E48" s="14" t="n">
        <f aca="false">E212</f>
        <v>0.111959124438218</v>
      </c>
      <c r="F48" s="14" t="n">
        <f aca="false">F212</f>
        <v>0.0740416920654208</v>
      </c>
      <c r="G48" s="14" t="n">
        <f aca="false">G212</f>
        <v>0.0770538227239144</v>
      </c>
      <c r="H48" s="27" t="n">
        <f aca="false">H212</f>
        <v>0.0719169012089868</v>
      </c>
      <c r="I48" s="27" t="n">
        <f aca="false">I212</f>
        <v>0.0667799796940592</v>
      </c>
      <c r="J48" s="27" t="n">
        <f aca="false">J212</f>
        <v>0.0616430581791315</v>
      </c>
    </row>
    <row r="49" customFormat="false" ht="15" hidden="false" customHeight="false" outlineLevel="0" collapsed="false">
      <c r="A49" s="0" t="s">
        <v>539</v>
      </c>
      <c r="B49" s="0" t="s">
        <v>304</v>
      </c>
      <c r="C49" s="19" t="n">
        <f aca="false">C210</f>
        <v>9.37</v>
      </c>
      <c r="D49" s="19" t="n">
        <f aca="false">D210</f>
        <v>21.2828697294455</v>
      </c>
      <c r="E49" s="19" t="n">
        <f aca="false">E210</f>
        <v>27.159922902957</v>
      </c>
      <c r="F49" s="19" t="n">
        <f aca="false">F210</f>
        <v>17.590033509049</v>
      </c>
      <c r="G49" s="19" t="n">
        <f aca="false">G210</f>
        <v>19.6714792912159</v>
      </c>
      <c r="H49" s="28" t="n">
        <f aca="false">H210</f>
        <v>19.3646687129865</v>
      </c>
      <c r="I49" s="28" t="n">
        <f aca="false">I210</f>
        <v>18.6076216749442</v>
      </c>
      <c r="J49" s="28" t="n">
        <f aca="false">J210</f>
        <v>17.4326283430017</v>
      </c>
    </row>
    <row r="50" customFormat="false" ht="17.15" hidden="false" customHeight="false" outlineLevel="0" collapsed="false">
      <c r="A50" s="0" t="s">
        <v>540</v>
      </c>
      <c r="B50" s="0" t="s">
        <v>76</v>
      </c>
      <c r="D50" s="21" t="n">
        <f aca="false">D211</f>
        <v>1.27138417603474</v>
      </c>
      <c r="E50" s="21" t="n">
        <f aca="false">E211</f>
        <v>0.276140071720703</v>
      </c>
      <c r="F50" s="21" t="n">
        <f aca="false">F211</f>
        <v>-0.352353334289697</v>
      </c>
      <c r="G50" s="21" t="n">
        <f aca="false">G211</f>
        <v>0.118330973110207</v>
      </c>
      <c r="H50" s="26" t="n">
        <f aca="false">H211</f>
        <v>-0.0155967212067488</v>
      </c>
      <c r="I50" s="26" t="n">
        <f aca="false">I211</f>
        <v>-0.039094241645072</v>
      </c>
      <c r="J50" s="26" t="n">
        <f aca="false">J211</f>
        <v>-0.063145809414466</v>
      </c>
    </row>
    <row r="52" customFormat="false" ht="17.15" hidden="false" customHeight="false" outlineLevel="0" collapsed="false">
      <c r="A52" s="1" t="s">
        <v>543</v>
      </c>
    </row>
    <row r="53" customFormat="false" ht="17.15" hidden="false" customHeight="false" outlineLevel="0" collapsed="false">
      <c r="A53" s="4" t="s">
        <v>544</v>
      </c>
      <c r="D53" s="29" t="n">
        <f aca="false">ABS(D88-a26_rev)+ABS(D137-a26_rev)+ABS(D186-a26_rev)</f>
        <v>0</v>
      </c>
    </row>
    <row r="54" customFormat="false" ht="17.15" hidden="false" customHeight="false" outlineLevel="0" collapsed="false">
      <c r="A54" s="4" t="s">
        <v>545</v>
      </c>
      <c r="D54" s="29" t="n">
        <f aca="false">ABS(D112-a26_eps)+ABS(D161-a26_eps)+ABS(D210-a26_eps)</f>
        <v>0</v>
      </c>
    </row>
    <row r="55" customFormat="false" ht="17.15" hidden="false" customHeight="false" outlineLevel="0" collapsed="false">
      <c r="A55" s="4" t="s">
        <v>546</v>
      </c>
      <c r="D55" s="29" t="n">
        <f aca="false">D83+D84-a26_atm</f>
        <v>0</v>
      </c>
    </row>
    <row r="70" customFormat="false" ht="17.15" hidden="false" customHeight="false" outlineLevel="0" collapsed="false">
      <c r="A70" s="1" t="s">
        <v>547</v>
      </c>
    </row>
    <row r="71" customFormat="false" ht="17.15" hidden="false" customHeight="false" outlineLevel="0" collapsed="false">
      <c r="A71" s="5" t="s">
        <v>21</v>
      </c>
      <c r="B71" s="5" t="s">
        <v>22</v>
      </c>
      <c r="C71" s="15" t="s">
        <v>424</v>
      </c>
      <c r="D71" s="15" t="s">
        <v>524</v>
      </c>
      <c r="E71" s="15" t="s">
        <v>525</v>
      </c>
      <c r="F71" s="15" t="s">
        <v>526</v>
      </c>
      <c r="G71" s="15" t="s">
        <v>527</v>
      </c>
      <c r="H71" s="15" t="s">
        <v>528</v>
      </c>
      <c r="I71" s="15" t="s">
        <v>529</v>
      </c>
      <c r="J71" s="15" t="s">
        <v>530</v>
      </c>
      <c r="K71" s="5" t="s">
        <v>382</v>
      </c>
    </row>
    <row r="72" customFormat="false" ht="17.15" hidden="false" customHeight="false" outlineLevel="0" collapsed="false">
      <c r="A72" s="6" t="s">
        <v>548</v>
      </c>
    </row>
    <row r="73" customFormat="false" ht="17.15" hidden="false" customHeight="false" outlineLevel="0" collapsed="false">
      <c r="A73" s="0" t="s">
        <v>549</v>
      </c>
      <c r="B73" s="4" t="s">
        <v>32</v>
      </c>
      <c r="D73" s="19" t="n">
        <f aca="false">units_26</f>
        <v>15.2</v>
      </c>
      <c r="E73" s="19" t="n">
        <f aca="false">units_27*1</f>
        <v>23.7</v>
      </c>
      <c r="F73" s="19" t="n">
        <f aca="false">units_28*um28_A*1</f>
        <v>26.5</v>
      </c>
      <c r="G73" s="19" t="n">
        <f aca="false">units_29*um29_A*1</f>
        <v>30.15</v>
      </c>
    </row>
    <row r="74" customFormat="false" ht="17.15" hidden="false" customHeight="false" outlineLevel="0" collapsed="false">
      <c r="A74" s="4" t="s">
        <v>497</v>
      </c>
      <c r="B74" s="0" t="s">
        <v>45</v>
      </c>
      <c r="D74" s="22" t="n">
        <f aca="false">ar_26</f>
        <v>1</v>
      </c>
      <c r="E74" s="22" t="n">
        <f aca="false">ar_27</f>
        <v>1.278156</v>
      </c>
      <c r="F74" s="22" t="n">
        <f aca="false">ar_28</f>
        <v>1.428615</v>
      </c>
      <c r="G74" s="22" t="n">
        <f aca="false">ar_29</f>
        <v>1.431796</v>
      </c>
    </row>
    <row r="75" customFormat="false" ht="17.15" hidden="false" customHeight="false" outlineLevel="0" collapsed="false">
      <c r="A75" s="4" t="s">
        <v>550</v>
      </c>
      <c r="B75" s="0" t="s">
        <v>45</v>
      </c>
      <c r="D75" s="19" t="n">
        <f aca="false">1</f>
        <v>1</v>
      </c>
      <c r="E75" s="19" t="n">
        <f aca="false">rel27_A</f>
        <v>1.1</v>
      </c>
      <c r="F75" s="19" t="n">
        <f aca="false">rel28_A</f>
        <v>1.15</v>
      </c>
      <c r="G75" s="19" t="n">
        <f aca="false">rel29_A</f>
        <v>1.2</v>
      </c>
    </row>
    <row r="76" customFormat="false" ht="17.15" hidden="false" customHeight="false" outlineLevel="0" collapsed="false">
      <c r="A76" s="4" t="s">
        <v>551</v>
      </c>
      <c r="B76" s="0" t="s">
        <v>502</v>
      </c>
      <c r="D76" s="23" t="n">
        <f aca="false">D77*1000/D73</f>
        <v>236.842105263158</v>
      </c>
      <c r="E76" s="23" t="n">
        <f aca="false">$D76*E74^el</f>
        <v>267.763172119488</v>
      </c>
      <c r="F76" s="23" t="n">
        <f aca="false">$D76*F74^el</f>
        <v>283.084777049615</v>
      </c>
      <c r="G76" s="23" t="n">
        <f aca="false">$D76*G74^el</f>
        <v>283.399764630809</v>
      </c>
      <c r="K76" s="8" t="s">
        <v>552</v>
      </c>
    </row>
    <row r="77" customFormat="false" ht="17.15" hidden="false" customHeight="false" outlineLevel="0" collapsed="false">
      <c r="A77" s="0" t="s">
        <v>553</v>
      </c>
      <c r="B77" s="0" t="s">
        <v>120</v>
      </c>
      <c r="D77" s="22" t="n">
        <f aca="false">leap26-D78-D79</f>
        <v>3.6</v>
      </c>
      <c r="E77" s="22" t="n">
        <f aca="false">E73*E75*E76/1000</f>
        <v>6.98058589715504</v>
      </c>
      <c r="F77" s="22" t="n">
        <f aca="false">F73*F75*F76/1000</f>
        <v>8.627008580587</v>
      </c>
      <c r="G77" s="22" t="n">
        <f aca="false">G73*G75*G76/1000</f>
        <v>10.2534034843427</v>
      </c>
      <c r="K77" s="8" t="s">
        <v>554</v>
      </c>
    </row>
    <row r="78" customFormat="false" ht="17.15" hidden="false" customHeight="false" outlineLevel="0" collapsed="false">
      <c r="A78" s="4" t="s">
        <v>555</v>
      </c>
      <c r="B78" s="0" t="s">
        <v>120</v>
      </c>
      <c r="D78" s="22" t="n">
        <f aca="false">fp26</f>
        <v>0.3</v>
      </c>
      <c r="E78" s="22" t="n">
        <f aca="false">fp27_A</f>
        <v>1.2</v>
      </c>
      <c r="F78" s="22" t="n">
        <f aca="false">E78*F73/E73*(1+fp_g)</f>
        <v>1.74430379746835</v>
      </c>
      <c r="G78" s="22" t="n">
        <f aca="false">F78*G73/F73*(1+fp_g)</f>
        <v>2.57992405063291</v>
      </c>
    </row>
    <row r="79" customFormat="false" ht="17.15" hidden="false" customHeight="false" outlineLevel="0" collapsed="false">
      <c r="A79" s="0" t="s">
        <v>556</v>
      </c>
      <c r="B79" s="0" t="s">
        <v>120</v>
      </c>
      <c r="D79" s="22" t="n">
        <f aca="false">cpo27*cpo_A_26/cpo_A_27</f>
        <v>0.1</v>
      </c>
      <c r="E79" s="22" t="n">
        <f aca="false">cpo27*cpo_A_27/cpo_A_27</f>
        <v>0.5</v>
      </c>
      <c r="F79" s="22" t="n">
        <f aca="false">cpo27*cpo_A_28/cpo_A_27*F73/E73</f>
        <v>1.11814345991561</v>
      </c>
      <c r="G79" s="22" t="n">
        <f aca="false">cpo27*cpo_A_29/cpo_A_27*G73/E73</f>
        <v>2.03544303797468</v>
      </c>
      <c r="K79" s="8" t="s">
        <v>557</v>
      </c>
    </row>
    <row r="80" customFormat="false" ht="17.15" hidden="false" customHeight="false" outlineLevel="0" collapsed="false">
      <c r="A80" s="0" t="s">
        <v>510</v>
      </c>
      <c r="B80" s="0" t="s">
        <v>120</v>
      </c>
      <c r="C80" s="22" t="n">
        <f aca="false">leap25</f>
        <v>1.6</v>
      </c>
      <c r="D80" s="22" t="n">
        <f aca="false">D77+D78+D79</f>
        <v>4</v>
      </c>
      <c r="E80" s="22" t="n">
        <f aca="false">E77+E78+E79</f>
        <v>8.68058589715504</v>
      </c>
      <c r="F80" s="22" t="n">
        <f aca="false">F77+F78+F79</f>
        <v>11.489455837971</v>
      </c>
      <c r="G80" s="22" t="n">
        <f aca="false">G77+G78+G79</f>
        <v>14.8687705729503</v>
      </c>
    </row>
    <row r="81" customFormat="false" ht="17.15" hidden="false" customHeight="false" outlineLevel="0" collapsed="false">
      <c r="A81" s="4" t="s">
        <v>558</v>
      </c>
      <c r="B81" s="0" t="s">
        <v>114</v>
      </c>
      <c r="C81" s="19" t="n">
        <f aca="false">fx25</f>
        <v>31</v>
      </c>
      <c r="D81" s="19" t="n">
        <f aca="false">a26_leap/D80</f>
        <v>31.9</v>
      </c>
      <c r="E81" s="19" t="n">
        <f aca="false">fx</f>
        <v>32</v>
      </c>
      <c r="F81" s="19" t="n">
        <f aca="false">fx</f>
        <v>32</v>
      </c>
      <c r="G81" s="19" t="n">
        <f aca="false">fx</f>
        <v>32</v>
      </c>
      <c r="K81" s="8" t="s">
        <v>559</v>
      </c>
    </row>
    <row r="82" customFormat="false" ht="17.15" hidden="false" customHeight="false" outlineLevel="0" collapsed="false">
      <c r="A82" s="6" t="s">
        <v>560</v>
      </c>
    </row>
    <row r="83" customFormat="false" ht="17.15" hidden="false" customHeight="false" outlineLevel="0" collapsed="false">
      <c r="A83" s="0" t="s">
        <v>438</v>
      </c>
      <c r="B83" s="0" t="s">
        <v>234</v>
      </c>
      <c r="C83" s="30" t="n">
        <f aca="false">a25_leap</f>
        <v>49.6</v>
      </c>
      <c r="D83" s="30" t="n">
        <f aca="false">a26_leap</f>
        <v>127.6</v>
      </c>
      <c r="E83" s="30" t="n">
        <f aca="false">E80*E81</f>
        <v>277.778748708961</v>
      </c>
      <c r="F83" s="30" t="n">
        <f aca="false">F80*F81</f>
        <v>367.662586815071</v>
      </c>
      <c r="G83" s="30" t="n">
        <f aca="false">G80*G81</f>
        <v>475.800658334408</v>
      </c>
    </row>
    <row r="84" customFormat="false" ht="15" hidden="false" customHeight="false" outlineLevel="0" collapsed="false">
      <c r="A84" s="4" t="s">
        <v>561</v>
      </c>
      <c r="B84" s="0" t="s">
        <v>234</v>
      </c>
      <c r="C84" s="30" t="n">
        <f aca="false">a25_ms</f>
        <v>339.628</v>
      </c>
      <c r="D84" s="30" t="n">
        <f aca="false">a26_ms</f>
        <v>432.1302</v>
      </c>
      <c r="E84" s="30" t="n">
        <f aca="false">D84*(1+g_ms27)</f>
        <v>496.94973</v>
      </c>
      <c r="F84" s="30" t="n">
        <f aca="false">E84*(1+g_msL)</f>
        <v>531.7362111</v>
      </c>
      <c r="G84" s="30" t="n">
        <f aca="false">F84*(1+g_msL)</f>
        <v>568.957745877</v>
      </c>
    </row>
    <row r="85" customFormat="false" ht="17.15" hidden="false" customHeight="false" outlineLevel="0" collapsed="false">
      <c r="A85" s="4" t="s">
        <v>562</v>
      </c>
      <c r="B85" s="0" t="s">
        <v>234</v>
      </c>
      <c r="C85" s="30" t="n">
        <f aca="false">C83+C84</f>
        <v>389.228</v>
      </c>
      <c r="D85" s="30" t="n">
        <f aca="false">D83+D84</f>
        <v>559.7302</v>
      </c>
      <c r="E85" s="30" t="n">
        <f aca="false">E83+E84</f>
        <v>774.728478708961</v>
      </c>
      <c r="F85" s="30" t="n">
        <f aca="false">F83+F84</f>
        <v>899.398797915071</v>
      </c>
      <c r="G85" s="30" t="n">
        <f aca="false">G83+G84</f>
        <v>1044.75840421141</v>
      </c>
    </row>
    <row r="86" customFormat="false" ht="17.15" hidden="false" customHeight="false" outlineLevel="0" collapsed="false">
      <c r="A86" s="0" t="s">
        <v>563</v>
      </c>
      <c r="B86" s="0" t="s">
        <v>234</v>
      </c>
      <c r="C86" s="30" t="n">
        <f aca="false">a25_ems</f>
        <v>259.079</v>
      </c>
      <c r="D86" s="30" t="n">
        <f aca="false">a26_ems</f>
        <v>314.602</v>
      </c>
      <c r="E86" s="30" t="n">
        <f aca="false">D86*(1+g_ems27)</f>
        <v>346.0622</v>
      </c>
      <c r="F86" s="30" t="n">
        <f aca="false">E86*(1+g_emsL)</f>
        <v>363.36531</v>
      </c>
      <c r="G86" s="30" t="n">
        <f aca="false">F86*(1+g_emsL)</f>
        <v>381.5335755</v>
      </c>
    </row>
    <row r="87" customFormat="false" ht="17.15" hidden="false" customHeight="false" outlineLevel="0" collapsed="false">
      <c r="A87" s="4" t="s">
        <v>564</v>
      </c>
      <c r="B87" s="0" t="s">
        <v>234</v>
      </c>
      <c r="C87" s="30" t="n">
        <f aca="false">a25_elim</f>
        <v>-2.91899999999998</v>
      </c>
      <c r="D87" s="30" t="n">
        <f aca="false">a26_elim</f>
        <v>-3.16484905982349</v>
      </c>
      <c r="E87" s="30" t="n">
        <f aca="false">$D87/($D85+$D86)*(E85+E86)</f>
        <v>-4.05696293213379</v>
      </c>
      <c r="F87" s="30" t="n">
        <f aca="false">$D87/($D85+$D86)*(F85+F86)</f>
        <v>-4.57086882962089</v>
      </c>
      <c r="G87" s="30" t="n">
        <f aca="false">$D87/($D85+$D86)*(G85+G86)</f>
        <v>-5.16279605283144</v>
      </c>
      <c r="K87" s="4" t="s">
        <v>565</v>
      </c>
    </row>
    <row r="88" customFormat="false" ht="17.15" hidden="false" customHeight="false" outlineLevel="0" collapsed="false">
      <c r="A88" s="4" t="s">
        <v>431</v>
      </c>
      <c r="B88" s="0" t="s">
        <v>234</v>
      </c>
      <c r="C88" s="30" t="n">
        <f aca="false">C85+C86+C87</f>
        <v>645.388</v>
      </c>
      <c r="D88" s="30" t="n">
        <f aca="false">D85+D86+D87</f>
        <v>871.167350940177</v>
      </c>
      <c r="E88" s="30" t="n">
        <f aca="false">E85+E86+E87</f>
        <v>1116.73371577683</v>
      </c>
      <c r="F88" s="30" t="n">
        <f aca="false">F85+F86+F87</f>
        <v>1258.19323908545</v>
      </c>
      <c r="G88" s="30" t="n">
        <f aca="false">G85+G86+G87</f>
        <v>1421.12918365858</v>
      </c>
      <c r="H88" s="31" t="n">
        <f aca="false">G88*(1+H89)</f>
        <v>1572.24252669828</v>
      </c>
      <c r="I88" s="31" t="n">
        <f aca="false">H88*(1+I89)</f>
        <v>1703.00066355907</v>
      </c>
      <c r="J88" s="31" t="n">
        <f aca="false">I88*(1+J89)</f>
        <v>1805.18070337261</v>
      </c>
      <c r="K88" s="8" t="s">
        <v>566</v>
      </c>
    </row>
    <row r="89" customFormat="false" ht="15" hidden="false" customHeight="false" outlineLevel="0" collapsed="false">
      <c r="A89" s="4" t="s">
        <v>567</v>
      </c>
      <c r="B89" s="0" t="s">
        <v>76</v>
      </c>
      <c r="D89" s="21" t="n">
        <f aca="false">D88/C88-1</f>
        <v>0.349835061916516</v>
      </c>
      <c r="E89" s="21" t="n">
        <f aca="false">E88/D88-1</f>
        <v>0.281881965126026</v>
      </c>
      <c r="F89" s="21" t="n">
        <f aca="false">F88/E88-1</f>
        <v>0.126672564202309</v>
      </c>
      <c r="G89" s="21" t="n">
        <f aca="false">G88/F88-1</f>
        <v>0.129499936505429</v>
      </c>
      <c r="H89" s="26" t="n">
        <f aca="false">$G89+(fade_gA-$G89)*1/3</f>
        <v>0.10633329100362</v>
      </c>
      <c r="I89" s="26" t="n">
        <f aca="false">$G89+(fade_gA-$G89)*2/3</f>
        <v>0.0831666455018098</v>
      </c>
      <c r="J89" s="26" t="n">
        <f aca="false">$G89+(fade_gA-$G89)*3/3</f>
        <v>0.06</v>
      </c>
    </row>
    <row r="90" customFormat="false" ht="17.15" hidden="false" customHeight="false" outlineLevel="0" collapsed="false">
      <c r="A90" s="0" t="s">
        <v>475</v>
      </c>
      <c r="B90" s="0" t="s">
        <v>76</v>
      </c>
      <c r="C90" s="21" t="n">
        <f aca="false">C83/C85</f>
        <v>0.127431736668482</v>
      </c>
      <c r="D90" s="21" t="n">
        <f aca="false">D83/D85</f>
        <v>0.227966974088588</v>
      </c>
      <c r="E90" s="21" t="n">
        <f aca="false">E83/E85</f>
        <v>0.35854980982739</v>
      </c>
      <c r="F90" s="21" t="n">
        <f aca="false">F83/F85</f>
        <v>0.408787056050512</v>
      </c>
      <c r="G90" s="21" t="n">
        <f aca="false">G83/G85</f>
        <v>0.455416923583923</v>
      </c>
    </row>
    <row r="91" customFormat="false" ht="15" hidden="false" customHeight="false" outlineLevel="0" collapsed="false">
      <c r="A91" s="4" t="s">
        <v>568</v>
      </c>
      <c r="B91" s="0" t="s">
        <v>76</v>
      </c>
      <c r="D91" s="21" t="n">
        <f aca="false">D85/C85-1</f>
        <v>0.438052247012034</v>
      </c>
      <c r="E91" s="21" t="n">
        <f aca="false">E85/D85-1</f>
        <v>0.384110556673485</v>
      </c>
      <c r="F91" s="21" t="n">
        <f aca="false">F85/E85-1</f>
        <v>0.160921306796241</v>
      </c>
      <c r="G91" s="21" t="n">
        <f aca="false">G85/F85-1</f>
        <v>0.161618635285371</v>
      </c>
    </row>
    <row r="92" customFormat="false" ht="17.15" hidden="false" customHeight="false" outlineLevel="0" collapsed="false">
      <c r="A92" s="6" t="s">
        <v>569</v>
      </c>
    </row>
    <row r="93" customFormat="false" ht="17.15" hidden="false" customHeight="false" outlineLevel="0" collapsed="false">
      <c r="A93" s="4" t="s">
        <v>570</v>
      </c>
      <c r="B93" s="0" t="s">
        <v>120</v>
      </c>
      <c r="C93" s="19" t="n">
        <f aca="false">capex25</f>
        <v>5.5</v>
      </c>
      <c r="D93" s="19" t="n">
        <f aca="false">capex26</f>
        <v>11.5</v>
      </c>
      <c r="E93" s="19" t="n">
        <f aca="false">capex27</f>
        <v>13</v>
      </c>
      <c r="F93" s="19" t="n">
        <f aca="false">capi*F88/F81</f>
        <v>11.7955616164261</v>
      </c>
      <c r="G93" s="19" t="n">
        <f aca="false">capi*G88/G81</f>
        <v>13.3230860967992</v>
      </c>
      <c r="K93" s="8" t="s">
        <v>571</v>
      </c>
    </row>
    <row r="94" customFormat="false" ht="15" hidden="false" customHeight="false" outlineLevel="0" collapsed="false">
      <c r="A94" s="4" t="s">
        <v>572</v>
      </c>
      <c r="B94" s="0" t="s">
        <v>234</v>
      </c>
      <c r="C94" s="30" t="n">
        <f aca="false">C93*C81</f>
        <v>170.5</v>
      </c>
      <c r="D94" s="30" t="n">
        <f aca="false">D93*31.9</f>
        <v>366.85</v>
      </c>
      <c r="E94" s="30" t="n">
        <f aca="false">E93*E81</f>
        <v>416</v>
      </c>
      <c r="F94" s="30" t="n">
        <f aca="false">F93*F81</f>
        <v>377.457971725635</v>
      </c>
      <c r="G94" s="30" t="n">
        <f aca="false">G93*G81</f>
        <v>426.338755097573</v>
      </c>
    </row>
    <row r="95" customFormat="false" ht="17.15" hidden="false" customHeight="false" outlineLevel="0" collapsed="false">
      <c r="A95" s="4" t="s">
        <v>473</v>
      </c>
      <c r="B95" s="0" t="s">
        <v>76</v>
      </c>
      <c r="C95" s="21" t="n">
        <f aca="false">C94/C88</f>
        <v>0.264182166386732</v>
      </c>
      <c r="D95" s="21" t="n">
        <f aca="false">D94/D88</f>
        <v>0.421101639775745</v>
      </c>
      <c r="E95" s="21" t="n">
        <f aca="false">E94/E88</f>
        <v>0.372514946153139</v>
      </c>
      <c r="F95" s="21" t="n">
        <f aca="false">F94/F88</f>
        <v>0.3</v>
      </c>
      <c r="G95" s="21" t="n">
        <f aca="false">G94/G88</f>
        <v>0.3</v>
      </c>
    </row>
    <row r="96" customFormat="false" ht="17.15" hidden="false" customHeight="false" outlineLevel="0" collapsed="false">
      <c r="A96" s="4" t="s">
        <v>573</v>
      </c>
      <c r="B96" s="0" t="s">
        <v>234</v>
      </c>
      <c r="C96" s="30" t="n">
        <f aca="false">a25_da</f>
        <v>75.255</v>
      </c>
      <c r="D96" s="30" t="n">
        <f aca="false">a26_da</f>
        <v>97.124</v>
      </c>
      <c r="E96" s="30" t="n">
        <f aca="false">D96*(1-1/life)+D94/life</f>
        <v>130.83975</v>
      </c>
      <c r="F96" s="30" t="n">
        <f aca="false">E96*(1-1/life)+E94/life</f>
        <v>166.48478125</v>
      </c>
      <c r="G96" s="30" t="n">
        <f aca="false">F96*(1-1/life)+F94/life</f>
        <v>192.856430059454</v>
      </c>
      <c r="K96" s="4" t="s">
        <v>574</v>
      </c>
    </row>
    <row r="97" customFormat="false" ht="17.15" hidden="false" customHeight="false" outlineLevel="0" collapsed="false">
      <c r="A97" s="4" t="s">
        <v>575</v>
      </c>
      <c r="B97" s="0" t="s">
        <v>234</v>
      </c>
      <c r="C97" s="30" t="n">
        <f aca="false">a25_agp</f>
        <v>91.38</v>
      </c>
      <c r="D97" s="30" t="n">
        <f aca="false">a26_agp</f>
        <v>164.623388</v>
      </c>
      <c r="E97" s="30" t="n">
        <f aca="false">$D97+ft*(E85-$D85)-(E96-$D96)</f>
        <v>238.406777354481</v>
      </c>
      <c r="F97" s="30" t="n">
        <f aca="false">$D97+ft*(F85-$D85)-(F96-$D96)</f>
        <v>265.096905707536</v>
      </c>
      <c r="G97" s="30" t="n">
        <f aca="false">$D97+ft*(G85-$D85)-(G96-$D96)</f>
        <v>311.40506004625</v>
      </c>
      <c r="K97" s="4" t="s">
        <v>576</v>
      </c>
    </row>
    <row r="98" customFormat="false" ht="15" hidden="false" customHeight="false" outlineLevel="0" collapsed="false">
      <c r="A98" s="4" t="s">
        <v>447</v>
      </c>
      <c r="B98" s="0" t="s">
        <v>76</v>
      </c>
      <c r="C98" s="14" t="n">
        <f aca="false">C97/C85</f>
        <v>0.234772421305764</v>
      </c>
      <c r="D98" s="14" t="n">
        <f aca="false">D97/D85</f>
        <v>0.294112034690999</v>
      </c>
      <c r="E98" s="14" t="n">
        <f aca="false">E97/E85</f>
        <v>0.307729461232368</v>
      </c>
      <c r="F98" s="14" t="n">
        <f aca="false">F97/F85</f>
        <v>0.294749010474626</v>
      </c>
      <c r="G98" s="14" t="n">
        <f aca="false">G97/G85</f>
        <v>0.298064182868479</v>
      </c>
    </row>
    <row r="99" customFormat="false" ht="17.15" hidden="false" customHeight="false" outlineLevel="0" collapsed="false">
      <c r="A99" s="0" t="s">
        <v>449</v>
      </c>
      <c r="B99" s="0" t="s">
        <v>234</v>
      </c>
      <c r="C99" s="30" t="n">
        <f aca="false">a25_egp</f>
        <v>23.695</v>
      </c>
      <c r="D99" s="30" t="n">
        <f aca="false">a26_egp</f>
        <v>27.00552</v>
      </c>
      <c r="E99" s="30" t="n">
        <f aca="false">E86*ems_gm</f>
        <v>29.415287</v>
      </c>
      <c r="F99" s="30" t="n">
        <f aca="false">F86*ems_gm</f>
        <v>30.88605135</v>
      </c>
      <c r="G99" s="30" t="n">
        <f aca="false">G86*ems_gm</f>
        <v>32.4303539175</v>
      </c>
    </row>
    <row r="100" customFormat="false" ht="15" hidden="false" customHeight="false" outlineLevel="0" collapsed="false">
      <c r="A100" s="4" t="s">
        <v>577</v>
      </c>
      <c r="B100" s="0" t="s">
        <v>234</v>
      </c>
      <c r="C100" s="30" t="n">
        <f aca="false">a25_lgp</f>
        <v>-0.881999999999998</v>
      </c>
      <c r="D100" s="30" t="n">
        <f aca="false">a26_lgp</f>
        <v>-0.948662139013863</v>
      </c>
      <c r="E100" s="30" t="n">
        <f aca="false">$D100/$D87*E87</f>
        <v>-1.21607288699975</v>
      </c>
      <c r="F100" s="30" t="n">
        <f aca="false">$D100/$D87*F87</f>
        <v>-1.37011595785291</v>
      </c>
      <c r="G100" s="30" t="n">
        <f aca="false">$D100/$D87*G87</f>
        <v>-1.54754588739994</v>
      </c>
    </row>
    <row r="101" customFormat="false" ht="15" hidden="false" customHeight="false" outlineLevel="0" collapsed="false">
      <c r="A101" s="4" t="s">
        <v>451</v>
      </c>
      <c r="B101" s="0" t="s">
        <v>234</v>
      </c>
      <c r="C101" s="30" t="n">
        <f aca="false">C97+C99+C100</f>
        <v>114.193</v>
      </c>
      <c r="D101" s="30" t="n">
        <f aca="false">D97+D99+D100</f>
        <v>190.680245860986</v>
      </c>
      <c r="E101" s="30" t="n">
        <f aca="false">E97+E99+E100</f>
        <v>266.605991467481</v>
      </c>
      <c r="F101" s="30" t="n">
        <f aca="false">F97+F99+F100</f>
        <v>294.612841099683</v>
      </c>
      <c r="G101" s="30" t="n">
        <f aca="false">G97+G99+G100</f>
        <v>342.28786807635</v>
      </c>
    </row>
    <row r="102" customFormat="false" ht="15" hidden="false" customHeight="false" outlineLevel="0" collapsed="false">
      <c r="A102" s="4" t="s">
        <v>452</v>
      </c>
      <c r="B102" s="0" t="s">
        <v>76</v>
      </c>
      <c r="C102" s="14" t="n">
        <f aca="false">C101/C88</f>
        <v>0.176936974347214</v>
      </c>
      <c r="D102" s="14" t="n">
        <f aca="false">D101/D88</f>
        <v>0.218879008327391</v>
      </c>
      <c r="E102" s="14" t="n">
        <f aca="false">E101/E88</f>
        <v>0.238737299412531</v>
      </c>
      <c r="F102" s="14" t="n">
        <f aca="false">F101/F88</f>
        <v>0.234155479418908</v>
      </c>
      <c r="G102" s="14" t="n">
        <f aca="false">G101/G88</f>
        <v>0.24085626557549</v>
      </c>
    </row>
    <row r="103" customFormat="false" ht="15" hidden="false" customHeight="false" outlineLevel="0" collapsed="false">
      <c r="A103" s="4" t="s">
        <v>578</v>
      </c>
      <c r="B103" s="0" t="s">
        <v>234</v>
      </c>
      <c r="C103" s="30" t="n">
        <f aca="false">a25_opx</f>
        <v>63.437</v>
      </c>
      <c r="D103" s="30" t="n">
        <f aca="false">a26_opx</f>
        <v>79.658</v>
      </c>
      <c r="E103" s="30" t="n">
        <f aca="false">D103*(1+phi*E89)</f>
        <v>93.1304921468054</v>
      </c>
      <c r="F103" s="30" t="n">
        <f aca="false">E103*(1+phi*F89)</f>
        <v>100.208739094201</v>
      </c>
      <c r="G103" s="30" t="n">
        <f aca="false">F103*(1+phi*G89)</f>
        <v>107.994954304194</v>
      </c>
    </row>
    <row r="104" customFormat="false" ht="15" hidden="false" customHeight="false" outlineLevel="0" collapsed="false">
      <c r="A104" s="4" t="s">
        <v>455</v>
      </c>
      <c r="B104" s="0" t="s">
        <v>234</v>
      </c>
      <c r="C104" s="30" t="n">
        <f aca="false">C101-C103</f>
        <v>50.756</v>
      </c>
      <c r="D104" s="30" t="n">
        <f aca="false">D101-D103</f>
        <v>111.022245860986</v>
      </c>
      <c r="E104" s="30" t="n">
        <f aca="false">E101-E103</f>
        <v>173.475499320676</v>
      </c>
      <c r="F104" s="30" t="n">
        <f aca="false">F101-F103</f>
        <v>194.404102005482</v>
      </c>
      <c r="G104" s="30" t="n">
        <f aca="false">G101-G103</f>
        <v>234.292913772156</v>
      </c>
    </row>
    <row r="105" customFormat="false" ht="15" hidden="false" customHeight="false" outlineLevel="0" collapsed="false">
      <c r="A105" s="4" t="s">
        <v>537</v>
      </c>
      <c r="B105" s="0" t="s">
        <v>76</v>
      </c>
      <c r="C105" s="14" t="n">
        <f aca="false">C104/C88</f>
        <v>0.0786441644406156</v>
      </c>
      <c r="D105" s="14" t="n">
        <f aca="false">D104/D88</f>
        <v>0.127440779020437</v>
      </c>
      <c r="E105" s="14" t="n">
        <f aca="false">E104/E88</f>
        <v>0.155341866077717</v>
      </c>
      <c r="F105" s="14" t="n">
        <f aca="false">F104/F88</f>
        <v>0.154510528245081</v>
      </c>
      <c r="G105" s="14" t="n">
        <f aca="false">G104/G88</f>
        <v>0.164863909957143</v>
      </c>
    </row>
    <row r="106" customFormat="false" ht="15" hidden="false" customHeight="false" outlineLevel="0" collapsed="false">
      <c r="A106" s="4" t="s">
        <v>456</v>
      </c>
      <c r="B106" s="0" t="s">
        <v>234</v>
      </c>
      <c r="C106" s="30" t="n">
        <f aca="false">a25_nonop</f>
        <v>0.545</v>
      </c>
      <c r="D106" s="30" t="n">
        <f aca="false">a26_nonop</f>
        <v>4.302</v>
      </c>
      <c r="E106" s="30" t="n">
        <f aca="false">nonop_f</f>
        <v>-5</v>
      </c>
      <c r="F106" s="30" t="n">
        <f aca="false">nonop_f</f>
        <v>-5</v>
      </c>
      <c r="G106" s="30" t="n">
        <f aca="false">nonop_f</f>
        <v>-5</v>
      </c>
    </row>
    <row r="107" customFormat="false" ht="15" hidden="false" customHeight="false" outlineLevel="0" collapsed="false">
      <c r="A107" s="4" t="s">
        <v>459</v>
      </c>
      <c r="B107" s="0" t="s">
        <v>234</v>
      </c>
      <c r="C107" s="30" t="n">
        <f aca="false">C104+C106</f>
        <v>51.301</v>
      </c>
      <c r="D107" s="30" t="n">
        <f aca="false">D104+D106</f>
        <v>115.324245860986</v>
      </c>
      <c r="E107" s="30" t="n">
        <f aca="false">E104+E106</f>
        <v>168.475499320676</v>
      </c>
      <c r="F107" s="30" t="n">
        <f aca="false">F104+F106</f>
        <v>189.404102005482</v>
      </c>
      <c r="G107" s="30" t="n">
        <f aca="false">G104+G106</f>
        <v>229.292913772156</v>
      </c>
    </row>
    <row r="108" customFormat="false" ht="15" hidden="false" customHeight="false" outlineLevel="0" collapsed="false">
      <c r="A108" s="4" t="s">
        <v>460</v>
      </c>
      <c r="B108" s="0" t="s">
        <v>234</v>
      </c>
      <c r="C108" s="30" t="n">
        <f aca="false">a25_tax</f>
        <v>9.461</v>
      </c>
      <c r="D108" s="30" t="n">
        <f aca="false">a26_tax</f>
        <v>19.2197317963676</v>
      </c>
      <c r="E108" s="30" t="n">
        <f aca="false">E107*tax</f>
        <v>28.6408348845149</v>
      </c>
      <c r="F108" s="30" t="n">
        <f aca="false">F107*tax</f>
        <v>32.198697340932</v>
      </c>
      <c r="G108" s="30" t="n">
        <f aca="false">G107*tax</f>
        <v>38.9797953412666</v>
      </c>
    </row>
    <row r="109" customFormat="false" ht="15" hidden="false" customHeight="false" outlineLevel="0" collapsed="false">
      <c r="A109" s="4" t="s">
        <v>461</v>
      </c>
      <c r="B109" s="0" t="s">
        <v>234</v>
      </c>
      <c r="C109" s="30" t="n">
        <f aca="false">a25_nci</f>
        <v>1.182</v>
      </c>
      <c r="D109" s="30" t="n">
        <f aca="false">a26_nci</f>
        <v>2.543</v>
      </c>
      <c r="E109" s="30" t="n">
        <f aca="false">nci</f>
        <v>3</v>
      </c>
      <c r="F109" s="30" t="n">
        <f aca="false">nci</f>
        <v>3</v>
      </c>
      <c r="G109" s="30" t="n">
        <f aca="false">nci</f>
        <v>3</v>
      </c>
    </row>
    <row r="110" customFormat="false" ht="15" hidden="false" customHeight="false" outlineLevel="0" collapsed="false">
      <c r="A110" s="4" t="s">
        <v>462</v>
      </c>
      <c r="B110" s="0" t="s">
        <v>234</v>
      </c>
      <c r="C110" s="30" t="n">
        <f aca="false">C107-C108-C109</f>
        <v>40.658</v>
      </c>
      <c r="D110" s="30" t="n">
        <f aca="false">D107-D108-D109</f>
        <v>93.5615140646185</v>
      </c>
      <c r="E110" s="30" t="n">
        <f aca="false">E107-E108-E109</f>
        <v>136.834664436161</v>
      </c>
      <c r="F110" s="30" t="n">
        <f aca="false">F107-F108-F109</f>
        <v>154.20540466455</v>
      </c>
      <c r="G110" s="30" t="n">
        <f aca="false">G107-G108-G109</f>
        <v>187.31311843089</v>
      </c>
      <c r="H110" s="31" t="n">
        <f aca="false">H88*H114</f>
        <v>207.230738761797</v>
      </c>
      <c r="I110" s="31" t="n">
        <f aca="false">I88*I114</f>
        <v>224.465424149478</v>
      </c>
      <c r="J110" s="31" t="n">
        <f aca="false">J88*J114</f>
        <v>237.933349598446</v>
      </c>
    </row>
    <row r="111" customFormat="false" ht="15" hidden="false" customHeight="false" outlineLevel="0" collapsed="false">
      <c r="A111" s="4" t="s">
        <v>579</v>
      </c>
      <c r="B111" s="4" t="s">
        <v>580</v>
      </c>
      <c r="C111" s="18" t="n">
        <f aca="false">a25_sh</f>
        <v>4339.16755602988</v>
      </c>
      <c r="D111" s="18" t="n">
        <f aca="false">a26_sh</f>
        <v>4392.90105184664</v>
      </c>
      <c r="E111" s="18" t="n">
        <f aca="false">D111*(1+sh_g)</f>
        <v>4414.86555710588</v>
      </c>
      <c r="F111" s="18" t="n">
        <f aca="false">E111*(1+sh_g)</f>
        <v>4436.9398848914</v>
      </c>
      <c r="G111" s="18" t="n">
        <f aca="false">F111*(1+sh_g)</f>
        <v>4459.12458431586</v>
      </c>
      <c r="H111" s="25" t="n">
        <f aca="false">G111*(1+sh_g)</f>
        <v>4481.42020723744</v>
      </c>
      <c r="I111" s="25" t="n">
        <f aca="false">H111*(1+sh_g)</f>
        <v>4503.82730827363</v>
      </c>
      <c r="J111" s="25" t="n">
        <f aca="false">I111*(1+sh_g)</f>
        <v>4526.34644481499</v>
      </c>
    </row>
    <row r="112" customFormat="false" ht="17.15" hidden="false" customHeight="false" outlineLevel="0" collapsed="false">
      <c r="A112" s="0" t="s">
        <v>465</v>
      </c>
      <c r="B112" s="0" t="s">
        <v>304</v>
      </c>
      <c r="C112" s="19" t="n">
        <f aca="false">a25_eps</f>
        <v>9.37</v>
      </c>
      <c r="D112" s="19" t="n">
        <f aca="false">a26_eps</f>
        <v>21.2828697294455</v>
      </c>
      <c r="E112" s="19" t="n">
        <f aca="false">E110/E111*1000</f>
        <v>30.9940727902621</v>
      </c>
      <c r="F112" s="19" t="n">
        <f aca="false">F110/F111*1000</f>
        <v>34.754900599318</v>
      </c>
      <c r="G112" s="19" t="n">
        <f aca="false">G110/G111*1000</f>
        <v>42.0067021876286</v>
      </c>
      <c r="H112" s="28" t="n">
        <f aca="false">H110/H111*1000</f>
        <v>46.2422020651225</v>
      </c>
      <c r="I112" s="28" t="n">
        <f aca="false">I110/I111*1000</f>
        <v>49.8388168074584</v>
      </c>
      <c r="J112" s="28" t="n">
        <f aca="false">J110/J111*1000</f>
        <v>52.5663142446825</v>
      </c>
    </row>
    <row r="113" customFormat="false" ht="17.15" hidden="false" customHeight="false" outlineLevel="0" collapsed="false">
      <c r="A113" s="0" t="s">
        <v>581</v>
      </c>
      <c r="B113" s="0" t="s">
        <v>76</v>
      </c>
      <c r="D113" s="21" t="n">
        <f aca="false">D112/C112-1</f>
        <v>1.27138417603474</v>
      </c>
      <c r="E113" s="21" t="n">
        <f aca="false">E112/D112-1</f>
        <v>0.456291993714591</v>
      </c>
      <c r="F113" s="21" t="n">
        <f aca="false">F112/E112-1</f>
        <v>0.121340226387977</v>
      </c>
      <c r="G113" s="21" t="n">
        <f aca="false">G112/F112-1</f>
        <v>0.208655512266174</v>
      </c>
      <c r="H113" s="26" t="n">
        <f aca="false">H112/G112-1</f>
        <v>0.100829145277234</v>
      </c>
      <c r="I113" s="26" t="n">
        <f aca="false">I112/H112-1</f>
        <v>0.0777777567182187</v>
      </c>
      <c r="J113" s="26" t="n">
        <f aca="false">J112/I112-1</f>
        <v>0.0547263681592043</v>
      </c>
    </row>
    <row r="114" customFormat="false" ht="17.15" hidden="false" customHeight="false" outlineLevel="0" collapsed="false">
      <c r="A114" s="4" t="s">
        <v>582</v>
      </c>
      <c r="B114" s="0" t="s">
        <v>76</v>
      </c>
      <c r="C114" s="14" t="n">
        <f aca="false">C110/C88</f>
        <v>0.0629977625862272</v>
      </c>
      <c r="D114" s="14" t="n">
        <f aca="false">D110/D88</f>
        <v>0.107397865592237</v>
      </c>
      <c r="E114" s="14" t="n">
        <f aca="false">E110/E88</f>
        <v>0.122531148207498</v>
      </c>
      <c r="F114" s="14" t="n">
        <f aca="false">F110/F88</f>
        <v>0.122560986559297</v>
      </c>
      <c r="G114" s="14" t="n">
        <f aca="false">G110/G88</f>
        <v>0.131805834814164</v>
      </c>
      <c r="H114" s="27" t="n">
        <f aca="false">$G114+(fade_mA-$G114)*1/3</f>
        <v>0.131805834814164</v>
      </c>
      <c r="I114" s="27" t="n">
        <f aca="false">$G114+(fade_mA-$G114)*2/3</f>
        <v>0.131805834814164</v>
      </c>
      <c r="J114" s="27" t="n">
        <f aca="false">$G114+(fade_mA-$G114)*3/3</f>
        <v>0.131805834814164</v>
      </c>
    </row>
    <row r="115" customFormat="false" ht="17.15" hidden="false" customHeight="false" outlineLevel="0" collapsed="false">
      <c r="A115" s="4" t="s">
        <v>583</v>
      </c>
      <c r="B115" s="0" t="s">
        <v>234</v>
      </c>
      <c r="C115" s="30" t="n">
        <f aca="false">C110+C96-C94</f>
        <v>-54.587</v>
      </c>
      <c r="D115" s="30" t="n">
        <f aca="false">D110+D96-D94</f>
        <v>-176.164485935382</v>
      </c>
      <c r="E115" s="30" t="n">
        <f aca="false">E110+E96-E94</f>
        <v>-148.325585563839</v>
      </c>
      <c r="F115" s="30" t="n">
        <f aca="false">F110+F96-F94</f>
        <v>-56.7677858110851</v>
      </c>
      <c r="G115" s="30" t="n">
        <f aca="false">G110+G96-G94</f>
        <v>-46.169206607229</v>
      </c>
      <c r="K115" s="4" t="s">
        <v>584</v>
      </c>
    </row>
    <row r="116" customFormat="false" ht="17.15" hidden="false" customHeight="false" outlineLevel="0" collapsed="false">
      <c r="A116" s="4" t="s">
        <v>585</v>
      </c>
      <c r="B116" s="0" t="s">
        <v>76</v>
      </c>
      <c r="D116" s="21" t="n">
        <f aca="false">(D104-$C104)/SUM($D94:D94)</f>
        <v>0.164280348537512</v>
      </c>
      <c r="E116" s="21" t="n">
        <f aca="false">(E104-$C104)/SUM($D94:E94)</f>
        <v>0.156759914824903</v>
      </c>
      <c r="F116" s="21" t="n">
        <f aca="false">(F104-$C104)/SUM($D94:F94)</f>
        <v>0.123801702225527</v>
      </c>
      <c r="G116" s="21" t="n">
        <f aca="false">(G104-$C104)/SUM($D94:G94)</f>
        <v>0.115675979201517</v>
      </c>
      <c r="K116" s="4" t="s">
        <v>586</v>
      </c>
    </row>
    <row r="119" customFormat="false" ht="17.15" hidden="false" customHeight="false" outlineLevel="0" collapsed="false">
      <c r="A119" s="1" t="s">
        <v>587</v>
      </c>
    </row>
    <row r="120" customFormat="false" ht="17.15" hidden="false" customHeight="false" outlineLevel="0" collapsed="false">
      <c r="A120" s="5" t="s">
        <v>21</v>
      </c>
      <c r="B120" s="5" t="s">
        <v>22</v>
      </c>
      <c r="C120" s="15" t="s">
        <v>424</v>
      </c>
      <c r="D120" s="15" t="s">
        <v>524</v>
      </c>
      <c r="E120" s="15" t="s">
        <v>525</v>
      </c>
      <c r="F120" s="15" t="s">
        <v>526</v>
      </c>
      <c r="G120" s="15" t="s">
        <v>527</v>
      </c>
      <c r="H120" s="15" t="s">
        <v>528</v>
      </c>
      <c r="I120" s="15" t="s">
        <v>529</v>
      </c>
      <c r="J120" s="15" t="s">
        <v>530</v>
      </c>
      <c r="K120" s="5" t="s">
        <v>382</v>
      </c>
    </row>
    <row r="121" customFormat="false" ht="17.15" hidden="false" customHeight="false" outlineLevel="0" collapsed="false">
      <c r="A121" s="6" t="s">
        <v>548</v>
      </c>
    </row>
    <row r="122" customFormat="false" ht="17.15" hidden="false" customHeight="false" outlineLevel="0" collapsed="false">
      <c r="A122" s="0" t="s">
        <v>549</v>
      </c>
      <c r="B122" s="4" t="s">
        <v>32</v>
      </c>
      <c r="D122" s="19" t="n">
        <f aca="false">units_26</f>
        <v>15.2</v>
      </c>
      <c r="E122" s="19" t="n">
        <f aca="false">units_27*1</f>
        <v>23.7</v>
      </c>
      <c r="F122" s="19" t="n">
        <f aca="false">units_28*um28_B*1</f>
        <v>21.2</v>
      </c>
      <c r="G122" s="19" t="n">
        <f aca="false">units_29*um29_B*1</f>
        <v>25.6275</v>
      </c>
    </row>
    <row r="123" customFormat="false" ht="17.15" hidden="false" customHeight="false" outlineLevel="0" collapsed="false">
      <c r="A123" s="4" t="s">
        <v>497</v>
      </c>
      <c r="B123" s="0" t="s">
        <v>45</v>
      </c>
      <c r="D123" s="22" t="n">
        <f aca="false">ar_26</f>
        <v>1</v>
      </c>
      <c r="E123" s="22" t="n">
        <f aca="false">ar_27</f>
        <v>1.278156</v>
      </c>
      <c r="F123" s="22" t="n">
        <f aca="false">ar_28</f>
        <v>1.428615</v>
      </c>
      <c r="G123" s="22" t="n">
        <f aca="false">ar_29</f>
        <v>1.431796</v>
      </c>
    </row>
    <row r="124" customFormat="false" ht="17.15" hidden="false" customHeight="false" outlineLevel="0" collapsed="false">
      <c r="A124" s="4" t="s">
        <v>550</v>
      </c>
      <c r="B124" s="0" t="s">
        <v>45</v>
      </c>
      <c r="D124" s="19" t="n">
        <f aca="false">1</f>
        <v>1</v>
      </c>
      <c r="E124" s="19" t="n">
        <f aca="false">rel27_B</f>
        <v>1.05</v>
      </c>
      <c r="F124" s="19" t="n">
        <f aca="false">rel28_B</f>
        <v>1.08</v>
      </c>
      <c r="G124" s="19" t="n">
        <f aca="false">rel29_B</f>
        <v>1.1</v>
      </c>
    </row>
    <row r="125" customFormat="false" ht="17.15" hidden="false" customHeight="false" outlineLevel="0" collapsed="false">
      <c r="A125" s="4" t="s">
        <v>551</v>
      </c>
      <c r="B125" s="0" t="s">
        <v>502</v>
      </c>
      <c r="D125" s="23" t="n">
        <f aca="false">D126*1000/D122</f>
        <v>236.842105263158</v>
      </c>
      <c r="E125" s="23" t="n">
        <f aca="false">$D125*E123^el</f>
        <v>267.763172119488</v>
      </c>
      <c r="F125" s="23" t="n">
        <f aca="false">$D125*F123^el</f>
        <v>283.084777049615</v>
      </c>
      <c r="G125" s="23" t="n">
        <f aca="false">$D125*G123^el</f>
        <v>283.399764630809</v>
      </c>
      <c r="K125" s="8" t="s">
        <v>552</v>
      </c>
    </row>
    <row r="126" customFormat="false" ht="17.15" hidden="false" customHeight="false" outlineLevel="0" collapsed="false">
      <c r="A126" s="0" t="s">
        <v>553</v>
      </c>
      <c r="B126" s="0" t="s">
        <v>120</v>
      </c>
      <c r="D126" s="22" t="n">
        <f aca="false">leap26-D127-D128</f>
        <v>3.6</v>
      </c>
      <c r="E126" s="22" t="n">
        <f aca="false">E122*E124*E125/1000</f>
        <v>6.66328653819345</v>
      </c>
      <c r="F126" s="22" t="n">
        <f aca="false">F122*F124*F125/1000</f>
        <v>6.48150905532798</v>
      </c>
      <c r="G126" s="22" t="n">
        <f aca="false">G122*G124*G125/1000</f>
        <v>7.98911021488366</v>
      </c>
      <c r="K126" s="8" t="s">
        <v>554</v>
      </c>
    </row>
    <row r="127" customFormat="false" ht="17.15" hidden="false" customHeight="false" outlineLevel="0" collapsed="false">
      <c r="A127" s="4" t="s">
        <v>555</v>
      </c>
      <c r="B127" s="0" t="s">
        <v>120</v>
      </c>
      <c r="D127" s="22" t="n">
        <f aca="false">fp26</f>
        <v>0.3</v>
      </c>
      <c r="E127" s="22" t="n">
        <f aca="false">fp27_B</f>
        <v>1</v>
      </c>
      <c r="F127" s="22" t="n">
        <f aca="false">E127*F122/E122*(1+fp_g)</f>
        <v>1.16286919831224</v>
      </c>
      <c r="G127" s="22" t="n">
        <f aca="false">F127*G122/F122*(1+fp_g)</f>
        <v>1.82744620253165</v>
      </c>
    </row>
    <row r="128" customFormat="false" ht="17.15" hidden="false" customHeight="false" outlineLevel="0" collapsed="false">
      <c r="A128" s="0" t="s">
        <v>556</v>
      </c>
      <c r="B128" s="0" t="s">
        <v>120</v>
      </c>
      <c r="D128" s="22" t="n">
        <f aca="false">cpo27*cpo_B_26/cpo_A_27</f>
        <v>0.1</v>
      </c>
      <c r="E128" s="22" t="n">
        <f aca="false">cpo27*cpo_B_27/cpo_A_27</f>
        <v>0.3</v>
      </c>
      <c r="F128" s="22" t="n">
        <f aca="false">cpo27*cpo_B_28/cpo_A_27*F122/E122</f>
        <v>0.447257383966245</v>
      </c>
      <c r="G128" s="22" t="n">
        <f aca="false">cpo27*cpo_B_29/cpo_A_27*G122/E122</f>
        <v>0.86506329113924</v>
      </c>
      <c r="K128" s="8" t="s">
        <v>557</v>
      </c>
    </row>
    <row r="129" customFormat="false" ht="17.15" hidden="false" customHeight="false" outlineLevel="0" collapsed="false">
      <c r="A129" s="0" t="s">
        <v>510</v>
      </c>
      <c r="B129" s="0" t="s">
        <v>120</v>
      </c>
      <c r="C129" s="22" t="n">
        <f aca="false">leap25</f>
        <v>1.6</v>
      </c>
      <c r="D129" s="22" t="n">
        <f aca="false">D126+D127+D128</f>
        <v>4</v>
      </c>
      <c r="E129" s="22" t="n">
        <f aca="false">E126+E127+E128</f>
        <v>7.96328653819345</v>
      </c>
      <c r="F129" s="22" t="n">
        <f aca="false">F126+F127+F128</f>
        <v>8.09163563760646</v>
      </c>
      <c r="G129" s="22" t="n">
        <f aca="false">G126+G127+G128</f>
        <v>10.6816197085545</v>
      </c>
    </row>
    <row r="130" customFormat="false" ht="17.15" hidden="false" customHeight="false" outlineLevel="0" collapsed="false">
      <c r="A130" s="4" t="s">
        <v>558</v>
      </c>
      <c r="B130" s="0" t="s">
        <v>114</v>
      </c>
      <c r="C130" s="19" t="n">
        <f aca="false">fx25</f>
        <v>31</v>
      </c>
      <c r="D130" s="19" t="n">
        <f aca="false">a26_leap/D129</f>
        <v>31.9</v>
      </c>
      <c r="E130" s="19" t="n">
        <f aca="false">fx</f>
        <v>32</v>
      </c>
      <c r="F130" s="19" t="n">
        <f aca="false">fx</f>
        <v>32</v>
      </c>
      <c r="G130" s="19" t="n">
        <f aca="false">fx</f>
        <v>32</v>
      </c>
      <c r="K130" s="8" t="s">
        <v>559</v>
      </c>
    </row>
    <row r="131" customFormat="false" ht="17.15" hidden="false" customHeight="false" outlineLevel="0" collapsed="false">
      <c r="A131" s="6" t="s">
        <v>560</v>
      </c>
    </row>
    <row r="132" customFormat="false" ht="17.15" hidden="false" customHeight="false" outlineLevel="0" collapsed="false">
      <c r="A132" s="0" t="s">
        <v>438</v>
      </c>
      <c r="B132" s="0" t="s">
        <v>234</v>
      </c>
      <c r="C132" s="30" t="n">
        <f aca="false">a25_leap</f>
        <v>49.6</v>
      </c>
      <c r="D132" s="30" t="n">
        <f aca="false">a26_leap</f>
        <v>127.6</v>
      </c>
      <c r="E132" s="30" t="n">
        <f aca="false">E129*E130</f>
        <v>254.82516922219</v>
      </c>
      <c r="F132" s="30" t="n">
        <f aca="false">F129*F130</f>
        <v>258.932340403407</v>
      </c>
      <c r="G132" s="30" t="n">
        <f aca="false">G129*G130</f>
        <v>341.811830673745</v>
      </c>
    </row>
    <row r="133" customFormat="false" ht="15" hidden="false" customHeight="false" outlineLevel="0" collapsed="false">
      <c r="A133" s="4" t="s">
        <v>561</v>
      </c>
      <c r="B133" s="0" t="s">
        <v>234</v>
      </c>
      <c r="C133" s="30" t="n">
        <f aca="false">a25_ms</f>
        <v>339.628</v>
      </c>
      <c r="D133" s="30" t="n">
        <f aca="false">a26_ms</f>
        <v>432.1302</v>
      </c>
      <c r="E133" s="30" t="n">
        <f aca="false">D133*(1+g_ms27)</f>
        <v>496.94973</v>
      </c>
      <c r="F133" s="30" t="n">
        <f aca="false">E133*(1+g_msL)</f>
        <v>531.7362111</v>
      </c>
      <c r="G133" s="30" t="n">
        <f aca="false">F133*(1+g_msL)</f>
        <v>568.957745877</v>
      </c>
    </row>
    <row r="134" customFormat="false" ht="17.15" hidden="false" customHeight="false" outlineLevel="0" collapsed="false">
      <c r="A134" s="4" t="s">
        <v>562</v>
      </c>
      <c r="B134" s="0" t="s">
        <v>234</v>
      </c>
      <c r="C134" s="30" t="n">
        <f aca="false">C132+C133</f>
        <v>389.228</v>
      </c>
      <c r="D134" s="30" t="n">
        <f aca="false">D132+D133</f>
        <v>559.7302</v>
      </c>
      <c r="E134" s="30" t="n">
        <f aca="false">E132+E133</f>
        <v>751.77489922219</v>
      </c>
      <c r="F134" s="30" t="n">
        <f aca="false">F132+F133</f>
        <v>790.668551503407</v>
      </c>
      <c r="G134" s="30" t="n">
        <f aca="false">G132+G133</f>
        <v>910.769576550745</v>
      </c>
    </row>
    <row r="135" customFormat="false" ht="17.15" hidden="false" customHeight="false" outlineLevel="0" collapsed="false">
      <c r="A135" s="0" t="s">
        <v>563</v>
      </c>
      <c r="B135" s="0" t="s">
        <v>234</v>
      </c>
      <c r="C135" s="30" t="n">
        <f aca="false">a25_ems</f>
        <v>259.079</v>
      </c>
      <c r="D135" s="30" t="n">
        <f aca="false">a26_ems</f>
        <v>314.602</v>
      </c>
      <c r="E135" s="30" t="n">
        <f aca="false">D135*(1+g_ems27)</f>
        <v>346.0622</v>
      </c>
      <c r="F135" s="30" t="n">
        <f aca="false">E135*(1+g_emsL)</f>
        <v>363.36531</v>
      </c>
      <c r="G135" s="30" t="n">
        <f aca="false">F135*(1+g_emsL)</f>
        <v>381.5335755</v>
      </c>
    </row>
    <row r="136" customFormat="false" ht="17.15" hidden="false" customHeight="false" outlineLevel="0" collapsed="false">
      <c r="A136" s="4" t="s">
        <v>564</v>
      </c>
      <c r="B136" s="0" t="s">
        <v>234</v>
      </c>
      <c r="C136" s="30" t="n">
        <f aca="false">a25_elim</f>
        <v>-2.91899999999998</v>
      </c>
      <c r="D136" s="30" t="n">
        <f aca="false">a26_elim</f>
        <v>-3.16484905982349</v>
      </c>
      <c r="E136" s="30" t="n">
        <f aca="false">$D136/($D134+$D135)*(E134+E135)</f>
        <v>-3.97387710450638</v>
      </c>
      <c r="F136" s="30" t="n">
        <f aca="false">$D136/($D134+$D135)*(F134+F135)</f>
        <v>-4.17729437573445</v>
      </c>
      <c r="G136" s="30" t="n">
        <f aca="false">$D136/($D134+$D135)*(G134+G135)</f>
        <v>-4.67779228052533</v>
      </c>
      <c r="K136" s="4" t="s">
        <v>565</v>
      </c>
    </row>
    <row r="137" customFormat="false" ht="17.15" hidden="false" customHeight="false" outlineLevel="0" collapsed="false">
      <c r="A137" s="4" t="s">
        <v>431</v>
      </c>
      <c r="B137" s="0" t="s">
        <v>234</v>
      </c>
      <c r="C137" s="30" t="n">
        <f aca="false">C134+C135+C136</f>
        <v>645.388</v>
      </c>
      <c r="D137" s="30" t="n">
        <f aca="false">D134+D135+D136</f>
        <v>871.167350940177</v>
      </c>
      <c r="E137" s="30" t="n">
        <f aca="false">E134+E135+E136</f>
        <v>1093.86322211768</v>
      </c>
      <c r="F137" s="30" t="n">
        <f aca="false">F134+F135+F136</f>
        <v>1149.85656712767</v>
      </c>
      <c r="G137" s="30" t="n">
        <f aca="false">G134+G135+G136</f>
        <v>1287.62535977022</v>
      </c>
      <c r="H137" s="31" t="n">
        <f aca="false">G137*(1+H138)</f>
        <v>1407.64396999115</v>
      </c>
      <c r="I137" s="31" t="n">
        <f aca="false">H137*(1+I138)</f>
        <v>1501.39957757674</v>
      </c>
      <c r="J137" s="31" t="n">
        <f aca="false">I137*(1+J138)</f>
        <v>1561.45556067981</v>
      </c>
      <c r="K137" s="8" t="s">
        <v>566</v>
      </c>
    </row>
    <row r="138" customFormat="false" ht="15" hidden="false" customHeight="false" outlineLevel="0" collapsed="false">
      <c r="A138" s="4" t="s">
        <v>567</v>
      </c>
      <c r="B138" s="0" t="s">
        <v>76</v>
      </c>
      <c r="D138" s="21" t="n">
        <f aca="false">D137/C137-1</f>
        <v>0.349835061916516</v>
      </c>
      <c r="E138" s="21" t="n">
        <f aca="false">E137/D137-1</f>
        <v>0.255629266796065</v>
      </c>
      <c r="F138" s="21" t="n">
        <f aca="false">F137/E137-1</f>
        <v>0.0511886165270159</v>
      </c>
      <c r="G138" s="21" t="n">
        <f aca="false">G137/F137-1</f>
        <v>0.11981389382042</v>
      </c>
      <c r="H138" s="26" t="n">
        <f aca="false">$G138+(fade_gB-$G138)*1/3</f>
        <v>0.0932092625469469</v>
      </c>
      <c r="I138" s="26" t="n">
        <f aca="false">$G138+(fade_gB-$G138)*2/3</f>
        <v>0.0666046312734734</v>
      </c>
      <c r="J138" s="26" t="n">
        <f aca="false">$G138+(fade_gB-$G138)*3/3</f>
        <v>0.04</v>
      </c>
    </row>
    <row r="139" customFormat="false" ht="17.15" hidden="false" customHeight="false" outlineLevel="0" collapsed="false">
      <c r="A139" s="0" t="s">
        <v>475</v>
      </c>
      <c r="B139" s="0" t="s">
        <v>76</v>
      </c>
      <c r="C139" s="21" t="n">
        <f aca="false">C132/C134</f>
        <v>0.127431736668482</v>
      </c>
      <c r="D139" s="21" t="n">
        <f aca="false">D132/D134</f>
        <v>0.227966974088588</v>
      </c>
      <c r="E139" s="21" t="n">
        <f aca="false">E132/E134</f>
        <v>0.338964721335922</v>
      </c>
      <c r="F139" s="21" t="n">
        <f aca="false">F132/F134</f>
        <v>0.327485315953269</v>
      </c>
      <c r="G139" s="21" t="n">
        <f aca="false">G132/G134</f>
        <v>0.375300009436251</v>
      </c>
    </row>
    <row r="140" customFormat="false" ht="15" hidden="false" customHeight="false" outlineLevel="0" collapsed="false">
      <c r="A140" s="4" t="s">
        <v>568</v>
      </c>
      <c r="B140" s="0" t="s">
        <v>76</v>
      </c>
      <c r="D140" s="21" t="n">
        <f aca="false">D134/C134-1</f>
        <v>0.438052247012034</v>
      </c>
      <c r="E140" s="21" t="n">
        <f aca="false">E134/D134-1</f>
        <v>0.343102264666424</v>
      </c>
      <c r="F140" s="21" t="n">
        <f aca="false">F134/E134-1</f>
        <v>0.0517357686741828</v>
      </c>
      <c r="G140" s="21" t="n">
        <f aca="false">G134/F134-1</f>
        <v>0.151898067551788</v>
      </c>
    </row>
    <row r="141" customFormat="false" ht="17.15" hidden="false" customHeight="false" outlineLevel="0" collapsed="false">
      <c r="A141" s="6" t="s">
        <v>569</v>
      </c>
    </row>
    <row r="142" customFormat="false" ht="17.15" hidden="false" customHeight="false" outlineLevel="0" collapsed="false">
      <c r="A142" s="4" t="s">
        <v>570</v>
      </c>
      <c r="B142" s="0" t="s">
        <v>120</v>
      </c>
      <c r="C142" s="19" t="n">
        <f aca="false">capex25</f>
        <v>5.5</v>
      </c>
      <c r="D142" s="19" t="n">
        <f aca="false">capex26</f>
        <v>11.5</v>
      </c>
      <c r="E142" s="19" t="n">
        <f aca="false">capex27</f>
        <v>13</v>
      </c>
      <c r="F142" s="19" t="n">
        <f aca="false">capi*F137/F130</f>
        <v>10.7799053168219</v>
      </c>
      <c r="G142" s="19" t="n">
        <f aca="false">capi*G137/G130</f>
        <v>12.0714877478458</v>
      </c>
      <c r="K142" s="8" t="s">
        <v>571</v>
      </c>
    </row>
    <row r="143" customFormat="false" ht="15" hidden="false" customHeight="false" outlineLevel="0" collapsed="false">
      <c r="A143" s="4" t="s">
        <v>572</v>
      </c>
      <c r="B143" s="0" t="s">
        <v>234</v>
      </c>
      <c r="C143" s="30" t="n">
        <f aca="false">C142*C130</f>
        <v>170.5</v>
      </c>
      <c r="D143" s="30" t="n">
        <f aca="false">D142*31.9</f>
        <v>366.85</v>
      </c>
      <c r="E143" s="30" t="n">
        <f aca="false">E142*E130</f>
        <v>416</v>
      </c>
      <c r="F143" s="30" t="n">
        <f aca="false">F142*F130</f>
        <v>344.956970138302</v>
      </c>
      <c r="G143" s="30" t="n">
        <f aca="false">G142*G130</f>
        <v>386.287607931066</v>
      </c>
    </row>
    <row r="144" customFormat="false" ht="17.15" hidden="false" customHeight="false" outlineLevel="0" collapsed="false">
      <c r="A144" s="4" t="s">
        <v>473</v>
      </c>
      <c r="B144" s="0" t="s">
        <v>76</v>
      </c>
      <c r="C144" s="21" t="n">
        <f aca="false">C143/C137</f>
        <v>0.264182166386732</v>
      </c>
      <c r="D144" s="21" t="n">
        <f aca="false">D143/D137</f>
        <v>0.421101639775745</v>
      </c>
      <c r="E144" s="21" t="n">
        <f aca="false">E143/E137</f>
        <v>0.380303489127861</v>
      </c>
      <c r="F144" s="21" t="n">
        <f aca="false">F143/F137</f>
        <v>0.3</v>
      </c>
      <c r="G144" s="21" t="n">
        <f aca="false">G143/G137</f>
        <v>0.3</v>
      </c>
    </row>
    <row r="145" customFormat="false" ht="17.15" hidden="false" customHeight="false" outlineLevel="0" collapsed="false">
      <c r="A145" s="4" t="s">
        <v>573</v>
      </c>
      <c r="B145" s="0" t="s">
        <v>234</v>
      </c>
      <c r="C145" s="30" t="n">
        <f aca="false">a25_da</f>
        <v>75.255</v>
      </c>
      <c r="D145" s="30" t="n">
        <f aca="false">a26_da</f>
        <v>97.124</v>
      </c>
      <c r="E145" s="30" t="n">
        <f aca="false">D145*(1-1/life)+D143/life</f>
        <v>130.83975</v>
      </c>
      <c r="F145" s="30" t="n">
        <f aca="false">E145*(1-1/life)+E143/life</f>
        <v>166.48478125</v>
      </c>
      <c r="G145" s="30" t="n">
        <f aca="false">F145*(1-1/life)+F143/life</f>
        <v>188.793804861038</v>
      </c>
      <c r="K145" s="4" t="s">
        <v>574</v>
      </c>
    </row>
    <row r="146" customFormat="false" ht="17.15" hidden="false" customHeight="false" outlineLevel="0" collapsed="false">
      <c r="A146" s="4" t="s">
        <v>575</v>
      </c>
      <c r="B146" s="0" t="s">
        <v>234</v>
      </c>
      <c r="C146" s="30" t="n">
        <f aca="false">a25_agp</f>
        <v>91.38</v>
      </c>
      <c r="D146" s="30" t="n">
        <f aca="false">a26_agp</f>
        <v>164.623388</v>
      </c>
      <c r="E146" s="30" t="n">
        <f aca="false">$D146+ft*(E134-$D134)-(E145-$D145)</f>
        <v>226.929987611095</v>
      </c>
      <c r="F146" s="30" t="n">
        <f aca="false">$D146+ft*(F134-$D134)-(F145-$D145)</f>
        <v>210.731782501703</v>
      </c>
      <c r="G146" s="30" t="n">
        <f aca="false">$D146+ft*(G134-$D134)-(G145-$D145)</f>
        <v>248.473271414335</v>
      </c>
      <c r="K146" s="4" t="s">
        <v>576</v>
      </c>
    </row>
    <row r="147" customFormat="false" ht="15" hidden="false" customHeight="false" outlineLevel="0" collapsed="false">
      <c r="A147" s="4" t="s">
        <v>447</v>
      </c>
      <c r="B147" s="0" t="s">
        <v>76</v>
      </c>
      <c r="C147" s="14" t="n">
        <f aca="false">C146/C134</f>
        <v>0.234772421305764</v>
      </c>
      <c r="D147" s="14" t="n">
        <f aca="false">D146/D134</f>
        <v>0.294112034690999</v>
      </c>
      <c r="E147" s="14" t="n">
        <f aca="false">E146/E134</f>
        <v>0.301858957842147</v>
      </c>
      <c r="F147" s="14" t="n">
        <f aca="false">F146/F134</f>
        <v>0.26652354150296</v>
      </c>
      <c r="G147" s="14" t="n">
        <f aca="false">G146/G134</f>
        <v>0.272816832941818</v>
      </c>
    </row>
    <row r="148" customFormat="false" ht="17.15" hidden="false" customHeight="false" outlineLevel="0" collapsed="false">
      <c r="A148" s="0" t="s">
        <v>449</v>
      </c>
      <c r="B148" s="0" t="s">
        <v>234</v>
      </c>
      <c r="C148" s="30" t="n">
        <f aca="false">a25_egp</f>
        <v>23.695</v>
      </c>
      <c r="D148" s="30" t="n">
        <f aca="false">a26_egp</f>
        <v>27.00552</v>
      </c>
      <c r="E148" s="30" t="n">
        <f aca="false">E135*ems_gm</f>
        <v>29.415287</v>
      </c>
      <c r="F148" s="30" t="n">
        <f aca="false">F135*ems_gm</f>
        <v>30.88605135</v>
      </c>
      <c r="G148" s="30" t="n">
        <f aca="false">G135*ems_gm</f>
        <v>32.4303539175</v>
      </c>
    </row>
    <row r="149" customFormat="false" ht="15" hidden="false" customHeight="false" outlineLevel="0" collapsed="false">
      <c r="A149" s="4" t="s">
        <v>577</v>
      </c>
      <c r="B149" s="0" t="s">
        <v>234</v>
      </c>
      <c r="C149" s="30" t="n">
        <f aca="false">a25_lgp</f>
        <v>-0.881999999999998</v>
      </c>
      <c r="D149" s="30" t="n">
        <f aca="false">a26_lgp</f>
        <v>-0.948662139013863</v>
      </c>
      <c r="E149" s="30" t="n">
        <f aca="false">$D149/$D136*E136</f>
        <v>-1.19116794604716</v>
      </c>
      <c r="F149" s="30" t="n">
        <f aca="false">$D149/$D136*F136</f>
        <v>-1.25214218525664</v>
      </c>
      <c r="G149" s="30" t="n">
        <f aca="false">$D149/$D136*G136</f>
        <v>-1.40216621608905</v>
      </c>
    </row>
    <row r="150" customFormat="false" ht="15" hidden="false" customHeight="false" outlineLevel="0" collapsed="false">
      <c r="A150" s="4" t="s">
        <v>451</v>
      </c>
      <c r="B150" s="0" t="s">
        <v>234</v>
      </c>
      <c r="C150" s="30" t="n">
        <f aca="false">C146+C148+C149</f>
        <v>114.193</v>
      </c>
      <c r="D150" s="30" t="n">
        <f aca="false">D146+D148+D149</f>
        <v>190.680245860986</v>
      </c>
      <c r="E150" s="30" t="n">
        <f aca="false">E146+E148+E149</f>
        <v>255.154106665048</v>
      </c>
      <c r="F150" s="30" t="n">
        <f aca="false">F146+F148+F149</f>
        <v>240.365691666447</v>
      </c>
      <c r="G150" s="30" t="n">
        <f aca="false">G146+G148+G149</f>
        <v>279.501459115746</v>
      </c>
    </row>
    <row r="151" customFormat="false" ht="15" hidden="false" customHeight="false" outlineLevel="0" collapsed="false">
      <c r="A151" s="4" t="s">
        <v>452</v>
      </c>
      <c r="B151" s="0" t="s">
        <v>76</v>
      </c>
      <c r="C151" s="14" t="n">
        <f aca="false">C150/C137</f>
        <v>0.176936974347214</v>
      </c>
      <c r="D151" s="14" t="n">
        <f aca="false">D150/D137</f>
        <v>0.218879008327391</v>
      </c>
      <c r="E151" s="14" t="n">
        <f aca="false">E150/E137</f>
        <v>0.233259608245241</v>
      </c>
      <c r="F151" s="14" t="n">
        <f aca="false">F150/F137</f>
        <v>0.209039717246541</v>
      </c>
      <c r="G151" s="14" t="n">
        <f aca="false">G150/G137</f>
        <v>0.217067376776133</v>
      </c>
    </row>
    <row r="152" customFormat="false" ht="15" hidden="false" customHeight="false" outlineLevel="0" collapsed="false">
      <c r="A152" s="4" t="s">
        <v>578</v>
      </c>
      <c r="B152" s="0" t="s">
        <v>234</v>
      </c>
      <c r="C152" s="30" t="n">
        <f aca="false">a25_opx</f>
        <v>63.437</v>
      </c>
      <c r="D152" s="30" t="n">
        <f aca="false">a26_opx</f>
        <v>79.658</v>
      </c>
      <c r="E152" s="30" t="n">
        <f aca="false">D152*(1+phi*E138)</f>
        <v>91.8757496806646</v>
      </c>
      <c r="F152" s="30" t="n">
        <f aca="false">E152*(1+phi*F138)</f>
        <v>94.6975451917859</v>
      </c>
      <c r="G152" s="30" t="n">
        <f aca="false">F152*(1+phi*G138)</f>
        <v>101.505194166584</v>
      </c>
    </row>
    <row r="153" customFormat="false" ht="15" hidden="false" customHeight="false" outlineLevel="0" collapsed="false">
      <c r="A153" s="4" t="s">
        <v>455</v>
      </c>
      <c r="B153" s="0" t="s">
        <v>234</v>
      </c>
      <c r="C153" s="30" t="n">
        <f aca="false">C150-C152</f>
        <v>50.756</v>
      </c>
      <c r="D153" s="30" t="n">
        <f aca="false">D150-D152</f>
        <v>111.022245860986</v>
      </c>
      <c r="E153" s="30" t="n">
        <f aca="false">E150-E152</f>
        <v>163.278356984383</v>
      </c>
      <c r="F153" s="30" t="n">
        <f aca="false">F150-F152</f>
        <v>145.668146474661</v>
      </c>
      <c r="G153" s="30" t="n">
        <f aca="false">G150-G152</f>
        <v>177.996264949162</v>
      </c>
    </row>
    <row r="154" customFormat="false" ht="15" hidden="false" customHeight="false" outlineLevel="0" collapsed="false">
      <c r="A154" s="4" t="s">
        <v>537</v>
      </c>
      <c r="B154" s="0" t="s">
        <v>76</v>
      </c>
      <c r="C154" s="14" t="n">
        <f aca="false">C153/C137</f>
        <v>0.0786441644406156</v>
      </c>
      <c r="D154" s="14" t="n">
        <f aca="false">D153/D137</f>
        <v>0.127440779020437</v>
      </c>
      <c r="E154" s="14" t="n">
        <f aca="false">E153/E137</f>
        <v>0.149267617452465</v>
      </c>
      <c r="F154" s="14" t="n">
        <f aca="false">F153/F137</f>
        <v>0.126683753990759</v>
      </c>
      <c r="G154" s="14" t="n">
        <f aca="false">G153/G137</f>
        <v>0.138236066569026</v>
      </c>
    </row>
    <row r="155" customFormat="false" ht="15" hidden="false" customHeight="false" outlineLevel="0" collapsed="false">
      <c r="A155" s="4" t="s">
        <v>456</v>
      </c>
      <c r="B155" s="0" t="s">
        <v>234</v>
      </c>
      <c r="C155" s="30" t="n">
        <f aca="false">a25_nonop</f>
        <v>0.545</v>
      </c>
      <c r="D155" s="30" t="n">
        <f aca="false">a26_nonop</f>
        <v>4.302</v>
      </c>
      <c r="E155" s="30" t="n">
        <f aca="false">nonop_f</f>
        <v>-5</v>
      </c>
      <c r="F155" s="30" t="n">
        <f aca="false">nonop_f</f>
        <v>-5</v>
      </c>
      <c r="G155" s="30" t="n">
        <f aca="false">nonop_f</f>
        <v>-5</v>
      </c>
    </row>
    <row r="156" customFormat="false" ht="15" hidden="false" customHeight="false" outlineLevel="0" collapsed="false">
      <c r="A156" s="4" t="s">
        <v>459</v>
      </c>
      <c r="B156" s="0" t="s">
        <v>234</v>
      </c>
      <c r="C156" s="30" t="n">
        <f aca="false">C153+C155</f>
        <v>51.301</v>
      </c>
      <c r="D156" s="30" t="n">
        <f aca="false">D153+D155</f>
        <v>115.324245860986</v>
      </c>
      <c r="E156" s="30" t="n">
        <f aca="false">E153+E155</f>
        <v>158.278356984383</v>
      </c>
      <c r="F156" s="30" t="n">
        <f aca="false">F153+F155</f>
        <v>140.668146474661</v>
      </c>
      <c r="G156" s="30" t="n">
        <f aca="false">G153+G155</f>
        <v>172.996264949162</v>
      </c>
    </row>
    <row r="157" customFormat="false" ht="15" hidden="false" customHeight="false" outlineLevel="0" collapsed="false">
      <c r="A157" s="4" t="s">
        <v>460</v>
      </c>
      <c r="B157" s="0" t="s">
        <v>234</v>
      </c>
      <c r="C157" s="30" t="n">
        <f aca="false">a25_tax</f>
        <v>9.461</v>
      </c>
      <c r="D157" s="30" t="n">
        <f aca="false">a26_tax</f>
        <v>19.2197317963676</v>
      </c>
      <c r="E157" s="30" t="n">
        <f aca="false">E156*tax</f>
        <v>26.9073206873452</v>
      </c>
      <c r="F157" s="30" t="n">
        <f aca="false">F156*tax</f>
        <v>23.9135849006923</v>
      </c>
      <c r="G157" s="30" t="n">
        <f aca="false">G156*tax</f>
        <v>29.4093650413576</v>
      </c>
    </row>
    <row r="158" customFormat="false" ht="15" hidden="false" customHeight="false" outlineLevel="0" collapsed="false">
      <c r="A158" s="4" t="s">
        <v>461</v>
      </c>
      <c r="B158" s="0" t="s">
        <v>234</v>
      </c>
      <c r="C158" s="30" t="n">
        <f aca="false">a25_nci</f>
        <v>1.182</v>
      </c>
      <c r="D158" s="30" t="n">
        <f aca="false">a26_nci</f>
        <v>2.543</v>
      </c>
      <c r="E158" s="30" t="n">
        <f aca="false">nci</f>
        <v>3</v>
      </c>
      <c r="F158" s="30" t="n">
        <f aca="false">nci</f>
        <v>3</v>
      </c>
      <c r="G158" s="30" t="n">
        <f aca="false">nci</f>
        <v>3</v>
      </c>
    </row>
    <row r="159" customFormat="false" ht="15" hidden="false" customHeight="false" outlineLevel="0" collapsed="false">
      <c r="A159" s="4" t="s">
        <v>462</v>
      </c>
      <c r="B159" s="0" t="s">
        <v>234</v>
      </c>
      <c r="C159" s="30" t="n">
        <f aca="false">C156-C157-C158</f>
        <v>40.658</v>
      </c>
      <c r="D159" s="30" t="n">
        <f aca="false">D156-D157-D158</f>
        <v>93.5615140646185</v>
      </c>
      <c r="E159" s="30" t="n">
        <f aca="false">E156-E157-E158</f>
        <v>128.371036297038</v>
      </c>
      <c r="F159" s="30" t="n">
        <f aca="false">F156-F157-F158</f>
        <v>113.754561573968</v>
      </c>
      <c r="G159" s="30" t="n">
        <f aca="false">G156-G157-G158</f>
        <v>140.586899907805</v>
      </c>
      <c r="H159" s="31" t="n">
        <f aca="false">H137*H163</f>
        <v>148.567871132907</v>
      </c>
      <c r="I159" s="31" t="n">
        <f aca="false">I137*I163</f>
        <v>152.998931842978</v>
      </c>
      <c r="J159" s="31" t="n">
        <f aca="false">J137*J163</f>
        <v>153.436071648244</v>
      </c>
    </row>
    <row r="160" customFormat="false" ht="15" hidden="false" customHeight="false" outlineLevel="0" collapsed="false">
      <c r="A160" s="4" t="s">
        <v>579</v>
      </c>
      <c r="B160" s="4" t="s">
        <v>580</v>
      </c>
      <c r="C160" s="18" t="n">
        <f aca="false">a25_sh</f>
        <v>4339.16755602988</v>
      </c>
      <c r="D160" s="18" t="n">
        <f aca="false">a26_sh</f>
        <v>4392.90105184664</v>
      </c>
      <c r="E160" s="18" t="n">
        <f aca="false">D160*(1+sh_g)</f>
        <v>4414.86555710588</v>
      </c>
      <c r="F160" s="18" t="n">
        <f aca="false">E160*(1+sh_g)</f>
        <v>4436.9398848914</v>
      </c>
      <c r="G160" s="18" t="n">
        <f aca="false">F160*(1+sh_g)</f>
        <v>4459.12458431586</v>
      </c>
      <c r="H160" s="25" t="n">
        <f aca="false">G160*(1+sh_g)</f>
        <v>4481.42020723744</v>
      </c>
      <c r="I160" s="25" t="n">
        <f aca="false">H160*(1+sh_g)</f>
        <v>4503.82730827363</v>
      </c>
      <c r="J160" s="25" t="n">
        <f aca="false">I160*(1+sh_g)</f>
        <v>4526.34644481499</v>
      </c>
    </row>
    <row r="161" customFormat="false" ht="17.15" hidden="false" customHeight="false" outlineLevel="0" collapsed="false">
      <c r="A161" s="0" t="s">
        <v>465</v>
      </c>
      <c r="B161" s="0" t="s">
        <v>304</v>
      </c>
      <c r="C161" s="19" t="n">
        <f aca="false">a25_eps</f>
        <v>9.37</v>
      </c>
      <c r="D161" s="19" t="n">
        <f aca="false">a26_eps</f>
        <v>21.2828697294455</v>
      </c>
      <c r="E161" s="19" t="n">
        <f aca="false">E159/E160*1000</f>
        <v>29.0769978466096</v>
      </c>
      <c r="F161" s="19" t="n">
        <f aca="false">F159/F160*1000</f>
        <v>25.638066894105</v>
      </c>
      <c r="G161" s="19" t="n">
        <f aca="false">G159/G160*1000</f>
        <v>31.5279147845056</v>
      </c>
      <c r="H161" s="28" t="n">
        <f aca="false">H159/H160*1000</f>
        <v>33.151961713604</v>
      </c>
      <c r="I161" s="28" t="n">
        <f aca="false">I159/I160*1000</f>
        <v>33.9708699669537</v>
      </c>
      <c r="J161" s="28" t="n">
        <f aca="false">J159/J160*1000</f>
        <v>33.8984374083887</v>
      </c>
    </row>
    <row r="162" customFormat="false" ht="17.15" hidden="false" customHeight="false" outlineLevel="0" collapsed="false">
      <c r="A162" s="0" t="s">
        <v>581</v>
      </c>
      <c r="B162" s="0" t="s">
        <v>76</v>
      </c>
      <c r="D162" s="21" t="n">
        <f aca="false">D161/C161-1</f>
        <v>1.27138417603474</v>
      </c>
      <c r="E162" s="21" t="n">
        <f aca="false">E161/D161-1</f>
        <v>0.366216032717646</v>
      </c>
      <c r="F162" s="21" t="n">
        <f aca="false">F161/E161-1</f>
        <v>-0.118269807998955</v>
      </c>
      <c r="G162" s="21" t="n">
        <f aca="false">G161/F161-1</f>
        <v>0.229730576596431</v>
      </c>
      <c r="H162" s="26" t="n">
        <f aca="false">H161/G161-1</f>
        <v>0.0515113968113254</v>
      </c>
      <c r="I162" s="26" t="n">
        <f aca="false">I161/H161-1</f>
        <v>0.0247016529647368</v>
      </c>
      <c r="J162" s="26" t="n">
        <f aca="false">J161/I161-1</f>
        <v>-0.00213219616204696</v>
      </c>
    </row>
    <row r="163" customFormat="false" ht="17.15" hidden="false" customHeight="false" outlineLevel="0" collapsed="false">
      <c r="A163" s="4" t="s">
        <v>582</v>
      </c>
      <c r="B163" s="0" t="s">
        <v>76</v>
      </c>
      <c r="C163" s="14" t="n">
        <f aca="false">C159/C137</f>
        <v>0.0629977625862272</v>
      </c>
      <c r="D163" s="14" t="n">
        <f aca="false">D159/D137</f>
        <v>0.107397865592237</v>
      </c>
      <c r="E163" s="14" t="n">
        <f aca="false">E159/E137</f>
        <v>0.117355656266161</v>
      </c>
      <c r="F163" s="14" t="n">
        <f aca="false">F159/F137</f>
        <v>0.0989293489518662</v>
      </c>
      <c r="G163" s="14" t="n">
        <f aca="false">G159/G137</f>
        <v>0.10918307785806</v>
      </c>
      <c r="H163" s="27" t="n">
        <f aca="false">$G163+(fade_mB-$G163)*1/3</f>
        <v>0.105543641929458</v>
      </c>
      <c r="I163" s="27" t="n">
        <f aca="false">$G163+(fade_mB-$G163)*2/3</f>
        <v>0.101904206000856</v>
      </c>
      <c r="J163" s="27" t="n">
        <f aca="false">$G163+(fade_mB-$G163)*3/3</f>
        <v>0.0982647700722541</v>
      </c>
    </row>
    <row r="164" customFormat="false" ht="17.15" hidden="false" customHeight="false" outlineLevel="0" collapsed="false">
      <c r="A164" s="4" t="s">
        <v>583</v>
      </c>
      <c r="B164" s="0" t="s">
        <v>234</v>
      </c>
      <c r="C164" s="30" t="n">
        <f aca="false">C159+C145-C143</f>
        <v>-54.587</v>
      </c>
      <c r="D164" s="30" t="n">
        <f aca="false">D159+D145-D143</f>
        <v>-176.164485935382</v>
      </c>
      <c r="E164" s="30" t="n">
        <f aca="false">E159+E145-E143</f>
        <v>-156.789213702962</v>
      </c>
      <c r="F164" s="30" t="n">
        <f aca="false">F159+F145-F143</f>
        <v>-64.7176273143332</v>
      </c>
      <c r="G164" s="30" t="n">
        <f aca="false">G159+G145-G143</f>
        <v>-56.9069031622238</v>
      </c>
      <c r="K164" s="4" t="s">
        <v>584</v>
      </c>
    </row>
    <row r="165" customFormat="false" ht="17.15" hidden="false" customHeight="false" outlineLevel="0" collapsed="false">
      <c r="A165" s="4" t="s">
        <v>585</v>
      </c>
      <c r="B165" s="0" t="s">
        <v>76</v>
      </c>
      <c r="D165" s="21" t="n">
        <f aca="false">(D153-$C153)/SUM($D143:D143)</f>
        <v>0.164280348537512</v>
      </c>
      <c r="E165" s="21" t="n">
        <f aca="false">(E153-$C153)/SUM($D143:E143)</f>
        <v>0.143734249197654</v>
      </c>
      <c r="F165" s="21" t="n">
        <f aca="false">(F153-$C153)/SUM($D143:F143)</f>
        <v>0.0841563751490398</v>
      </c>
      <c r="G165" s="21" t="n">
        <f aca="false">(G153-$C153)/SUM($D143:G143)</f>
        <v>0.0840371974063913</v>
      </c>
      <c r="K165" s="4" t="s">
        <v>586</v>
      </c>
    </row>
    <row r="168" customFormat="false" ht="17.15" hidden="false" customHeight="false" outlineLevel="0" collapsed="false">
      <c r="A168" s="1" t="s">
        <v>588</v>
      </c>
    </row>
    <row r="169" customFormat="false" ht="17.15" hidden="false" customHeight="false" outlineLevel="0" collapsed="false">
      <c r="A169" s="5" t="s">
        <v>21</v>
      </c>
      <c r="B169" s="5" t="s">
        <v>22</v>
      </c>
      <c r="C169" s="15" t="s">
        <v>424</v>
      </c>
      <c r="D169" s="15" t="s">
        <v>524</v>
      </c>
      <c r="E169" s="15" t="s">
        <v>525</v>
      </c>
      <c r="F169" s="15" t="s">
        <v>526</v>
      </c>
      <c r="G169" s="15" t="s">
        <v>527</v>
      </c>
      <c r="H169" s="15" t="s">
        <v>528</v>
      </c>
      <c r="I169" s="15" t="s">
        <v>529</v>
      </c>
      <c r="J169" s="15" t="s">
        <v>530</v>
      </c>
      <c r="K169" s="5" t="s">
        <v>382</v>
      </c>
    </row>
    <row r="170" customFormat="false" ht="17.15" hidden="false" customHeight="false" outlineLevel="0" collapsed="false">
      <c r="A170" s="6" t="s">
        <v>548</v>
      </c>
    </row>
    <row r="171" customFormat="false" ht="17.15" hidden="false" customHeight="false" outlineLevel="0" collapsed="false">
      <c r="A171" s="0" t="s">
        <v>549</v>
      </c>
      <c r="B171" s="4" t="s">
        <v>32</v>
      </c>
      <c r="D171" s="19" t="n">
        <f aca="false">units_26</f>
        <v>15.2</v>
      </c>
      <c r="E171" s="19" t="n">
        <f aca="false">units_27*1</f>
        <v>23.7</v>
      </c>
      <c r="F171" s="19" t="n">
        <f aca="false">units_28*um28_C*1</f>
        <v>15.9</v>
      </c>
      <c r="G171" s="19" t="n">
        <f aca="false">units_29*um29_C*1</f>
        <v>18.09</v>
      </c>
    </row>
    <row r="172" customFormat="false" ht="17.15" hidden="false" customHeight="false" outlineLevel="0" collapsed="false">
      <c r="A172" s="4" t="s">
        <v>497</v>
      </c>
      <c r="B172" s="0" t="s">
        <v>45</v>
      </c>
      <c r="D172" s="22" t="n">
        <f aca="false">ar_26</f>
        <v>1</v>
      </c>
      <c r="E172" s="22" t="n">
        <f aca="false">ar_27</f>
        <v>1.278156</v>
      </c>
      <c r="F172" s="22" t="n">
        <f aca="false">ar_28</f>
        <v>1.428615</v>
      </c>
      <c r="G172" s="22" t="n">
        <f aca="false">ar_29</f>
        <v>1.431796</v>
      </c>
    </row>
    <row r="173" customFormat="false" ht="17.15" hidden="false" customHeight="false" outlineLevel="0" collapsed="false">
      <c r="A173" s="4" t="s">
        <v>550</v>
      </c>
      <c r="B173" s="0" t="s">
        <v>45</v>
      </c>
      <c r="D173" s="19" t="n">
        <f aca="false">1</f>
        <v>1</v>
      </c>
      <c r="E173" s="19" t="n">
        <f aca="false">rel27_C</f>
        <v>1</v>
      </c>
      <c r="F173" s="19" t="n">
        <f aca="false">rel28_C</f>
        <v>0.95</v>
      </c>
      <c r="G173" s="19" t="n">
        <f aca="false">rel29_C</f>
        <v>0.92</v>
      </c>
    </row>
    <row r="174" customFormat="false" ht="17.15" hidden="false" customHeight="false" outlineLevel="0" collapsed="false">
      <c r="A174" s="4" t="s">
        <v>551</v>
      </c>
      <c r="B174" s="0" t="s">
        <v>502</v>
      </c>
      <c r="D174" s="23" t="n">
        <f aca="false">D175*1000/D171</f>
        <v>236.842105263158</v>
      </c>
      <c r="E174" s="23" t="n">
        <f aca="false">$D174*E172^el</f>
        <v>267.763172119488</v>
      </c>
      <c r="F174" s="23" t="n">
        <f aca="false">$D174*F172^el</f>
        <v>283.084777049615</v>
      </c>
      <c r="G174" s="23" t="n">
        <f aca="false">$D174*G172^el</f>
        <v>283.399764630809</v>
      </c>
      <c r="K174" s="8" t="s">
        <v>552</v>
      </c>
    </row>
    <row r="175" customFormat="false" ht="17.15" hidden="false" customHeight="false" outlineLevel="0" collapsed="false">
      <c r="A175" s="0" t="s">
        <v>553</v>
      </c>
      <c r="B175" s="0" t="s">
        <v>120</v>
      </c>
      <c r="D175" s="22" t="n">
        <f aca="false">leap26-D176-D177</f>
        <v>3.6</v>
      </c>
      <c r="E175" s="22" t="n">
        <f aca="false">E171*E173*E174/1000</f>
        <v>6.34598717923185</v>
      </c>
      <c r="F175" s="22" t="n">
        <f aca="false">F171*F173*F174/1000</f>
        <v>4.27599555733443</v>
      </c>
      <c r="G175" s="22" t="n">
        <f aca="false">G171*G173*G174/1000</f>
        <v>4.71656560279762</v>
      </c>
      <c r="K175" s="8" t="s">
        <v>554</v>
      </c>
    </row>
    <row r="176" customFormat="false" ht="17.15" hidden="false" customHeight="false" outlineLevel="0" collapsed="false">
      <c r="A176" s="4" t="s">
        <v>555</v>
      </c>
      <c r="B176" s="0" t="s">
        <v>120</v>
      </c>
      <c r="D176" s="22" t="n">
        <f aca="false">fp26</f>
        <v>0.3</v>
      </c>
      <c r="E176" s="22" t="n">
        <f aca="false">fp27_C</f>
        <v>0.7</v>
      </c>
      <c r="F176" s="22" t="n">
        <f aca="false">E176*F171/E171*(1+fp_g)</f>
        <v>0.610506329113924</v>
      </c>
      <c r="G176" s="22" t="n">
        <f aca="false">F176*G171/F171*(1+fp_g)</f>
        <v>0.902973417721519</v>
      </c>
    </row>
    <row r="177" customFormat="false" ht="17.15" hidden="false" customHeight="false" outlineLevel="0" collapsed="false">
      <c r="A177" s="0" t="s">
        <v>556</v>
      </c>
      <c r="B177" s="0" t="s">
        <v>120</v>
      </c>
      <c r="D177" s="22" t="n">
        <f aca="false">cpo27*cpo_C_26/cpo_A_27</f>
        <v>0.1</v>
      </c>
      <c r="E177" s="22" t="n">
        <f aca="false">cpo27*cpo_C_27/cpo_A_27</f>
        <v>0.2</v>
      </c>
      <c r="F177" s="22" t="n">
        <f aca="false">cpo27*cpo_C_28/cpo_A_27*F171/E171</f>
        <v>0.20126582278481</v>
      </c>
      <c r="G177" s="22" t="n">
        <f aca="false">cpo27*cpo_C_29/cpo_A_27*G171/E171</f>
        <v>0.381645569620253</v>
      </c>
      <c r="K177" s="8" t="s">
        <v>557</v>
      </c>
    </row>
    <row r="178" customFormat="false" ht="17.15" hidden="false" customHeight="false" outlineLevel="0" collapsed="false">
      <c r="A178" s="0" t="s">
        <v>510</v>
      </c>
      <c r="B178" s="0" t="s">
        <v>120</v>
      </c>
      <c r="C178" s="22" t="n">
        <f aca="false">leap25</f>
        <v>1.6</v>
      </c>
      <c r="D178" s="22" t="n">
        <f aca="false">D175+D176+D177</f>
        <v>4</v>
      </c>
      <c r="E178" s="22" t="n">
        <f aca="false">E175+E176+E177</f>
        <v>7.24598717923186</v>
      </c>
      <c r="F178" s="22" t="n">
        <f aca="false">F175+F176+F177</f>
        <v>5.08776770923316</v>
      </c>
      <c r="G178" s="22" t="n">
        <f aca="false">G175+G176+G177</f>
        <v>6.0011845901394</v>
      </c>
    </row>
    <row r="179" customFormat="false" ht="17.15" hidden="false" customHeight="false" outlineLevel="0" collapsed="false">
      <c r="A179" s="4" t="s">
        <v>558</v>
      </c>
      <c r="B179" s="0" t="s">
        <v>114</v>
      </c>
      <c r="C179" s="19" t="n">
        <f aca="false">fx25</f>
        <v>31</v>
      </c>
      <c r="D179" s="19" t="n">
        <f aca="false">a26_leap/D178</f>
        <v>31.9</v>
      </c>
      <c r="E179" s="19" t="n">
        <f aca="false">fx</f>
        <v>32</v>
      </c>
      <c r="F179" s="19" t="n">
        <f aca="false">fx</f>
        <v>32</v>
      </c>
      <c r="G179" s="19" t="n">
        <f aca="false">fx</f>
        <v>32</v>
      </c>
      <c r="K179" s="8" t="s">
        <v>559</v>
      </c>
    </row>
    <row r="180" customFormat="false" ht="17.15" hidden="false" customHeight="false" outlineLevel="0" collapsed="false">
      <c r="A180" s="6" t="s">
        <v>560</v>
      </c>
    </row>
    <row r="181" customFormat="false" ht="17.15" hidden="false" customHeight="false" outlineLevel="0" collapsed="false">
      <c r="A181" s="0" t="s">
        <v>438</v>
      </c>
      <c r="B181" s="0" t="s">
        <v>234</v>
      </c>
      <c r="C181" s="30" t="n">
        <f aca="false">a25_leap</f>
        <v>49.6</v>
      </c>
      <c r="D181" s="30" t="n">
        <f aca="false">a26_leap</f>
        <v>127.6</v>
      </c>
      <c r="E181" s="30" t="n">
        <f aca="false">E178*E179</f>
        <v>231.871589735419</v>
      </c>
      <c r="F181" s="30" t="n">
        <f aca="false">F178*F179</f>
        <v>162.808566695461</v>
      </c>
      <c r="G181" s="30" t="n">
        <f aca="false">G178*G179</f>
        <v>192.037906884461</v>
      </c>
    </row>
    <row r="182" customFormat="false" ht="15" hidden="false" customHeight="false" outlineLevel="0" collapsed="false">
      <c r="A182" s="4" t="s">
        <v>561</v>
      </c>
      <c r="B182" s="0" t="s">
        <v>234</v>
      </c>
      <c r="C182" s="30" t="n">
        <f aca="false">a25_ms</f>
        <v>339.628</v>
      </c>
      <c r="D182" s="30" t="n">
        <f aca="false">a26_ms</f>
        <v>432.1302</v>
      </c>
      <c r="E182" s="30" t="n">
        <f aca="false">D182*(1+g_ms27)</f>
        <v>496.94973</v>
      </c>
      <c r="F182" s="30" t="n">
        <f aca="false">E182*(1+g_msL)</f>
        <v>531.7362111</v>
      </c>
      <c r="G182" s="30" t="n">
        <f aca="false">F182*(1+g_msL)</f>
        <v>568.957745877</v>
      </c>
    </row>
    <row r="183" customFormat="false" ht="17.15" hidden="false" customHeight="false" outlineLevel="0" collapsed="false">
      <c r="A183" s="4" t="s">
        <v>562</v>
      </c>
      <c r="B183" s="0" t="s">
        <v>234</v>
      </c>
      <c r="C183" s="30" t="n">
        <f aca="false">C181+C182</f>
        <v>389.228</v>
      </c>
      <c r="D183" s="30" t="n">
        <f aca="false">D181+D182</f>
        <v>559.7302</v>
      </c>
      <c r="E183" s="30" t="n">
        <f aca="false">E181+E182</f>
        <v>728.821319735419</v>
      </c>
      <c r="F183" s="30" t="n">
        <f aca="false">F181+F182</f>
        <v>694.544777795461</v>
      </c>
      <c r="G183" s="30" t="n">
        <f aca="false">G181+G182</f>
        <v>760.995652761461</v>
      </c>
    </row>
    <row r="184" customFormat="false" ht="17.15" hidden="false" customHeight="false" outlineLevel="0" collapsed="false">
      <c r="A184" s="0" t="s">
        <v>563</v>
      </c>
      <c r="B184" s="0" t="s">
        <v>234</v>
      </c>
      <c r="C184" s="30" t="n">
        <f aca="false">a25_ems</f>
        <v>259.079</v>
      </c>
      <c r="D184" s="30" t="n">
        <f aca="false">a26_ems</f>
        <v>314.602</v>
      </c>
      <c r="E184" s="30" t="n">
        <f aca="false">D184*(1+g_ems27)</f>
        <v>346.0622</v>
      </c>
      <c r="F184" s="30" t="n">
        <f aca="false">E184*(1+g_emsL)</f>
        <v>363.36531</v>
      </c>
      <c r="G184" s="30" t="n">
        <f aca="false">F184*(1+g_emsL)</f>
        <v>381.5335755</v>
      </c>
    </row>
    <row r="185" customFormat="false" ht="17.15" hidden="false" customHeight="false" outlineLevel="0" collapsed="false">
      <c r="A185" s="4" t="s">
        <v>564</v>
      </c>
      <c r="B185" s="0" t="s">
        <v>234</v>
      </c>
      <c r="C185" s="30" t="n">
        <f aca="false">a25_elim</f>
        <v>-2.91899999999998</v>
      </c>
      <c r="D185" s="30" t="n">
        <f aca="false">a26_elim</f>
        <v>-3.16484905982349</v>
      </c>
      <c r="E185" s="30" t="n">
        <f aca="false">$D185/($D183+$D184)*(E183+E184)</f>
        <v>-3.89079127687897</v>
      </c>
      <c r="F185" s="30" t="n">
        <f aca="false">$D185/($D183+$D184)*(F183+F184)</f>
        <v>-3.8293519862785</v>
      </c>
      <c r="G185" s="30" t="n">
        <f aca="false">$D185/($D183+$D184)*(G183+G184)</f>
        <v>-4.135650675892</v>
      </c>
      <c r="K185" s="4" t="s">
        <v>565</v>
      </c>
    </row>
    <row r="186" customFormat="false" ht="17.15" hidden="false" customHeight="false" outlineLevel="0" collapsed="false">
      <c r="A186" s="4" t="s">
        <v>431</v>
      </c>
      <c r="B186" s="0" t="s">
        <v>234</v>
      </c>
      <c r="C186" s="30" t="n">
        <f aca="false">C183+C184+C185</f>
        <v>645.388</v>
      </c>
      <c r="D186" s="30" t="n">
        <f aca="false">D183+D184+D185</f>
        <v>871.167350940177</v>
      </c>
      <c r="E186" s="30" t="n">
        <f aca="false">E183+E184+E185</f>
        <v>1070.99272845854</v>
      </c>
      <c r="F186" s="30" t="n">
        <f aca="false">F183+F184+F185</f>
        <v>1054.08073580918</v>
      </c>
      <c r="G186" s="30" t="n">
        <f aca="false">G183+G184+G185</f>
        <v>1138.39357758557</v>
      </c>
      <c r="H186" s="31" t="n">
        <f aca="false">G186*(1+H187)</f>
        <v>1206.68738805437</v>
      </c>
      <c r="I186" s="31" t="n">
        <f aca="false">H186*(1+I187)</f>
        <v>1254.9496874</v>
      </c>
      <c r="J186" s="31" t="n">
        <f aca="false">I186*(1+J187)</f>
        <v>1280.048681148</v>
      </c>
      <c r="K186" s="8" t="s">
        <v>566</v>
      </c>
    </row>
    <row r="187" customFormat="false" ht="15" hidden="false" customHeight="false" outlineLevel="0" collapsed="false">
      <c r="A187" s="4" t="s">
        <v>567</v>
      </c>
      <c r="B187" s="0" t="s">
        <v>76</v>
      </c>
      <c r="D187" s="21" t="n">
        <f aca="false">D186/C186-1</f>
        <v>0.349835061916516</v>
      </c>
      <c r="E187" s="21" t="n">
        <f aca="false">E186/D186-1</f>
        <v>0.229376568466104</v>
      </c>
      <c r="F187" s="21" t="n">
        <f aca="false">F186/E186-1</f>
        <v>-0.0157909500223209</v>
      </c>
      <c r="G187" s="21" t="n">
        <f aca="false">G186/F186-1</f>
        <v>0.079987081550885</v>
      </c>
      <c r="H187" s="26" t="n">
        <f aca="false">$G187+(fade_gC-$G187)*1/3</f>
        <v>0.05999138770059</v>
      </c>
      <c r="I187" s="26" t="n">
        <f aca="false">$G187+(fade_gC-$G187)*2/3</f>
        <v>0.039995693850295</v>
      </c>
      <c r="J187" s="26" t="n">
        <f aca="false">$G187+(fade_gC-$G187)*3/3</f>
        <v>0.02</v>
      </c>
    </row>
    <row r="188" customFormat="false" ht="17.15" hidden="false" customHeight="false" outlineLevel="0" collapsed="false">
      <c r="A188" s="0" t="s">
        <v>475</v>
      </c>
      <c r="B188" s="0" t="s">
        <v>76</v>
      </c>
      <c r="C188" s="21" t="n">
        <f aca="false">C181/C183</f>
        <v>0.127431736668482</v>
      </c>
      <c r="D188" s="21" t="n">
        <f aca="false">D181/D183</f>
        <v>0.227966974088588</v>
      </c>
      <c r="E188" s="21" t="n">
        <f aca="false">E181/E183</f>
        <v>0.31814600294568</v>
      </c>
      <c r="F188" s="21" t="n">
        <f aca="false">F181/F183</f>
        <v>0.234410468411019</v>
      </c>
      <c r="G188" s="21" t="n">
        <f aca="false">G181/G183</f>
        <v>0.252350859282315</v>
      </c>
    </row>
    <row r="189" customFormat="false" ht="15" hidden="false" customHeight="false" outlineLevel="0" collapsed="false">
      <c r="A189" s="4" t="s">
        <v>568</v>
      </c>
      <c r="B189" s="0" t="s">
        <v>76</v>
      </c>
      <c r="D189" s="21" t="n">
        <f aca="false">D183/C183-1</f>
        <v>0.438052247012034</v>
      </c>
      <c r="E189" s="21" t="n">
        <f aca="false">E183/D183-1</f>
        <v>0.302093972659362</v>
      </c>
      <c r="F189" s="21" t="n">
        <f aca="false">F183/E183-1</f>
        <v>-0.047030103280186</v>
      </c>
      <c r="G189" s="21" t="n">
        <f aca="false">G183/F183-1</f>
        <v>0.0956754367614998</v>
      </c>
    </row>
    <row r="190" customFormat="false" ht="17.15" hidden="false" customHeight="false" outlineLevel="0" collapsed="false">
      <c r="A190" s="6" t="s">
        <v>569</v>
      </c>
    </row>
    <row r="191" customFormat="false" ht="17.15" hidden="false" customHeight="false" outlineLevel="0" collapsed="false">
      <c r="A191" s="4" t="s">
        <v>570</v>
      </c>
      <c r="B191" s="0" t="s">
        <v>120</v>
      </c>
      <c r="C191" s="19" t="n">
        <f aca="false">capex25</f>
        <v>5.5</v>
      </c>
      <c r="D191" s="19" t="n">
        <f aca="false">capex26</f>
        <v>11.5</v>
      </c>
      <c r="E191" s="19" t="n">
        <f aca="false">capex27</f>
        <v>13</v>
      </c>
      <c r="F191" s="19" t="n">
        <f aca="false">capi*F186/F179</f>
        <v>9.88200689821109</v>
      </c>
      <c r="G191" s="19" t="n">
        <f aca="false">capi*G186/G179</f>
        <v>10.6724397898647</v>
      </c>
      <c r="K191" s="8" t="s">
        <v>571</v>
      </c>
    </row>
    <row r="192" customFormat="false" ht="15" hidden="false" customHeight="false" outlineLevel="0" collapsed="false">
      <c r="A192" s="4" t="s">
        <v>572</v>
      </c>
      <c r="B192" s="0" t="s">
        <v>234</v>
      </c>
      <c r="C192" s="30" t="n">
        <f aca="false">C191*C179</f>
        <v>170.5</v>
      </c>
      <c r="D192" s="30" t="n">
        <f aca="false">D191*31.9</f>
        <v>366.85</v>
      </c>
      <c r="E192" s="30" t="n">
        <f aca="false">E191*E179</f>
        <v>416</v>
      </c>
      <c r="F192" s="30" t="n">
        <f aca="false">F191*F179</f>
        <v>316.224220742755</v>
      </c>
      <c r="G192" s="30" t="n">
        <f aca="false">G191*G179</f>
        <v>341.518073275671</v>
      </c>
    </row>
    <row r="193" customFormat="false" ht="17.15" hidden="false" customHeight="false" outlineLevel="0" collapsed="false">
      <c r="A193" s="4" t="s">
        <v>473</v>
      </c>
      <c r="B193" s="0" t="s">
        <v>76</v>
      </c>
      <c r="C193" s="21" t="n">
        <f aca="false">C192/C186</f>
        <v>0.264182166386732</v>
      </c>
      <c r="D193" s="21" t="n">
        <f aca="false">D192/D186</f>
        <v>0.421101639775745</v>
      </c>
      <c r="E193" s="21" t="n">
        <f aca="false">E192/E186</f>
        <v>0.388424672685445</v>
      </c>
      <c r="F193" s="21" t="n">
        <f aca="false">F192/F186</f>
        <v>0.3</v>
      </c>
      <c r="G193" s="21" t="n">
        <f aca="false">G192/G186</f>
        <v>0.3</v>
      </c>
    </row>
    <row r="194" customFormat="false" ht="17.15" hidden="false" customHeight="false" outlineLevel="0" collapsed="false">
      <c r="A194" s="4" t="s">
        <v>573</v>
      </c>
      <c r="B194" s="0" t="s">
        <v>234</v>
      </c>
      <c r="C194" s="30" t="n">
        <f aca="false">a25_da</f>
        <v>75.255</v>
      </c>
      <c r="D194" s="30" t="n">
        <f aca="false">a26_da</f>
        <v>97.124</v>
      </c>
      <c r="E194" s="30" t="n">
        <f aca="false">D194*(1-1/life)+D192/life</f>
        <v>130.83975</v>
      </c>
      <c r="F194" s="30" t="n">
        <f aca="false">E194*(1-1/life)+E192/life</f>
        <v>166.48478125</v>
      </c>
      <c r="G194" s="30" t="n">
        <f aca="false">F194*(1-1/life)+F192/life</f>
        <v>185.202211186594</v>
      </c>
      <c r="K194" s="4" t="s">
        <v>574</v>
      </c>
    </row>
    <row r="195" customFormat="false" ht="17.15" hidden="false" customHeight="false" outlineLevel="0" collapsed="false">
      <c r="A195" s="4" t="s">
        <v>575</v>
      </c>
      <c r="B195" s="0" t="s">
        <v>234</v>
      </c>
      <c r="C195" s="30" t="n">
        <f aca="false">a25_agp</f>
        <v>91.38</v>
      </c>
      <c r="D195" s="30" t="n">
        <f aca="false">a26_agp</f>
        <v>164.623388</v>
      </c>
      <c r="E195" s="30" t="n">
        <f aca="false">$D195+ft*(E183-$D183)-(E194-$D194)</f>
        <v>215.45319786771</v>
      </c>
      <c r="F195" s="30" t="n">
        <f aca="false">$D195+ft*(F183-$D183)-(F194-$D194)</f>
        <v>162.669895647731</v>
      </c>
      <c r="G195" s="30" t="n">
        <f aca="false">$D195+ft*(G183-$D183)-(G194-$D194)</f>
        <v>177.177903194136</v>
      </c>
      <c r="K195" s="4" t="s">
        <v>576</v>
      </c>
    </row>
    <row r="196" customFormat="false" ht="15" hidden="false" customHeight="false" outlineLevel="0" collapsed="false">
      <c r="A196" s="4" t="s">
        <v>447</v>
      </c>
      <c r="B196" s="0" t="s">
        <v>76</v>
      </c>
      <c r="C196" s="14" t="n">
        <f aca="false">C195/C183</f>
        <v>0.234772421305764</v>
      </c>
      <c r="D196" s="14" t="n">
        <f aca="false">D195/D183</f>
        <v>0.294112034690999</v>
      </c>
      <c r="E196" s="14" t="n">
        <f aca="false">E195/E183</f>
        <v>0.295618681882035</v>
      </c>
      <c r="F196" s="14" t="n">
        <f aca="false">F195/F183</f>
        <v>0.234210810948802</v>
      </c>
      <c r="G196" s="14" t="n">
        <f aca="false">G195/G183</f>
        <v>0.232823804644878</v>
      </c>
    </row>
    <row r="197" customFormat="false" ht="17.15" hidden="false" customHeight="false" outlineLevel="0" collapsed="false">
      <c r="A197" s="0" t="s">
        <v>449</v>
      </c>
      <c r="B197" s="0" t="s">
        <v>234</v>
      </c>
      <c r="C197" s="30" t="n">
        <f aca="false">a25_egp</f>
        <v>23.695</v>
      </c>
      <c r="D197" s="30" t="n">
        <f aca="false">a26_egp</f>
        <v>27.00552</v>
      </c>
      <c r="E197" s="30" t="n">
        <f aca="false">E184*ems_gm</f>
        <v>29.415287</v>
      </c>
      <c r="F197" s="30" t="n">
        <f aca="false">F184*ems_gm</f>
        <v>30.88605135</v>
      </c>
      <c r="G197" s="30" t="n">
        <f aca="false">G184*ems_gm</f>
        <v>32.4303539175</v>
      </c>
    </row>
    <row r="198" customFormat="false" ht="15" hidden="false" customHeight="false" outlineLevel="0" collapsed="false">
      <c r="A198" s="4" t="s">
        <v>577</v>
      </c>
      <c r="B198" s="0" t="s">
        <v>234</v>
      </c>
      <c r="C198" s="30" t="n">
        <f aca="false">a25_lgp</f>
        <v>-0.881999999999998</v>
      </c>
      <c r="D198" s="30" t="n">
        <f aca="false">a26_lgp</f>
        <v>-0.948662139013863</v>
      </c>
      <c r="E198" s="30" t="n">
        <f aca="false">$D198/$D185*E185</f>
        <v>-1.16626300509458</v>
      </c>
      <c r="F198" s="30" t="n">
        <f aca="false">$D198/$D185*F185</f>
        <v>-1.14784660426825</v>
      </c>
      <c r="G198" s="30" t="n">
        <f aca="false">$D198/$D185*G185</f>
        <v>-1.23965950421176</v>
      </c>
    </row>
    <row r="199" customFormat="false" ht="15" hidden="false" customHeight="false" outlineLevel="0" collapsed="false">
      <c r="A199" s="4" t="s">
        <v>451</v>
      </c>
      <c r="B199" s="0" t="s">
        <v>234</v>
      </c>
      <c r="C199" s="30" t="n">
        <f aca="false">C195+C197+C198</f>
        <v>114.193</v>
      </c>
      <c r="D199" s="30" t="n">
        <f aca="false">D195+D197+D198</f>
        <v>190.680245860986</v>
      </c>
      <c r="E199" s="30" t="n">
        <f aca="false">E195+E197+E198</f>
        <v>243.702221862615</v>
      </c>
      <c r="F199" s="30" t="n">
        <f aca="false">F195+F197+F198</f>
        <v>192.408100393462</v>
      </c>
      <c r="G199" s="30" t="n">
        <f aca="false">G195+G197+G198</f>
        <v>208.368597607424</v>
      </c>
    </row>
    <row r="200" customFormat="false" ht="15" hidden="false" customHeight="false" outlineLevel="0" collapsed="false">
      <c r="A200" s="4" t="s">
        <v>452</v>
      </c>
      <c r="B200" s="0" t="s">
        <v>76</v>
      </c>
      <c r="C200" s="14" t="n">
        <f aca="false">C199/C186</f>
        <v>0.176936974347214</v>
      </c>
      <c r="D200" s="14" t="n">
        <f aca="false">D199/D186</f>
        <v>0.218879008327391</v>
      </c>
      <c r="E200" s="14" t="n">
        <f aca="false">E199/E186</f>
        <v>0.227547970576207</v>
      </c>
      <c r="F200" s="14" t="n">
        <f aca="false">F199/F186</f>
        <v>0.182536397694202</v>
      </c>
      <c r="G200" s="14" t="n">
        <f aca="false">G199/G186</f>
        <v>0.183037397355452</v>
      </c>
    </row>
    <row r="201" customFormat="false" ht="15" hidden="false" customHeight="false" outlineLevel="0" collapsed="false">
      <c r="A201" s="4" t="s">
        <v>578</v>
      </c>
      <c r="B201" s="0" t="s">
        <v>234</v>
      </c>
      <c r="C201" s="30" t="n">
        <f aca="false">a25_opx</f>
        <v>63.437</v>
      </c>
      <c r="D201" s="30" t="n">
        <f aca="false">a26_opx</f>
        <v>79.658</v>
      </c>
      <c r="E201" s="30" t="n">
        <f aca="false">D201*(1+phi*E187)</f>
        <v>90.6210072145237</v>
      </c>
      <c r="F201" s="30" t="n">
        <f aca="false">E201*(1+phi*F187)</f>
        <v>89.7624121369856</v>
      </c>
      <c r="G201" s="30" t="n">
        <f aca="false">F201*(1+phi*G187)</f>
        <v>94.0703121648687</v>
      </c>
    </row>
    <row r="202" customFormat="false" ht="15" hidden="false" customHeight="false" outlineLevel="0" collapsed="false">
      <c r="A202" s="4" t="s">
        <v>455</v>
      </c>
      <c r="B202" s="0" t="s">
        <v>234</v>
      </c>
      <c r="C202" s="30" t="n">
        <f aca="false">C199-C201</f>
        <v>50.756</v>
      </c>
      <c r="D202" s="30" t="n">
        <f aca="false">D199-D201</f>
        <v>111.022245860986</v>
      </c>
      <c r="E202" s="30" t="n">
        <f aca="false">E199-E201</f>
        <v>153.081214648091</v>
      </c>
      <c r="F202" s="30" t="n">
        <f aca="false">F199-F201</f>
        <v>102.645688256477</v>
      </c>
      <c r="G202" s="30" t="n">
        <f aca="false">G199-G201</f>
        <v>114.298285442556</v>
      </c>
    </row>
    <row r="203" customFormat="false" ht="15" hidden="false" customHeight="false" outlineLevel="0" collapsed="false">
      <c r="A203" s="4" t="s">
        <v>537</v>
      </c>
      <c r="B203" s="0" t="s">
        <v>76</v>
      </c>
      <c r="C203" s="14" t="n">
        <f aca="false">C202/C186</f>
        <v>0.0786441644406156</v>
      </c>
      <c r="D203" s="14" t="n">
        <f aca="false">D202/D186</f>
        <v>0.127440779020437</v>
      </c>
      <c r="E203" s="14" t="n">
        <f aca="false">E202/E186</f>
        <v>0.142933943975902</v>
      </c>
      <c r="F203" s="14" t="n">
        <f aca="false">F202/F186</f>
        <v>0.0973793417993538</v>
      </c>
      <c r="G203" s="14" t="n">
        <f aca="false">G202/G186</f>
        <v>0.100403136220227</v>
      </c>
    </row>
    <row r="204" customFormat="false" ht="15" hidden="false" customHeight="false" outlineLevel="0" collapsed="false">
      <c r="A204" s="4" t="s">
        <v>456</v>
      </c>
      <c r="B204" s="0" t="s">
        <v>234</v>
      </c>
      <c r="C204" s="30" t="n">
        <f aca="false">a25_nonop</f>
        <v>0.545</v>
      </c>
      <c r="D204" s="30" t="n">
        <f aca="false">a26_nonop</f>
        <v>4.302</v>
      </c>
      <c r="E204" s="30" t="n">
        <f aca="false">nonop_f</f>
        <v>-5</v>
      </c>
      <c r="F204" s="30" t="n">
        <f aca="false">nonop_f</f>
        <v>-5</v>
      </c>
      <c r="G204" s="30" t="n">
        <f aca="false">nonop_f</f>
        <v>-5</v>
      </c>
    </row>
    <row r="205" customFormat="false" ht="15" hidden="false" customHeight="false" outlineLevel="0" collapsed="false">
      <c r="A205" s="4" t="s">
        <v>459</v>
      </c>
      <c r="B205" s="0" t="s">
        <v>234</v>
      </c>
      <c r="C205" s="30" t="n">
        <f aca="false">C202+C204</f>
        <v>51.301</v>
      </c>
      <c r="D205" s="30" t="n">
        <f aca="false">D202+D204</f>
        <v>115.324245860986</v>
      </c>
      <c r="E205" s="30" t="n">
        <f aca="false">E202+E204</f>
        <v>148.081214648091</v>
      </c>
      <c r="F205" s="30" t="n">
        <f aca="false">F202+F204</f>
        <v>97.6456882564768</v>
      </c>
      <c r="G205" s="30" t="n">
        <f aca="false">G202+G204</f>
        <v>109.298285442556</v>
      </c>
    </row>
    <row r="206" customFormat="false" ht="15" hidden="false" customHeight="false" outlineLevel="0" collapsed="false">
      <c r="A206" s="4" t="s">
        <v>460</v>
      </c>
      <c r="B206" s="0" t="s">
        <v>234</v>
      </c>
      <c r="C206" s="30" t="n">
        <f aca="false">a25_tax</f>
        <v>9.461</v>
      </c>
      <c r="D206" s="30" t="n">
        <f aca="false">a26_tax</f>
        <v>19.2197317963676</v>
      </c>
      <c r="E206" s="30" t="n">
        <f aca="false">E205*tax</f>
        <v>25.1738064901755</v>
      </c>
      <c r="F206" s="30" t="n">
        <f aca="false">F205*tax</f>
        <v>16.5997670036011</v>
      </c>
      <c r="G206" s="30" t="n">
        <f aca="false">G205*tax</f>
        <v>18.5807085252344</v>
      </c>
    </row>
    <row r="207" customFormat="false" ht="15" hidden="false" customHeight="false" outlineLevel="0" collapsed="false">
      <c r="A207" s="4" t="s">
        <v>461</v>
      </c>
      <c r="B207" s="0" t="s">
        <v>234</v>
      </c>
      <c r="C207" s="30" t="n">
        <f aca="false">a25_nci</f>
        <v>1.182</v>
      </c>
      <c r="D207" s="30" t="n">
        <f aca="false">a26_nci</f>
        <v>2.543</v>
      </c>
      <c r="E207" s="30" t="n">
        <f aca="false">nci</f>
        <v>3</v>
      </c>
      <c r="F207" s="30" t="n">
        <f aca="false">nci</f>
        <v>3</v>
      </c>
      <c r="G207" s="30" t="n">
        <f aca="false">nci</f>
        <v>3</v>
      </c>
    </row>
    <row r="208" customFormat="false" ht="15" hidden="false" customHeight="false" outlineLevel="0" collapsed="false">
      <c r="A208" s="4" t="s">
        <v>462</v>
      </c>
      <c r="B208" s="0" t="s">
        <v>234</v>
      </c>
      <c r="C208" s="30" t="n">
        <f aca="false">C205-C206-C207</f>
        <v>40.658</v>
      </c>
      <c r="D208" s="30" t="n">
        <f aca="false">D205-D206-D207</f>
        <v>93.5615140646185</v>
      </c>
      <c r="E208" s="30" t="n">
        <f aca="false">E205-E206-E207</f>
        <v>119.907408157916</v>
      </c>
      <c r="F208" s="30" t="n">
        <f aca="false">F205-F206-F207</f>
        <v>78.0459212528757</v>
      </c>
      <c r="G208" s="30" t="n">
        <f aca="false">G205-G206-G207</f>
        <v>87.7175769173211</v>
      </c>
      <c r="H208" s="31" t="n">
        <f aca="false">H186*H212</f>
        <v>86.7812176768361</v>
      </c>
      <c r="I208" s="31" t="n">
        <f aca="false">I186*I212</f>
        <v>83.8055146416379</v>
      </c>
      <c r="J208" s="31" t="n">
        <f aca="false">J186*J212</f>
        <v>78.9061153241268</v>
      </c>
    </row>
    <row r="209" customFormat="false" ht="15" hidden="false" customHeight="false" outlineLevel="0" collapsed="false">
      <c r="A209" s="4" t="s">
        <v>579</v>
      </c>
      <c r="B209" s="4" t="s">
        <v>580</v>
      </c>
      <c r="C209" s="18" t="n">
        <f aca="false">a25_sh</f>
        <v>4339.16755602988</v>
      </c>
      <c r="D209" s="18" t="n">
        <f aca="false">a26_sh</f>
        <v>4392.90105184664</v>
      </c>
      <c r="E209" s="18" t="n">
        <f aca="false">D209*(1+sh_g)</f>
        <v>4414.86555710588</v>
      </c>
      <c r="F209" s="18" t="n">
        <f aca="false">E209*(1+sh_g)</f>
        <v>4436.9398848914</v>
      </c>
      <c r="G209" s="18" t="n">
        <f aca="false">F209*(1+sh_g)</f>
        <v>4459.12458431586</v>
      </c>
      <c r="H209" s="25" t="n">
        <f aca="false">G209*(1+sh_g)</f>
        <v>4481.42020723744</v>
      </c>
      <c r="I209" s="25" t="n">
        <f aca="false">H209*(1+sh_g)</f>
        <v>4503.82730827363</v>
      </c>
      <c r="J209" s="25" t="n">
        <f aca="false">I209*(1+sh_g)</f>
        <v>4526.34644481499</v>
      </c>
    </row>
    <row r="210" customFormat="false" ht="17.15" hidden="false" customHeight="false" outlineLevel="0" collapsed="false">
      <c r="A210" s="0" t="s">
        <v>465</v>
      </c>
      <c r="B210" s="0" t="s">
        <v>304</v>
      </c>
      <c r="C210" s="19" t="n">
        <f aca="false">a25_eps</f>
        <v>9.37</v>
      </c>
      <c r="D210" s="19" t="n">
        <f aca="false">a26_eps</f>
        <v>21.2828697294455</v>
      </c>
      <c r="E210" s="19" t="n">
        <f aca="false">E208/E209*1000</f>
        <v>27.159922902957</v>
      </c>
      <c r="F210" s="19" t="n">
        <f aca="false">F208/F209*1000</f>
        <v>17.590033509049</v>
      </c>
      <c r="G210" s="19" t="n">
        <f aca="false">G208/G209*1000</f>
        <v>19.6714792912159</v>
      </c>
      <c r="H210" s="28" t="n">
        <f aca="false">H208/H209*1000</f>
        <v>19.3646687129865</v>
      </c>
      <c r="I210" s="28" t="n">
        <f aca="false">I208/I209*1000</f>
        <v>18.6076216749442</v>
      </c>
      <c r="J210" s="28" t="n">
        <f aca="false">J208/J209*1000</f>
        <v>17.4326283430017</v>
      </c>
    </row>
    <row r="211" customFormat="false" ht="17.15" hidden="false" customHeight="false" outlineLevel="0" collapsed="false">
      <c r="A211" s="0" t="s">
        <v>581</v>
      </c>
      <c r="B211" s="0" t="s">
        <v>76</v>
      </c>
      <c r="D211" s="21" t="n">
        <f aca="false">D210/C210-1</f>
        <v>1.27138417603474</v>
      </c>
      <c r="E211" s="21" t="n">
        <f aca="false">E210/D210-1</f>
        <v>0.276140071720703</v>
      </c>
      <c r="F211" s="21" t="n">
        <f aca="false">F210/E210-1</f>
        <v>-0.352353334289697</v>
      </c>
      <c r="G211" s="21" t="n">
        <f aca="false">G210/F210-1</f>
        <v>0.118330973110207</v>
      </c>
      <c r="H211" s="26" t="n">
        <f aca="false">H210/G210-1</f>
        <v>-0.0155967212067488</v>
      </c>
      <c r="I211" s="26" t="n">
        <f aca="false">I210/H210-1</f>
        <v>-0.039094241645072</v>
      </c>
      <c r="J211" s="26" t="n">
        <f aca="false">J210/I210-1</f>
        <v>-0.063145809414466</v>
      </c>
    </row>
    <row r="212" customFormat="false" ht="17.15" hidden="false" customHeight="false" outlineLevel="0" collapsed="false">
      <c r="A212" s="4" t="s">
        <v>582</v>
      </c>
      <c r="B212" s="0" t="s">
        <v>76</v>
      </c>
      <c r="C212" s="14" t="n">
        <f aca="false">C208/C186</f>
        <v>0.0629977625862272</v>
      </c>
      <c r="D212" s="14" t="n">
        <f aca="false">D208/D186</f>
        <v>0.107397865592237</v>
      </c>
      <c r="E212" s="14" t="n">
        <f aca="false">E208/E186</f>
        <v>0.111959124438218</v>
      </c>
      <c r="F212" s="14" t="n">
        <f aca="false">F208/F186</f>
        <v>0.0740416920654208</v>
      </c>
      <c r="G212" s="14" t="n">
        <f aca="false">G208/G186</f>
        <v>0.0770538227239144</v>
      </c>
      <c r="H212" s="27" t="n">
        <f aca="false">$G212+(fade_mC-$G212)*1/3</f>
        <v>0.0719169012089868</v>
      </c>
      <c r="I212" s="27" t="n">
        <f aca="false">$G212+(fade_mC-$G212)*2/3</f>
        <v>0.0667799796940592</v>
      </c>
      <c r="J212" s="27" t="n">
        <f aca="false">$G212+(fade_mC-$G212)*3/3</f>
        <v>0.0616430581791315</v>
      </c>
    </row>
    <row r="213" customFormat="false" ht="17.15" hidden="false" customHeight="false" outlineLevel="0" collapsed="false">
      <c r="A213" s="4" t="s">
        <v>583</v>
      </c>
      <c r="B213" s="0" t="s">
        <v>234</v>
      </c>
      <c r="C213" s="30" t="n">
        <f aca="false">C208+C194-C192</f>
        <v>-54.587</v>
      </c>
      <c r="D213" s="30" t="n">
        <f aca="false">D208+D194-D192</f>
        <v>-176.164485935382</v>
      </c>
      <c r="E213" s="30" t="n">
        <f aca="false">E208+E194-E192</f>
        <v>-165.252841842084</v>
      </c>
      <c r="F213" s="30" t="n">
        <f aca="false">F208+F194-F192</f>
        <v>-71.6935182398791</v>
      </c>
      <c r="G213" s="30" t="n">
        <f aca="false">G208+G194-G192</f>
        <v>-68.5982851717552</v>
      </c>
      <c r="K213" s="4" t="s">
        <v>584</v>
      </c>
    </row>
    <row r="214" customFormat="false" ht="17.15" hidden="false" customHeight="false" outlineLevel="0" collapsed="false">
      <c r="A214" s="4" t="s">
        <v>585</v>
      </c>
      <c r="B214" s="0" t="s">
        <v>76</v>
      </c>
      <c r="D214" s="21" t="n">
        <f aca="false">(D202-$C202)/SUM($D192:D192)</f>
        <v>0.164280348537512</v>
      </c>
      <c r="E214" s="21" t="n">
        <f aca="false">(E202-$C202)/SUM($D192:E192)</f>
        <v>0.130708583570405</v>
      </c>
      <c r="F214" s="21" t="n">
        <f aca="false">(F202-$C202)/SUM($D192:F192)</f>
        <v>0.047212178465445</v>
      </c>
      <c r="G214" s="21" t="n">
        <f aca="false">(G202-$C202)/SUM($D192:G192)</f>
        <v>0.044108444635164</v>
      </c>
      <c r="K214" s="4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589</v>
      </c>
    </row>
    <row r="2" customFormat="false" ht="17.15" hidden="false" customHeight="false" outlineLevel="0" collapsed="false">
      <c r="A2" s="4" t="s">
        <v>590</v>
      </c>
    </row>
    <row r="4" customFormat="false" ht="17.15" hidden="false" customHeight="false" outlineLevel="0" collapsed="false">
      <c r="A4" s="6" t="s">
        <v>591</v>
      </c>
    </row>
    <row r="5" customFormat="false" ht="17.15" hidden="false" customHeight="false" outlineLevel="0" collapsed="false">
      <c r="A5" s="6" t="s">
        <v>592</v>
      </c>
    </row>
    <row r="6" customFormat="false" ht="17.15" hidden="false" customHeight="false" outlineLevel="0" collapsed="false">
      <c r="A6" s="5" t="s">
        <v>21</v>
      </c>
      <c r="B6" s="15" t="s">
        <v>593</v>
      </c>
      <c r="C6" s="15" t="s">
        <v>594</v>
      </c>
      <c r="D6" s="15" t="s">
        <v>595</v>
      </c>
      <c r="E6" s="5" t="s">
        <v>382</v>
      </c>
    </row>
    <row r="7" customFormat="false" ht="17.15" hidden="false" customHeight="false" outlineLevel="0" collapsed="false">
      <c r="A7" s="4" t="s">
        <v>596</v>
      </c>
      <c r="E7" s="0" t="s">
        <v>597</v>
      </c>
    </row>
    <row r="8" customFormat="false" ht="15" hidden="false" customHeight="false" outlineLevel="0" collapsed="false">
      <c r="A8" s="0" t="s">
        <v>598</v>
      </c>
      <c r="B8" s="19" t="n">
        <f aca="false">PL!E17</f>
        <v>30.9940727902621</v>
      </c>
      <c r="C8" s="19" t="n">
        <f aca="false">PL!E33</f>
        <v>29.0769978466096</v>
      </c>
      <c r="D8" s="19" t="n">
        <f aca="false">PL!E49</f>
        <v>27.159922902957</v>
      </c>
    </row>
    <row r="9" customFormat="false" ht="15" hidden="false" customHeight="false" outlineLevel="0" collapsed="false">
      <c r="A9" s="0" t="s">
        <v>599</v>
      </c>
      <c r="B9" s="19" t="n">
        <f aca="false">PL!F17</f>
        <v>34.754900599318</v>
      </c>
      <c r="C9" s="19" t="n">
        <f aca="false">PL!F33</f>
        <v>25.638066894105</v>
      </c>
      <c r="D9" s="19" t="n">
        <f aca="false">PL!F49</f>
        <v>17.590033509049</v>
      </c>
    </row>
    <row r="10" customFormat="false" ht="15" hidden="false" customHeight="false" outlineLevel="0" collapsed="false">
      <c r="A10" s="0" t="s">
        <v>600</v>
      </c>
      <c r="B10" s="19" t="n">
        <f aca="false">PL!G17</f>
        <v>42.0067021876286</v>
      </c>
      <c r="C10" s="19" t="n">
        <f aca="false">PL!G33</f>
        <v>31.5279147845056</v>
      </c>
      <c r="D10" s="19" t="n">
        <f aca="false">PL!G49</f>
        <v>19.6714792912159</v>
      </c>
    </row>
    <row r="11" customFormat="false" ht="15" hidden="false" customHeight="false" outlineLevel="0" collapsed="false">
      <c r="A11" s="0" t="s">
        <v>601</v>
      </c>
      <c r="B11" s="19" t="n">
        <f aca="false">PL!H17</f>
        <v>46.2422020651225</v>
      </c>
      <c r="C11" s="19" t="n">
        <f aca="false">PL!H33</f>
        <v>33.151961713604</v>
      </c>
      <c r="D11" s="19" t="n">
        <f aca="false">PL!H49</f>
        <v>19.3646687129865</v>
      </c>
    </row>
    <row r="12" customFormat="false" ht="15" hidden="false" customHeight="false" outlineLevel="0" collapsed="false">
      <c r="A12" s="0" t="s">
        <v>602</v>
      </c>
      <c r="B12" s="19" t="n">
        <f aca="false">PL!I17</f>
        <v>49.8388168074584</v>
      </c>
      <c r="C12" s="19" t="n">
        <f aca="false">PL!I33</f>
        <v>33.9708699669537</v>
      </c>
      <c r="D12" s="19" t="n">
        <f aca="false">PL!I49</f>
        <v>18.6076216749442</v>
      </c>
    </row>
    <row r="13" customFormat="false" ht="15" hidden="false" customHeight="false" outlineLevel="0" collapsed="false">
      <c r="A13" s="0" t="s">
        <v>603</v>
      </c>
      <c r="B13" s="19" t="n">
        <f aca="false">PL!J17</f>
        <v>52.5663142446825</v>
      </c>
      <c r="C13" s="19" t="n">
        <f aca="false">PL!J33</f>
        <v>33.8984374083887</v>
      </c>
      <c r="D13" s="19" t="n">
        <f aca="false">PL!J49</f>
        <v>17.4326283430017</v>
      </c>
    </row>
    <row r="14" customFormat="false" ht="17.15" hidden="false" customHeight="false" outlineLevel="0" collapsed="false">
      <c r="A14" s="4" t="s">
        <v>604</v>
      </c>
    </row>
    <row r="15" customFormat="false" ht="17.15" hidden="false" customHeight="false" outlineLevel="0" collapsed="false">
      <c r="A15" s="4" t="s">
        <v>605</v>
      </c>
      <c r="B15" s="21" t="n">
        <f aca="false">MIN(tp_g/tp_roe,0.8)</f>
        <v>0.379746835443038</v>
      </c>
      <c r="E15" s="8" t="s">
        <v>606</v>
      </c>
    </row>
    <row r="16" customFormat="false" ht="15" hidden="false" customHeight="false" outlineLevel="0" collapsed="false">
      <c r="A16" s="0" t="s">
        <v>598</v>
      </c>
      <c r="B16" s="19" t="n">
        <f aca="false">B8*(1-$B$15)</f>
        <v>19.2241717306689</v>
      </c>
      <c r="C16" s="19" t="n">
        <f aca="false">C8*(1-$B$15)</f>
        <v>18.0350999301755</v>
      </c>
      <c r="D16" s="19" t="n">
        <f aca="false">D8*(1-$B$15)</f>
        <v>16.8460281296822</v>
      </c>
    </row>
    <row r="17" customFormat="false" ht="15" hidden="false" customHeight="false" outlineLevel="0" collapsed="false">
      <c r="A17" s="0" t="s">
        <v>599</v>
      </c>
      <c r="B17" s="19" t="n">
        <f aca="false">B9*(1-$B$15)</f>
        <v>21.5568370805896</v>
      </c>
      <c r="C17" s="19" t="n">
        <f aca="false">C9*(1-$B$15)</f>
        <v>15.9020921241917</v>
      </c>
      <c r="D17" s="19" t="n">
        <f aca="false">D9*(1-$B$15)</f>
        <v>10.9102739486506</v>
      </c>
    </row>
    <row r="18" customFormat="false" ht="15" hidden="false" customHeight="false" outlineLevel="0" collapsed="false">
      <c r="A18" s="0" t="s">
        <v>600</v>
      </c>
      <c r="B18" s="19" t="n">
        <f aca="false">B10*(1-$B$15)</f>
        <v>26.0547899644785</v>
      </c>
      <c r="C18" s="19" t="n">
        <f aca="false">C10*(1-$B$15)</f>
        <v>19.5552889169718</v>
      </c>
      <c r="D18" s="19" t="n">
        <f aca="false">D10*(1-$B$15)</f>
        <v>12.2012972818934</v>
      </c>
    </row>
    <row r="19" customFormat="false" ht="15" hidden="false" customHeight="false" outlineLevel="0" collapsed="false">
      <c r="A19" s="0" t="s">
        <v>601</v>
      </c>
      <c r="B19" s="19" t="n">
        <f aca="false">B11*(1-$B$15)</f>
        <v>28.6818721669747</v>
      </c>
      <c r="C19" s="19" t="n">
        <f aca="false">C11*(1-$B$15)</f>
        <v>20.5626091641341</v>
      </c>
      <c r="D19" s="19" t="n">
        <f aca="false">D11*(1-$B$15)</f>
        <v>12.010997049827</v>
      </c>
    </row>
    <row r="20" customFormat="false" ht="15" hidden="false" customHeight="false" outlineLevel="0" collapsed="false">
      <c r="A20" s="0" t="s">
        <v>602</v>
      </c>
      <c r="B20" s="19" t="n">
        <f aca="false">B12*(1-$B$15)</f>
        <v>30.9126838426007</v>
      </c>
      <c r="C20" s="19" t="n">
        <f aca="false">C12*(1-$B$15)</f>
        <v>21.0705395997561</v>
      </c>
      <c r="D20" s="19" t="n">
        <f aca="false">D12*(1-$B$15)</f>
        <v>11.5414362287629</v>
      </c>
    </row>
    <row r="21" customFormat="false" ht="15" hidden="false" customHeight="false" outlineLevel="0" collapsed="false">
      <c r="A21" s="0" t="s">
        <v>603</v>
      </c>
      <c r="B21" s="19" t="n">
        <f aca="false">B13*(1-$B$15)</f>
        <v>32.60442275936</v>
      </c>
      <c r="C21" s="19" t="n">
        <f aca="false">C13*(1-$B$15)</f>
        <v>21.0256130760892</v>
      </c>
      <c r="D21" s="19" t="n">
        <f aca="false">D13*(1-$B$15)</f>
        <v>10.8126428962922</v>
      </c>
    </row>
    <row r="22" customFormat="false" ht="17.15" hidden="false" customHeight="false" outlineLevel="0" collapsed="false">
      <c r="A22" s="0" t="s">
        <v>607</v>
      </c>
      <c r="B22" s="19" t="n">
        <f aca="false">MAX(0,SUMPRODUCT(B16:B21,1/(1+tp_r)^{1;2;3;4;5;6})+B21*(1+tp_g)/(tp_r-tp_g)/(1+tp_r)^6)</f>
        <v>431.064908046372</v>
      </c>
      <c r="C22" s="19" t="n">
        <f aca="false">MAX(0,SUMPRODUCT(C16:C21,1/(1+tp_r)^{1;2;3;4;5;6})+C21*(1+tp_g)/(tp_r-tp_g)/(1+tp_r)^6)</f>
        <v>288.945159170943</v>
      </c>
      <c r="D22" s="19" t="n">
        <f aca="false">MAX(0,SUMPRODUCT(D16:D21,1/(1+tp_r)^{1;2;3;4;5;6})+D21*(1+tp_g)/(tp_r-tp_g)/(1+tp_r)^6)</f>
        <v>160.765013593947</v>
      </c>
      <c r="E22" s="8" t="s">
        <v>608</v>
      </c>
    </row>
    <row r="23" customFormat="false" ht="17.15" hidden="false" customHeight="false" outlineLevel="0" collapsed="false">
      <c r="A23" s="0" t="s">
        <v>609</v>
      </c>
      <c r="B23" s="19" t="n">
        <f aca="false">B22*(1+tp_r)</f>
        <v>474.171398851009</v>
      </c>
      <c r="C23" s="19" t="n">
        <f aca="false">C22*(1+tp_r)</f>
        <v>317.839675088037</v>
      </c>
      <c r="D23" s="19" t="n">
        <f aca="false">D22*(1+tp_r)</f>
        <v>176.841514953342</v>
      </c>
    </row>
    <row r="24" customFormat="false" ht="17.15" hidden="false" customHeight="false" outlineLevel="0" collapsed="false">
      <c r="A24" s="0" t="s">
        <v>610</v>
      </c>
      <c r="B24" s="32" t="n">
        <f aca="false">tp_wA*B23+tp_wB*C23+tp_wC*D23</f>
        <v>336.53956018999</v>
      </c>
      <c r="E24" s="8" t="s">
        <v>611</v>
      </c>
    </row>
    <row r="26" customFormat="false" ht="17.15" hidden="false" customHeight="false" outlineLevel="0" collapsed="false">
      <c r="A26" s="6" t="s">
        <v>612</v>
      </c>
    </row>
    <row r="27" customFormat="false" ht="17.15" hidden="false" customHeight="false" outlineLevel="0" collapsed="false">
      <c r="A27" s="5" t="s">
        <v>613</v>
      </c>
      <c r="B27" s="5" t="s">
        <v>614</v>
      </c>
      <c r="C27" s="5" t="s">
        <v>615</v>
      </c>
      <c r="D27" s="5" t="s">
        <v>616</v>
      </c>
      <c r="E27" s="5" t="s">
        <v>617</v>
      </c>
      <c r="F27" s="5" t="s">
        <v>26</v>
      </c>
    </row>
    <row r="28" customFormat="false" ht="17.15" hidden="false" customHeight="false" outlineLevel="0" collapsed="false">
      <c r="A28" s="0" t="s">
        <v>618</v>
      </c>
      <c r="B28" s="0" t="s">
        <v>619</v>
      </c>
      <c r="C28" s="24" t="n">
        <v>14.02</v>
      </c>
      <c r="D28" s="8" t="s">
        <v>620</v>
      </c>
      <c r="E28" s="8" t="s">
        <v>621</v>
      </c>
      <c r="F28" s="8" t="s">
        <v>121</v>
      </c>
    </row>
    <row r="29" customFormat="false" ht="17.15" hidden="false" customHeight="false" outlineLevel="0" collapsed="false">
      <c r="A29" s="4" t="s">
        <v>622</v>
      </c>
      <c r="B29" s="0" t="s">
        <v>623</v>
      </c>
      <c r="C29" s="24" t="n">
        <v>20.6</v>
      </c>
      <c r="D29" s="8" t="s">
        <v>624</v>
      </c>
      <c r="E29" s="8" t="s">
        <v>621</v>
      </c>
      <c r="F29" s="8" t="s">
        <v>121</v>
      </c>
    </row>
    <row r="30" customFormat="false" ht="17.15" hidden="false" customHeight="false" outlineLevel="0" collapsed="false">
      <c r="A30" s="4" t="s">
        <v>625</v>
      </c>
      <c r="B30" s="0" t="s">
        <v>626</v>
      </c>
      <c r="C30" s="24" t="n">
        <v>26.13</v>
      </c>
      <c r="D30" s="8" t="s">
        <v>627</v>
      </c>
      <c r="E30" s="8" t="s">
        <v>621</v>
      </c>
      <c r="F30" s="8" t="s">
        <v>121</v>
      </c>
    </row>
    <row r="31" customFormat="false" ht="17.15" hidden="false" customHeight="false" outlineLevel="0" collapsed="false">
      <c r="A31" s="4" t="s">
        <v>628</v>
      </c>
      <c r="B31" s="0" t="s">
        <v>629</v>
      </c>
      <c r="C31" s="24" t="n">
        <v>23.3</v>
      </c>
      <c r="D31" s="8" t="s">
        <v>624</v>
      </c>
      <c r="E31" s="8" t="s">
        <v>621</v>
      </c>
      <c r="F31" s="8" t="s">
        <v>121</v>
      </c>
    </row>
    <row r="32" customFormat="false" ht="17.15" hidden="false" customHeight="false" outlineLevel="0" collapsed="false">
      <c r="A32" s="4" t="s">
        <v>630</v>
      </c>
      <c r="B32" s="0" t="s">
        <v>631</v>
      </c>
      <c r="C32" s="24" t="n">
        <v>22.08</v>
      </c>
      <c r="D32" s="8" t="s">
        <v>632</v>
      </c>
      <c r="E32" s="8" t="s">
        <v>621</v>
      </c>
      <c r="F32" s="8" t="s">
        <v>121</v>
      </c>
    </row>
    <row r="33" customFormat="false" ht="17.15" hidden="false" customHeight="false" outlineLevel="0" collapsed="false">
      <c r="A33" s="4" t="s">
        <v>633</v>
      </c>
      <c r="B33" s="33" t="n">
        <f aca="false">MEDIAN(C28:C32)</f>
        <v>22.08</v>
      </c>
      <c r="E33" s="4" t="s">
        <v>634</v>
      </c>
    </row>
    <row r="34" customFormat="false" ht="17.15" hidden="false" customHeight="false" outlineLevel="0" collapsed="false">
      <c r="A34" s="0" t="s">
        <v>635</v>
      </c>
      <c r="B34" s="19" t="n">
        <f aca="false">tp_wA*(2/12*B8+10/12*B9)+tp_wB*(2/12*C8+10/12*C9)+tp_wC*(2/12*D8+10/12*D9)</f>
        <v>27.1810428307106</v>
      </c>
      <c r="E34" s="4" t="s">
        <v>636</v>
      </c>
    </row>
    <row r="35" customFormat="false" ht="17.15" hidden="false" customHeight="false" outlineLevel="0" collapsed="false">
      <c r="A35" s="0" t="s">
        <v>637</v>
      </c>
      <c r="B35" s="32" t="n">
        <f aca="false">B33*B34</f>
        <v>600.157425702089</v>
      </c>
      <c r="E35" s="4" t="s">
        <v>638</v>
      </c>
    </row>
    <row r="37" customFormat="false" ht="17.15" hidden="false" customHeight="false" outlineLevel="0" collapsed="false">
      <c r="A37" s="6" t="s">
        <v>639</v>
      </c>
    </row>
    <row r="38" customFormat="false" ht="15" hidden="false" customHeight="false" outlineLevel="0" collapsed="false">
      <c r="A38" s="5" t="s">
        <v>21</v>
      </c>
      <c r="B38" s="5" t="s">
        <v>640</v>
      </c>
      <c r="C38" s="5"/>
      <c r="D38" s="5"/>
      <c r="E38" s="5" t="s">
        <v>382</v>
      </c>
    </row>
    <row r="39" customFormat="false" ht="17.15" hidden="false" customHeight="false" outlineLevel="0" collapsed="false">
      <c r="A39" s="4" t="s">
        <v>641</v>
      </c>
      <c r="B39" s="32" t="n">
        <f aca="false">tp_w_dcf*B24+(1-tp_w_dcf)*tp_comp_adj</f>
        <v>503.844828424598</v>
      </c>
      <c r="E39" s="8" t="s">
        <v>642</v>
      </c>
    </row>
    <row r="40" customFormat="false" ht="17.15" hidden="false" customHeight="false" outlineLevel="0" collapsed="false">
      <c r="A40" s="0" t="s">
        <v>643</v>
      </c>
      <c r="B40" s="19" t="n">
        <f aca="false">B35</f>
        <v>600.157425702089</v>
      </c>
    </row>
    <row r="41" customFormat="false" ht="17.15" hidden="false" customHeight="false" outlineLevel="0" collapsed="false">
      <c r="A41" s="4" t="s">
        <v>644</v>
      </c>
      <c r="B41" s="19" t="n">
        <f aca="false">cons_tp</f>
        <v>900</v>
      </c>
      <c r="E41" s="4" t="s">
        <v>645</v>
      </c>
    </row>
    <row r="42" customFormat="false" ht="17.15" hidden="false" customHeight="false" outlineLevel="0" collapsed="false">
      <c r="A42" s="4" t="s">
        <v>646</v>
      </c>
      <c r="B42" s="21" t="n">
        <f aca="false">B39/px-1</f>
        <v>-0.245741274813476</v>
      </c>
      <c r="E42" s="4" t="s">
        <v>647</v>
      </c>
    </row>
    <row r="43" customFormat="false" ht="17.15" hidden="false" customHeight="false" outlineLevel="0" collapsed="false">
      <c r="A43" s="4" t="s">
        <v>648</v>
      </c>
      <c r="B43" s="21" t="n">
        <f aca="false">B40/px-1</f>
        <v>-0.101560739966933</v>
      </c>
    </row>
    <row r="44" customFormat="false" ht="17.15" hidden="false" customHeight="false" outlineLevel="0" collapsed="false">
      <c r="A44" s="4" t="s">
        <v>649</v>
      </c>
      <c r="B44" s="21" t="n">
        <f aca="false">B34/cons_feps-1</f>
        <v>-0.42404909950465</v>
      </c>
      <c r="E44" s="4" t="s">
        <v>650</v>
      </c>
    </row>
    <row r="45" customFormat="false" ht="17.15" hidden="false" customHeight="false" outlineLevel="0" collapsed="false">
      <c r="A45" s="4" t="s">
        <v>651</v>
      </c>
      <c r="B45" s="21" t="n">
        <f aca="false">(cons_tp/cons_feps)/B33-1</f>
        <v>-0.136300263486</v>
      </c>
      <c r="E45" s="0" t="str">
        <f aca="false">"共識目標價隱含 "&amp;TEXT(cons_tp/cons_feps,"0.0")&amp;"x，同業中位數 "&amp;TEXT(B33,"0.0")&amp;"x"</f>
        <v>共識目標價隱含 19.1x，同業中位數 22.1x</v>
      </c>
    </row>
    <row r="46" customFormat="false" ht="17.15" hidden="false" customHeight="false" outlineLevel="0" collapsed="false">
      <c r="A46" s="4" t="s">
        <v>652</v>
      </c>
      <c r="B46" s="34" t="str">
        <f aca="false">TEXT(D23,"0.00")&amp;"～"&amp;TEXT(B23,"0.00")</f>
        <v>176.84～474.17</v>
      </c>
      <c r="E46" s="8" t="s">
        <v>653</v>
      </c>
    </row>
    <row r="47" customFormat="false" ht="17.15" hidden="false" customHeight="false" outlineLevel="0" collapsed="false">
      <c r="A47" s="4" t="s">
        <v>654</v>
      </c>
      <c r="B47" s="35" t="n">
        <f aca="false">IF(px/B9&gt;=MAX($B$86:$B$95),1,IF(px/B9&lt;=MIN($B$86:$B$95),0,PERCENTRANK($B$86:$B$95,px/B9)))</f>
        <v>0.795</v>
      </c>
      <c r="C47" s="35" t="n">
        <f aca="false">IF(px/C9&gt;=MAX($B$86:$B$95),1,IF(px/C9&lt;=MIN($B$86:$B$95),0,PERCENTRANK($B$86:$B$95,px/C9)))</f>
        <v>1</v>
      </c>
      <c r="D47" s="35" t="n">
        <f aca="false">IF(px/D9&gt;=MAX($B$86:$B$95),1,IF(px/D9&lt;=MIN($B$86:$B$95),0,PERCENTRANK($B$86:$B$95,px/D9)))</f>
        <v>1</v>
      </c>
      <c r="E47" s="4" t="s">
        <v>655</v>
      </c>
    </row>
    <row r="48" customFormat="false" ht="17.15" hidden="false" customHeight="false" outlineLevel="0" collapsed="false">
      <c r="A48" s="4" t="s">
        <v>656</v>
      </c>
      <c r="B48" s="0" t="s">
        <v>657</v>
      </c>
    </row>
    <row r="49" customFormat="false" ht="17.15" hidden="false" customHeight="false" outlineLevel="0" collapsed="false">
      <c r="A49" s="4" t="s">
        <v>658</v>
      </c>
      <c r="B49" s="34" t="str">
        <f aca="false">IF(B42&gt;0.5,"大於 50%",IF(B42&gt;0.25,"25%–50%",IF(B42&gt;=0,"0%–25%",IF(B42&gt;=-0.25,"0%～−25%",IF(B42&gt;=-0.5,"−25%～−50%","小於 −50%")))))</f>
        <v>0%～−25%</v>
      </c>
      <c r="E49" s="4" t="s">
        <v>659</v>
      </c>
    </row>
    <row r="50" customFormat="false" ht="17.15" hidden="false" customHeight="false" outlineLevel="0" collapsed="false">
      <c r="A50" s="4" t="s">
        <v>660</v>
      </c>
      <c r="B50" s="34" t="str">
        <f aca="false">IF(B42&gt;0.5,"強力買進",IF(B42&gt;0.25,"買進",IF(B42&gt;=-0.25,"中立",IF(B42&gt;=-0.5,"放空","強力放空"))))</f>
        <v>中立</v>
      </c>
      <c r="E50" s="4" t="s">
        <v>661</v>
      </c>
    </row>
    <row r="51" customFormat="false" ht="17.15" hidden="false" customHeight="false" outlineLevel="0" collapsed="false">
      <c r="A51" s="6" t="s">
        <v>662</v>
      </c>
    </row>
    <row r="52" customFormat="false" ht="15" hidden="false" customHeight="false" outlineLevel="0" collapsed="false">
      <c r="A52" s="5" t="s">
        <v>21</v>
      </c>
      <c r="B52" s="15" t="s">
        <v>663</v>
      </c>
      <c r="C52" s="15" t="s">
        <v>664</v>
      </c>
      <c r="D52" s="15" t="s">
        <v>665</v>
      </c>
      <c r="E52" s="5" t="s">
        <v>382</v>
      </c>
    </row>
    <row r="53" customFormat="false" ht="17.15" hidden="false" customHeight="false" outlineLevel="0" collapsed="false">
      <c r="A53" s="4" t="s">
        <v>666</v>
      </c>
      <c r="B53" s="19" t="n">
        <f aca="false">px</f>
        <v>668</v>
      </c>
    </row>
    <row r="54" customFormat="false" ht="17.15" hidden="false" customHeight="false" outlineLevel="0" collapsed="false">
      <c r="A54" s="4" t="s">
        <v>667</v>
      </c>
      <c r="B54" s="33" t="n">
        <f aca="false">px/PL!D17</f>
        <v>31.3867447619529</v>
      </c>
      <c r="C54" s="33" t="n">
        <f aca="false">px/PL!D33</f>
        <v>31.3867447619529</v>
      </c>
      <c r="D54" s="33" t="n">
        <f aca="false">px/PL!D49</f>
        <v>31.3867447619529</v>
      </c>
      <c r="E54" s="8" t="s">
        <v>668</v>
      </c>
    </row>
    <row r="55" customFormat="false" ht="17.15" hidden="false" customHeight="false" outlineLevel="0" collapsed="false">
      <c r="A55" s="4" t="s">
        <v>669</v>
      </c>
      <c r="B55" s="33" t="n">
        <f aca="false">px/PL!E17</f>
        <v>21.5525079430631</v>
      </c>
      <c r="C55" s="33" t="n">
        <f aca="false">px/PL!E33</f>
        <v>22.9734858985069</v>
      </c>
      <c r="D55" s="33" t="n">
        <f aca="false">px/PL!E49</f>
        <v>24.5950624523781</v>
      </c>
      <c r="E55" s="8" t="s">
        <v>670</v>
      </c>
    </row>
    <row r="56" customFormat="false" ht="17.15" hidden="false" customHeight="false" outlineLevel="0" collapsed="false">
      <c r="A56" s="4" t="s">
        <v>671</v>
      </c>
      <c r="B56" s="33" t="n">
        <f aca="false">px/PL!F17</f>
        <v>19.220311049116</v>
      </c>
      <c r="C56" s="33" t="n">
        <f aca="false">px/PL!F33</f>
        <v>26.0550065166416</v>
      </c>
      <c r="D56" s="33" t="n">
        <f aca="false">px/PL!F49</f>
        <v>37.976050452454</v>
      </c>
    </row>
    <row r="57" customFormat="false" ht="17.15" hidden="false" customHeight="false" outlineLevel="0" collapsed="false">
      <c r="A57" s="4" t="s">
        <v>672</v>
      </c>
      <c r="B57" s="33" t="n">
        <f aca="false">px/PL!G17</f>
        <v>15.9022242930732</v>
      </c>
      <c r="C57" s="33" t="n">
        <f aca="false">px/PL!G33</f>
        <v>21.1875731257777</v>
      </c>
      <c r="D57" s="33" t="n">
        <f aca="false">px/PL!G49</f>
        <v>33.9577918930728</v>
      </c>
    </row>
    <row r="58" customFormat="false" ht="17.15" hidden="false" customHeight="false" outlineLevel="0" collapsed="false">
      <c r="A58" s="4" t="s">
        <v>673</v>
      </c>
      <c r="B58" s="19" t="n">
        <f aca="false">0.2*PL!D33+0.8*PL!E33</f>
        <v>27.5181722231768</v>
      </c>
    </row>
    <row r="59" customFormat="false" ht="17.15" hidden="false" customHeight="false" outlineLevel="0" collapsed="false">
      <c r="A59" s="4" t="s">
        <v>674</v>
      </c>
      <c r="B59" s="33" t="n">
        <f aca="false">px/B58</f>
        <v>24.2748680610912</v>
      </c>
    </row>
    <row r="60" customFormat="false" ht="17.15" hidden="false" customHeight="false" outlineLevel="0" collapsed="false">
      <c r="A60" s="4" t="s">
        <v>675</v>
      </c>
      <c r="B60" s="33" t="n">
        <f aca="false">pe_ttm</f>
        <v>47.32</v>
      </c>
    </row>
    <row r="61" customFormat="false" ht="17.15" hidden="false" customHeight="false" outlineLevel="0" collapsed="false">
      <c r="A61" s="4" t="s">
        <v>324</v>
      </c>
      <c r="B61" s="33" t="n">
        <f aca="false">fpe</f>
        <v>26.99</v>
      </c>
    </row>
    <row r="63" customFormat="false" ht="17.15" hidden="false" customHeight="false" outlineLevel="0" collapsed="false">
      <c r="A63" s="6" t="s">
        <v>676</v>
      </c>
    </row>
    <row r="64" customFormat="false" ht="17.15" hidden="false" customHeight="false" outlineLevel="0" collapsed="false">
      <c r="A64" s="5" t="s">
        <v>677</v>
      </c>
      <c r="B64" s="5" t="s">
        <v>678</v>
      </c>
      <c r="C64" s="15" t="s">
        <v>679</v>
      </c>
      <c r="D64" s="5" t="s">
        <v>680</v>
      </c>
      <c r="E64" s="5" t="s">
        <v>681</v>
      </c>
      <c r="F64" s="5" t="s">
        <v>382</v>
      </c>
    </row>
    <row r="65" customFormat="false" ht="17.15" hidden="false" customHeight="false" outlineLevel="0" collapsed="false">
      <c r="A65" s="0" t="s">
        <v>663</v>
      </c>
      <c r="B65" s="0" t="n">
        <f aca="false">INDEX({2026,2027,2028,2029},MATCH(MAX(PL!D85:G85),PL!D85:G85,0))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11.41</v>
      </c>
      <c r="E65" s="0" t="str">
        <f aca="false">IF(B65=2029,"是：封測營收到觀測期末仍在增加","否")</f>
        <v>是：封測營收到觀測期末仍在增加</v>
      </c>
      <c r="F65" s="8" t="s">
        <v>682</v>
      </c>
    </row>
    <row r="66" customFormat="false" ht="15" hidden="false" customHeight="false" outlineLevel="0" collapsed="false">
      <c r="A66" s="0" t="s">
        <v>664</v>
      </c>
      <c r="B66" s="0" t="n">
        <f aca="false">INDEX({2026,2027,2028,2029},MATCH(MAX(PL!D134:G134),PL!D134:G134,0))</f>
        <v>2029</v>
      </c>
      <c r="C66" s="0" t="str">
        <f aca="false">IF(B66=2029,"中段",IF(2027&lt;B66,"中段",IF(2027=B66,"見頂","谷底")))</f>
        <v>中段</v>
      </c>
      <c r="D66" s="33" t="n">
        <f aca="false">IF(C66="見頂",pe_peak,IF(C66="谷底",pe_trough,pe_mid))</f>
        <v>11.41</v>
      </c>
      <c r="E66" s="0" t="str">
        <f aca="false">IF(B66=2029,"是：封測營收到觀測期末仍在增加","否")</f>
        <v>是：封測營收到觀測期末仍在增加</v>
      </c>
      <c r="F66" s="4" t="s">
        <v>38</v>
      </c>
    </row>
    <row r="67" customFormat="false" ht="15" hidden="false" customHeight="false" outlineLevel="0" collapsed="false">
      <c r="A67" s="0" t="s">
        <v>665</v>
      </c>
      <c r="B67" s="0" t="n">
        <f aca="false">INDEX({2026,2027,2028,2029},MATCH(MAX(PL!D183:G183),PL!D183:G183,0))</f>
        <v>2029</v>
      </c>
      <c r="C67" s="0" t="str">
        <f aca="false">IF(B67=2029,"中段",IF(2027&lt;B67,"中段",IF(2027=B67,"見頂","谷底")))</f>
        <v>中段</v>
      </c>
      <c r="D67" s="33" t="n">
        <f aca="false">IF(C67="見頂",pe_peak,IF(C67="谷底",pe_trough,pe_mid))</f>
        <v>11.41</v>
      </c>
      <c r="E67" s="0" t="str">
        <f aca="false">IF(B67=2029,"是：封測營收到觀測期末仍在增加","否")</f>
        <v>是：封測營收到觀測期末仍在增加</v>
      </c>
      <c r="F67" s="4" t="s">
        <v>38</v>
      </c>
    </row>
    <row r="69" customFormat="false" ht="17.15" hidden="false" customHeight="false" outlineLevel="0" collapsed="false">
      <c r="A69" s="6" t="s">
        <v>683</v>
      </c>
    </row>
    <row r="70" customFormat="false" ht="17.15" hidden="false" customHeight="false" outlineLevel="0" collapsed="false">
      <c r="A70" s="5" t="s">
        <v>677</v>
      </c>
      <c r="B70" s="15" t="s">
        <v>684</v>
      </c>
      <c r="C70" s="5" t="s">
        <v>685</v>
      </c>
      <c r="D70" s="5" t="s">
        <v>686</v>
      </c>
      <c r="E70" s="5" t="s">
        <v>687</v>
      </c>
      <c r="F70" s="5" t="s">
        <v>688</v>
      </c>
      <c r="G70" s="5" t="s">
        <v>689</v>
      </c>
    </row>
    <row r="71" customFormat="false" ht="15" hidden="false" customHeight="false" outlineLevel="0" collapsed="false">
      <c r="A71" s="9" t="s">
        <v>663</v>
      </c>
      <c r="B71" s="32" t="n">
        <f aca="false">PL!E17</f>
        <v>30.9940727902621</v>
      </c>
      <c r="C71" s="32" t="n">
        <f aca="false">B71</f>
        <v>30.9940727902621</v>
      </c>
      <c r="D71" s="36" t="n">
        <f aca="false">D65</f>
        <v>11.41</v>
      </c>
      <c r="E71" s="32" t="n">
        <f aca="false">C71*D71</f>
        <v>353.642370536891</v>
      </c>
      <c r="F71" s="37" t="n">
        <f aca="false">E71/px-1</f>
        <v>-0.470595253687289</v>
      </c>
      <c r="G71" s="36" t="n">
        <f aca="false">px/C71</f>
        <v>21.5525079430631</v>
      </c>
    </row>
    <row r="72" customFormat="false" ht="15" hidden="false" customHeight="false" outlineLevel="0" collapsed="false">
      <c r="A72" s="9" t="s">
        <v>664</v>
      </c>
      <c r="B72" s="32" t="n">
        <f aca="false">PL!E33</f>
        <v>29.0769978466096</v>
      </c>
      <c r="C72" s="32" t="n">
        <f aca="false">B72</f>
        <v>29.0769978466096</v>
      </c>
      <c r="D72" s="36" t="n">
        <f aca="false">D66</f>
        <v>11.41</v>
      </c>
      <c r="E72" s="32" t="n">
        <f aca="false">C72*D72</f>
        <v>331.768545429815</v>
      </c>
      <c r="F72" s="37" t="n">
        <f aca="false">E72/px-1</f>
        <v>-0.50334050085357</v>
      </c>
      <c r="G72" s="36" t="n">
        <f aca="false">px/C72</f>
        <v>22.9734858985069</v>
      </c>
    </row>
    <row r="73" customFormat="false" ht="15" hidden="false" customHeight="false" outlineLevel="0" collapsed="false">
      <c r="A73" s="9" t="s">
        <v>665</v>
      </c>
      <c r="B73" s="32" t="n">
        <f aca="false">PL!E49</f>
        <v>27.159922902957</v>
      </c>
      <c r="C73" s="32" t="n">
        <f aca="false">B73</f>
        <v>27.159922902957</v>
      </c>
      <c r="D73" s="36" t="n">
        <f aca="false">D67</f>
        <v>11.41</v>
      </c>
      <c r="E73" s="32" t="n">
        <f aca="false">C73*D73</f>
        <v>309.894720322739</v>
      </c>
      <c r="F73" s="37" t="n">
        <f aca="false">E73/px-1</f>
        <v>-0.536085748019852</v>
      </c>
      <c r="G73" s="36" t="n">
        <f aca="false">px/C73</f>
        <v>24.5950624523781</v>
      </c>
    </row>
    <row r="75" customFormat="false" ht="17.15" hidden="false" customHeight="false" outlineLevel="0" collapsed="false">
      <c r="A75" s="6" t="s">
        <v>690</v>
      </c>
    </row>
    <row r="76" customFormat="false" ht="17.15" hidden="false" customHeight="false" outlineLevel="0" collapsed="false">
      <c r="A76" s="15" t="s">
        <v>691</v>
      </c>
      <c r="B76" s="5" t="s">
        <v>692</v>
      </c>
      <c r="C76" s="5" t="s">
        <v>693</v>
      </c>
      <c r="D76" s="5" t="s">
        <v>694</v>
      </c>
      <c r="E76" s="5" t="s">
        <v>695</v>
      </c>
    </row>
    <row r="77" customFormat="false" ht="15" hidden="false" customHeight="false" outlineLevel="0" collapsed="false">
      <c r="A77" s="20" t="n">
        <v>1</v>
      </c>
      <c r="B77" s="33" t="n">
        <f aca="false">px*A77/PL!F17</f>
        <v>19.220311049116</v>
      </c>
      <c r="C77" s="33" t="n">
        <f aca="false">px*A77/PL!F33</f>
        <v>26.0550065166416</v>
      </c>
      <c r="D77" s="33" t="n">
        <f aca="false">px*A77/PL!F49</f>
        <v>37.976050452454</v>
      </c>
      <c r="E77" s="33" t="n">
        <f aca="false">pe_mid</f>
        <v>11.41</v>
      </c>
    </row>
    <row r="78" customFormat="false" ht="15" hidden="false" customHeight="false" outlineLevel="0" collapsed="false">
      <c r="A78" s="20" t="n">
        <v>1.1</v>
      </c>
      <c r="B78" s="33" t="n">
        <f aca="false">px*A78/PL!F17</f>
        <v>21.1423421540276</v>
      </c>
      <c r="C78" s="33" t="n">
        <f aca="false">px*A78/PL!F33</f>
        <v>28.6605071683058</v>
      </c>
      <c r="D78" s="33" t="n">
        <f aca="false">px*A78/PL!F49</f>
        <v>41.7736554976994</v>
      </c>
      <c r="E78" s="33" t="n">
        <f aca="false">pe_mid</f>
        <v>11.41</v>
      </c>
    </row>
    <row r="79" customFormat="false" ht="15" hidden="false" customHeight="false" outlineLevel="0" collapsed="false">
      <c r="A79" s="20" t="n">
        <v>1.21</v>
      </c>
      <c r="B79" s="33" t="n">
        <f aca="false">px*A79/PL!F17</f>
        <v>23.2565763694304</v>
      </c>
      <c r="C79" s="33" t="n">
        <f aca="false">px*A79/PL!F33</f>
        <v>31.5265578851364</v>
      </c>
      <c r="D79" s="33" t="n">
        <f aca="false">px*A79/PL!F49</f>
        <v>45.9510210474693</v>
      </c>
      <c r="E79" s="33" t="n">
        <f aca="false">pe_mid</f>
        <v>11.41</v>
      </c>
    </row>
    <row r="80" customFormat="false" ht="15" hidden="false" customHeight="false" outlineLevel="0" collapsed="false">
      <c r="A80" s="20" t="n">
        <v>1.5</v>
      </c>
      <c r="B80" s="33" t="n">
        <f aca="false">px*A80/PL!F17</f>
        <v>28.830466573674</v>
      </c>
      <c r="C80" s="33" t="n">
        <f aca="false">px*A80/PL!F33</f>
        <v>39.0825097749624</v>
      </c>
      <c r="D80" s="33" t="n">
        <f aca="false">px*A80/PL!F49</f>
        <v>56.964075678681</v>
      </c>
      <c r="E80" s="33" t="n">
        <f aca="false">pe_mid</f>
        <v>11.41</v>
      </c>
    </row>
    <row r="81" customFormat="false" ht="15" hidden="false" customHeight="false" outlineLevel="0" collapsed="false">
      <c r="A81" s="20" t="n">
        <v>2</v>
      </c>
      <c r="B81" s="33" t="n">
        <f aca="false">px*A81/PL!F17</f>
        <v>38.440622098232</v>
      </c>
      <c r="C81" s="33" t="n">
        <f aca="false">px*A81/PL!F33</f>
        <v>52.1100130332832</v>
      </c>
      <c r="D81" s="33" t="n">
        <f aca="false">px*A81/PL!F49</f>
        <v>75.952100904908</v>
      </c>
      <c r="E81" s="33" t="n">
        <f aca="false">pe_mid</f>
        <v>11.41</v>
      </c>
    </row>
    <row r="82" customFormat="false" ht="17.15" hidden="false" customHeight="false" outlineLevel="0" collapsed="false">
      <c r="A82" s="4" t="s">
        <v>696</v>
      </c>
    </row>
    <row r="84" customFormat="false" ht="17.15" hidden="false" customHeight="false" outlineLevel="0" collapsed="false">
      <c r="A84" s="6" t="s">
        <v>697</v>
      </c>
    </row>
    <row r="85" customFormat="false" ht="17.15" hidden="false" customHeight="false" outlineLevel="0" collapsed="false">
      <c r="A85" s="5" t="s">
        <v>698</v>
      </c>
      <c r="B85" s="5" t="s">
        <v>699</v>
      </c>
      <c r="C85" s="15" t="s">
        <v>700</v>
      </c>
      <c r="D85" s="5" t="s">
        <v>701</v>
      </c>
    </row>
    <row r="86" customFormat="false" ht="15" hidden="false" customHeight="false" outlineLevel="0" collapsed="false">
      <c r="A86" s="0" t="s">
        <v>702</v>
      </c>
      <c r="B86" s="19" t="n">
        <f aca="false">C86</f>
        <v>10.45</v>
      </c>
      <c r="C86" s="19" t="n">
        <f aca="false">B105</f>
        <v>10.45</v>
      </c>
    </row>
    <row r="87" customFormat="false" ht="15" hidden="false" customHeight="false" outlineLevel="0" collapsed="false">
      <c r="A87" s="0" t="s">
        <v>703</v>
      </c>
      <c r="B87" s="19" t="n">
        <f aca="false">C87</f>
        <v>12.36</v>
      </c>
      <c r="C87" s="19" t="n">
        <f aca="false">B106</f>
        <v>12.36</v>
      </c>
    </row>
    <row r="88" customFormat="false" ht="15" hidden="false" customHeight="false" outlineLevel="0" collapsed="false">
      <c r="A88" s="0" t="s">
        <v>704</v>
      </c>
      <c r="B88" s="19" t="n">
        <f aca="false">C88</f>
        <v>7.02</v>
      </c>
      <c r="C88" s="19" t="n">
        <f aca="false">B107</f>
        <v>7.02</v>
      </c>
    </row>
    <row r="89" customFormat="false" ht="15" hidden="false" customHeight="false" outlineLevel="0" collapsed="false">
      <c r="A89" s="0" t="s">
        <v>705</v>
      </c>
      <c r="B89" s="19" t="n">
        <f aca="false">C89</f>
        <v>16.2</v>
      </c>
      <c r="C89" s="19" t="n">
        <f aca="false">B108</f>
        <v>16.2</v>
      </c>
    </row>
    <row r="90" customFormat="false" ht="15" hidden="false" customHeight="false" outlineLevel="0" collapsed="false">
      <c r="A90" s="0" t="s">
        <v>706</v>
      </c>
      <c r="B90" s="19" t="n">
        <f aca="false">C90</f>
        <v>10.35</v>
      </c>
      <c r="C90" s="19" t="n">
        <f aca="false">B109</f>
        <v>10.35</v>
      </c>
    </row>
    <row r="91" customFormat="false" ht="15" hidden="false" customHeight="false" outlineLevel="0" collapsed="false">
      <c r="A91" s="0" t="s">
        <v>707</v>
      </c>
      <c r="B91" s="19" t="n">
        <f aca="false">C91</f>
        <v>6.11</v>
      </c>
      <c r="C91" s="19" t="n">
        <f aca="false">B110</f>
        <v>6.11</v>
      </c>
    </row>
    <row r="92" customFormat="false" ht="15" hidden="false" customHeight="false" outlineLevel="0" collapsed="false">
      <c r="A92" s="0" t="s">
        <v>708</v>
      </c>
      <c r="B92" s="19" t="n">
        <f aca="false">C92</f>
        <v>5.78</v>
      </c>
      <c r="C92" s="19" t="n">
        <f aca="false">B111</f>
        <v>5.78</v>
      </c>
    </row>
    <row r="93" customFormat="false" ht="15" hidden="false" customHeight="false" outlineLevel="0" collapsed="false">
      <c r="A93" s="0" t="s">
        <v>709</v>
      </c>
      <c r="B93" s="19" t="n">
        <f aca="false">C93</f>
        <v>18.78</v>
      </c>
      <c r="C93" s="19" t="n">
        <f aca="false">B112</f>
        <v>18.78</v>
      </c>
    </row>
    <row r="94" customFormat="false" ht="15" hidden="false" customHeight="false" outlineLevel="0" collapsed="false">
      <c r="A94" s="0" t="s">
        <v>710</v>
      </c>
      <c r="B94" s="19" t="n">
        <f aca="false">C94</f>
        <v>21.59</v>
      </c>
      <c r="C94" s="19" t="n">
        <f aca="false">B113</f>
        <v>21.59</v>
      </c>
    </row>
    <row r="95" customFormat="false" ht="15" hidden="false" customHeight="false" outlineLevel="0" collapsed="false">
      <c r="A95" s="0" t="s">
        <v>711</v>
      </c>
      <c r="B95" s="19" t="n">
        <f aca="false">C95</f>
        <v>22.18</v>
      </c>
      <c r="C95" s="19" t="n">
        <f aca="false">B114</f>
        <v>22.18</v>
      </c>
    </row>
    <row r="96" customFormat="false" ht="15" hidden="false" customHeight="false" outlineLevel="0" collapsed="false">
      <c r="A96" s="4" t="s">
        <v>712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713</v>
      </c>
    </row>
    <row r="101" customFormat="false" ht="17.15" hidden="false" customHeight="false" outlineLevel="0" collapsed="false">
      <c r="A101" s="4" t="s">
        <v>714</v>
      </c>
    </row>
    <row r="103" customFormat="false" ht="17.15" hidden="false" customHeight="false" outlineLevel="0" collapsed="false">
      <c r="A103" s="6" t="s">
        <v>715</v>
      </c>
    </row>
    <row r="104" customFormat="false" ht="17.15" hidden="false" customHeight="false" outlineLevel="0" collapsed="false">
      <c r="A104" s="5" t="s">
        <v>698</v>
      </c>
      <c r="B104" s="15" t="s">
        <v>716</v>
      </c>
      <c r="C104" s="5" t="s">
        <v>717</v>
      </c>
    </row>
    <row r="105" customFormat="false" ht="17.15" hidden="false" customHeight="false" outlineLevel="0" collapsed="false">
      <c r="A105" s="0" t="s">
        <v>702</v>
      </c>
      <c r="B105" s="20" t="n">
        <v>10.45</v>
      </c>
      <c r="C105" s="8" t="s">
        <v>718</v>
      </c>
    </row>
    <row r="106" customFormat="false" ht="15" hidden="false" customHeight="false" outlineLevel="0" collapsed="false">
      <c r="A106" s="0" t="s">
        <v>703</v>
      </c>
      <c r="B106" s="20" t="n">
        <v>12.36</v>
      </c>
    </row>
    <row r="107" customFormat="false" ht="15" hidden="false" customHeight="false" outlineLevel="0" collapsed="false">
      <c r="A107" s="0" t="s">
        <v>704</v>
      </c>
      <c r="B107" s="20" t="n">
        <v>7.02</v>
      </c>
    </row>
    <row r="108" customFormat="false" ht="15" hidden="false" customHeight="false" outlineLevel="0" collapsed="false">
      <c r="A108" s="0" t="s">
        <v>705</v>
      </c>
      <c r="B108" s="20" t="n">
        <v>16.2</v>
      </c>
    </row>
    <row r="109" customFormat="false" ht="15" hidden="false" customHeight="false" outlineLevel="0" collapsed="false">
      <c r="A109" s="0" t="s">
        <v>706</v>
      </c>
      <c r="B109" s="20" t="n">
        <v>10.35</v>
      </c>
    </row>
    <row r="110" customFormat="false" ht="15" hidden="false" customHeight="false" outlineLevel="0" collapsed="false">
      <c r="A110" s="0" t="s">
        <v>707</v>
      </c>
      <c r="B110" s="20" t="n">
        <v>6.11</v>
      </c>
    </row>
    <row r="111" customFormat="false" ht="15" hidden="false" customHeight="false" outlineLevel="0" collapsed="false">
      <c r="A111" s="0" t="s">
        <v>708</v>
      </c>
      <c r="B111" s="20" t="n">
        <v>5.78</v>
      </c>
    </row>
    <row r="112" customFormat="false" ht="15" hidden="false" customHeight="false" outlineLevel="0" collapsed="false">
      <c r="A112" s="0" t="s">
        <v>709</v>
      </c>
      <c r="B112" s="20" t="n">
        <v>18.78</v>
      </c>
    </row>
    <row r="113" customFormat="false" ht="15" hidden="false" customHeight="false" outlineLevel="0" collapsed="false">
      <c r="A113" s="0" t="s">
        <v>710</v>
      </c>
      <c r="B113" s="20" t="n">
        <v>21.59</v>
      </c>
    </row>
    <row r="114" customFormat="false" ht="15" hidden="false" customHeight="false" outlineLevel="0" collapsed="false">
      <c r="A114" s="0" t="s">
        <v>711</v>
      </c>
      <c r="B114" s="20" t="n">
        <v>22.18</v>
      </c>
    </row>
    <row r="115" customFormat="false" ht="17.15" hidden="false" customHeight="false" outlineLevel="0" collapsed="false">
      <c r="A115" s="0" t="s">
        <v>719</v>
      </c>
      <c r="B115" s="19" t="n">
        <f aca="false">PERCENTILE(B105:B114,0.25)</f>
        <v>7.8525</v>
      </c>
    </row>
    <row r="116" customFormat="false" ht="15" hidden="false" customHeight="false" outlineLevel="0" collapsed="false">
      <c r="A116" s="4" t="s">
        <v>720</v>
      </c>
      <c r="B116" s="19" t="n">
        <f aca="false">MEDIAN(B105:B114)</f>
        <v>11.405</v>
      </c>
    </row>
    <row r="117" customFormat="false" ht="17.15" hidden="false" customHeight="false" outlineLevel="0" collapsed="false">
      <c r="A117" s="0" t="s">
        <v>721</v>
      </c>
      <c r="B117" s="19" t="n">
        <f aca="false">PERCENTILE(B105:B114,0.75)</f>
        <v>18.135</v>
      </c>
    </row>
    <row r="118" customFormat="false" ht="15" hidden="false" customHeight="false" outlineLevel="0" collapsed="false">
      <c r="A118" s="4" t="s">
        <v>722</v>
      </c>
      <c r="B118" s="19" t="n">
        <f aca="false">MIN(B105:B114)</f>
        <v>5.78</v>
      </c>
    </row>
    <row r="119" customFormat="false" ht="15" hidden="false" customHeight="false" outlineLevel="0" collapsed="false">
      <c r="A119" s="4" t="s">
        <v>723</v>
      </c>
      <c r="B119" s="19" t="n">
        <f aca="false">MAX(B105:B114)</f>
        <v>22.18</v>
      </c>
    </row>
    <row r="120" customFormat="false" ht="17.15" hidden="false" customHeight="false" outlineLevel="0" collapsed="false">
      <c r="A120" s="1" t="s">
        <v>724</v>
      </c>
      <c r="B120" s="19" t="n">
        <f aca="false">ROUND(AVERAGE(B115),2)</f>
        <v>7.85</v>
      </c>
    </row>
    <row r="121" customFormat="false" ht="17.15" hidden="false" customHeight="false" outlineLevel="0" collapsed="false">
      <c r="A121" s="1" t="s">
        <v>725</v>
      </c>
      <c r="B121" s="19" t="n">
        <f aca="false">ROUND(AVERAGE(B116),2)</f>
        <v>11.41</v>
      </c>
    </row>
    <row r="122" customFormat="false" ht="17.15" hidden="false" customHeight="false" outlineLevel="0" collapsed="false">
      <c r="A122" s="1" t="s">
        <v>726</v>
      </c>
      <c r="B122" s="19" t="n">
        <f aca="false">ROUND(AVERAGE(B117),2)</f>
        <v>18.14</v>
      </c>
    </row>
    <row r="123" customFormat="false" ht="17.15" hidden="false" customHeight="false" outlineLevel="0" collapsed="false">
      <c r="A123" s="1" t="s">
        <v>727</v>
      </c>
      <c r="B123" s="19" t="n">
        <f aca="false">ROUND(MIN(B118),2)</f>
        <v>5.78</v>
      </c>
    </row>
    <row r="124" customFormat="false" ht="17.15" hidden="false" customHeight="false" outlineLevel="0" collapsed="false">
      <c r="A124" s="1" t="s">
        <v>728</v>
      </c>
      <c r="B124" s="19" t="n">
        <f aca="false">ROUND(MAX(B119),2)</f>
        <v>22.18</v>
      </c>
    </row>
    <row r="126" customFormat="false" ht="17.15" hidden="false" customHeight="false" outlineLevel="0" collapsed="false">
      <c r="A126" s="6" t="s">
        <v>729</v>
      </c>
    </row>
    <row r="127" customFormat="false" ht="17.15" hidden="false" customHeight="false" outlineLevel="0" collapsed="false">
      <c r="A127" s="5" t="s">
        <v>730</v>
      </c>
      <c r="B127" s="5" t="s">
        <v>731</v>
      </c>
      <c r="C127" s="5" t="s">
        <v>732</v>
      </c>
      <c r="D127" s="5" t="s">
        <v>24</v>
      </c>
      <c r="E127" s="5" t="s">
        <v>733</v>
      </c>
      <c r="F127" s="5" t="s">
        <v>687</v>
      </c>
      <c r="G127" s="5" t="s">
        <v>734</v>
      </c>
      <c r="H127" s="5" t="s">
        <v>735</v>
      </c>
    </row>
    <row r="128" customFormat="false" ht="17.15" hidden="false" customHeight="false" outlineLevel="0" collapsed="false">
      <c r="A128" s="4" t="s">
        <v>736</v>
      </c>
      <c r="B128" s="0" t="s">
        <v>737</v>
      </c>
      <c r="C128" s="19" t="n">
        <f aca="false">B120</f>
        <v>7.85</v>
      </c>
      <c r="D128" s="8" t="s">
        <v>738</v>
      </c>
      <c r="E128" s="19" t="n">
        <f aca="false">C72</f>
        <v>29.0769978466096</v>
      </c>
      <c r="F128" s="18" t="n">
        <f aca="false">C128*E128</f>
        <v>228.254433095885</v>
      </c>
      <c r="G128" s="21" t="n">
        <f aca="false">F128/px-1</f>
        <v>-0.658301746862448</v>
      </c>
      <c r="H128" s="19" t="n">
        <f aca="false">px/E128</f>
        <v>22.9734858985069</v>
      </c>
    </row>
    <row r="129" customFormat="false" ht="17.15" hidden="false" customHeight="false" outlineLevel="0" collapsed="false">
      <c r="A129" s="4" t="s">
        <v>739</v>
      </c>
      <c r="B129" s="4" t="s">
        <v>740</v>
      </c>
      <c r="C129" s="19" t="n">
        <f aca="false">B121</f>
        <v>11.41</v>
      </c>
      <c r="D129" s="8" t="s">
        <v>738</v>
      </c>
      <c r="E129" s="19" t="n">
        <f aca="false">C72</f>
        <v>29.0769978466096</v>
      </c>
      <c r="F129" s="18" t="n">
        <f aca="false">C129*E129</f>
        <v>331.768545429815</v>
      </c>
      <c r="G129" s="21" t="n">
        <f aca="false">F129/px-1</f>
        <v>-0.50334050085357</v>
      </c>
      <c r="H129" s="19" t="n">
        <f aca="false">px/E129</f>
        <v>22.9734858985069</v>
      </c>
    </row>
    <row r="130" customFormat="false" ht="17.15" hidden="false" customHeight="false" outlineLevel="0" collapsed="false">
      <c r="A130" s="4" t="s">
        <v>741</v>
      </c>
      <c r="B130" s="0" t="s">
        <v>742</v>
      </c>
      <c r="C130" s="19" t="n">
        <f aca="false">B122</f>
        <v>18.14</v>
      </c>
      <c r="D130" s="8" t="s">
        <v>738</v>
      </c>
      <c r="E130" s="19" t="n">
        <f aca="false">C72</f>
        <v>29.0769978466096</v>
      </c>
      <c r="F130" s="18" t="n">
        <f aca="false">C130*E130</f>
        <v>527.456740937497</v>
      </c>
      <c r="G130" s="21" t="n">
        <f aca="false">F130/px-1</f>
        <v>-0.210394100392968</v>
      </c>
      <c r="H130" s="19" t="n">
        <f aca="false">px/E130</f>
        <v>22.9734858985069</v>
      </c>
    </row>
    <row r="135" customFormat="false" ht="17.15" hidden="false" customHeight="false" outlineLevel="0" collapsed="false">
      <c r="A135" s="6" t="s">
        <v>743</v>
      </c>
    </row>
    <row r="136" customFormat="false" ht="17.15" hidden="false" customHeight="false" outlineLevel="0" collapsed="false">
      <c r="A136" s="4" t="s">
        <v>744</v>
      </c>
    </row>
    <row r="137" customFormat="false" ht="17.15" hidden="false" customHeight="false" outlineLevel="0" collapsed="false">
      <c r="A137" s="5" t="s">
        <v>745</v>
      </c>
      <c r="B137" s="5" t="s">
        <v>614</v>
      </c>
      <c r="C137" s="5" t="s">
        <v>746</v>
      </c>
      <c r="D137" s="15" t="s">
        <v>747</v>
      </c>
      <c r="E137" s="15" t="s">
        <v>748</v>
      </c>
      <c r="F137" s="15" t="s">
        <v>749</v>
      </c>
      <c r="G137" s="15" t="s">
        <v>750</v>
      </c>
      <c r="H137" s="15" t="s">
        <v>751</v>
      </c>
      <c r="I137" s="15" t="s">
        <v>752</v>
      </c>
      <c r="J137" s="15" t="s">
        <v>753</v>
      </c>
      <c r="K137" s="15" t="s">
        <v>754</v>
      </c>
      <c r="L137" s="15" t="s">
        <v>755</v>
      </c>
      <c r="M137" s="15" t="s">
        <v>756</v>
      </c>
      <c r="N137" s="5" t="s">
        <v>757</v>
      </c>
      <c r="O137" s="15" t="s">
        <v>758</v>
      </c>
      <c r="P137" s="5" t="s">
        <v>759</v>
      </c>
      <c r="Q137" s="5" t="s">
        <v>617</v>
      </c>
    </row>
    <row r="138" customFormat="false" ht="17.15" hidden="false" customHeight="false" outlineLevel="0" collapsed="false">
      <c r="A138" s="4" t="s">
        <v>760</v>
      </c>
      <c r="B138" s="0" t="s">
        <v>761</v>
      </c>
      <c r="C138" s="4" t="s">
        <v>762</v>
      </c>
      <c r="E138" s="20" t="n">
        <v>12.583</v>
      </c>
      <c r="F138" s="20" t="n">
        <v>13.534</v>
      </c>
      <c r="G138" s="20" t="n">
        <v>12.302</v>
      </c>
      <c r="H138" s="20" t="n">
        <v>11.497</v>
      </c>
      <c r="I138" s="20" t="n">
        <v>7.9015</v>
      </c>
      <c r="J138" s="20" t="n">
        <v>10.5965</v>
      </c>
      <c r="K138" s="20" t="n">
        <v>14.0875</v>
      </c>
      <c r="L138" s="20" t="n">
        <v>14.459</v>
      </c>
      <c r="M138" s="20" t="n">
        <v>24.055</v>
      </c>
      <c r="N138" s="8" t="n">
        <f aca="false">COUNT(D138:M138)</f>
        <v>9</v>
      </c>
      <c r="O138" s="19" t="n">
        <f aca="false">IF(N138&gt;0,MEDIAN(D138:M138),"")</f>
        <v>12.583</v>
      </c>
      <c r="P138" s="19" t="n">
        <f aca="false">IF(N138&gt;=7,O138,"")</f>
        <v>12.583</v>
      </c>
      <c r="Q138" s="8" t="s">
        <v>763</v>
      </c>
    </row>
    <row r="139" customFormat="false" ht="17.15" hidden="false" customHeight="false" outlineLevel="0" collapsed="false">
      <c r="A139" s="0" t="s">
        <v>618</v>
      </c>
      <c r="B139" s="0" t="s">
        <v>619</v>
      </c>
      <c r="C139" s="4" t="s">
        <v>764</v>
      </c>
      <c r="D139" s="20" t="n">
        <v>14.48</v>
      </c>
      <c r="E139" s="20" t="n">
        <v>12.3345</v>
      </c>
      <c r="F139" s="20" t="n">
        <v>27.4725</v>
      </c>
      <c r="G139" s="20" t="n">
        <v>14.56</v>
      </c>
      <c r="H139" s="20" t="n">
        <v>11.241</v>
      </c>
      <c r="I139" s="20" t="n">
        <v>7.1025</v>
      </c>
      <c r="J139" s="20" t="n">
        <v>11.6025</v>
      </c>
      <c r="K139" s="20" t="n">
        <v>16.276</v>
      </c>
      <c r="L139" s="20" t="n">
        <v>14.434</v>
      </c>
      <c r="M139" s="20" t="n">
        <v>24.0965</v>
      </c>
      <c r="N139" s="8" t="n">
        <f aca="false">COUNT(D139:M139)</f>
        <v>10</v>
      </c>
      <c r="O139" s="19" t="n">
        <f aca="false">IF(N139&gt;0,MEDIAN(D139:M139),"")</f>
        <v>14.457</v>
      </c>
      <c r="P139" s="19" t="n">
        <f aca="false">IF(N139&gt;=7,O139,"")</f>
        <v>14.457</v>
      </c>
      <c r="Q139" s="8" t="s">
        <v>765</v>
      </c>
    </row>
    <row r="140" customFormat="false" ht="17.15" hidden="false" customHeight="false" outlineLevel="0" collapsed="false">
      <c r="A140" s="4" t="s">
        <v>622</v>
      </c>
      <c r="B140" s="0" t="s">
        <v>623</v>
      </c>
      <c r="C140" s="4" t="s">
        <v>764</v>
      </c>
      <c r="D140" s="20" t="n">
        <v>11.591</v>
      </c>
      <c r="E140" s="20" t="n">
        <v>9.8755</v>
      </c>
      <c r="F140" s="20" t="n">
        <v>10.0655</v>
      </c>
      <c r="G140" s="20" t="n">
        <v>9.932</v>
      </c>
      <c r="H140" s="20" t="n">
        <v>9.453</v>
      </c>
      <c r="I140" s="20" t="n">
        <v>7.8445</v>
      </c>
      <c r="J140" s="20" t="n">
        <v>10.675</v>
      </c>
      <c r="K140" s="20" t="n">
        <v>14.5685</v>
      </c>
      <c r="L140" s="20" t="n">
        <v>12.8625</v>
      </c>
      <c r="M140" s="20" t="n">
        <v>16.9445</v>
      </c>
      <c r="N140" s="8" t="n">
        <f aca="false">COUNT(D140:M140)</f>
        <v>10</v>
      </c>
      <c r="O140" s="19" t="n">
        <f aca="false">IF(N140&gt;0,MEDIAN(D140:M140),"")</f>
        <v>10.37025</v>
      </c>
      <c r="P140" s="19" t="n">
        <f aca="false">IF(N140&gt;=7,O140,"")</f>
        <v>10.37025</v>
      </c>
      <c r="Q140" s="8" t="s">
        <v>766</v>
      </c>
    </row>
    <row r="141" customFormat="false" ht="17.15" hidden="false" customHeight="false" outlineLevel="0" collapsed="false">
      <c r="A141" s="4" t="s">
        <v>625</v>
      </c>
      <c r="B141" s="0" t="s">
        <v>626</v>
      </c>
      <c r="C141" s="4" t="s">
        <v>764</v>
      </c>
      <c r="D141" s="20" t="n">
        <v>10.0995</v>
      </c>
      <c r="E141" s="20" t="n">
        <v>10.402</v>
      </c>
      <c r="F141" s="20" t="n">
        <v>11.493</v>
      </c>
      <c r="G141" s="20" t="n">
        <v>11.011</v>
      </c>
      <c r="H141" s="20" t="n">
        <v>11.7675</v>
      </c>
      <c r="I141" s="20" t="n">
        <v>7.96</v>
      </c>
      <c r="J141" s="20" t="n">
        <v>10.6255</v>
      </c>
      <c r="K141" s="20" t="n">
        <v>15.3285</v>
      </c>
      <c r="L141" s="20" t="n">
        <v>15.404</v>
      </c>
      <c r="M141" s="20" t="n">
        <v>25.259</v>
      </c>
      <c r="N141" s="8" t="n">
        <f aca="false">COUNT(D141:M141)</f>
        <v>10</v>
      </c>
      <c r="O141" s="19" t="n">
        <f aca="false">IF(N141&gt;0,MEDIAN(D141:M141),"")</f>
        <v>11.252</v>
      </c>
      <c r="P141" s="19" t="n">
        <f aca="false">IF(N141&gt;=7,O141,"")</f>
        <v>11.252</v>
      </c>
      <c r="Q141" s="8" t="s">
        <v>767</v>
      </c>
    </row>
    <row r="142" customFormat="false" ht="17.15" hidden="false" customHeight="false" outlineLevel="0" collapsed="false">
      <c r="A142" s="4" t="s">
        <v>628</v>
      </c>
      <c r="B142" s="0" t="s">
        <v>629</v>
      </c>
      <c r="C142" s="4" t="s">
        <v>764</v>
      </c>
      <c r="D142" s="20" t="n">
        <v>9.897</v>
      </c>
      <c r="E142" s="20" t="n">
        <v>14.716</v>
      </c>
      <c r="F142" s="20" t="n">
        <v>8.426</v>
      </c>
      <c r="G142" s="20" t="n">
        <v>13.521</v>
      </c>
      <c r="H142" s="20" t="n">
        <v>9.508</v>
      </c>
      <c r="I142" s="20" t="n">
        <v>7.8705</v>
      </c>
      <c r="J142" s="20" t="n">
        <v>7.729</v>
      </c>
      <c r="K142" s="20" t="n">
        <v>14.6845</v>
      </c>
      <c r="L142" s="20" t="n">
        <v>13.1815</v>
      </c>
      <c r="M142" s="20" t="n">
        <v>18.7495</v>
      </c>
      <c r="N142" s="8" t="n">
        <f aca="false">COUNT(D142:M142)</f>
        <v>10</v>
      </c>
      <c r="O142" s="19" t="n">
        <f aca="false">IF(N142&gt;0,MEDIAN(D142:M142),"")</f>
        <v>11.53925</v>
      </c>
      <c r="P142" s="19" t="n">
        <f aca="false">IF(N142&gt;=7,O142,"")</f>
        <v>11.53925</v>
      </c>
      <c r="Q142" s="8" t="s">
        <v>768</v>
      </c>
    </row>
    <row r="143" customFormat="false" ht="17.15" hidden="false" customHeight="false" outlineLevel="0" collapsed="false">
      <c r="A143" s="4" t="s">
        <v>630</v>
      </c>
      <c r="B143" s="0" t="s">
        <v>631</v>
      </c>
      <c r="C143" s="4" t="s">
        <v>764</v>
      </c>
      <c r="D143" s="20" t="n">
        <v>9.062</v>
      </c>
      <c r="E143" s="20" t="n">
        <v>13.2015</v>
      </c>
      <c r="F143" s="20" t="n">
        <v>10.0455</v>
      </c>
      <c r="G143" s="20" t="n">
        <v>9.514</v>
      </c>
      <c r="H143" s="20" t="n">
        <v>8.8135</v>
      </c>
      <c r="I143" s="20" t="n">
        <v>6.764</v>
      </c>
      <c r="J143" s="20" t="n">
        <v>10.6655</v>
      </c>
      <c r="K143" s="20" t="n">
        <v>11.473</v>
      </c>
      <c r="L143" s="20" t="n">
        <v>15.248</v>
      </c>
      <c r="M143" s="20" t="n">
        <v>18.297</v>
      </c>
      <c r="N143" s="8" t="n">
        <f aca="false">COUNT(D143:M143)</f>
        <v>10</v>
      </c>
      <c r="O143" s="19" t="n">
        <f aca="false">IF(N143&gt;0,MEDIAN(D143:M143),"")</f>
        <v>10.3555</v>
      </c>
      <c r="P143" s="19" t="n">
        <f aca="false">IF(N143&gt;=7,O143,"")</f>
        <v>10.3555</v>
      </c>
      <c r="Q143" s="8" t="s">
        <v>769</v>
      </c>
    </row>
    <row r="145" customFormat="false" ht="17.15" hidden="false" customHeight="false" outlineLevel="0" collapsed="false">
      <c r="A145" s="4" t="s">
        <v>770</v>
      </c>
      <c r="B145" s="19" t="n">
        <f aca="false">P138</f>
        <v>12.583</v>
      </c>
      <c r="E145" s="4" t="s">
        <v>771</v>
      </c>
    </row>
    <row r="146" customFormat="false" ht="15" hidden="false" customHeight="false" outlineLevel="0" collapsed="false">
      <c r="A146" s="4" t="s">
        <v>772</v>
      </c>
      <c r="B146" s="38" t="n">
        <f aca="false">COUNT(P139:P143)</f>
        <v>5</v>
      </c>
    </row>
    <row r="147" customFormat="false" ht="17.15" hidden="false" customHeight="false" outlineLevel="0" collapsed="false">
      <c r="A147" s="4" t="s">
        <v>773</v>
      </c>
      <c r="B147" s="19" t="n">
        <f aca="false">IF(B146&gt;0,MEDIAN(P139:P143),"")</f>
        <v>11.252</v>
      </c>
    </row>
    <row r="148" customFormat="false" ht="17.15" hidden="false" customHeight="false" outlineLevel="0" collapsed="false">
      <c r="A148" s="4" t="s">
        <v>774</v>
      </c>
      <c r="B148" s="19" t="n">
        <f aca="false">IF(AND(ISNUMBER(B145),B146&gt;=2),B145/B147,"")</f>
        <v>1.11829008176324</v>
      </c>
      <c r="E148" s="4" t="s">
        <v>775</v>
      </c>
    </row>
    <row r="149" customFormat="false" ht="17.15" hidden="false" customHeight="false" outlineLevel="0" collapsed="false">
      <c r="A149" s="4" t="s">
        <v>776</v>
      </c>
      <c r="B149" s="20" t="n">
        <v>0.5</v>
      </c>
      <c r="E149" s="8" t="s">
        <v>777</v>
      </c>
    </row>
    <row r="150" customFormat="false" ht="17.15" hidden="false" customHeight="false" outlineLevel="0" collapsed="false">
      <c r="A150" s="4" t="s">
        <v>778</v>
      </c>
      <c r="B150" s="20" t="n">
        <v>2</v>
      </c>
      <c r="E150" s="8" t="s">
        <v>779</v>
      </c>
    </row>
    <row r="151" customFormat="false" ht="17.15" hidden="false" customHeight="false" outlineLevel="0" collapsed="false">
      <c r="A151" s="1" t="s">
        <v>780</v>
      </c>
      <c r="B151" s="32" t="n">
        <f aca="false">IF(ISNUMBER(B148),MIN(MAX(B148,B149),B150),1)</f>
        <v>1.11829008176324</v>
      </c>
      <c r="E151" s="4" t="s">
        <v>781</v>
      </c>
    </row>
    <row r="152" customFormat="false" ht="17.15" hidden="false" customHeight="false" outlineLevel="0" collapsed="false">
      <c r="A152" s="6" t="s">
        <v>782</v>
      </c>
      <c r="B152" s="32" t="n">
        <f aca="false">Val!$B$35*B151</f>
        <v>671.150096659206</v>
      </c>
      <c r="E152" s="4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784</v>
      </c>
    </row>
    <row r="3" customFormat="false" ht="17.15" hidden="false" customHeight="false" outlineLevel="0" collapsed="false">
      <c r="A3" s="5" t="s">
        <v>21</v>
      </c>
      <c r="B3" s="5" t="s">
        <v>785</v>
      </c>
      <c r="C3" s="5" t="s">
        <v>786</v>
      </c>
      <c r="D3" s="5" t="s">
        <v>787</v>
      </c>
      <c r="E3" s="5" t="s">
        <v>788</v>
      </c>
      <c r="F3" s="5" t="s">
        <v>789</v>
      </c>
      <c r="G3" s="5" t="s">
        <v>790</v>
      </c>
      <c r="H3" s="5" t="s">
        <v>791</v>
      </c>
      <c r="I3" s="5" t="s">
        <v>792</v>
      </c>
      <c r="J3" s="5" t="s">
        <v>382</v>
      </c>
    </row>
    <row r="4" customFormat="false" ht="17.15" hidden="false" customHeight="false" outlineLevel="0" collapsed="false">
      <c r="A4" s="6" t="s">
        <v>793</v>
      </c>
    </row>
    <row r="5" customFormat="false" ht="17.15" hidden="false" customHeight="false" outlineLevel="0" collapsed="false">
      <c r="A5" s="0" t="s">
        <v>794</v>
      </c>
      <c r="B5" s="21" t="n">
        <f aca="false">(g4_rev_lo+g4_rev_hi)/2</f>
        <v>0.07</v>
      </c>
      <c r="C5" s="21" t="n">
        <f aca="false">Q!F4/Q!E4-1</f>
        <v>0.074210668125444</v>
      </c>
      <c r="D5" s="21" t="n">
        <f aca="false">C5-B5</f>
        <v>0.00421066812544396</v>
      </c>
      <c r="E5" s="21" t="n">
        <f aca="false">Q!F4/Q!E4-1</f>
        <v>0.074210668125444</v>
      </c>
      <c r="F5" s="21" t="n">
        <f aca="false">E5-B5</f>
        <v>0.00421066812544396</v>
      </c>
      <c r="G5" s="21" t="n">
        <f aca="false">Q!F4/Q!E4-1</f>
        <v>0.074210668125444</v>
      </c>
      <c r="H5" s="21" t="n">
        <f aca="false">G5-B5</f>
        <v>0.00421066812544396</v>
      </c>
      <c r="I5" s="8" t="s">
        <v>795</v>
      </c>
    </row>
    <row r="6" customFormat="false" ht="17.15" hidden="false" customHeight="false" outlineLevel="0" collapsed="false">
      <c r="A6" s="0" t="s">
        <v>796</v>
      </c>
      <c r="B6" s="21" t="n">
        <f aca="false">(g4_gm_lo+g4_gm_hi)/2</f>
        <v>0.235</v>
      </c>
      <c r="C6" s="21" t="n">
        <f aca="false">Q!F15</f>
        <v>0.235428409484896</v>
      </c>
      <c r="D6" s="21" t="n">
        <f aca="false">C6-B6</f>
        <v>0.00042840948489617</v>
      </c>
      <c r="E6" s="21" t="n">
        <f aca="false">Q!F15</f>
        <v>0.235428409484896</v>
      </c>
      <c r="F6" s="21" t="n">
        <f aca="false">E6-B6</f>
        <v>0.00042840948489617</v>
      </c>
      <c r="G6" s="21" t="n">
        <f aca="false">Q!F15</f>
        <v>0.235428409484896</v>
      </c>
      <c r="H6" s="21" t="n">
        <f aca="false">G6-B6</f>
        <v>0.00042840948489617</v>
      </c>
      <c r="I6" s="8" t="s">
        <v>797</v>
      </c>
    </row>
    <row r="7" customFormat="false" ht="17.15" hidden="false" customHeight="false" outlineLevel="0" collapsed="false">
      <c r="A7" s="0" t="s">
        <v>798</v>
      </c>
      <c r="B7" s="21" t="n">
        <f aca="false">(g4_om_lo+g4_om_hi)/2</f>
        <v>0.15</v>
      </c>
      <c r="C7" s="21" t="n">
        <f aca="false">Q!F17/Q!F4</f>
        <v>0.149676655991437</v>
      </c>
      <c r="D7" s="21" t="n">
        <f aca="false">C7-B7</f>
        <v>-0.00032334400856307</v>
      </c>
      <c r="E7" s="21" t="n">
        <f aca="false">Q!F17/Q!F4</f>
        <v>0.149676655991437</v>
      </c>
      <c r="F7" s="21" t="n">
        <f aca="false">E7-B7</f>
        <v>-0.00032334400856307</v>
      </c>
      <c r="G7" s="21" t="n">
        <f aca="false">Q!F17/Q!F4</f>
        <v>0.149676655991437</v>
      </c>
      <c r="H7" s="21" t="n">
        <f aca="false">G7-B7</f>
        <v>-0.00032334400856307</v>
      </c>
      <c r="I7" s="8" t="s">
        <v>799</v>
      </c>
      <c r="J7" s="4" t="s">
        <v>800</v>
      </c>
    </row>
    <row r="8" customFormat="false" ht="17.15" hidden="false" customHeight="false" outlineLevel="0" collapsed="false">
      <c r="A8" s="6" t="s">
        <v>801</v>
      </c>
    </row>
    <row r="9" customFormat="false" ht="17.15" hidden="false" customHeight="false" outlineLevel="0" collapsed="false">
      <c r="A9" s="0" t="s">
        <v>802</v>
      </c>
      <c r="B9" s="19" t="n">
        <v>2</v>
      </c>
      <c r="C9" s="19" t="n">
        <f aca="false">PL!E80/PL!D80</f>
        <v>2.17014647428876</v>
      </c>
      <c r="D9" s="21" t="n">
        <f aca="false">C9/B9-1</f>
        <v>0.0850732371443799</v>
      </c>
      <c r="E9" s="19" t="n">
        <f aca="false">PL!E129/PL!D129</f>
        <v>1.99082163454836</v>
      </c>
      <c r="F9" s="21" t="n">
        <f aca="false">E9/B9-1</f>
        <v>-0.00458918272581899</v>
      </c>
      <c r="G9" s="19" t="n">
        <f aca="false">PL!E178/PL!D178</f>
        <v>1.81149679480796</v>
      </c>
      <c r="H9" s="21" t="n">
        <f aca="false">G9/B9-1</f>
        <v>-0.0942516025960182</v>
      </c>
      <c r="I9" s="8" t="s">
        <v>803</v>
      </c>
      <c r="J9" s="4" t="s">
        <v>804</v>
      </c>
    </row>
    <row r="10" customFormat="false" ht="17.15" hidden="false" customHeight="false" outlineLevel="0" collapsed="false">
      <c r="A10" s="0" t="s">
        <v>805</v>
      </c>
      <c r="B10" s="19" t="n">
        <v>1</v>
      </c>
      <c r="C10" s="19" t="n">
        <f aca="false">PL!E78</f>
        <v>1.2</v>
      </c>
      <c r="D10" s="21" t="n">
        <f aca="false">C10/B10-1</f>
        <v>0.2</v>
      </c>
      <c r="E10" s="19" t="n">
        <f aca="false">PL!E127</f>
        <v>1</v>
      </c>
      <c r="F10" s="21" t="n">
        <f aca="false">E10/B10-1</f>
        <v>0</v>
      </c>
      <c r="G10" s="19" t="n">
        <f aca="false">PL!E176</f>
        <v>0.7</v>
      </c>
      <c r="H10" s="21" t="n">
        <f aca="false">G10/B10-1</f>
        <v>-0.3</v>
      </c>
      <c r="I10" s="8" t="s">
        <v>806</v>
      </c>
    </row>
    <row r="11" customFormat="false" ht="17.15" hidden="false" customHeight="false" outlineLevel="0" collapsed="false">
      <c r="A11" s="0" t="s">
        <v>807</v>
      </c>
      <c r="B11" s="19" t="n">
        <f aca="false">cpo27</f>
        <v>0.5</v>
      </c>
      <c r="C11" s="19" t="n">
        <f aca="false">PL!E79</f>
        <v>0.5</v>
      </c>
      <c r="D11" s="21" t="n">
        <f aca="false">C11/B11-1</f>
        <v>0</v>
      </c>
      <c r="E11" s="19" t="n">
        <f aca="false">PL!E128</f>
        <v>0.3</v>
      </c>
      <c r="F11" s="21" t="n">
        <f aca="false">E11/B11-1</f>
        <v>-0.4</v>
      </c>
      <c r="G11" s="19" t="n">
        <f aca="false">PL!E177</f>
        <v>0.2</v>
      </c>
      <c r="H11" s="21" t="n">
        <f aca="false">G11/B11-1</f>
        <v>-0.6</v>
      </c>
      <c r="I11" s="8" t="s">
        <v>808</v>
      </c>
      <c r="J11" s="8" t="s">
        <v>809</v>
      </c>
    </row>
    <row r="12" customFormat="false" ht="17.15" hidden="false" customHeight="false" outlineLevel="0" collapsed="false">
      <c r="A12" s="0" t="s">
        <v>810</v>
      </c>
      <c r="B12" s="21" t="n">
        <f aca="false">Q!G7/Q!B7-1</f>
        <v>0.272363291601399</v>
      </c>
      <c r="C12" s="21" t="n">
        <f aca="false">PL!E84/PL!D84-1</f>
        <v>0.15</v>
      </c>
      <c r="D12" s="21" t="n">
        <f aca="false">C12-B12</f>
        <v>-0.122363291601399</v>
      </c>
      <c r="E12" s="21" t="n">
        <f aca="false">PL!E133/PL!D133-1</f>
        <v>0.15</v>
      </c>
      <c r="F12" s="21" t="n">
        <f aca="false">E12-B12</f>
        <v>-0.122363291601399</v>
      </c>
      <c r="G12" s="21" t="n">
        <f aca="false">PL!E182/PL!D182-1</f>
        <v>0.15</v>
      </c>
      <c r="H12" s="21" t="n">
        <f aca="false">G12-B12</f>
        <v>-0.122363291601399</v>
      </c>
      <c r="I12" s="8" t="s">
        <v>811</v>
      </c>
      <c r="J12" s="4" t="s">
        <v>812</v>
      </c>
    </row>
    <row r="13" customFormat="false" ht="17.15" hidden="false" customHeight="false" outlineLevel="0" collapsed="false">
      <c r="A13" s="0" t="s">
        <v>813</v>
      </c>
      <c r="B13" s="19" t="n">
        <f aca="false">capex26</f>
        <v>11.5</v>
      </c>
      <c r="C13" s="19" t="n">
        <f aca="false">PL!E93</f>
        <v>13</v>
      </c>
      <c r="D13" s="21" t="n">
        <f aca="false">C13/B13-1</f>
        <v>0.130434782608696</v>
      </c>
      <c r="E13" s="19" t="n">
        <f aca="false">PL!E142</f>
        <v>13</v>
      </c>
      <c r="F13" s="21" t="n">
        <f aca="false">E13/B13-1</f>
        <v>0.130434782608696</v>
      </c>
      <c r="G13" s="19" t="n">
        <f aca="false">PL!E191</f>
        <v>13</v>
      </c>
      <c r="H13" s="21" t="n">
        <f aca="false">G13/B13-1</f>
        <v>0.130434782608696</v>
      </c>
      <c r="I13" s="8" t="s">
        <v>814</v>
      </c>
    </row>
    <row r="14" customFormat="false" ht="17.15" hidden="false" customHeight="false" outlineLevel="0" collapsed="false">
      <c r="A14" s="6" t="s">
        <v>815</v>
      </c>
    </row>
    <row r="15" customFormat="false" ht="17.15" hidden="false" customHeight="false" outlineLevel="0" collapsed="false">
      <c r="A15" s="0" t="s">
        <v>816</v>
      </c>
      <c r="B15" s="30" t="n">
        <f aca="false">bofa_eps26</f>
        <v>19.64</v>
      </c>
      <c r="C15" s="30" t="n">
        <f aca="false">PL!D112</f>
        <v>21.2828697294455</v>
      </c>
      <c r="D15" s="21" t="n">
        <f aca="false">C15/B15-1</f>
        <v>0.0836491715603629</v>
      </c>
      <c r="E15" s="30" t="n">
        <f aca="false">PL!D161</f>
        <v>21.2828697294455</v>
      </c>
      <c r="F15" s="21" t="n">
        <f aca="false">E15/B15-1</f>
        <v>0.0836491715603629</v>
      </c>
      <c r="G15" s="30" t="n">
        <f aca="false">PL!D210</f>
        <v>21.2828697294455</v>
      </c>
      <c r="H15" s="21" t="n">
        <f aca="false">G15/B15-1</f>
        <v>0.0836491715603629</v>
      </c>
      <c r="I15" s="8" t="s">
        <v>817</v>
      </c>
      <c r="J15" s="4" t="s">
        <v>818</v>
      </c>
    </row>
    <row r="16" customFormat="false" ht="15" hidden="false" customHeight="false" outlineLevel="0" collapsed="false">
      <c r="A16" s="0" t="s">
        <v>819</v>
      </c>
      <c r="B16" s="30" t="n">
        <f aca="false">bofa_eps27</f>
        <v>34.26</v>
      </c>
      <c r="C16" s="30" t="n">
        <f aca="false">PL!E112</f>
        <v>30.9940727902621</v>
      </c>
      <c r="D16" s="21" t="n">
        <f aca="false">C16/B16-1</f>
        <v>-0.0953277060635686</v>
      </c>
      <c r="E16" s="30" t="n">
        <f aca="false">PL!E161</f>
        <v>29.0769978466096</v>
      </c>
      <c r="F16" s="21" t="n">
        <f aca="false">E16/B16-1</f>
        <v>-0.151284359410112</v>
      </c>
      <c r="G16" s="30" t="n">
        <f aca="false">PL!E210</f>
        <v>27.159922902957</v>
      </c>
      <c r="H16" s="21" t="n">
        <f aca="false">G16/B16-1</f>
        <v>-0.207241012756655</v>
      </c>
      <c r="I16" s="8" t="s">
        <v>817</v>
      </c>
    </row>
    <row r="17" customFormat="false" ht="17.15" hidden="false" customHeight="false" outlineLevel="0" collapsed="false">
      <c r="A17" s="0" t="s">
        <v>820</v>
      </c>
      <c r="B17" s="30" t="n">
        <f aca="false">bofa_eps28</f>
        <v>49.78</v>
      </c>
      <c r="C17" s="30" t="n">
        <f aca="false">PL!F112</f>
        <v>34.754900599318</v>
      </c>
      <c r="D17" s="21" t="n">
        <f aca="false">C17/B17-1</f>
        <v>-0.301830040190479</v>
      </c>
      <c r="E17" s="30" t="n">
        <f aca="false">PL!F161</f>
        <v>25.638066894105</v>
      </c>
      <c r="F17" s="21" t="n">
        <f aca="false">E17/B17-1</f>
        <v>-0.484972541299618</v>
      </c>
      <c r="G17" s="30" t="n">
        <f aca="false">PL!F210</f>
        <v>17.590033509049</v>
      </c>
      <c r="H17" s="21" t="n">
        <f aca="false">G17/B17-1</f>
        <v>-0.64664456590902</v>
      </c>
      <c r="I17" s="8" t="s">
        <v>817</v>
      </c>
      <c r="J17" s="4" t="s">
        <v>821</v>
      </c>
    </row>
    <row r="18" customFormat="false" ht="17.15" hidden="false" customHeight="false" outlineLevel="0" collapsed="false">
      <c r="A18" s="0" t="s">
        <v>822</v>
      </c>
      <c r="B18" s="21" t="n">
        <f aca="false">bofa_gm28</f>
        <v>0.3</v>
      </c>
      <c r="C18" s="21" t="n">
        <f aca="false">PL!F98</f>
        <v>0.294749010474626</v>
      </c>
      <c r="D18" s="21" t="n">
        <f aca="false">C18-B18</f>
        <v>-0.00525098952537367</v>
      </c>
      <c r="E18" s="21" t="n">
        <f aca="false">PL!F147</f>
        <v>0.26652354150296</v>
      </c>
      <c r="F18" s="21" t="n">
        <f aca="false">E18-B18</f>
        <v>-0.0334764584970401</v>
      </c>
      <c r="G18" s="21" t="n">
        <f aca="false">PL!F196</f>
        <v>0.234210810948802</v>
      </c>
      <c r="H18" s="21" t="n">
        <f aca="false">G18-B18</f>
        <v>-0.0657891890511978</v>
      </c>
      <c r="I18" s="8" t="s">
        <v>817</v>
      </c>
    </row>
    <row r="19" customFormat="false" ht="17.15" hidden="false" customHeight="false" outlineLevel="0" collapsed="false">
      <c r="A19" s="6" t="s">
        <v>823</v>
      </c>
    </row>
    <row r="20" customFormat="false" ht="17.15" hidden="false" customHeight="false" outlineLevel="0" collapsed="false">
      <c r="A20" s="0" t="s">
        <v>824</v>
      </c>
      <c r="C20" s="22" t="n">
        <f aca="false">Units!C14</f>
        <v>0.170943545672117</v>
      </c>
      <c r="E20" s="22" t="n">
        <f aca="false">Units!C14</f>
        <v>0.170943545672117</v>
      </c>
      <c r="G20" s="22" t="n">
        <f aca="false">Units!C14</f>
        <v>0.170943545672117</v>
      </c>
      <c r="I20" s="8" t="s">
        <v>825</v>
      </c>
      <c r="J20" s="4" t="s">
        <v>826</v>
      </c>
    </row>
    <row r="21" customFormat="false" ht="17.15" hidden="false" customHeight="false" outlineLevel="0" collapsed="false">
      <c r="A21" s="0" t="s">
        <v>827</v>
      </c>
      <c r="C21" s="22" t="n">
        <f aca="false">Units!D14</f>
        <v>0.208433613630629</v>
      </c>
      <c r="E21" s="22" t="n">
        <f aca="false">Units!D14</f>
        <v>0.208433613630629</v>
      </c>
      <c r="G21" s="22" t="n">
        <f aca="false">Units!D14</f>
        <v>0.208433613630629</v>
      </c>
      <c r="I21" s="4" t="s">
        <v>38</v>
      </c>
      <c r="J21" s="4" t="s">
        <v>828</v>
      </c>
    </row>
    <row r="22" customFormat="false" ht="17.15" hidden="false" customHeight="false" outlineLevel="0" collapsed="false">
      <c r="A22" s="0" t="s">
        <v>829</v>
      </c>
      <c r="B22" s="21" t="n">
        <v>0.3</v>
      </c>
      <c r="C22" s="21" t="n">
        <f aca="false">PL!F90</f>
        <v>0.408787056050512</v>
      </c>
      <c r="D22" s="21" t="n">
        <f aca="false">C22-B22</f>
        <v>0.108787056050512</v>
      </c>
      <c r="E22" s="21" t="n">
        <f aca="false">PL!F139</f>
        <v>0.327485315953269</v>
      </c>
      <c r="F22" s="21" t="n">
        <f aca="false">E22-B22</f>
        <v>0.0274853159532689</v>
      </c>
      <c r="G22" s="21" t="n">
        <f aca="false">PL!F188</f>
        <v>0.234410468411019</v>
      </c>
      <c r="H22" s="21" t="n">
        <f aca="false">G22-B22</f>
        <v>-0.065589531588981</v>
      </c>
      <c r="I22" s="4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10" min="4" style="0" width="14"/>
  </cols>
  <sheetData>
    <row r="1" customFormat="false" ht="17.15" hidden="false" customHeight="false" outlineLevel="0" collapsed="false">
      <c r="A1" s="0" t="s">
        <v>831</v>
      </c>
    </row>
    <row r="2" customFormat="false" ht="17.15" hidden="false" customHeight="false" outlineLevel="0" collapsed="false">
      <c r="A2" s="4" t="s">
        <v>832</v>
      </c>
    </row>
    <row r="3" customFormat="false" ht="17.15" hidden="false" customHeight="false" outlineLevel="0" collapsed="false">
      <c r="A3" s="5" t="s">
        <v>833</v>
      </c>
      <c r="B3" s="5" t="s">
        <v>20</v>
      </c>
      <c r="C3" s="5" t="s">
        <v>834</v>
      </c>
      <c r="D3" s="15" t="s">
        <v>835</v>
      </c>
      <c r="E3" s="15" t="s">
        <v>836</v>
      </c>
      <c r="F3" s="15" t="s">
        <v>837</v>
      </c>
      <c r="G3" s="15" t="s">
        <v>838</v>
      </c>
      <c r="H3" s="15" t="s">
        <v>839</v>
      </c>
      <c r="I3" s="5" t="s">
        <v>840</v>
      </c>
      <c r="J3" s="5" t="s">
        <v>841</v>
      </c>
    </row>
    <row r="4" customFormat="false" ht="17.15" hidden="false" customHeight="false" outlineLevel="0" collapsed="false">
      <c r="A4" s="4" t="s">
        <v>24</v>
      </c>
      <c r="B4" s="0" t="s">
        <v>206</v>
      </c>
      <c r="C4" s="0" t="s">
        <v>842</v>
      </c>
      <c r="D4" s="19" t="n">
        <f aca="false">PL!E161</f>
        <v>29.0769978466096</v>
      </c>
      <c r="E4" s="19" t="n">
        <f aca="false">PL!F161</f>
        <v>25.638066894105</v>
      </c>
      <c r="F4" s="21" t="n">
        <f aca="false">E4/E$4-1</f>
        <v>0</v>
      </c>
      <c r="G4" s="18" t="n">
        <f aca="false">(tp_wA*MAX(0,PL!E112*(1-MIN(tp_g/tp_roe,0.8))/(1+tp_r)^1+PL!F112*(1-MIN(tp_g/tp_roe,0.8))/(1+tp_r)^2+PL!G112*(1-MIN(tp_g/tp_roe,0.8))/(1+tp_r)^3+PL!H112*(1-MIN(tp_g/tp_roe,0.8))/(1+tp_r)^4+PL!I112*(1-MIN(tp_g/tp_roe,0.8))/(1+tp_r)^5+PL!J112*(1-MIN(tp_g/tp_roe,0.8))/(1+tp_r)^6+PL!J112*(1-MIN(tp_g/tp_roe,0.8))*(1+tp_g)/(tp_r-tp_g)/(1+tp_r)^6)+tp_wB*MAX(0,PL!E161*(1-MIN(tp_g/tp_roe,0.8))/(1+tp_r)^1+PL!F161*(1-MIN(tp_g/tp_roe,0.8))/(1+tp_r)^2+PL!G161*(1-MIN(tp_g/tp_roe,0.8))/(1+tp_r)^3+PL!H161*(1-MIN(tp_g/tp_roe,0.8))/(1+tp_r)^4+PL!I161*(1-MIN(tp_g/tp_roe,0.8))/(1+tp_r)^5+PL!J161*(1-MIN(tp_g/tp_roe,0.8))/(1+tp_r)^6+PL!J161*(1-MIN(tp_g/tp_roe,0.8))*(1+tp_g)/(tp_r-tp_g)/(1+tp_r)^6)+tp_wC*MAX(0,PL!E210*(1-MIN(tp_g/tp_roe,0.8))/(1+tp_r)^1+PL!F210*(1-MIN(tp_g/tp_roe,0.8))/(1+tp_r)^2+PL!G210*(1-MIN(tp_g/tp_roe,0.8))/(1+tp_r)^3+PL!H210*(1-MIN(tp_g/tp_roe,0.8))/(1+tp_r)^4+PL!I210*(1-MIN(tp_g/tp_roe,0.8))/(1+tp_r)^5+PL!J210*(1-MIN(tp_g/tp_roe,0.8))/(1+tp_r)^6+PL!J210*(1-MIN(tp_g/tp_roe,0.8))*(1+tp_g)/(tp_r-tp_g)/(1+tp_r)^6))*(1+tp_r)</f>
        <v>336.53956018999</v>
      </c>
      <c r="H4" s="18" t="n">
        <f aca="false">Val!$B$33*(tp_wA*(2/12*PL!E112+10/12*PL!F112)+tp_wB*(2/12*PL!E161+10/12*PL!F161)+tp_wC*(2/12*PL!E210+10/12*PL!F210))*rm_factor</f>
        <v>671.150096659206</v>
      </c>
      <c r="I4" s="18" t="n">
        <f aca="false">tp_w_dcf*G4+(1-tp_w_dcf)*H4</f>
        <v>503.844828424598</v>
      </c>
      <c r="J4" s="21" t="n">
        <f aca="false">I4/I$4-1</f>
        <v>0</v>
      </c>
    </row>
    <row r="5" customFormat="false" ht="17.15" hidden="false" customHeight="false" outlineLevel="0" collapsed="false">
      <c r="A5" s="0" t="s">
        <v>843</v>
      </c>
      <c r="B5" s="0" t="s">
        <v>844</v>
      </c>
      <c r="C5" s="0" t="s">
        <v>845</v>
      </c>
      <c r="D5" s="19" t="n">
        <f aca="false">E211</f>
        <v>25.5152995109968</v>
      </c>
      <c r="E5" s="19" t="n">
        <f aca="false">F211</f>
        <v>22.1841868836356</v>
      </c>
      <c r="F5" s="21" t="n">
        <f aca="false">E5/E$4-1</f>
        <v>-0.134716865539641</v>
      </c>
      <c r="G5" s="18" t="n">
        <f aca="false">(tp_wA*MAX(0,E162*(1-MIN(tp_g/tp_roe,0.8))/(1+tp_r)^1+F162*(1-MIN(tp_g/tp_roe,0.8))/(1+tp_r)^2+G162*(1-MIN(tp_g/tp_roe,0.8))/(1+tp_r)^3+H162*(1-MIN(tp_g/tp_roe,0.8))/(1+tp_r)^4+I162*(1-MIN(tp_g/tp_roe,0.8))/(1+tp_r)^5+J162*(1-MIN(tp_g/tp_roe,0.8))/(1+tp_r)^6+J162*(1-MIN(tp_g/tp_roe,0.8))*(1+tp_g)/(tp_r-tp_g)/(1+tp_r)^6)+tp_wB*MAX(0,E211*(1-MIN(tp_g/tp_roe,0.8))/(1+tp_r)^1+F211*(1-MIN(tp_g/tp_roe,0.8))/(1+tp_r)^2+G211*(1-MIN(tp_g/tp_roe,0.8))/(1+tp_r)^3+H211*(1-MIN(tp_g/tp_roe,0.8))/(1+tp_r)^4+I211*(1-MIN(tp_g/tp_roe,0.8))/(1+tp_r)^5+J211*(1-MIN(tp_g/tp_roe,0.8))/(1+tp_r)^6+J211*(1-MIN(tp_g/tp_roe,0.8))*(1+tp_g)/(tp_r-tp_g)/(1+tp_r)^6)+tp_wC*MAX(0,E260*(1-MIN(tp_g/tp_roe,0.8))/(1+tp_r)^1+F260*(1-MIN(tp_g/tp_roe,0.8))/(1+tp_r)^2+G260*(1-MIN(tp_g/tp_roe,0.8))/(1+tp_r)^3+H260*(1-MIN(tp_g/tp_roe,0.8))/(1+tp_r)^4+I260*(1-MIN(tp_g/tp_roe,0.8))/(1+tp_r)^5+J260*(1-MIN(tp_g/tp_roe,0.8))/(1+tp_r)^6+J260*(1-MIN(tp_g/tp_roe,0.8))*(1+tp_g)/(tp_r-tp_g)/(1+tp_r)^6))*(1+tp_r)</f>
        <v>316.36624283259</v>
      </c>
      <c r="H5" s="18" t="n">
        <f aca="false">Val!$B$33*(tp_wA*(2/12*E162+10/12*F162)+tp_wB*(2/12*E211+10/12*F211)+tp_wC*(2/12*E260+10/12*F260))*rm_factor</f>
        <v>583.082605008074</v>
      </c>
      <c r="I5" s="18" t="n">
        <f aca="false">tp_w_dcf*G5+(1-tp_w_dcf)*H5</f>
        <v>449.724423920332</v>
      </c>
      <c r="J5" s="21" t="n">
        <f aca="false">I5/I$4-1</f>
        <v>-0.107414825857174</v>
      </c>
    </row>
    <row r="6" customFormat="false" ht="17.15" hidden="false" customHeight="false" outlineLevel="0" collapsed="false">
      <c r="A6" s="0" t="s">
        <v>846</v>
      </c>
      <c r="B6" s="0" t="s">
        <v>844</v>
      </c>
      <c r="C6" s="0" t="s">
        <v>847</v>
      </c>
      <c r="D6" s="19" t="n">
        <f aca="false">E358</f>
        <v>32.6386961822224</v>
      </c>
      <c r="E6" s="19" t="n">
        <f aca="false">F358</f>
        <v>29.0910987390481</v>
      </c>
      <c r="F6" s="21" t="n">
        <f aca="false">E6/E$4-1</f>
        <v>0.134683783266711</v>
      </c>
      <c r="G6" s="18" t="n">
        <f aca="false">(tp_wA*MAX(0,E309*(1-MIN(tp_g/tp_roe,0.8))/(1+tp_r)^1+F309*(1-MIN(tp_g/tp_roe,0.8))/(1+tp_r)^2+G309*(1-MIN(tp_g/tp_roe,0.8))/(1+tp_r)^3+H309*(1-MIN(tp_g/tp_roe,0.8))/(1+tp_r)^4+I309*(1-MIN(tp_g/tp_roe,0.8))/(1+tp_r)^5+J309*(1-MIN(tp_g/tp_roe,0.8))/(1+tp_r)^6+J309*(1-MIN(tp_g/tp_roe,0.8))*(1+tp_g)/(tp_r-tp_g)/(1+tp_r)^6)+tp_wB*MAX(0,E358*(1-MIN(tp_g/tp_roe,0.8))/(1+tp_r)^1+F358*(1-MIN(tp_g/tp_roe,0.8))/(1+tp_r)^2+G358*(1-MIN(tp_g/tp_roe,0.8))/(1+tp_r)^3+H358*(1-MIN(tp_g/tp_roe,0.8))/(1+tp_r)^4+I358*(1-MIN(tp_g/tp_roe,0.8))/(1+tp_r)^5+J358*(1-MIN(tp_g/tp_roe,0.8))/(1+tp_r)^6+J358*(1-MIN(tp_g/tp_roe,0.8))*(1+tp_g)/(tp_r-tp_g)/(1+tp_r)^6)+tp_wC*MAX(0,E407*(1-MIN(tp_g/tp_roe,0.8))/(1+tp_r)^1+F407*(1-MIN(tp_g/tp_roe,0.8))/(1+tp_r)^2+G407*(1-MIN(tp_g/tp_roe,0.8))/(1+tp_r)^3+H407*(1-MIN(tp_g/tp_roe,0.8))/(1+tp_r)^4+I407*(1-MIN(tp_g/tp_roe,0.8))/(1+tp_r)^5+J407*(1-MIN(tp_g/tp_roe,0.8))/(1+tp_r)^6+J407*(1-MIN(tp_g/tp_roe,0.8))*(1+tp_g)/(tp_r-tp_g)/(1+tp_r)^6))*(1+tp_r)</f>
        <v>356.724460573019</v>
      </c>
      <c r="H6" s="18" t="n">
        <f aca="false">Val!$B$33*(tp_wA*(2/12*E309+10/12*F309)+tp_wB*(2/12*E358+10/12*F358)+tp_wC*(2/12*E407+10/12*F407))*rm_factor</f>
        <v>759.203471125194</v>
      </c>
      <c r="I6" s="18" t="n">
        <f aca="false">tp_w_dcf*G6+(1-tp_w_dcf)*H6</f>
        <v>557.963965849106</v>
      </c>
      <c r="J6" s="21" t="n">
        <f aca="false">I6/I$4-1</f>
        <v>0.107412311035773</v>
      </c>
    </row>
    <row r="7" customFormat="false" ht="17.15" hidden="false" customHeight="false" outlineLevel="0" collapsed="false">
      <c r="A7" s="0" t="s">
        <v>848</v>
      </c>
      <c r="B7" s="0" t="s">
        <v>182</v>
      </c>
      <c r="C7" s="4" t="s">
        <v>849</v>
      </c>
      <c r="D7" s="19" t="n">
        <f aca="false">E505</f>
        <v>28.223996949685</v>
      </c>
      <c r="E7" s="19" t="n">
        <f aca="false">F505</f>
        <v>24.4462532446388</v>
      </c>
      <c r="F7" s="21" t="n">
        <f aca="false">E7/E$4-1</f>
        <v>-0.0464860964123724</v>
      </c>
      <c r="G7" s="18" t="n">
        <f aca="false">(tp_wA*MAX(0,E456*(1-MIN(tp_g/tp_roe,0.8))/(1+tp_r)^1+F456*(1-MIN(tp_g/tp_roe,0.8))/(1+tp_r)^2+G456*(1-MIN(tp_g/tp_roe,0.8))/(1+tp_r)^3+H456*(1-MIN(tp_g/tp_roe,0.8))/(1+tp_r)^4+I456*(1-MIN(tp_g/tp_roe,0.8))/(1+tp_r)^5+J456*(1-MIN(tp_g/tp_roe,0.8))/(1+tp_r)^6+J456*(1-MIN(tp_g/tp_roe,0.8))*(1+tp_g)/(tp_r-tp_g)/(1+tp_r)^6)+tp_wB*MAX(0,E505*(1-MIN(tp_g/tp_roe,0.8))/(1+tp_r)^1+F505*(1-MIN(tp_g/tp_roe,0.8))/(1+tp_r)^2+G505*(1-MIN(tp_g/tp_roe,0.8))/(1+tp_r)^3+H505*(1-MIN(tp_g/tp_roe,0.8))/(1+tp_r)^4+I505*(1-MIN(tp_g/tp_roe,0.8))/(1+tp_r)^5+J505*(1-MIN(tp_g/tp_roe,0.8))/(1+tp_r)^6+J505*(1-MIN(tp_g/tp_roe,0.8))*(1+tp_g)/(tp_r-tp_g)/(1+tp_r)^6)+tp_wC*MAX(0,E554*(1-MIN(tp_g/tp_roe,0.8))/(1+tp_r)^1+F554*(1-MIN(tp_g/tp_roe,0.8))/(1+tp_r)^2+G554*(1-MIN(tp_g/tp_roe,0.8))/(1+tp_r)^3+H554*(1-MIN(tp_g/tp_roe,0.8))/(1+tp_r)^4+I554*(1-MIN(tp_g/tp_roe,0.8))/(1+tp_r)^5+J554*(1-MIN(tp_g/tp_roe,0.8))/(1+tp_r)^6+J554*(1-MIN(tp_g/tp_roe,0.8))*(1+tp_g)/(tp_r-tp_g)/(1+tp_r)^6))*(1+tp_r)</f>
        <v>329.764480283506</v>
      </c>
      <c r="H7" s="18" t="n">
        <f aca="false">Val!$B$33*(tp_wA*(2/12*E456+10/12*F456)+tp_wB*(2/12*E505+10/12*F505)+tp_wC*(2/12*E554+10/12*F554))*rm_factor</f>
        <v>642.319259678719</v>
      </c>
      <c r="I7" s="18" t="n">
        <f aca="false">tp_w_dcf*G7+(1-tp_w_dcf)*H7</f>
        <v>486.041869981112</v>
      </c>
      <c r="J7" s="21" t="n">
        <f aca="false">I7/I$4-1</f>
        <v>-0.0353342089451453</v>
      </c>
    </row>
    <row r="8" customFormat="false" ht="17.15" hidden="false" customHeight="false" outlineLevel="0" collapsed="false">
      <c r="A8" s="0" t="s">
        <v>850</v>
      </c>
      <c r="B8" s="0" t="s">
        <v>182</v>
      </c>
      <c r="C8" s="4" t="s">
        <v>851</v>
      </c>
      <c r="D8" s="19" t="n">
        <f aca="false">E652</f>
        <v>31.4019964408248</v>
      </c>
      <c r="E8" s="19" t="n">
        <f aca="false">F652</f>
        <v>29.0195239346929</v>
      </c>
      <c r="F8" s="21" t="n">
        <f aca="false">E8/E$4-1</f>
        <v>0.131892043754883</v>
      </c>
      <c r="G8" s="18" t="n">
        <f aca="false">(tp_wA*MAX(0,E603*(1-MIN(tp_g/tp_roe,0.8))/(1+tp_r)^1+F603*(1-MIN(tp_g/tp_roe,0.8))/(1+tp_r)^2+G603*(1-MIN(tp_g/tp_roe,0.8))/(1+tp_r)^3+H603*(1-MIN(tp_g/tp_roe,0.8))/(1+tp_r)^4+I603*(1-MIN(tp_g/tp_roe,0.8))/(1+tp_r)^5+J603*(1-MIN(tp_g/tp_roe,0.8))/(1+tp_r)^6+J603*(1-MIN(tp_g/tp_roe,0.8))*(1+tp_g)/(tp_r-tp_g)/(1+tp_r)^6)+tp_wB*MAX(0,E652*(1-MIN(tp_g/tp_roe,0.8))/(1+tp_r)^1+F652*(1-MIN(tp_g/tp_roe,0.8))/(1+tp_r)^2+G652*(1-MIN(tp_g/tp_roe,0.8))/(1+tp_r)^3+H652*(1-MIN(tp_g/tp_roe,0.8))/(1+tp_r)^4+I652*(1-MIN(tp_g/tp_roe,0.8))/(1+tp_r)^5+J652*(1-MIN(tp_g/tp_roe,0.8))/(1+tp_r)^6+J652*(1-MIN(tp_g/tp_roe,0.8))*(1+tp_g)/(tp_r-tp_g)/(1+tp_r)^6)+tp_wC*MAX(0,E701*(1-MIN(tp_g/tp_roe,0.8))/(1+tp_r)^1+F701*(1-MIN(tp_g/tp_roe,0.8))/(1+tp_r)^2+G701*(1-MIN(tp_g/tp_roe,0.8))/(1+tp_r)^3+H701*(1-MIN(tp_g/tp_roe,0.8))/(1+tp_r)^4+I701*(1-MIN(tp_g/tp_roe,0.8))/(1+tp_r)^5+J701*(1-MIN(tp_g/tp_roe,0.8))/(1+tp_r)^6+J701*(1-MIN(tp_g/tp_roe,0.8))*(1+tp_g)/(tp_r-tp_g)/(1+tp_r)^6))*(1+tp_r)</f>
        <v>355.726302534071</v>
      </c>
      <c r="H8" s="18" t="n">
        <f aca="false">Val!$B$33*(tp_wA*(2/12*E603+10/12*F603)+tp_wB*(2/12*E652+10/12*F652)+tp_wC*(2/12*E701+10/12*F701))*rm_factor</f>
        <v>752.556633021936</v>
      </c>
      <c r="I8" s="18" t="n">
        <f aca="false">tp_w_dcf*G8+(1-tp_w_dcf)*H8</f>
        <v>554.141467778003</v>
      </c>
      <c r="J8" s="21" t="n">
        <f aca="false">I8/I$4-1</f>
        <v>0.0998256536852249</v>
      </c>
    </row>
    <row r="9" customFormat="false" ht="17.15" hidden="false" customHeight="false" outlineLevel="0" collapsed="false">
      <c r="A9" s="4" t="s">
        <v>852</v>
      </c>
      <c r="B9" s="0" t="s">
        <v>154</v>
      </c>
      <c r="C9" s="4" t="s">
        <v>853</v>
      </c>
      <c r="D9" s="19" t="n">
        <f aca="false">E799</f>
        <v>29.0769978466096</v>
      </c>
      <c r="E9" s="19" t="n">
        <f aca="false">F799</f>
        <v>25.1575371837243</v>
      </c>
      <c r="F9" s="21" t="n">
        <f aca="false">E9/E$4-1</f>
        <v>-0.0187428214601946</v>
      </c>
      <c r="G9" s="18" t="n">
        <f aca="false">(tp_wA*MAX(0,E750*(1-MIN(tp_g/tp_roe,0.8))/(1+tp_r)^1+F750*(1-MIN(tp_g/tp_roe,0.8))/(1+tp_r)^2+G750*(1-MIN(tp_g/tp_roe,0.8))/(1+tp_r)^3+H750*(1-MIN(tp_g/tp_roe,0.8))/(1+tp_r)^4+I750*(1-MIN(tp_g/tp_roe,0.8))/(1+tp_r)^5+J750*(1-MIN(tp_g/tp_roe,0.8))/(1+tp_r)^6+J750*(1-MIN(tp_g/tp_roe,0.8))*(1+tp_g)/(tp_r-tp_g)/(1+tp_r)^6)+tp_wB*MAX(0,E799*(1-MIN(tp_g/tp_roe,0.8))/(1+tp_r)^1+F799*(1-MIN(tp_g/tp_roe,0.8))/(1+tp_r)^2+G799*(1-MIN(tp_g/tp_roe,0.8))/(1+tp_r)^3+H799*(1-MIN(tp_g/tp_roe,0.8))/(1+tp_r)^4+I799*(1-MIN(tp_g/tp_roe,0.8))/(1+tp_r)^5+J799*(1-MIN(tp_g/tp_roe,0.8))/(1+tp_r)^6+J799*(1-MIN(tp_g/tp_roe,0.8))*(1+tp_g)/(tp_r-tp_g)/(1+tp_r)^6)+tp_wC*MAX(0,E848*(1-MIN(tp_g/tp_roe,0.8))/(1+tp_r)^1+F848*(1-MIN(tp_g/tp_roe,0.8))/(1+tp_r)^2+G848*(1-MIN(tp_g/tp_roe,0.8))/(1+tp_r)^3+H848*(1-MIN(tp_g/tp_roe,0.8))/(1+tp_r)^4+I848*(1-MIN(tp_g/tp_roe,0.8))/(1+tp_r)^5+J848*(1-MIN(tp_g/tp_roe,0.8))/(1+tp_r)^6+J848*(1-MIN(tp_g/tp_roe,0.8))*(1+tp_g)/(tp_r-tp_g)/(1+tp_r)^6))*(1+tp_r)</f>
        <v>328.721622393291</v>
      </c>
      <c r="H9" s="18" t="n">
        <f aca="false">Val!$B$33*(tp_wA*(2/12*E750+10/12*F750)+tp_wB*(2/12*E799+10/12*F799)+tp_wC*(2/12*E848+10/12*F848))*rm_factor</f>
        <v>660.715962897905</v>
      </c>
      <c r="I9" s="18" t="n">
        <f aca="false">tp_w_dcf*G9+(1-tp_w_dcf)*H9</f>
        <v>494.718792645598</v>
      </c>
      <c r="J9" s="21" t="n">
        <f aca="false">I9/I$4-1</f>
        <v>-0.0181127904151258</v>
      </c>
    </row>
    <row r="10" customFormat="false" ht="17.15" hidden="false" customHeight="false" outlineLevel="0" collapsed="false">
      <c r="A10" s="4" t="s">
        <v>854</v>
      </c>
      <c r="B10" s="0" t="s">
        <v>154</v>
      </c>
      <c r="D10" s="19" t="n">
        <f aca="false">E946</f>
        <v>29.0769978466096</v>
      </c>
      <c r="E10" s="19" t="n">
        <f aca="false">F946</f>
        <v>26.1185966044858</v>
      </c>
      <c r="F10" s="21" t="n">
        <f aca="false">E10/E$4-1</f>
        <v>0.018742821460195</v>
      </c>
      <c r="G10" s="18" t="n">
        <f aca="false">(tp_wA*MAX(0,E897*(1-MIN(tp_g/tp_roe,0.8))/(1+tp_r)^1+F897*(1-MIN(tp_g/tp_roe,0.8))/(1+tp_r)^2+G897*(1-MIN(tp_g/tp_roe,0.8))/(1+tp_r)^3+H897*(1-MIN(tp_g/tp_roe,0.8))/(1+tp_r)^4+I897*(1-MIN(tp_g/tp_roe,0.8))/(1+tp_r)^5+J897*(1-MIN(tp_g/tp_roe,0.8))/(1+tp_r)^6+J897*(1-MIN(tp_g/tp_roe,0.8))*(1+tp_g)/(tp_r-tp_g)/(1+tp_r)^6)+tp_wB*MAX(0,E946*(1-MIN(tp_g/tp_roe,0.8))/(1+tp_r)^1+F946*(1-MIN(tp_g/tp_roe,0.8))/(1+tp_r)^2+G946*(1-MIN(tp_g/tp_roe,0.8))/(1+tp_r)^3+H946*(1-MIN(tp_g/tp_roe,0.8))/(1+tp_r)^4+I946*(1-MIN(tp_g/tp_roe,0.8))/(1+tp_r)^5+J946*(1-MIN(tp_g/tp_roe,0.8))/(1+tp_r)^6+J946*(1-MIN(tp_g/tp_roe,0.8))*(1+tp_g)/(tp_r-tp_g)/(1+tp_r)^6)+tp_wC*MAX(0,E995*(1-MIN(tp_g/tp_roe,0.8))/(1+tp_r)^1+F995*(1-MIN(tp_g/tp_roe,0.8))/(1+tp_r)^2+G995*(1-MIN(tp_g/tp_roe,0.8))/(1+tp_r)^3+H995*(1-MIN(tp_g/tp_roe,0.8))/(1+tp_r)^4+I995*(1-MIN(tp_g/tp_roe,0.8))/(1+tp_r)^5+J995*(1-MIN(tp_g/tp_roe,0.8))/(1+tp_r)^6+J995*(1-MIN(tp_g/tp_roe,0.8))*(1+tp_g)/(tp_r-tp_g)/(1+tp_r)^6))*(1+tp_r)</f>
        <v>345.967387590243</v>
      </c>
      <c r="H10" s="18" t="n">
        <f aca="false">Val!$B$33*(tp_wA*(2/12*E897+10/12*F897)+tp_wB*(2/12*E946+10/12*F946)+tp_wC*(2/12*E995+10/12*F995))*rm_factor</f>
        <v>681.584230420507</v>
      </c>
      <c r="I10" s="18" t="n">
        <f aca="false">tp_w_dcf*G10+(1-tp_w_dcf)*H10</f>
        <v>513.775809005375</v>
      </c>
      <c r="J10" s="21" t="n">
        <f aca="false">I10/I$4-1</f>
        <v>0.019710394987736</v>
      </c>
    </row>
    <row r="11" customFormat="false" ht="17.15" hidden="false" customHeight="false" outlineLevel="0" collapsed="false">
      <c r="A11" s="0" t="s">
        <v>855</v>
      </c>
      <c r="B11" s="0" t="s">
        <v>158</v>
      </c>
      <c r="C11" s="4" t="s">
        <v>856</v>
      </c>
      <c r="D11" s="19" t="n">
        <f aca="false">E1093</f>
        <v>28.9541545172424</v>
      </c>
      <c r="E11" s="19" t="n">
        <f aca="false">F1093</f>
        <v>25.3519605049752</v>
      </c>
      <c r="F11" s="21" t="n">
        <f aca="false">E11/E$4-1</f>
        <v>-0.0111594368760916</v>
      </c>
      <c r="G11" s="18" t="n">
        <f aca="false">(tp_wA*MAX(0,E1044*(1-MIN(tp_g/tp_roe,0.8))/(1+tp_r)^1+F1044*(1-MIN(tp_g/tp_roe,0.8))/(1+tp_r)^2+G1044*(1-MIN(tp_g/tp_roe,0.8))/(1+tp_r)^3+H1044*(1-MIN(tp_g/tp_roe,0.8))/(1+tp_r)^4+I1044*(1-MIN(tp_g/tp_roe,0.8))/(1+tp_r)^5+J1044*(1-MIN(tp_g/tp_roe,0.8))/(1+tp_r)^6+J1044*(1-MIN(tp_g/tp_roe,0.8))*(1+tp_g)/(tp_r-tp_g)/(1+tp_r)^6)+tp_wB*MAX(0,E1093*(1-MIN(tp_g/tp_roe,0.8))/(1+tp_r)^1+F1093*(1-MIN(tp_g/tp_roe,0.8))/(1+tp_r)^2+G1093*(1-MIN(tp_g/tp_roe,0.8))/(1+tp_r)^3+H1093*(1-MIN(tp_g/tp_roe,0.8))/(1+tp_r)^4+I1093*(1-MIN(tp_g/tp_roe,0.8))/(1+tp_r)^5+J1093*(1-MIN(tp_g/tp_roe,0.8))/(1+tp_r)^6+J1093*(1-MIN(tp_g/tp_roe,0.8))*(1+tp_g)/(tp_r-tp_g)/(1+tp_r)^6)+tp_wC*MAX(0,E1142*(1-MIN(tp_g/tp_roe,0.8))/(1+tp_r)^1+F1142*(1-MIN(tp_g/tp_roe,0.8))/(1+tp_r)^2+G1142*(1-MIN(tp_g/tp_roe,0.8))/(1+tp_r)^3+H1142*(1-MIN(tp_g/tp_roe,0.8))/(1+tp_r)^4+I1142*(1-MIN(tp_g/tp_roe,0.8))/(1+tp_r)^5+J1142*(1-MIN(tp_g/tp_roe,0.8))/(1+tp_r)^6+J1142*(1-MIN(tp_g/tp_roe,0.8))*(1+tp_g)/(tp_r-tp_g)/(1+tp_r)^6))*(1+tp_r)</f>
        <v>331.158066385242</v>
      </c>
      <c r="H11" s="18" t="n">
        <f aca="false">Val!$B$33*(tp_wA*(2/12*E1044+10/12*F1044)+tp_wB*(2/12*E1093+10/12*F1093)+tp_wC*(2/12*E1142+10/12*F1142))*rm_factor</f>
        <v>661.346945371109</v>
      </c>
      <c r="I11" s="18" t="n">
        <f aca="false">tp_w_dcf*G11+(1-tp_w_dcf)*H11</f>
        <v>496.252505878175</v>
      </c>
      <c r="J11" s="21" t="n">
        <f aca="false">I11/I$4-1</f>
        <v>-0.0150687714115514</v>
      </c>
    </row>
    <row r="12" customFormat="false" ht="15" hidden="false" customHeight="false" outlineLevel="0" collapsed="false">
      <c r="A12" s="0" t="s">
        <v>857</v>
      </c>
      <c r="B12" s="0" t="s">
        <v>158</v>
      </c>
      <c r="D12" s="19" t="n">
        <f aca="false">E1240</f>
        <v>29.2612628406603</v>
      </c>
      <c r="E12" s="19" t="n">
        <f aca="false">F1240</f>
        <v>26.067257131883</v>
      </c>
      <c r="F12" s="21" t="n">
        <f aca="false">E12/E$4-1</f>
        <v>0.0167403509613548</v>
      </c>
      <c r="G12" s="18" t="n">
        <f aca="false">(tp_wA*MAX(0,E1191*(1-MIN(tp_g/tp_roe,0.8))/(1+tp_r)^1+F1191*(1-MIN(tp_g/tp_roe,0.8))/(1+tp_r)^2+G1191*(1-MIN(tp_g/tp_roe,0.8))/(1+tp_r)^3+H1191*(1-MIN(tp_g/tp_roe,0.8))/(1+tp_r)^4+I1191*(1-MIN(tp_g/tp_roe,0.8))/(1+tp_r)^5+J1191*(1-MIN(tp_g/tp_roe,0.8))/(1+tp_r)^6+J1191*(1-MIN(tp_g/tp_roe,0.8))*(1+tp_g)/(tp_r-tp_g)/(1+tp_r)^6)+tp_wB*MAX(0,E1240*(1-MIN(tp_g/tp_roe,0.8))/(1+tp_r)^1+F1240*(1-MIN(tp_g/tp_roe,0.8))/(1+tp_r)^2+G1240*(1-MIN(tp_g/tp_roe,0.8))/(1+tp_r)^3+H1240*(1-MIN(tp_g/tp_roe,0.8))/(1+tp_r)^4+I1240*(1-MIN(tp_g/tp_roe,0.8))/(1+tp_r)^5+J1240*(1-MIN(tp_g/tp_roe,0.8))/(1+tp_r)^6+J1240*(1-MIN(tp_g/tp_roe,0.8))*(1+tp_g)/(tp_r-tp_g)/(1+tp_r)^6)+tp_wC*MAX(0,E1289*(1-MIN(tp_g/tp_roe,0.8))/(1+tp_r)^1+F1289*(1-MIN(tp_g/tp_roe,0.8))/(1+tp_r)^2+G1289*(1-MIN(tp_g/tp_roe,0.8))/(1+tp_r)^3+H1289*(1-MIN(tp_g/tp_roe,0.8))/(1+tp_r)^4+I1289*(1-MIN(tp_g/tp_roe,0.8))/(1+tp_r)^5+J1289*(1-MIN(tp_g/tp_roe,0.8))/(1+tp_r)^6+J1289*(1-MIN(tp_g/tp_roe,0.8))*(1+tp_g)/(tp_r-tp_g)/(1+tp_r)^6))*(1+tp_r)</f>
        <v>344.651371187761</v>
      </c>
      <c r="H12" s="18" t="n">
        <f aca="false">Val!$B$33*(tp_wA*(2/12*E1191+10/12*F1191)+tp_wB*(2/12*E1240+10/12*F1240)+tp_wC*(2/12*E1289+10/12*F1289))*rm_factor</f>
        <v>685.856910630987</v>
      </c>
      <c r="I12" s="18" t="n">
        <f aca="false">tp_w_dcf*G12+(1-tp_w_dcf)*H12</f>
        <v>515.254140909374</v>
      </c>
      <c r="J12" s="21" t="n">
        <f aca="false">I12/I$4-1</f>
        <v>0.0226444965614725</v>
      </c>
    </row>
    <row r="13" customFormat="false" ht="17.15" hidden="false" customHeight="false" outlineLevel="0" collapsed="false">
      <c r="A13" s="4" t="s">
        <v>858</v>
      </c>
      <c r="B13" s="0" t="s">
        <v>190</v>
      </c>
      <c r="C13" s="4" t="s">
        <v>859</v>
      </c>
      <c r="D13" s="19" t="n">
        <f aca="false">E1387</f>
        <v>25.4678615056174</v>
      </c>
      <c r="E13" s="19" t="n">
        <f aca="false">F1387</f>
        <v>21.7858875226191</v>
      </c>
      <c r="F13" s="21" t="n">
        <f aca="false">E13/E$4-1</f>
        <v>-0.150252333274459</v>
      </c>
      <c r="G13" s="18" t="n">
        <f aca="false">(tp_wA*MAX(0,E1338*(1-MIN(tp_g/tp_roe,0.8))/(1+tp_r)^1+F1338*(1-MIN(tp_g/tp_roe,0.8))/(1+tp_r)^2+G1338*(1-MIN(tp_g/tp_roe,0.8))/(1+tp_r)^3+H1338*(1-MIN(tp_g/tp_roe,0.8))/(1+tp_r)^4+I1338*(1-MIN(tp_g/tp_roe,0.8))/(1+tp_r)^5+J1338*(1-MIN(tp_g/tp_roe,0.8))/(1+tp_r)^6+J1338*(1-MIN(tp_g/tp_roe,0.8))*(1+tp_g)/(tp_r-tp_g)/(1+tp_r)^6)+tp_wB*MAX(0,E1387*(1-MIN(tp_g/tp_roe,0.8))/(1+tp_r)^1+F1387*(1-MIN(tp_g/tp_roe,0.8))/(1+tp_r)^2+G1387*(1-MIN(tp_g/tp_roe,0.8))/(1+tp_r)^3+H1387*(1-MIN(tp_g/tp_roe,0.8))/(1+tp_r)^4+I1387*(1-MIN(tp_g/tp_roe,0.8))/(1+tp_r)^5+J1387*(1-MIN(tp_g/tp_roe,0.8))/(1+tp_r)^6+J1387*(1-MIN(tp_g/tp_roe,0.8))*(1+tp_g)/(tp_r-tp_g)/(1+tp_r)^6)+tp_wC*MAX(0,E1436*(1-MIN(tp_g/tp_roe,0.8))/(1+tp_r)^1+F1436*(1-MIN(tp_g/tp_roe,0.8))/(1+tp_r)^2+G1436*(1-MIN(tp_g/tp_roe,0.8))/(1+tp_r)^3+H1436*(1-MIN(tp_g/tp_roe,0.8))/(1+tp_r)^4+I1436*(1-MIN(tp_g/tp_roe,0.8))/(1+tp_r)^5+J1436*(1-MIN(tp_g/tp_roe,0.8))/(1+tp_r)^6+J1436*(1-MIN(tp_g/tp_roe,0.8))*(1+tp_g)/(tp_r-tp_g)/(1+tp_r)^6))*(1+tp_r)</f>
        <v>318.711982583743</v>
      </c>
      <c r="H13" s="18" t="n">
        <f aca="false">Val!$B$33*(tp_wA*(2/12*E1338+10/12*F1338)+tp_wB*(2/12*E1387+10/12*F1387)+tp_wC*(2/12*E1436+10/12*F1436))*rm_factor</f>
        <v>577.007231631364</v>
      </c>
      <c r="I13" s="18" t="n">
        <f aca="false">tp_w_dcf*G13+(1-tp_w_dcf)*H13</f>
        <v>447.859607107553</v>
      </c>
      <c r="J13" s="21" t="n">
        <f aca="false">I13/I$4-1</f>
        <v>-0.111115998733374</v>
      </c>
    </row>
    <row r="14" customFormat="false" ht="17.15" hidden="false" customHeight="false" outlineLevel="0" collapsed="false">
      <c r="A14" s="4" t="s">
        <v>860</v>
      </c>
      <c r="B14" s="0" t="s">
        <v>190</v>
      </c>
      <c r="D14" s="19" t="n">
        <f aca="false">E1534</f>
        <v>31.6033932853041</v>
      </c>
      <c r="E14" s="19" t="n">
        <f aca="false">F1534</f>
        <v>28.3347181127254</v>
      </c>
      <c r="F14" s="21" t="n">
        <f aca="false">E14/E$4-1</f>
        <v>0.105181534542312</v>
      </c>
      <c r="G14" s="18" t="n">
        <f aca="false">(tp_wA*MAX(0,E1485*(1-MIN(tp_g/tp_roe,0.8))/(1+tp_r)^1+F1485*(1-MIN(tp_g/tp_roe,0.8))/(1+tp_r)^2+G1485*(1-MIN(tp_g/tp_roe,0.8))/(1+tp_r)^3+H1485*(1-MIN(tp_g/tp_roe,0.8))/(1+tp_r)^4+I1485*(1-MIN(tp_g/tp_roe,0.8))/(1+tp_r)^5+J1485*(1-MIN(tp_g/tp_roe,0.8))/(1+tp_r)^6+J1485*(1-MIN(tp_g/tp_roe,0.8))*(1+tp_g)/(tp_r-tp_g)/(1+tp_r)^6)+tp_wB*MAX(0,E1534*(1-MIN(tp_g/tp_roe,0.8))/(1+tp_r)^1+F1534*(1-MIN(tp_g/tp_roe,0.8))/(1+tp_r)^2+G1534*(1-MIN(tp_g/tp_roe,0.8))/(1+tp_r)^3+H1534*(1-MIN(tp_g/tp_roe,0.8))/(1+tp_r)^4+I1534*(1-MIN(tp_g/tp_roe,0.8))/(1+tp_r)^5+J1534*(1-MIN(tp_g/tp_roe,0.8))/(1+tp_r)^6+J1534*(1-MIN(tp_g/tp_roe,0.8))*(1+tp_g)/(tp_r-tp_g)/(1+tp_r)^6)+tp_wC*MAX(0,E1583*(1-MIN(tp_g/tp_roe,0.8))/(1+tp_r)^1+F1583*(1-MIN(tp_g/tp_roe,0.8))/(1+tp_r)^2+G1583*(1-MIN(tp_g/tp_roe,0.8))/(1+tp_r)^3+H1583*(1-MIN(tp_g/tp_roe,0.8))/(1+tp_r)^4+I1583*(1-MIN(tp_g/tp_roe,0.8))/(1+tp_r)^5+J1583*(1-MIN(tp_g/tp_roe,0.8))/(1+tp_r)^6+J1583*(1-MIN(tp_g/tp_roe,0.8))*(1+tp_g)/(tp_r-tp_g)/(1+tp_r)^6))*(1+tp_r)</f>
        <v>349.01811598957</v>
      </c>
      <c r="H14" s="18" t="n">
        <f aca="false">Val!$B$33*(tp_wA*(2/12*E1485+10/12*F1485)+tp_wB*(2/12*E1534+10/12*F1534)+tp_wC*(2/12*E1583+10/12*F1583))*rm_factor</f>
        <v>737.051614419929</v>
      </c>
      <c r="I14" s="18" t="n">
        <f aca="false">tp_w_dcf*G14+(1-tp_w_dcf)*H14</f>
        <v>543.034865204749</v>
      </c>
      <c r="J14" s="21" t="n">
        <f aca="false">I14/I$4-1</f>
        <v>0.0777819570018996</v>
      </c>
    </row>
    <row r="15" customFormat="false" ht="17.15" hidden="false" customHeight="false" outlineLevel="0" collapsed="false">
      <c r="A15" s="4" t="s">
        <v>861</v>
      </c>
      <c r="B15" s="0" t="s">
        <v>194</v>
      </c>
      <c r="C15" s="4" t="s">
        <v>862</v>
      </c>
      <c r="D15" s="19" t="n">
        <f aca="false">E1681</f>
        <v>29.0769978466096</v>
      </c>
      <c r="E15" s="19" t="n">
        <f aca="false">F1681</f>
        <v>23.5524467205395</v>
      </c>
      <c r="F15" s="21" t="n">
        <f aca="false">E15/E$4-1</f>
        <v>-0.0813485736728864</v>
      </c>
      <c r="G15" s="18" t="n">
        <f aca="false">(tp_wA*MAX(0,E1632*(1-MIN(tp_g/tp_roe,0.8))/(1+tp_r)^1+F1632*(1-MIN(tp_g/tp_roe,0.8))/(1+tp_r)^2+G1632*(1-MIN(tp_g/tp_roe,0.8))/(1+tp_r)^3+H1632*(1-MIN(tp_g/tp_roe,0.8))/(1+tp_r)^4+I1632*(1-MIN(tp_g/tp_roe,0.8))/(1+tp_r)^5+J1632*(1-MIN(tp_g/tp_roe,0.8))/(1+tp_r)^6+J1632*(1-MIN(tp_g/tp_roe,0.8))*(1+tp_g)/(tp_r-tp_g)/(1+tp_r)^6)+tp_wB*MAX(0,E1681*(1-MIN(tp_g/tp_roe,0.8))/(1+tp_r)^1+F1681*(1-MIN(tp_g/tp_roe,0.8))/(1+tp_r)^2+G1681*(1-MIN(tp_g/tp_roe,0.8))/(1+tp_r)^3+H1681*(1-MIN(tp_g/tp_roe,0.8))/(1+tp_r)^4+I1681*(1-MIN(tp_g/tp_roe,0.8))/(1+tp_r)^5+J1681*(1-MIN(tp_g/tp_roe,0.8))/(1+tp_r)^6+J1681*(1-MIN(tp_g/tp_roe,0.8))*(1+tp_g)/(tp_r-tp_g)/(1+tp_r)^6)+tp_wC*MAX(0,E1730*(1-MIN(tp_g/tp_roe,0.8))/(1+tp_r)^1+F1730*(1-MIN(tp_g/tp_roe,0.8))/(1+tp_r)^2+G1730*(1-MIN(tp_g/tp_roe,0.8))/(1+tp_r)^3+H1730*(1-MIN(tp_g/tp_roe,0.8))/(1+tp_r)^4+I1730*(1-MIN(tp_g/tp_roe,0.8))/(1+tp_r)^5+J1730*(1-MIN(tp_g/tp_roe,0.8))/(1+tp_r)^6+J1730*(1-MIN(tp_g/tp_roe,0.8))*(1+tp_g)/(tp_r-tp_g)/(1+tp_r)^6))*(1+tp_r)</f>
        <v>315.453154562323</v>
      </c>
      <c r="H15" s="18" t="n">
        <f aca="false">Val!$B$33*(tp_wA*(2/12*E1632+10/12*F1632)+tp_wB*(2/12*E1681+10/12*F1681)+tp_wC*(2/12*E1730+10/12*F1730))*rm_factor</f>
        <v>628.232135325388</v>
      </c>
      <c r="I15" s="18" t="n">
        <f aca="false">tp_w_dcf*G15+(1-tp_w_dcf)*H15</f>
        <v>471.842644943855</v>
      </c>
      <c r="J15" s="21" t="n">
        <f aca="false">I15/I$4-1</f>
        <v>-0.0635159510931285</v>
      </c>
    </row>
    <row r="16" customFormat="false" ht="17.15" hidden="false" customHeight="false" outlineLevel="0" collapsed="false">
      <c r="A16" s="4" t="s">
        <v>863</v>
      </c>
      <c r="B16" s="0" t="s">
        <v>194</v>
      </c>
      <c r="D16" s="19" t="n">
        <f aca="false">E1828</f>
        <v>29.0769978466096</v>
      </c>
      <c r="E16" s="19" t="n">
        <f aca="false">F1828</f>
        <v>27.7236870676705</v>
      </c>
      <c r="F16" s="21" t="n">
        <f aca="false">E16/E$4-1</f>
        <v>0.0813485736728861</v>
      </c>
      <c r="G16" s="18" t="n">
        <f aca="false">(tp_wA*MAX(0,E1779*(1-MIN(tp_g/tp_roe,0.8))/(1+tp_r)^1+F1779*(1-MIN(tp_g/tp_roe,0.8))/(1+tp_r)^2+G1779*(1-MIN(tp_g/tp_roe,0.8))/(1+tp_r)^3+H1779*(1-MIN(tp_g/tp_roe,0.8))/(1+tp_r)^4+I1779*(1-MIN(tp_g/tp_roe,0.8))/(1+tp_r)^5+J1779*(1-MIN(tp_g/tp_roe,0.8))/(1+tp_r)^6+J1779*(1-MIN(tp_g/tp_roe,0.8))*(1+tp_g)/(tp_r-tp_g)/(1+tp_r)^6)+tp_wB*MAX(0,E1828*(1-MIN(tp_g/tp_roe,0.8))/(1+tp_r)^1+F1828*(1-MIN(tp_g/tp_roe,0.8))/(1+tp_r)^2+G1828*(1-MIN(tp_g/tp_roe,0.8))/(1+tp_r)^3+H1828*(1-MIN(tp_g/tp_roe,0.8))/(1+tp_r)^4+I1828*(1-MIN(tp_g/tp_roe,0.8))/(1+tp_r)^5+J1828*(1-MIN(tp_g/tp_roe,0.8))/(1+tp_r)^6+J1828*(1-MIN(tp_g/tp_roe,0.8))*(1+tp_g)/(tp_r-tp_g)/(1+tp_r)^6)+tp_wC*MAX(0,E1877*(1-MIN(tp_g/tp_roe,0.8))/(1+tp_r)^1+F1877*(1-MIN(tp_g/tp_roe,0.8))/(1+tp_r)^2+G1877*(1-MIN(tp_g/tp_roe,0.8))/(1+tp_r)^3+H1877*(1-MIN(tp_g/tp_roe,0.8))/(1+tp_r)^4+I1877*(1-MIN(tp_g/tp_roe,0.8))/(1+tp_r)^5+J1877*(1-MIN(tp_g/tp_roe,0.8))/(1+tp_r)^6+J1877*(1-MIN(tp_g/tp_roe,0.8))*(1+tp_g)/(tp_r-tp_g)/(1+tp_r)^6))*(1+tp_r)</f>
        <v>359.194317045174</v>
      </c>
      <c r="H16" s="18" t="n">
        <f aca="false">Val!$B$33*(tp_wA*(2/12*E1779+10/12*F1779)+tp_wB*(2/12*E1828+10/12*F1828)+tp_wC*(2/12*E1877+10/12*F1877))*rm_factor</f>
        <v>714.068057993024</v>
      </c>
      <c r="I16" s="18" t="n">
        <f aca="false">tp_w_dcf*G16+(1-tp_w_dcf)*H16</f>
        <v>536.631187519099</v>
      </c>
      <c r="J16" s="21" t="n">
        <f aca="false">I16/I$4-1</f>
        <v>0.0650723342681043</v>
      </c>
    </row>
    <row r="17" customFormat="false" ht="17.15" hidden="false" customHeight="false" outlineLevel="0" collapsed="false">
      <c r="A17" s="0" t="s">
        <v>864</v>
      </c>
      <c r="B17" s="0" t="s">
        <v>199</v>
      </c>
      <c r="C17" s="4" t="s">
        <v>865</v>
      </c>
      <c r="D17" s="19" t="n">
        <f aca="false">E1975</f>
        <v>28.9039933325104</v>
      </c>
      <c r="E17" s="19" t="n">
        <f aca="false">F1975</f>
        <v>25.4507563650792</v>
      </c>
      <c r="F17" s="21" t="n">
        <f aca="false">E17/E$4-1</f>
        <v>-0.00730595367425546</v>
      </c>
      <c r="G17" s="18" t="n">
        <f aca="false">(tp_wA*MAX(0,E1926*(1-MIN(tp_g/tp_roe,0.8))/(1+tp_r)^1+F1926*(1-MIN(tp_g/tp_roe,0.8))/(1+tp_r)^2+G1926*(1-MIN(tp_g/tp_roe,0.8))/(1+tp_r)^3+H1926*(1-MIN(tp_g/tp_roe,0.8))/(1+tp_r)^4+I1926*(1-MIN(tp_g/tp_roe,0.8))/(1+tp_r)^5+J1926*(1-MIN(tp_g/tp_roe,0.8))/(1+tp_r)^6+J1926*(1-MIN(tp_g/tp_roe,0.8))*(1+tp_g)/(tp_r-tp_g)/(1+tp_r)^6)+tp_wB*MAX(0,E1975*(1-MIN(tp_g/tp_roe,0.8))/(1+tp_r)^1+F1975*(1-MIN(tp_g/tp_roe,0.8))/(1+tp_r)^2+G1975*(1-MIN(tp_g/tp_roe,0.8))/(1+tp_r)^3+H1975*(1-MIN(tp_g/tp_roe,0.8))/(1+tp_r)^4+I1975*(1-MIN(tp_g/tp_roe,0.8))/(1+tp_r)^5+J1975*(1-MIN(tp_g/tp_roe,0.8))/(1+tp_r)^6+J1975*(1-MIN(tp_g/tp_roe,0.8))*(1+tp_g)/(tp_r-tp_g)/(1+tp_r)^6)+tp_wC*MAX(0,E2024*(1-MIN(tp_g/tp_roe,0.8))/(1+tp_r)^1+F2024*(1-MIN(tp_g/tp_roe,0.8))/(1+tp_r)^2+G2024*(1-MIN(tp_g/tp_roe,0.8))/(1+tp_r)^3+H2024*(1-MIN(tp_g/tp_roe,0.8))/(1+tp_r)^4+I2024*(1-MIN(tp_g/tp_roe,0.8))/(1+tp_r)^5+J2024*(1-MIN(tp_g/tp_roe,0.8))/(1+tp_r)^6+J2024*(1-MIN(tp_g/tp_roe,0.8))*(1+tp_g)/(tp_r-tp_g)/(1+tp_r)^6))*(1+tp_r)</f>
        <v>329.790394585144</v>
      </c>
      <c r="H17" s="18" t="n">
        <f aca="false">Val!$B$33*(tp_wA*(2/12*E1926+10/12*F1926)+tp_wB*(2/12*E1975+10/12*F1975)+tp_wC*(2/12*E2024+10/12*F2024))*rm_factor</f>
        <v>666.56552830596</v>
      </c>
      <c r="I17" s="18" t="n">
        <f aca="false">tp_w_dcf*G17+(1-tp_w_dcf)*H17</f>
        <v>498.177961445552</v>
      </c>
      <c r="J17" s="21" t="n">
        <f aca="false">I17/I$4-1</f>
        <v>-0.0112472464920687</v>
      </c>
    </row>
    <row r="18" customFormat="false" ht="15" hidden="false" customHeight="false" outlineLevel="0" collapsed="false">
      <c r="A18" s="0" t="s">
        <v>866</v>
      </c>
      <c r="B18" s="0" t="s">
        <v>199</v>
      </c>
      <c r="D18" s="19" t="n">
        <f aca="false">E2122</f>
        <v>29.1635001036592</v>
      </c>
      <c r="E18" s="19" t="n">
        <f aca="false">F2122</f>
        <v>25.7317195013581</v>
      </c>
      <c r="F18" s="21" t="n">
        <f aca="false">E18/E$4-1</f>
        <v>0.003652873192036</v>
      </c>
      <c r="G18" s="18" t="n">
        <f aca="false">(tp_wA*MAX(0,E2073*(1-MIN(tp_g/tp_roe,0.8))/(1+tp_r)^1+F2073*(1-MIN(tp_g/tp_roe,0.8))/(1+tp_r)^2+G2073*(1-MIN(tp_g/tp_roe,0.8))/(1+tp_r)^3+H2073*(1-MIN(tp_g/tp_roe,0.8))/(1+tp_r)^4+I2073*(1-MIN(tp_g/tp_roe,0.8))/(1+tp_r)^5+J2073*(1-MIN(tp_g/tp_roe,0.8))/(1+tp_r)^6+J2073*(1-MIN(tp_g/tp_roe,0.8))*(1+tp_g)/(tp_r-tp_g)/(1+tp_r)^6)+tp_wB*MAX(0,E2122*(1-MIN(tp_g/tp_roe,0.8))/(1+tp_r)^1+F2122*(1-MIN(tp_g/tp_roe,0.8))/(1+tp_r)^2+G2122*(1-MIN(tp_g/tp_roe,0.8))/(1+tp_r)^3+H2122*(1-MIN(tp_g/tp_roe,0.8))/(1+tp_r)^4+I2122*(1-MIN(tp_g/tp_roe,0.8))/(1+tp_r)^5+J2122*(1-MIN(tp_g/tp_roe,0.8))/(1+tp_r)^6+J2122*(1-MIN(tp_g/tp_roe,0.8))*(1+tp_g)/(tp_r-tp_g)/(1+tp_r)^6)+tp_wC*MAX(0,E2171*(1-MIN(tp_g/tp_roe,0.8))/(1+tp_r)^1+F2171*(1-MIN(tp_g/tp_roe,0.8))/(1+tp_r)^2+G2171*(1-MIN(tp_g/tp_roe,0.8))/(1+tp_r)^3+H2171*(1-MIN(tp_g/tp_roe,0.8))/(1+tp_r)^4+I2171*(1-MIN(tp_g/tp_roe,0.8))/(1+tp_r)^5+J2171*(1-MIN(tp_g/tp_roe,0.8))/(1+tp_r)^6+J2171*(1-MIN(tp_g/tp_roe,0.8))*(1+tp_g)/(tp_r-tp_g)/(1+tp_r)^6))*(1+tp_r)</f>
        <v>339.915223945339</v>
      </c>
      <c r="H18" s="18" t="n">
        <f aca="false">Val!$B$33*(tp_wA*(2/12*E2073+10/12*F2073)+tp_wB*(2/12*E2122+10/12*F2122)+tp_wC*(2/12*E2171+10/12*F2171))*rm_factor</f>
        <v>673.441970235149</v>
      </c>
      <c r="I18" s="18" t="n">
        <f aca="false">tp_w_dcf*G18+(1-tp_w_dcf)*H18</f>
        <v>506.678597090244</v>
      </c>
      <c r="J18" s="21" t="n">
        <f aca="false">I18/I$4-1</f>
        <v>0.00562428848283769</v>
      </c>
    </row>
    <row r="19" customFormat="false" ht="17.15" hidden="false" customHeight="false" outlineLevel="0" collapsed="false">
      <c r="A19" s="0" t="s">
        <v>867</v>
      </c>
      <c r="B19" s="0" t="s">
        <v>203</v>
      </c>
      <c r="C19" s="4" t="s">
        <v>868</v>
      </c>
      <c r="D19" s="19" t="n">
        <f aca="false">E2269</f>
        <v>29.0769978466096</v>
      </c>
      <c r="E19" s="19" t="n">
        <f aca="false">F2269</f>
        <v>25.5289788669509</v>
      </c>
      <c r="F19" s="21" t="n">
        <f aca="false">E19/E$4-1</f>
        <v>-0.00425492403950334</v>
      </c>
      <c r="G19" s="18" t="n">
        <f aca="false">(tp_wA*MAX(0,E2220*(1-MIN(tp_g/tp_roe,0.8))/(1+tp_r)^1+F2220*(1-MIN(tp_g/tp_roe,0.8))/(1+tp_r)^2+G2220*(1-MIN(tp_g/tp_roe,0.8))/(1+tp_r)^3+H2220*(1-MIN(tp_g/tp_roe,0.8))/(1+tp_r)^4+I2220*(1-MIN(tp_g/tp_roe,0.8))/(1+tp_r)^5+J2220*(1-MIN(tp_g/tp_roe,0.8))/(1+tp_r)^6+J2220*(1-MIN(tp_g/tp_roe,0.8))*(1+tp_g)/(tp_r-tp_g)/(1+tp_r)^6)+tp_wB*MAX(0,E2269*(1-MIN(tp_g/tp_roe,0.8))/(1+tp_r)^1+F2269*(1-MIN(tp_g/tp_roe,0.8))/(1+tp_r)^2+G2269*(1-MIN(tp_g/tp_roe,0.8))/(1+tp_r)^3+H2269*(1-MIN(tp_g/tp_roe,0.8))/(1+tp_r)^4+I2269*(1-MIN(tp_g/tp_roe,0.8))/(1+tp_r)^5+J2269*(1-MIN(tp_g/tp_roe,0.8))/(1+tp_r)^6+J2269*(1-MIN(tp_g/tp_roe,0.8))*(1+tp_g)/(tp_r-tp_g)/(1+tp_r)^6)+tp_wC*MAX(0,E2318*(1-MIN(tp_g/tp_roe,0.8))/(1+tp_r)^1+F2318*(1-MIN(tp_g/tp_roe,0.8))/(1+tp_r)^2+G2318*(1-MIN(tp_g/tp_roe,0.8))/(1+tp_r)^3+H2318*(1-MIN(tp_g/tp_roe,0.8))/(1+tp_r)^4+I2318*(1-MIN(tp_g/tp_roe,0.8))/(1+tp_r)^5+J2318*(1-MIN(tp_g/tp_roe,0.8))/(1+tp_r)^6+J2318*(1-MIN(tp_g/tp_roe,0.8))*(1+tp_g)/(tp_r-tp_g)/(1+tp_r)^6))*(1+tp_r)</f>
        <v>325.687225156757</v>
      </c>
      <c r="H19" s="18" t="n">
        <f aca="false">Val!$B$33*(tp_wA*(2/12*E2220+10/12*F2220)+tp_wB*(2/12*E2269+10/12*F2269)+tp_wC*(2/12*E2318+10/12*F2318))*rm_factor</f>
        <v>668.903270364416</v>
      </c>
      <c r="I19" s="18" t="n">
        <f aca="false">tp_w_dcf*G19+(1-tp_w_dcf)*H19</f>
        <v>497.295247760586</v>
      </c>
      <c r="J19" s="21" t="n">
        <f aca="false">I19/I$4-1</f>
        <v>-0.0129992019258997</v>
      </c>
    </row>
    <row r="20" customFormat="false" ht="15" hidden="false" customHeight="false" outlineLevel="0" collapsed="false">
      <c r="A20" s="0" t="s">
        <v>869</v>
      </c>
      <c r="B20" s="0" t="s">
        <v>203</v>
      </c>
      <c r="D20" s="19" t="n">
        <f aca="false">E2416</f>
        <v>29.0769978466096</v>
      </c>
      <c r="E20" s="19" t="n">
        <f aca="false">F2416</f>
        <v>25.7035197103975</v>
      </c>
      <c r="F20" s="21" t="n">
        <f aca="false">E20/E$4-1</f>
        <v>0.00255295442370196</v>
      </c>
      <c r="G20" s="18" t="n">
        <f aca="false">(tp_wA*MAX(0,E2367*(1-MIN(tp_g/tp_roe,0.8))/(1+tp_r)^1+F2367*(1-MIN(tp_g/tp_roe,0.8))/(1+tp_r)^2+G2367*(1-MIN(tp_g/tp_roe,0.8))/(1+tp_r)^3+H2367*(1-MIN(tp_g/tp_roe,0.8))/(1+tp_r)^4+I2367*(1-MIN(tp_g/tp_roe,0.8))/(1+tp_r)^5+J2367*(1-MIN(tp_g/tp_roe,0.8))/(1+tp_r)^6+J2367*(1-MIN(tp_g/tp_roe,0.8))*(1+tp_g)/(tp_r-tp_g)/(1+tp_r)^6)+tp_wB*MAX(0,E2416*(1-MIN(tp_g/tp_roe,0.8))/(1+tp_r)^1+F2416*(1-MIN(tp_g/tp_roe,0.8))/(1+tp_r)^2+G2416*(1-MIN(tp_g/tp_roe,0.8))/(1+tp_r)^3+H2416*(1-MIN(tp_g/tp_roe,0.8))/(1+tp_r)^4+I2416*(1-MIN(tp_g/tp_roe,0.8))/(1+tp_r)^5+J2416*(1-MIN(tp_g/tp_roe,0.8))/(1+tp_r)^6+J2416*(1-MIN(tp_g/tp_roe,0.8))*(1+tp_g)/(tp_r-tp_g)/(1+tp_r)^6)+tp_wC*MAX(0,E2465*(1-MIN(tp_g/tp_roe,0.8))/(1+tp_r)^1+F2465*(1-MIN(tp_g/tp_roe,0.8))/(1+tp_r)^2+G2465*(1-MIN(tp_g/tp_roe,0.8))/(1+tp_r)^3+H2465*(1-MIN(tp_g/tp_roe,0.8))/(1+tp_r)^4+I2465*(1-MIN(tp_g/tp_roe,0.8))/(1+tp_r)^5+J2465*(1-MIN(tp_g/tp_roe,0.8))/(1+tp_r)^6+J2465*(1-MIN(tp_g/tp_roe,0.8))*(1+tp_g)/(tp_r-tp_g)/(1+tp_r)^6))*(1+tp_r)</f>
        <v>343.457409292301</v>
      </c>
      <c r="H20" s="18" t="n">
        <f aca="false">Val!$B$33*(tp_wA*(2/12*E2367+10/12*F2367)+tp_wB*(2/12*E2416+10/12*F2416)+tp_wC*(2/12*E2465+10/12*F2465))*rm_factor</f>
        <v>672.49819243608</v>
      </c>
      <c r="I20" s="18" t="n">
        <f aca="false">tp_w_dcf*G20+(1-tp_w_dcf)*H20</f>
        <v>507.977800864191</v>
      </c>
      <c r="J20" s="21" t="n">
        <f aca="false">I20/I$4-1</f>
        <v>0.00820286764184042</v>
      </c>
    </row>
    <row r="21" customFormat="false" ht="17.15" hidden="false" customHeight="false" outlineLevel="0" collapsed="false">
      <c r="A21" s="0" t="s">
        <v>870</v>
      </c>
      <c r="B21" s="0" t="s">
        <v>207</v>
      </c>
      <c r="C21" s="4" t="s">
        <v>871</v>
      </c>
      <c r="D21" s="19" t="n">
        <f aca="false">E2563</f>
        <v>28.4263967755584</v>
      </c>
      <c r="E21" s="19" t="n">
        <f aca="false">F2563</f>
        <v>24.9583344318128</v>
      </c>
      <c r="F21" s="21" t="n">
        <f aca="false">E21/E$4-1</f>
        <v>-0.0265126253511945</v>
      </c>
      <c r="G21" s="18" t="n">
        <f aca="false">(tp_wA*MAX(0,E2514*(1-MIN(tp_g/tp_roe,0.8))/(1+tp_r)^1+F2514*(1-MIN(tp_g/tp_roe,0.8))/(1+tp_r)^2+G2514*(1-MIN(tp_g/tp_roe,0.8))/(1+tp_r)^3+H2514*(1-MIN(tp_g/tp_roe,0.8))/(1+tp_r)^4+I2514*(1-MIN(tp_g/tp_roe,0.8))/(1+tp_r)^5+J2514*(1-MIN(tp_g/tp_roe,0.8))/(1+tp_r)^6+J2514*(1-MIN(tp_g/tp_roe,0.8))*(1+tp_g)/(tp_r-tp_g)/(1+tp_r)^6)+tp_wB*MAX(0,E2563*(1-MIN(tp_g/tp_roe,0.8))/(1+tp_r)^1+F2563*(1-MIN(tp_g/tp_roe,0.8))/(1+tp_r)^2+G2563*(1-MIN(tp_g/tp_roe,0.8))/(1+tp_r)^3+H2563*(1-MIN(tp_g/tp_roe,0.8))/(1+tp_r)^4+I2563*(1-MIN(tp_g/tp_roe,0.8))/(1+tp_r)^5+J2563*(1-MIN(tp_g/tp_roe,0.8))/(1+tp_r)^6+J2563*(1-MIN(tp_g/tp_roe,0.8))*(1+tp_g)/(tp_r-tp_g)/(1+tp_r)^6)+tp_wC*MAX(0,E2612*(1-MIN(tp_g/tp_roe,0.8))/(1+tp_r)^1+F2612*(1-MIN(tp_g/tp_roe,0.8))/(1+tp_r)^2+G2612*(1-MIN(tp_g/tp_roe,0.8))/(1+tp_r)^3+H2612*(1-MIN(tp_g/tp_roe,0.8))/(1+tp_r)^4+I2612*(1-MIN(tp_g/tp_roe,0.8))/(1+tp_r)^5+J2612*(1-MIN(tp_g/tp_roe,0.8))/(1+tp_r)^6+J2612*(1-MIN(tp_g/tp_roe,0.8))*(1+tp_g)/(tp_r-tp_g)/(1+tp_r)^6))*(1+tp_r)</f>
        <v>335.033835783406</v>
      </c>
      <c r="H21" s="18" t="n">
        <f aca="false">Val!$B$33*(tp_wA*(2/12*E2514+10/12*F2514)+tp_wB*(2/12*E2563+10/12*F2563)+tp_wC*(2/12*E2612+10/12*F2612))*rm_factor</f>
        <v>654.486132688078</v>
      </c>
      <c r="I21" s="18" t="n">
        <f aca="false">tp_w_dcf*G21+(1-tp_w_dcf)*H21</f>
        <v>494.759984235742</v>
      </c>
      <c r="J21" s="21" t="n">
        <f aca="false">I21/I$4-1</f>
        <v>-0.018031035899013</v>
      </c>
    </row>
    <row r="22" customFormat="false" ht="17.15" hidden="false" customHeight="false" outlineLevel="0" collapsed="false">
      <c r="A22" s="0" t="s">
        <v>872</v>
      </c>
      <c r="B22" s="0" t="s">
        <v>207</v>
      </c>
      <c r="D22" s="19" t="n">
        <f aca="false">E2710</f>
        <v>29.7275989176607</v>
      </c>
      <c r="E22" s="19" t="n">
        <f aca="false">F2710</f>
        <v>26.3177993563973</v>
      </c>
      <c r="F22" s="21" t="n">
        <f aca="false">E22/E$4-1</f>
        <v>0.0265126253511945</v>
      </c>
      <c r="G22" s="18" t="n">
        <f aca="false">(tp_wA*MAX(0,E2661*(1-MIN(tp_g/tp_roe,0.8))/(1+tp_r)^1+F2661*(1-MIN(tp_g/tp_roe,0.8))/(1+tp_r)^2+G2661*(1-MIN(tp_g/tp_roe,0.8))/(1+tp_r)^3+H2661*(1-MIN(tp_g/tp_roe,0.8))/(1+tp_r)^4+I2661*(1-MIN(tp_g/tp_roe,0.8))/(1+tp_r)^5+J2661*(1-MIN(tp_g/tp_roe,0.8))/(1+tp_r)^6+J2661*(1-MIN(tp_g/tp_roe,0.8))*(1+tp_g)/(tp_r-tp_g)/(1+tp_r)^6)+tp_wB*MAX(0,E2710*(1-MIN(tp_g/tp_roe,0.8))/(1+tp_r)^1+F2710*(1-MIN(tp_g/tp_roe,0.8))/(1+tp_r)^2+G2710*(1-MIN(tp_g/tp_roe,0.8))/(1+tp_r)^3+H2710*(1-MIN(tp_g/tp_roe,0.8))/(1+tp_r)^4+I2710*(1-MIN(tp_g/tp_roe,0.8))/(1+tp_r)^5+J2710*(1-MIN(tp_g/tp_roe,0.8))/(1+tp_r)^6+J2710*(1-MIN(tp_g/tp_roe,0.8))*(1+tp_g)/(tp_r-tp_g)/(1+tp_r)^6)+tp_wC*MAX(0,E2759*(1-MIN(tp_g/tp_roe,0.8))/(1+tp_r)^1+F2759*(1-MIN(tp_g/tp_roe,0.8))/(1+tp_r)^2+G2759*(1-MIN(tp_g/tp_roe,0.8))/(1+tp_r)^3+H2759*(1-MIN(tp_g/tp_roe,0.8))/(1+tp_r)^4+I2759*(1-MIN(tp_g/tp_roe,0.8))/(1+tp_r)^5+J2759*(1-MIN(tp_g/tp_roe,0.8))/(1+tp_r)^6+J2759*(1-MIN(tp_g/tp_roe,0.8))*(1+tp_g)/(tp_r-tp_g)/(1+tp_r)^6))*(1+tp_r)</f>
        <v>338.045284596574</v>
      </c>
      <c r="H22" s="18" t="n">
        <f aca="false">Val!$B$33*(tp_wA*(2/12*E2661+10/12*F2661)+tp_wB*(2/12*E2710+10/12*F2710)+tp_wC*(2/12*E2759+10/12*F2759))*rm_factor</f>
        <v>687.814060630334</v>
      </c>
      <c r="I22" s="18" t="n">
        <f aca="false">tp_w_dcf*G22+(1-tp_w_dcf)*H22</f>
        <v>512.929672613454</v>
      </c>
      <c r="J22" s="21" t="n">
        <f aca="false">I22/I$4-1</f>
        <v>0.018031035899013</v>
      </c>
    </row>
    <row r="23" customFormat="false" ht="17.15" hidden="false" customHeight="false" outlineLevel="0" collapsed="false">
      <c r="A23" s="4" t="s">
        <v>873</v>
      </c>
      <c r="B23" s="0" t="s">
        <v>112</v>
      </c>
      <c r="C23" s="0" t="s">
        <v>874</v>
      </c>
      <c r="D23" s="19" t="n">
        <f aca="false">E2857</f>
        <v>28.0793614801142</v>
      </c>
      <c r="E23" s="19" t="n">
        <f aca="false">F2857</f>
        <v>25.0832002571693</v>
      </c>
      <c r="F23" s="21" t="n">
        <f aca="false">E23/E$4-1</f>
        <v>-0.0216422961695022</v>
      </c>
      <c r="G23" s="18" t="n">
        <f aca="false">(tp_wA*MAX(0,E2808*(1-MIN(tp_g/tp_roe,0.8))/(1+tp_r)^1+F2808*(1-MIN(tp_g/tp_roe,0.8))/(1+tp_r)^2+G2808*(1-MIN(tp_g/tp_roe,0.8))/(1+tp_r)^3+H2808*(1-MIN(tp_g/tp_roe,0.8))/(1+tp_r)^4+I2808*(1-MIN(tp_g/tp_roe,0.8))/(1+tp_r)^5+J2808*(1-MIN(tp_g/tp_roe,0.8))/(1+tp_r)^6+J2808*(1-MIN(tp_g/tp_roe,0.8))*(1+tp_g)/(tp_r-tp_g)/(1+tp_r)^6)+tp_wB*MAX(0,E2857*(1-MIN(tp_g/tp_roe,0.8))/(1+tp_r)^1+F2857*(1-MIN(tp_g/tp_roe,0.8))/(1+tp_r)^2+G2857*(1-MIN(tp_g/tp_roe,0.8))/(1+tp_r)^3+H2857*(1-MIN(tp_g/tp_roe,0.8))/(1+tp_r)^4+I2857*(1-MIN(tp_g/tp_roe,0.8))/(1+tp_r)^5+J2857*(1-MIN(tp_g/tp_roe,0.8))/(1+tp_r)^6+J2857*(1-MIN(tp_g/tp_roe,0.8))*(1+tp_g)/(tp_r-tp_g)/(1+tp_r)^6)+tp_wC*MAX(0,E2906*(1-MIN(tp_g/tp_roe,0.8))/(1+tp_r)^1+F2906*(1-MIN(tp_g/tp_roe,0.8))/(1+tp_r)^2+G2906*(1-MIN(tp_g/tp_roe,0.8))/(1+tp_r)^3+H2906*(1-MIN(tp_g/tp_roe,0.8))/(1+tp_r)^4+I2906*(1-MIN(tp_g/tp_roe,0.8))/(1+tp_r)^5+J2906*(1-MIN(tp_g/tp_roe,0.8))/(1+tp_r)^6+J2906*(1-MIN(tp_g/tp_roe,0.8))*(1+tp_g)/(tp_r-tp_g)/(1+tp_r)^6))*(1+tp_r)</f>
        <v>330.526803919009</v>
      </c>
      <c r="H23" s="18" t="n">
        <f aca="false">Val!$B$33*(tp_wA*(2/12*E2808+10/12*F2808)+tp_wB*(2/12*E2857+10/12*F2857)+tp_wC*(2/12*E2906+10/12*F2906))*rm_factor</f>
        <v>654.495762294298</v>
      </c>
      <c r="I23" s="18" t="n">
        <f aca="false">tp_w_dcf*G23+(1-tp_w_dcf)*H23</f>
        <v>492.511283106653</v>
      </c>
      <c r="J23" s="21" t="n">
        <f aca="false">I23/I$4-1</f>
        <v>-0.0224941185828619</v>
      </c>
    </row>
    <row r="24" customFormat="false" ht="17.15" hidden="false" customHeight="false" outlineLevel="0" collapsed="false">
      <c r="A24" s="4" t="s">
        <v>875</v>
      </c>
      <c r="B24" s="0" t="s">
        <v>112</v>
      </c>
      <c r="C24" s="0" t="s">
        <v>876</v>
      </c>
      <c r="D24" s="19" t="n">
        <f aca="false">E3004</f>
        <v>29.7420887576065</v>
      </c>
      <c r="E24" s="19" t="n">
        <f aca="false">F3004</f>
        <v>26.0079614259898</v>
      </c>
      <c r="F24" s="21" t="n">
        <f aca="false">E24/E$4-1</f>
        <v>0.0144275515549801</v>
      </c>
      <c r="G24" s="18" t="n">
        <f aca="false">(tp_wA*MAX(0,E2955*(1-MIN(tp_g/tp_roe,0.8))/(1+tp_r)^1+F2955*(1-MIN(tp_g/tp_roe,0.8))/(1+tp_r)^2+G2955*(1-MIN(tp_g/tp_roe,0.8))/(1+tp_r)^3+H2955*(1-MIN(tp_g/tp_roe,0.8))/(1+tp_r)^4+I2955*(1-MIN(tp_g/tp_roe,0.8))/(1+tp_r)^5+J2955*(1-MIN(tp_g/tp_roe,0.8))/(1+tp_r)^6+J2955*(1-MIN(tp_g/tp_roe,0.8))*(1+tp_g)/(tp_r-tp_g)/(1+tp_r)^6)+tp_wB*MAX(0,E3004*(1-MIN(tp_g/tp_roe,0.8))/(1+tp_r)^1+F3004*(1-MIN(tp_g/tp_roe,0.8))/(1+tp_r)^2+G3004*(1-MIN(tp_g/tp_roe,0.8))/(1+tp_r)^3+H3004*(1-MIN(tp_g/tp_roe,0.8))/(1+tp_r)^4+I3004*(1-MIN(tp_g/tp_roe,0.8))/(1+tp_r)^5+J3004*(1-MIN(tp_g/tp_roe,0.8))/(1+tp_r)^6+J3004*(1-MIN(tp_g/tp_roe,0.8))*(1+tp_g)/(tp_r-tp_g)/(1+tp_r)^6)+tp_wC*MAX(0,E3053*(1-MIN(tp_g/tp_roe,0.8))/(1+tp_r)^1+F3053*(1-MIN(tp_g/tp_roe,0.8))/(1+tp_r)^2+G3053*(1-MIN(tp_g/tp_roe,0.8))/(1+tp_r)^3+H3053*(1-MIN(tp_g/tp_roe,0.8))/(1+tp_r)^4+I3053*(1-MIN(tp_g/tp_roe,0.8))/(1+tp_r)^5+J3053*(1-MIN(tp_g/tp_roe,0.8))/(1+tp_r)^6+J3053*(1-MIN(tp_g/tp_roe,0.8))*(1+tp_g)/(tp_r-tp_g)/(1+tp_r)^6))*(1+tp_r)</f>
        <v>340.549896664151</v>
      </c>
      <c r="H24" s="18" t="n">
        <f aca="false">Val!$B$33*(tp_wA*(2/12*E2955+10/12*F2955)+tp_wB*(2/12*E3004+10/12*F3004)+tp_wC*(2/12*E3053+10/12*F3053))*rm_factor</f>
        <v>682.252997117009</v>
      </c>
      <c r="I24" s="18" t="n">
        <f aca="false">tp_w_dcf*G24+(1-tp_w_dcf)*H24</f>
        <v>511.40144689058</v>
      </c>
      <c r="J24" s="21" t="n">
        <f aca="false">I24/I$4-1</f>
        <v>0.0149979081647211</v>
      </c>
    </row>
    <row r="25" customFormat="false" ht="17.15" hidden="false" customHeight="false" outlineLevel="0" collapsed="false">
      <c r="A25" s="4" t="s">
        <v>877</v>
      </c>
      <c r="B25" s="0" t="s">
        <v>219</v>
      </c>
      <c r="C25" s="4" t="s">
        <v>878</v>
      </c>
      <c r="D25" s="19" t="n">
        <f aca="false">E3151</f>
        <v>29.0769978466096</v>
      </c>
      <c r="E25" s="19" t="n">
        <f aca="false">F3151</f>
        <v>26.7604620874584</v>
      </c>
      <c r="F25" s="21" t="n">
        <f aca="false">E25/E$4-1</f>
        <v>0.0437784641872296</v>
      </c>
      <c r="G25" s="18" t="n">
        <f aca="false">(tp_wA*MAX(0,E3102*(1-MIN(tp_g/tp_roe,0.8))/(1+tp_r)^1+F3102*(1-MIN(tp_g/tp_roe,0.8))/(1+tp_r)^2+G3102*(1-MIN(tp_g/tp_roe,0.8))/(1+tp_r)^3+H3102*(1-MIN(tp_g/tp_roe,0.8))/(1+tp_r)^4+I3102*(1-MIN(tp_g/tp_roe,0.8))/(1+tp_r)^5+J3102*(1-MIN(tp_g/tp_roe,0.8))/(1+tp_r)^6+J3102*(1-MIN(tp_g/tp_roe,0.8))*(1+tp_g)/(tp_r-tp_g)/(1+tp_r)^6)+tp_wB*MAX(0,E3151*(1-MIN(tp_g/tp_roe,0.8))/(1+tp_r)^1+F3151*(1-MIN(tp_g/tp_roe,0.8))/(1+tp_r)^2+G3151*(1-MIN(tp_g/tp_roe,0.8))/(1+tp_r)^3+H3151*(1-MIN(tp_g/tp_roe,0.8))/(1+tp_r)^4+I3151*(1-MIN(tp_g/tp_roe,0.8))/(1+tp_r)^5+J3151*(1-MIN(tp_g/tp_roe,0.8))/(1+tp_r)^6+J3151*(1-MIN(tp_g/tp_roe,0.8))*(1+tp_g)/(tp_r-tp_g)/(1+tp_r)^6)+tp_wC*MAX(0,E3200*(1-MIN(tp_g/tp_roe,0.8))/(1+tp_r)^1+F3200*(1-MIN(tp_g/tp_roe,0.8))/(1+tp_r)^2+G3200*(1-MIN(tp_g/tp_roe,0.8))/(1+tp_r)^3+H3200*(1-MIN(tp_g/tp_roe,0.8))/(1+tp_r)^4+I3200*(1-MIN(tp_g/tp_roe,0.8))/(1+tp_r)^5+J3200*(1-MIN(tp_g/tp_roe,0.8))/(1+tp_r)^6+J3200*(1-MIN(tp_g/tp_roe,0.8))*(1+tp_g)/(tp_r-tp_g)/(1+tp_r)^6))*(1+tp_r)</f>
        <v>338.1616780362</v>
      </c>
      <c r="H25" s="18" t="n">
        <f aca="false">Val!$B$33*(tp_wA*(2/12*E3102+10/12*F3102)+tp_wB*(2/12*E3151+10/12*F3151)+tp_wC*(2/12*E3200+10/12*F3200))*rm_factor</f>
        <v>694.245103450049</v>
      </c>
      <c r="I25" s="18" t="n">
        <f aca="false">tp_w_dcf*G25+(1-tp_w_dcf)*H25</f>
        <v>516.203390743125</v>
      </c>
      <c r="J25" s="21" t="n">
        <f aca="false">I25/I$4-1</f>
        <v>0.0245285088211957</v>
      </c>
    </row>
    <row r="26" customFormat="false" ht="17.15" hidden="false" customHeight="false" outlineLevel="0" collapsed="false">
      <c r="A26" s="4" t="s">
        <v>879</v>
      </c>
      <c r="B26" s="0" t="s">
        <v>219</v>
      </c>
      <c r="D26" s="19" t="n">
        <f aca="false">E3298</f>
        <v>29.0769978466096</v>
      </c>
      <c r="E26" s="19" t="n">
        <f aca="false">F3298</f>
        <v>24.1415399696339</v>
      </c>
      <c r="F26" s="21" t="n">
        <f aca="false">E26/E$4-1</f>
        <v>-0.058371285582973</v>
      </c>
      <c r="G26" s="18" t="n">
        <f aca="false">(tp_wA*MAX(0,E3249*(1-MIN(tp_g/tp_roe,0.8))/(1+tp_r)^1+F3249*(1-MIN(tp_g/tp_roe,0.8))/(1+tp_r)^2+G3249*(1-MIN(tp_g/tp_roe,0.8))/(1+tp_r)^3+H3249*(1-MIN(tp_g/tp_roe,0.8))/(1+tp_r)^4+I3249*(1-MIN(tp_g/tp_roe,0.8))/(1+tp_r)^5+J3249*(1-MIN(tp_g/tp_roe,0.8))/(1+tp_r)^6+J3249*(1-MIN(tp_g/tp_roe,0.8))*(1+tp_g)/(tp_r-tp_g)/(1+tp_r)^6)+tp_wB*MAX(0,E3298*(1-MIN(tp_g/tp_roe,0.8))/(1+tp_r)^1+F3298*(1-MIN(tp_g/tp_roe,0.8))/(1+tp_r)^2+G3298*(1-MIN(tp_g/tp_roe,0.8))/(1+tp_r)^3+H3298*(1-MIN(tp_g/tp_roe,0.8))/(1+tp_r)^4+I3298*(1-MIN(tp_g/tp_roe,0.8))/(1+tp_r)^5+J3298*(1-MIN(tp_g/tp_roe,0.8))/(1+tp_r)^6+J3298*(1-MIN(tp_g/tp_roe,0.8))*(1+tp_g)/(tp_r-tp_g)/(1+tp_r)^6)+tp_wC*MAX(0,E3347*(1-MIN(tp_g/tp_roe,0.8))/(1+tp_r)^1+F3347*(1-MIN(tp_g/tp_roe,0.8))/(1+tp_r)^2+G3347*(1-MIN(tp_g/tp_roe,0.8))/(1+tp_r)^3+H3347*(1-MIN(tp_g/tp_roe,0.8))/(1+tp_r)^4+I3347*(1-MIN(tp_g/tp_roe,0.8))/(1+tp_r)^5+J3347*(1-MIN(tp_g/tp_roe,0.8))/(1+tp_r)^6+J3347*(1-MIN(tp_g/tp_roe,0.8))*(1+tp_g)/(tp_r-tp_g)/(1+tp_r)^6))*(1+tp_r)</f>
        <v>334.376736395043</v>
      </c>
      <c r="H26" s="18" t="n">
        <f aca="false">Val!$B$33*(tp_wA*(2/12*E3249+10/12*F3249)+tp_wB*(2/12*E3298+10/12*F3298)+tp_wC*(2/12*E3347+10/12*F3347))*rm_factor</f>
        <v>640.356754271415</v>
      </c>
      <c r="I26" s="18" t="n">
        <f aca="false">tp_w_dcf*G26+(1-tp_w_dcf)*H26</f>
        <v>487.366745333229</v>
      </c>
      <c r="J26" s="21" t="n">
        <f aca="false">I26/I$4-1</f>
        <v>-0.0327046784282613</v>
      </c>
    </row>
    <row r="27" customFormat="false" ht="17.15" hidden="false" customHeight="false" outlineLevel="0" collapsed="false">
      <c r="A27" s="4" t="s">
        <v>880</v>
      </c>
      <c r="B27" s="0" t="s">
        <v>223</v>
      </c>
      <c r="C27" s="0" t="s">
        <v>881</v>
      </c>
      <c r="D27" s="19" t="n">
        <f aca="false">E3445</f>
        <v>29.0769978466096</v>
      </c>
      <c r="E27" s="19" t="n">
        <f aca="false">F3445</f>
        <v>25.638066894105</v>
      </c>
      <c r="F27" s="21" t="n">
        <f aca="false">E27/E$4-1</f>
        <v>0</v>
      </c>
      <c r="G27" s="18" t="n">
        <f aca="false">(tp_wA*MAX(0,E3396*(1-MIN(tp_g/tp_roe,0.8))/(1+tp_r)^1+F3396*(1-MIN(tp_g/tp_roe,0.8))/(1+tp_r)^2+G3396*(1-MIN(tp_g/tp_roe,0.8))/(1+tp_r)^3+H3396*(1-MIN(tp_g/tp_roe,0.8))/(1+tp_r)^4+I3396*(1-MIN(tp_g/tp_roe,0.8))/(1+tp_r)^5+J3396*(1-MIN(tp_g/tp_roe,0.8))/(1+tp_r)^6+J3396*(1-MIN(tp_g/tp_roe,0.8))*(1+tp_g)/(tp_r-tp_g)/(1+tp_r)^6)+tp_wB*MAX(0,E3445*(1-MIN(tp_g/tp_roe,0.8))/(1+tp_r)^1+F3445*(1-MIN(tp_g/tp_roe,0.8))/(1+tp_r)^2+G3445*(1-MIN(tp_g/tp_roe,0.8))/(1+tp_r)^3+H3445*(1-MIN(tp_g/tp_roe,0.8))/(1+tp_r)^4+I3445*(1-MIN(tp_g/tp_roe,0.8))/(1+tp_r)^5+J3445*(1-MIN(tp_g/tp_roe,0.8))/(1+tp_r)^6+J3445*(1-MIN(tp_g/tp_roe,0.8))*(1+tp_g)/(tp_r-tp_g)/(1+tp_r)^6)+tp_wC*MAX(0,E3494*(1-MIN(tp_g/tp_roe,0.8))/(1+tp_r)^1+F3494*(1-MIN(tp_g/tp_roe,0.8))/(1+tp_r)^2+G3494*(1-MIN(tp_g/tp_roe,0.8))/(1+tp_r)^3+H3494*(1-MIN(tp_g/tp_roe,0.8))/(1+tp_r)^4+I3494*(1-MIN(tp_g/tp_roe,0.8))/(1+tp_r)^5+J3494*(1-MIN(tp_g/tp_roe,0.8))/(1+tp_r)^6+J3494*(1-MIN(tp_g/tp_roe,0.8))*(1+tp_g)/(tp_r-tp_g)/(1+tp_r)^6))*(1+tp_r)</f>
        <v>338.732570022084</v>
      </c>
      <c r="H27" s="18" t="n">
        <f aca="false">Val!$B$33*(tp_wA*(2/12*E3396+10/12*F3396)+tp_wB*(2/12*E3445+10/12*F3445)+tp_wC*(2/12*E3494+10/12*F3494))*rm_factor</f>
        <v>671.150096659206</v>
      </c>
      <c r="I27" s="18" t="n">
        <f aca="false">tp_w_dcf*G27+(1-tp_w_dcf)*H27</f>
        <v>504.941333340645</v>
      </c>
      <c r="J27" s="21" t="n">
        <f aca="false">I27/I$4-1</f>
        <v>0.00217627502395024</v>
      </c>
    </row>
    <row r="28" customFormat="false" ht="17.15" hidden="false" customHeight="false" outlineLevel="0" collapsed="false">
      <c r="A28" s="4" t="s">
        <v>882</v>
      </c>
      <c r="B28" s="0" t="s">
        <v>223</v>
      </c>
      <c r="D28" s="19" t="n">
        <f aca="false">E3592</f>
        <v>29.0769978466096</v>
      </c>
      <c r="E28" s="19" t="n">
        <f aca="false">F3592</f>
        <v>25.638066894105</v>
      </c>
      <c r="F28" s="21" t="n">
        <f aca="false">E28/E$4-1</f>
        <v>0</v>
      </c>
      <c r="G28" s="18" t="n">
        <f aca="false">(tp_wA*MAX(0,E3543*(1-MIN(tp_g/tp_roe,0.8))/(1+tp_r)^1+F3543*(1-MIN(tp_g/tp_roe,0.8))/(1+tp_r)^2+G3543*(1-MIN(tp_g/tp_roe,0.8))/(1+tp_r)^3+H3543*(1-MIN(tp_g/tp_roe,0.8))/(1+tp_r)^4+I3543*(1-MIN(tp_g/tp_roe,0.8))/(1+tp_r)^5+J3543*(1-MIN(tp_g/tp_roe,0.8))/(1+tp_r)^6+J3543*(1-MIN(tp_g/tp_roe,0.8))*(1+tp_g)/(tp_r-tp_g)/(1+tp_r)^6)+tp_wB*MAX(0,E3592*(1-MIN(tp_g/tp_roe,0.8))/(1+tp_r)^1+F3592*(1-MIN(tp_g/tp_roe,0.8))/(1+tp_r)^2+G3592*(1-MIN(tp_g/tp_roe,0.8))/(1+tp_r)^3+H3592*(1-MIN(tp_g/tp_roe,0.8))/(1+tp_r)^4+I3592*(1-MIN(tp_g/tp_roe,0.8))/(1+tp_r)^5+J3592*(1-MIN(tp_g/tp_roe,0.8))/(1+tp_r)^6+J3592*(1-MIN(tp_g/tp_roe,0.8))*(1+tp_g)/(tp_r-tp_g)/(1+tp_r)^6)+tp_wC*MAX(0,E3641*(1-MIN(tp_g/tp_roe,0.8))/(1+tp_r)^1+F3641*(1-MIN(tp_g/tp_roe,0.8))/(1+tp_r)^2+G3641*(1-MIN(tp_g/tp_roe,0.8))/(1+tp_r)^3+H3641*(1-MIN(tp_g/tp_roe,0.8))/(1+tp_r)^4+I3641*(1-MIN(tp_g/tp_roe,0.8))/(1+tp_r)^5+J3641*(1-MIN(tp_g/tp_roe,0.8))/(1+tp_r)^6+J3641*(1-MIN(tp_g/tp_roe,0.8))*(1+tp_g)/(tp_r-tp_g)/(1+tp_r)^6))*(1+tp_r)</f>
        <v>334.346550357896</v>
      </c>
      <c r="H28" s="18" t="n">
        <f aca="false">Val!$B$33*(tp_wA*(2/12*E3543+10/12*F3543)+tp_wB*(2/12*E3592+10/12*F3592)+tp_wC*(2/12*E3641+10/12*F3641))*rm_factor</f>
        <v>671.150096659206</v>
      </c>
      <c r="I28" s="18" t="n">
        <f aca="false">tp_w_dcf*G28+(1-tp_w_dcf)*H28</f>
        <v>502.748323508551</v>
      </c>
      <c r="J28" s="21" t="n">
        <f aca="false">I28/I$4-1</f>
        <v>-0.00217627502395013</v>
      </c>
    </row>
    <row r="29" customFormat="false" ht="17.15" hidden="false" customHeight="false" outlineLevel="0" collapsed="false">
      <c r="A29" s="4" t="s">
        <v>883</v>
      </c>
      <c r="B29" s="0" t="s">
        <v>227</v>
      </c>
      <c r="C29" s="4" t="s">
        <v>884</v>
      </c>
      <c r="D29" s="19" t="n">
        <f aca="false">E3739</f>
        <v>26.9641307511092</v>
      </c>
      <c r="E29" s="19" t="n">
        <f aca="false">F3739</f>
        <v>21.6634479204651</v>
      </c>
      <c r="F29" s="21" t="n">
        <f aca="false">E29/E$4-1</f>
        <v>-0.155028028831369</v>
      </c>
      <c r="G29" s="18" t="n">
        <f aca="false">(tp_wA*MAX(0,E3690*(1-MIN(tp_g/tp_roe,0.8))/(1+tp_r)^1+F3690*(1-MIN(tp_g/tp_roe,0.8))/(1+tp_r)^2+G3690*(1-MIN(tp_g/tp_roe,0.8))/(1+tp_r)^3+H3690*(1-MIN(tp_g/tp_roe,0.8))/(1+tp_r)^4+I3690*(1-MIN(tp_g/tp_roe,0.8))/(1+tp_r)^5+J3690*(1-MIN(tp_g/tp_roe,0.8))/(1+tp_r)^6+J3690*(1-MIN(tp_g/tp_roe,0.8))*(1+tp_g)/(tp_r-tp_g)/(1+tp_r)^6)+tp_wB*MAX(0,E3739*(1-MIN(tp_g/tp_roe,0.8))/(1+tp_r)^1+F3739*(1-MIN(tp_g/tp_roe,0.8))/(1+tp_r)^2+G3739*(1-MIN(tp_g/tp_roe,0.8))/(1+tp_r)^3+H3739*(1-MIN(tp_g/tp_roe,0.8))/(1+tp_r)^4+I3739*(1-MIN(tp_g/tp_roe,0.8))/(1+tp_r)^5+J3739*(1-MIN(tp_g/tp_roe,0.8))/(1+tp_r)^6+J3739*(1-MIN(tp_g/tp_roe,0.8))*(1+tp_g)/(tp_r-tp_g)/(1+tp_r)^6)+tp_wC*MAX(0,E3788*(1-MIN(tp_g/tp_roe,0.8))/(1+tp_r)^1+F3788*(1-MIN(tp_g/tp_roe,0.8))/(1+tp_r)^2+G3788*(1-MIN(tp_g/tp_roe,0.8))/(1+tp_r)^3+H3788*(1-MIN(tp_g/tp_roe,0.8))/(1+tp_r)^4+I3788*(1-MIN(tp_g/tp_roe,0.8))/(1+tp_r)^5+J3788*(1-MIN(tp_g/tp_roe,0.8))/(1+tp_r)^6+J3788*(1-MIN(tp_g/tp_roe,0.8))*(1+tp_g)/(tp_r-tp_g)/(1+tp_r)^6))*(1+tp_r)</f>
        <v>328.217451191511</v>
      </c>
      <c r="H29" s="18" t="n">
        <f aca="false">Val!$B$33*(tp_wA*(2/12*E3690+10/12*F3690)+tp_wB*(2/12*E3739+10/12*F3739)+tp_wC*(2/12*E3788+10/12*F3788))*rm_factor</f>
        <v>580.671102475738</v>
      </c>
      <c r="I29" s="18" t="n">
        <f aca="false">tp_w_dcf*G29+(1-tp_w_dcf)*H29</f>
        <v>454.444276833625</v>
      </c>
      <c r="J29" s="21" t="n">
        <f aca="false">I29/I$4-1</f>
        <v>-0.0980471542110236</v>
      </c>
    </row>
    <row r="30" customFormat="false" ht="17.15" hidden="false" customHeight="false" outlineLevel="0" collapsed="false">
      <c r="A30" s="4" t="s">
        <v>885</v>
      </c>
      <c r="B30" s="0" t="s">
        <v>227</v>
      </c>
      <c r="D30" s="19" t="n">
        <f aca="false">E3886</f>
        <v>31.1898649421099</v>
      </c>
      <c r="E30" s="19" t="n">
        <f aca="false">F3886</f>
        <v>29.7878821443204</v>
      </c>
      <c r="F30" s="21" t="n">
        <f aca="false">E30/E$4-1</f>
        <v>0.161861472136557</v>
      </c>
      <c r="G30" s="18" t="n">
        <f aca="false">(tp_wA*MAX(0,E3837*(1-MIN(tp_g/tp_roe,0.8))/(1+tp_r)^1+F3837*(1-MIN(tp_g/tp_roe,0.8))/(1+tp_r)^2+G3837*(1-MIN(tp_g/tp_roe,0.8))/(1+tp_r)^3+H3837*(1-MIN(tp_g/tp_roe,0.8))/(1+tp_r)^4+I3837*(1-MIN(tp_g/tp_roe,0.8))/(1+tp_r)^5+J3837*(1-MIN(tp_g/tp_roe,0.8))/(1+tp_r)^6+J3837*(1-MIN(tp_g/tp_roe,0.8))*(1+tp_g)/(tp_r-tp_g)/(1+tp_r)^6)+tp_wB*MAX(0,E3886*(1-MIN(tp_g/tp_roe,0.8))/(1+tp_r)^1+F3886*(1-MIN(tp_g/tp_roe,0.8))/(1+tp_r)^2+G3886*(1-MIN(tp_g/tp_roe,0.8))/(1+tp_r)^3+H3886*(1-MIN(tp_g/tp_roe,0.8))/(1+tp_r)^4+I3886*(1-MIN(tp_g/tp_roe,0.8))/(1+tp_r)^5+J3886*(1-MIN(tp_g/tp_roe,0.8))/(1+tp_r)^6+J3886*(1-MIN(tp_g/tp_roe,0.8))*(1+tp_g)/(tp_r-tp_g)/(1+tp_r)^6)+tp_wC*MAX(0,E3935*(1-MIN(tp_g/tp_roe,0.8))/(1+tp_r)^1+F3935*(1-MIN(tp_g/tp_roe,0.8))/(1+tp_r)^2+G3935*(1-MIN(tp_g/tp_roe,0.8))/(1+tp_r)^3+H3935*(1-MIN(tp_g/tp_roe,0.8))/(1+tp_r)^4+I3935*(1-MIN(tp_g/tp_roe,0.8))/(1+tp_r)^5+J3935*(1-MIN(tp_g/tp_roe,0.8))/(1+tp_r)^6+J3935*(1-MIN(tp_g/tp_roe,0.8))*(1+tp_g)/(tp_r-tp_g)/(1+tp_r)^6))*(1+tp_r)</f>
        <v>345.455847407212</v>
      </c>
      <c r="H30" s="18" t="n">
        <f aca="false">Val!$B$33*(tp_wA*(2/12*E3837+10/12*F3837)+tp_wB*(2/12*E3886+10/12*F3886)+tp_wC*(2/12*E3935+10/12*F3935))*rm_factor</f>
        <v>765.234023598268</v>
      </c>
      <c r="I30" s="18" t="n">
        <f aca="false">tp_w_dcf*G30+(1-tp_w_dcf)*H30</f>
        <v>555.34493550274</v>
      </c>
      <c r="J30" s="21" t="n">
        <f aca="false">I30/I$4-1</f>
        <v>0.102214221865034</v>
      </c>
    </row>
    <row r="31" customFormat="false" ht="17.15" hidden="false" customHeight="false" outlineLevel="0" collapsed="false">
      <c r="A31" s="4" t="s">
        <v>886</v>
      </c>
      <c r="B31" s="0" t="s">
        <v>237</v>
      </c>
      <c r="C31" s="4" t="s">
        <v>887</v>
      </c>
      <c r="D31" s="19" t="n">
        <f aca="false">E4033</f>
        <v>25.4665345540669</v>
      </c>
      <c r="E31" s="19" t="n">
        <f aca="false">F4033</f>
        <v>21.3179986326321</v>
      </c>
      <c r="F31" s="21" t="n">
        <f aca="false">E31/E$4-1</f>
        <v>-0.16850210584583</v>
      </c>
      <c r="G31" s="18" t="n">
        <f aca="false">(tp_wA*MAX(0,E3984*(1-MIN(tp_g/tp_roe,0.8))/(1+tp_r)^1+F3984*(1-MIN(tp_g/tp_roe,0.8))/(1+tp_r)^2+G3984*(1-MIN(tp_g/tp_roe,0.8))/(1+tp_r)^3+H3984*(1-MIN(tp_g/tp_roe,0.8))/(1+tp_r)^4+I3984*(1-MIN(tp_g/tp_roe,0.8))/(1+tp_r)^5+J3984*(1-MIN(tp_g/tp_roe,0.8))/(1+tp_r)^6+J3984*(1-MIN(tp_g/tp_roe,0.8))*(1+tp_g)/(tp_r-tp_g)/(1+tp_r)^6)+tp_wB*MAX(0,E4033*(1-MIN(tp_g/tp_roe,0.8))/(1+tp_r)^1+F4033*(1-MIN(tp_g/tp_roe,0.8))/(1+tp_r)^2+G4033*(1-MIN(tp_g/tp_roe,0.8))/(1+tp_r)^3+H4033*(1-MIN(tp_g/tp_roe,0.8))/(1+tp_r)^4+I4033*(1-MIN(tp_g/tp_roe,0.8))/(1+tp_r)^5+J4033*(1-MIN(tp_g/tp_roe,0.8))/(1+tp_r)^6+J4033*(1-MIN(tp_g/tp_roe,0.8))*(1+tp_g)/(tp_r-tp_g)/(1+tp_r)^6)+tp_wC*MAX(0,E4082*(1-MIN(tp_g/tp_roe,0.8))/(1+tp_r)^1+F4082*(1-MIN(tp_g/tp_roe,0.8))/(1+tp_r)^2+G4082*(1-MIN(tp_g/tp_roe,0.8))/(1+tp_r)^3+H4082*(1-MIN(tp_g/tp_roe,0.8))/(1+tp_r)^4+I4082*(1-MIN(tp_g/tp_roe,0.8))/(1+tp_r)^5+J4082*(1-MIN(tp_g/tp_roe,0.8))/(1+tp_r)^6+J4082*(1-MIN(tp_g/tp_roe,0.8))*(1+tp_g)/(tp_r-tp_g)/(1+tp_r)^6))*(1+tp_r)</f>
        <v>324.871345215915</v>
      </c>
      <c r="H31" s="18" t="n">
        <f aca="false">Val!$B$33*(tp_wA*(2/12*E3984+10/12*F3984)+tp_wB*(2/12*E4033+10/12*F4033)+tp_wC*(2/12*E4082+10/12*F4082))*rm_factor</f>
        <v>562.066597298187</v>
      </c>
      <c r="I31" s="18" t="n">
        <f aca="false">tp_w_dcf*G31+(1-tp_w_dcf)*H31</f>
        <v>443.468971257051</v>
      </c>
      <c r="J31" s="21" t="n">
        <f aca="false">I31/I$4-1</f>
        <v>-0.119830260749778</v>
      </c>
    </row>
    <row r="32" customFormat="false" ht="17.15" hidden="false" customHeight="false" outlineLevel="0" collapsed="false">
      <c r="A32" s="4" t="s">
        <v>888</v>
      </c>
      <c r="B32" s="0" t="s">
        <v>237</v>
      </c>
      <c r="D32" s="19" t="n">
        <f aca="false">E4180</f>
        <v>32.6874611391523</v>
      </c>
      <c r="E32" s="19" t="n">
        <f aca="false">F4180</f>
        <v>29.958135155578</v>
      </c>
      <c r="F32" s="21" t="n">
        <f aca="false">E32/E$4-1</f>
        <v>0.16850210584583</v>
      </c>
      <c r="G32" s="18" t="n">
        <f aca="false">(tp_wA*MAX(0,E4131*(1-MIN(tp_g/tp_roe,0.8))/(1+tp_r)^1+F4131*(1-MIN(tp_g/tp_roe,0.8))/(1+tp_r)^2+G4131*(1-MIN(tp_g/tp_roe,0.8))/(1+tp_r)^3+H4131*(1-MIN(tp_g/tp_roe,0.8))/(1+tp_r)^4+I4131*(1-MIN(tp_g/tp_roe,0.8))/(1+tp_r)^5+J4131*(1-MIN(tp_g/tp_roe,0.8))/(1+tp_r)^6+J4131*(1-MIN(tp_g/tp_roe,0.8))*(1+tp_g)/(tp_r-tp_g)/(1+tp_r)^6)+tp_wB*MAX(0,E4180*(1-MIN(tp_g/tp_roe,0.8))/(1+tp_r)^1+F4180*(1-MIN(tp_g/tp_roe,0.8))/(1+tp_r)^2+G4180*(1-MIN(tp_g/tp_roe,0.8))/(1+tp_r)^3+H4180*(1-MIN(tp_g/tp_roe,0.8))/(1+tp_r)^4+I4180*(1-MIN(tp_g/tp_roe,0.8))/(1+tp_r)^5+J4180*(1-MIN(tp_g/tp_roe,0.8))/(1+tp_r)^6+J4180*(1-MIN(tp_g/tp_roe,0.8))*(1+tp_g)/(tp_r-tp_g)/(1+tp_r)^6)+tp_wC*MAX(0,E4229*(1-MIN(tp_g/tp_roe,0.8))/(1+tp_r)^1+F4229*(1-MIN(tp_g/tp_roe,0.8))/(1+tp_r)^2+G4229*(1-MIN(tp_g/tp_roe,0.8))/(1+tp_r)^3+H4229*(1-MIN(tp_g/tp_roe,0.8))/(1+tp_r)^4+I4229*(1-MIN(tp_g/tp_roe,0.8))/(1+tp_r)^5+J4229*(1-MIN(tp_g/tp_roe,0.8))/(1+tp_r)^6+J4229*(1-MIN(tp_g/tp_roe,0.8))*(1+tp_g)/(tp_r-tp_g)/(1+tp_r)^6))*(1+tp_r)</f>
        <v>348.207775164065</v>
      </c>
      <c r="H32" s="18" t="n">
        <f aca="false">Val!$B$33*(tp_wA*(2/12*E4131+10/12*F4131)+tp_wB*(2/12*E4180+10/12*F4180)+tp_wC*(2/12*E4229+10/12*F4229))*rm_factor</f>
        <v>780.233596020225</v>
      </c>
      <c r="I32" s="18" t="n">
        <f aca="false">tp_w_dcf*G32+(1-tp_w_dcf)*H32</f>
        <v>564.220685592145</v>
      </c>
      <c r="J32" s="21" t="n">
        <f aca="false">I32/I$4-1</f>
        <v>0.119830260749778</v>
      </c>
    </row>
    <row r="33" customFormat="false" ht="17.15" hidden="false" customHeight="false" outlineLevel="0" collapsed="false">
      <c r="A33" s="4" t="s">
        <v>889</v>
      </c>
      <c r="B33" s="0" t="s">
        <v>241</v>
      </c>
      <c r="C33" s="4" t="s">
        <v>890</v>
      </c>
      <c r="D33" s="19" t="n">
        <f aca="false">E4327</f>
        <v>30.2254736160053</v>
      </c>
      <c r="E33" s="19" t="n">
        <f aca="false">F4327</f>
        <v>27.0623085846813</v>
      </c>
      <c r="F33" s="21" t="n">
        <f aca="false">E33/E$4-1</f>
        <v>0.0555518361216116</v>
      </c>
      <c r="G33" s="18" t="n">
        <f aca="false">(tp_wA*MAX(0,E4278*(1-MIN(tp_g/tp_roe,0.8))/(1+tp_r)^1+F4278*(1-MIN(tp_g/tp_roe,0.8))/(1+tp_r)^2+G4278*(1-MIN(tp_g/tp_roe,0.8))/(1+tp_r)^3+H4278*(1-MIN(tp_g/tp_roe,0.8))/(1+tp_r)^4+I4278*(1-MIN(tp_g/tp_roe,0.8))/(1+tp_r)^5+J4278*(1-MIN(tp_g/tp_roe,0.8))/(1+tp_r)^6+J4278*(1-MIN(tp_g/tp_roe,0.8))*(1+tp_g)/(tp_r-tp_g)/(1+tp_r)^6)+tp_wB*MAX(0,E4327*(1-MIN(tp_g/tp_roe,0.8))/(1+tp_r)^1+F4327*(1-MIN(tp_g/tp_roe,0.8))/(1+tp_r)^2+G4327*(1-MIN(tp_g/tp_roe,0.8))/(1+tp_r)^3+H4327*(1-MIN(tp_g/tp_roe,0.8))/(1+tp_r)^4+I4327*(1-MIN(tp_g/tp_roe,0.8))/(1+tp_r)^5+J4327*(1-MIN(tp_g/tp_roe,0.8))/(1+tp_r)^6+J4327*(1-MIN(tp_g/tp_roe,0.8))*(1+tp_g)/(tp_r-tp_g)/(1+tp_r)^6)+tp_wC*MAX(0,E4376*(1-MIN(tp_g/tp_roe,0.8))/(1+tp_r)^1+F4376*(1-MIN(tp_g/tp_roe,0.8))/(1+tp_r)^2+G4376*(1-MIN(tp_g/tp_roe,0.8))/(1+tp_r)^3+H4376*(1-MIN(tp_g/tp_roe,0.8))/(1+tp_r)^4+I4376*(1-MIN(tp_g/tp_roe,0.8))/(1+tp_r)^5+J4376*(1-MIN(tp_g/tp_roe,0.8))/(1+tp_r)^6+J4376*(1-MIN(tp_g/tp_roe,0.8))*(1+tp_g)/(tp_r-tp_g)/(1+tp_r)^6))*(1+tp_r)</f>
        <v>340.282066598004</v>
      </c>
      <c r="H33" s="18" t="n">
        <f aca="false">Val!$B$33*(tp_wA*(2/12*E4278+10/12*F4278)+tp_wB*(2/12*E4327+10/12*F4327)+tp_wC*(2/12*E4376+10/12*F4376))*rm_factor</f>
        <v>706.608404857235</v>
      </c>
      <c r="I33" s="18" t="n">
        <f aca="false">tp_w_dcf*G33+(1-tp_w_dcf)*H33</f>
        <v>523.445235727619</v>
      </c>
      <c r="J33" s="21" t="n">
        <f aca="false">I33/I$4-1</f>
        <v>0.0389016740814969</v>
      </c>
    </row>
    <row r="34" customFormat="false" ht="17.15" hidden="false" customHeight="false" outlineLevel="0" collapsed="false">
      <c r="A34" s="4" t="s">
        <v>891</v>
      </c>
      <c r="B34" s="0" t="s">
        <v>241</v>
      </c>
      <c r="D34" s="19" t="n">
        <f aca="false">E4474</f>
        <v>27.5456968207486</v>
      </c>
      <c r="E34" s="19" t="n">
        <f aca="false">F4474</f>
        <v>23.684481329854</v>
      </c>
      <c r="F34" s="21" t="n">
        <f aca="false">E34/E$4-1</f>
        <v>-0.0761986296517642</v>
      </c>
      <c r="G34" s="18" t="n">
        <f aca="false">(tp_wA*MAX(0,E4425*(1-MIN(tp_g/tp_roe,0.8))/(1+tp_r)^1+F4425*(1-MIN(tp_g/tp_roe,0.8))/(1+tp_r)^2+G4425*(1-MIN(tp_g/tp_roe,0.8))/(1+tp_r)^3+H4425*(1-MIN(tp_g/tp_roe,0.8))/(1+tp_r)^4+I4425*(1-MIN(tp_g/tp_roe,0.8))/(1+tp_r)^5+J4425*(1-MIN(tp_g/tp_roe,0.8))/(1+tp_r)^6+J4425*(1-MIN(tp_g/tp_roe,0.8))*(1+tp_g)/(tp_r-tp_g)/(1+tp_r)^6)+tp_wB*MAX(0,E4474*(1-MIN(tp_g/tp_roe,0.8))/(1+tp_r)^1+F4474*(1-MIN(tp_g/tp_roe,0.8))/(1+tp_r)^2+G4474*(1-MIN(tp_g/tp_roe,0.8))/(1+tp_r)^3+H4474*(1-MIN(tp_g/tp_roe,0.8))/(1+tp_r)^4+I4474*(1-MIN(tp_g/tp_roe,0.8))/(1+tp_r)^5+J4474*(1-MIN(tp_g/tp_roe,0.8))/(1+tp_r)^6+J4474*(1-MIN(tp_g/tp_roe,0.8))*(1+tp_g)/(tp_r-tp_g)/(1+tp_r)^6)+tp_wC*MAX(0,E4523*(1-MIN(tp_g/tp_roe,0.8))/(1+tp_r)^1+F4523*(1-MIN(tp_g/tp_roe,0.8))/(1+tp_r)^2+G4523*(1-MIN(tp_g/tp_roe,0.8))/(1+tp_r)^3+H4523*(1-MIN(tp_g/tp_roe,0.8))/(1+tp_r)^4+I4523*(1-MIN(tp_g/tp_roe,0.8))/(1+tp_r)^5+J4523*(1-MIN(tp_g/tp_roe,0.8))/(1+tp_r)^6+J4523*(1-MIN(tp_g/tp_roe,0.8))*(1+tp_g)/(tp_r-tp_g)/(1+tp_r)^6))*(1+tp_r)</f>
        <v>331.264862272536</v>
      </c>
      <c r="H34" s="18" t="n">
        <f aca="false">Val!$B$33*(tp_wA*(2/12*E4425+10/12*F4425)+tp_wB*(2/12*E4474+10/12*F4474)+tp_wC*(2/12*E4523+10/12*F4523))*rm_factor</f>
        <v>622.453184523718</v>
      </c>
      <c r="I34" s="18" t="n">
        <f aca="false">tp_w_dcf*G34+(1-tp_w_dcf)*H34</f>
        <v>476.859023398127</v>
      </c>
      <c r="J34" s="21" t="n">
        <f aca="false">I34/I$4-1</f>
        <v>-0.053559753924336</v>
      </c>
    </row>
    <row r="35" customFormat="false" ht="17.15" hidden="false" customHeight="false" outlineLevel="0" collapsed="false">
      <c r="A35" s="4" t="s">
        <v>892</v>
      </c>
      <c r="B35" s="0" t="s">
        <v>245</v>
      </c>
      <c r="C35" s="4" t="s">
        <v>893</v>
      </c>
      <c r="D35" s="19" t="n">
        <f aca="false">E4621</f>
        <v>28.5129942619495</v>
      </c>
      <c r="E35" s="19" t="n">
        <f aca="false">F4621</f>
        <v>25.0768692974283</v>
      </c>
      <c r="F35" s="21" t="n">
        <f aca="false">E35/E$4-1</f>
        <v>-0.021889232093615</v>
      </c>
      <c r="G35" s="18" t="n">
        <f aca="false">(tp_wA*MAX(0,E4572*(1-MIN(tp_g/tp_roe,0.8))/(1+tp_r)^1+F4572*(1-MIN(tp_g/tp_roe,0.8))/(1+tp_r)^2+G4572*(1-MIN(tp_g/tp_roe,0.8))/(1+tp_r)^3+H4572*(1-MIN(tp_g/tp_roe,0.8))/(1+tp_r)^4+I4572*(1-MIN(tp_g/tp_roe,0.8))/(1+tp_r)^5+J4572*(1-MIN(tp_g/tp_roe,0.8))/(1+tp_r)^6+J4572*(1-MIN(tp_g/tp_roe,0.8))*(1+tp_g)/(tp_r-tp_g)/(1+tp_r)^6)+tp_wB*MAX(0,E4621*(1-MIN(tp_g/tp_roe,0.8))/(1+tp_r)^1+F4621*(1-MIN(tp_g/tp_roe,0.8))/(1+tp_r)^2+G4621*(1-MIN(tp_g/tp_roe,0.8))/(1+tp_r)^3+H4621*(1-MIN(tp_g/tp_roe,0.8))/(1+tp_r)^4+I4621*(1-MIN(tp_g/tp_roe,0.8))/(1+tp_r)^5+J4621*(1-MIN(tp_g/tp_roe,0.8))/(1+tp_r)^6+J4621*(1-MIN(tp_g/tp_roe,0.8))*(1+tp_g)/(tp_r-tp_g)/(1+tp_r)^6)+tp_wC*MAX(0,E4670*(1-MIN(tp_g/tp_roe,0.8))/(1+tp_r)^1+F4670*(1-MIN(tp_g/tp_roe,0.8))/(1+tp_r)^2+G4670*(1-MIN(tp_g/tp_roe,0.8))/(1+tp_r)^3+H4670*(1-MIN(tp_g/tp_roe,0.8))/(1+tp_r)^4+I4670*(1-MIN(tp_g/tp_roe,0.8))/(1+tp_r)^5+J4670*(1-MIN(tp_g/tp_roe,0.8))/(1+tp_r)^6+J4670*(1-MIN(tp_g/tp_roe,0.8))*(1+tp_g)/(tp_r-tp_g)/(1+tp_r)^6))*(1+tp_r)</f>
        <v>335.30801648853</v>
      </c>
      <c r="H35" s="18" t="n">
        <f aca="false">Val!$B$33*(tp_wA*(2/12*E4572+10/12*F4572)+tp_wB*(2/12*E4621+10/12*F4621)+tp_wC*(2/12*E4670+10/12*F4670))*rm_factor</f>
        <v>657.281545081305</v>
      </c>
      <c r="I35" s="18" t="n">
        <f aca="false">tp_w_dcf*G35+(1-tp_w_dcf)*H35</f>
        <v>496.294780784917</v>
      </c>
      <c r="J35" s="21" t="n">
        <f aca="false">I35/I$4-1</f>
        <v>-0.0149848667957704</v>
      </c>
    </row>
    <row r="36" customFormat="false" ht="17.15" hidden="false" customHeight="false" outlineLevel="0" collapsed="false">
      <c r="A36" s="4" t="s">
        <v>894</v>
      </c>
      <c r="B36" s="0" t="s">
        <v>245</v>
      </c>
      <c r="D36" s="19" t="n">
        <f aca="false">E4768</f>
        <v>29.6410014312696</v>
      </c>
      <c r="E36" s="19" t="n">
        <f aca="false">F4768</f>
        <v>26.1992644907817</v>
      </c>
      <c r="F36" s="21" t="n">
        <f aca="false">E36/E$4-1</f>
        <v>0.0218892320936148</v>
      </c>
      <c r="G36" s="18" t="n">
        <f aca="false">(tp_wA*MAX(0,E4719*(1-MIN(tp_g/tp_roe,0.8))/(1+tp_r)^1+F4719*(1-MIN(tp_g/tp_roe,0.8))/(1+tp_r)^2+G4719*(1-MIN(tp_g/tp_roe,0.8))/(1+tp_r)^3+H4719*(1-MIN(tp_g/tp_roe,0.8))/(1+tp_r)^4+I4719*(1-MIN(tp_g/tp_roe,0.8))/(1+tp_r)^5+J4719*(1-MIN(tp_g/tp_roe,0.8))/(1+tp_r)^6+J4719*(1-MIN(tp_g/tp_roe,0.8))*(1+tp_g)/(tp_r-tp_g)/(1+tp_r)^6)+tp_wB*MAX(0,E4768*(1-MIN(tp_g/tp_roe,0.8))/(1+tp_r)^1+F4768*(1-MIN(tp_g/tp_roe,0.8))/(1+tp_r)^2+G4768*(1-MIN(tp_g/tp_roe,0.8))/(1+tp_r)^3+H4768*(1-MIN(tp_g/tp_roe,0.8))/(1+tp_r)^4+I4768*(1-MIN(tp_g/tp_roe,0.8))/(1+tp_r)^5+J4768*(1-MIN(tp_g/tp_roe,0.8))/(1+tp_r)^6+J4768*(1-MIN(tp_g/tp_roe,0.8))*(1+tp_g)/(tp_r-tp_g)/(1+tp_r)^6)+tp_wC*MAX(0,E4817*(1-MIN(tp_g/tp_roe,0.8))/(1+tp_r)^1+F4817*(1-MIN(tp_g/tp_roe,0.8))/(1+tp_r)^2+G4817*(1-MIN(tp_g/tp_roe,0.8))/(1+tp_r)^3+H4817*(1-MIN(tp_g/tp_roe,0.8))/(1+tp_r)^4+I4817*(1-MIN(tp_g/tp_roe,0.8))/(1+tp_r)^5+J4817*(1-MIN(tp_g/tp_roe,0.8))/(1+tp_r)^6+J4817*(1-MIN(tp_g/tp_roe,0.8))*(1+tp_g)/(tp_r-tp_g)/(1+tp_r)^6))*(1+tp_r)</f>
        <v>337.771103891449</v>
      </c>
      <c r="H36" s="18" t="n">
        <f aca="false">Val!$B$33*(tp_wA*(2/12*E4719+10/12*F4719)+tp_wB*(2/12*E4768+10/12*F4768)+tp_wC*(2/12*E4817+10/12*F4817))*rm_factor</f>
        <v>685.018648237107</v>
      </c>
      <c r="I36" s="18" t="n">
        <f aca="false">tp_w_dcf*G36+(1-tp_w_dcf)*H36</f>
        <v>511.394876064278</v>
      </c>
      <c r="J36" s="21" t="n">
        <f aca="false">I36/I$4-1</f>
        <v>0.0149848667957704</v>
      </c>
    </row>
    <row r="37" customFormat="false" ht="17.15" hidden="false" customHeight="false" outlineLevel="0" collapsed="false">
      <c r="A37" s="4" t="s">
        <v>895</v>
      </c>
      <c r="B37" s="0" t="s">
        <v>249</v>
      </c>
      <c r="C37" s="4" t="s">
        <v>896</v>
      </c>
      <c r="D37" s="19" t="n">
        <f aca="false">E4915</f>
        <v>29.7940224306521</v>
      </c>
      <c r="E37" s="19" t="n">
        <f aca="false">F4915</f>
        <v>26.2721442092098</v>
      </c>
      <c r="F37" s="21" t="n">
        <f aca="false">E37/E$4-1</f>
        <v>0.0247318691274092</v>
      </c>
      <c r="G37" s="18" t="n">
        <f aca="false">(tp_wA*MAX(0,E4866*(1-MIN(tp_g/tp_roe,0.8))/(1+tp_r)^1+F4866*(1-MIN(tp_g/tp_roe,0.8))/(1+tp_r)^2+G4866*(1-MIN(tp_g/tp_roe,0.8))/(1+tp_r)^3+H4866*(1-MIN(tp_g/tp_roe,0.8))/(1+tp_r)^4+I4866*(1-MIN(tp_g/tp_roe,0.8))/(1+tp_r)^5+J4866*(1-MIN(tp_g/tp_roe,0.8))/(1+tp_r)^6+J4866*(1-MIN(tp_g/tp_roe,0.8))*(1+tp_g)/(tp_r-tp_g)/(1+tp_r)^6)+tp_wB*MAX(0,E4915*(1-MIN(tp_g/tp_roe,0.8))/(1+tp_r)^1+F4915*(1-MIN(tp_g/tp_roe,0.8))/(1+tp_r)^2+G4915*(1-MIN(tp_g/tp_roe,0.8))/(1+tp_r)^3+H4915*(1-MIN(tp_g/tp_roe,0.8))/(1+tp_r)^4+I4915*(1-MIN(tp_g/tp_roe,0.8))/(1+tp_r)^5+J4915*(1-MIN(tp_g/tp_roe,0.8))/(1+tp_r)^6+J4915*(1-MIN(tp_g/tp_roe,0.8))*(1+tp_g)/(tp_r-tp_g)/(1+tp_r)^6)+tp_wC*MAX(0,E4964*(1-MIN(tp_g/tp_roe,0.8))/(1+tp_r)^1+F4964*(1-MIN(tp_g/tp_roe,0.8))/(1+tp_r)^2+G4964*(1-MIN(tp_g/tp_roe,0.8))/(1+tp_r)^3+H4964*(1-MIN(tp_g/tp_roe,0.8))/(1+tp_r)^4+I4964*(1-MIN(tp_g/tp_roe,0.8))/(1+tp_r)^5+J4964*(1-MIN(tp_g/tp_roe,0.8))/(1+tp_r)^6+J4964*(1-MIN(tp_g/tp_roe,0.8))*(1+tp_g)/(tp_r-tp_g)/(1+tp_r)^6))*(1+tp_r)</f>
        <v>338.166066743527</v>
      </c>
      <c r="H37" s="18" t="n">
        <f aca="false">Val!$B$33*(tp_wA*(2/12*E4866+10/12*F4866)+tp_wB*(2/12*E4915+10/12*F4915)+tp_wC*(2/12*E4964+10/12*F4964))*rm_factor</f>
        <v>687.725017019346</v>
      </c>
      <c r="I37" s="18" t="n">
        <f aca="false">tp_w_dcf*G37+(1-tp_w_dcf)*H37</f>
        <v>512.945541881437</v>
      </c>
      <c r="J37" s="21" t="n">
        <f aca="false">I37/I$4-1</f>
        <v>0.0180625322389332</v>
      </c>
    </row>
    <row r="38" customFormat="false" ht="17.15" hidden="false" customHeight="false" outlineLevel="0" collapsed="false">
      <c r="A38" s="4" t="s">
        <v>897</v>
      </c>
      <c r="B38" s="0" t="s">
        <v>249</v>
      </c>
      <c r="D38" s="19" t="n">
        <f aca="false">E5062</f>
        <v>28.0014609705457</v>
      </c>
      <c r="E38" s="19" t="n">
        <f aca="false">F5062</f>
        <v>24.6869509214479</v>
      </c>
      <c r="F38" s="21" t="n">
        <f aca="false">E38/E$4-1</f>
        <v>-0.0370978036911139</v>
      </c>
      <c r="G38" s="18" t="n">
        <f aca="false">(tp_wA*MAX(0,E5013*(1-MIN(tp_g/tp_roe,0.8))/(1+tp_r)^1+F5013*(1-MIN(tp_g/tp_roe,0.8))/(1+tp_r)^2+G5013*(1-MIN(tp_g/tp_roe,0.8))/(1+tp_r)^3+H5013*(1-MIN(tp_g/tp_roe,0.8))/(1+tp_r)^4+I5013*(1-MIN(tp_g/tp_roe,0.8))/(1+tp_r)^5+J5013*(1-MIN(tp_g/tp_roe,0.8))/(1+tp_r)^6+J5013*(1-MIN(tp_g/tp_roe,0.8))*(1+tp_g)/(tp_r-tp_g)/(1+tp_r)^6)+tp_wB*MAX(0,E5062*(1-MIN(tp_g/tp_roe,0.8))/(1+tp_r)^1+F5062*(1-MIN(tp_g/tp_roe,0.8))/(1+tp_r)^2+G5062*(1-MIN(tp_g/tp_roe,0.8))/(1+tp_r)^3+H5062*(1-MIN(tp_g/tp_roe,0.8))/(1+tp_r)^4+I5062*(1-MIN(tp_g/tp_roe,0.8))/(1+tp_r)^5+J5062*(1-MIN(tp_g/tp_roe,0.8))/(1+tp_r)^6+J5062*(1-MIN(tp_g/tp_roe,0.8))*(1+tp_g)/(tp_r-tp_g)/(1+tp_r)^6)+tp_wC*MAX(0,E5111*(1-MIN(tp_g/tp_roe,0.8))/(1+tp_r)^1+F5111*(1-MIN(tp_g/tp_roe,0.8))/(1+tp_r)^2+G5111*(1-MIN(tp_g/tp_roe,0.8))/(1+tp_r)^3+H5111*(1-MIN(tp_g/tp_roe,0.8))/(1+tp_r)^4+I5111*(1-MIN(tp_g/tp_roe,0.8))/(1+tp_r)^5+J5111*(1-MIN(tp_g/tp_roe,0.8))/(1+tp_r)^6+J5111*(1-MIN(tp_g/tp_roe,0.8))*(1+tp_g)/(tp_r-tp_g)/(1+tp_r)^6))*(1+tp_r)</f>
        <v>334.099800359683</v>
      </c>
      <c r="H38" s="18" t="n">
        <f aca="false">Val!$B$33*(tp_wA*(2/12*E5013+10/12*F5013)+tp_wB*(2/12*E5062+10/12*F5062)+tp_wC*(2/12*E5111+10/12*F5111))*rm_factor</f>
        <v>646.287716118995</v>
      </c>
      <c r="I38" s="18" t="n">
        <f aca="false">tp_w_dcf*G38+(1-tp_w_dcf)*H38</f>
        <v>490.193758239339</v>
      </c>
      <c r="J38" s="21" t="n">
        <f aca="false">I38/I$4-1</f>
        <v>-0.0270937983583996</v>
      </c>
    </row>
    <row r="39" customFormat="false" ht="17.15" hidden="false" customHeight="false" outlineLevel="0" collapsed="false">
      <c r="A39" s="4" t="s">
        <v>898</v>
      </c>
      <c r="B39" s="0" t="s">
        <v>344</v>
      </c>
      <c r="C39" s="0" t="s">
        <v>899</v>
      </c>
      <c r="D39" s="19" t="n">
        <f aca="false">D4</f>
        <v>29.0769978466096</v>
      </c>
      <c r="E39" s="19" t="n">
        <f aca="false">E4</f>
        <v>25.638066894105</v>
      </c>
      <c r="F39" s="21" t="n">
        <f aca="false">E39/E$4-1</f>
        <v>0</v>
      </c>
      <c r="G39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290.831586864293</v>
      </c>
      <c r="H39" s="18" t="n">
        <f aca="false">H4</f>
        <v>671.150096659206</v>
      </c>
      <c r="I39" s="18" t="n">
        <f aca="false">tp_w_dcf*G39+(1-tp_w_dcf)*H39</f>
        <v>480.99084176175</v>
      </c>
      <c r="J39" s="21" t="n">
        <f aca="false">I39/I$4-1</f>
        <v>-0.0453591768209813</v>
      </c>
    </row>
    <row r="40" customFormat="false" ht="17.15" hidden="false" customHeight="false" outlineLevel="0" collapsed="false">
      <c r="A40" s="4" t="s">
        <v>900</v>
      </c>
      <c r="B40" s="0" t="s">
        <v>344</v>
      </c>
      <c r="C40" s="0" t="s">
        <v>901</v>
      </c>
      <c r="D40" s="19" t="n">
        <f aca="false">D4</f>
        <v>29.0769978466096</v>
      </c>
      <c r="E40" s="19" t="n">
        <f aca="false">E4</f>
        <v>25.638066894105</v>
      </c>
      <c r="F40" s="21" t="n">
        <f aca="false">E40/E$4-1</f>
        <v>0</v>
      </c>
      <c r="G40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400.530107413889</v>
      </c>
      <c r="H40" s="18" t="n">
        <f aca="false">H4</f>
        <v>671.150096659206</v>
      </c>
      <c r="I40" s="18" t="n">
        <f aca="false">tp_w_dcf*G40+(1-tp_w_dcf)*H40</f>
        <v>535.840102036548</v>
      </c>
      <c r="J40" s="21" t="n">
        <f aca="false">I40/I$4-1</f>
        <v>0.0635022368136464</v>
      </c>
    </row>
    <row r="41" customFormat="false" ht="17.15" hidden="false" customHeight="false" outlineLevel="0" collapsed="false">
      <c r="A41" s="4" t="s">
        <v>902</v>
      </c>
      <c r="B41" s="0" t="s">
        <v>348</v>
      </c>
      <c r="C41" s="0" t="s">
        <v>903</v>
      </c>
      <c r="D41" s="19" t="n">
        <f aca="false">D4</f>
        <v>29.0769978466096</v>
      </c>
      <c r="E41" s="19" t="n">
        <f aca="false">E4</f>
        <v>25.638066894105</v>
      </c>
      <c r="F41" s="21" t="n">
        <f aca="false">E41/E$4-1</f>
        <v>0</v>
      </c>
      <c r="G41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328.330130518084</v>
      </c>
      <c r="H41" s="18" t="n">
        <f aca="false">H4</f>
        <v>671.150096659206</v>
      </c>
      <c r="I41" s="18" t="n">
        <f aca="false">tp_w_dcf*G41+(1-tp_w_dcf)*H41</f>
        <v>499.740113588645</v>
      </c>
      <c r="J41" s="21" t="n">
        <f aca="false">I41/I$4-1</f>
        <v>-0.00814678370082167</v>
      </c>
    </row>
    <row r="42" customFormat="false" ht="17.15" hidden="false" customHeight="false" outlineLevel="0" collapsed="false">
      <c r="A42" s="4" t="s">
        <v>904</v>
      </c>
      <c r="B42" s="0" t="s">
        <v>348</v>
      </c>
      <c r="C42" s="0" t="s">
        <v>905</v>
      </c>
      <c r="D42" s="19" t="n">
        <f aca="false">D4</f>
        <v>29.0769978466096</v>
      </c>
      <c r="E42" s="19" t="n">
        <f aca="false">E4</f>
        <v>25.638066894105</v>
      </c>
      <c r="F42" s="21" t="n">
        <f aca="false">E42/E$4-1</f>
        <v>0</v>
      </c>
      <c r="G42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345.941464285304</v>
      </c>
      <c r="H42" s="18" t="n">
        <f aca="false">H4</f>
        <v>671.150096659206</v>
      </c>
      <c r="I42" s="18" t="n">
        <f aca="false">tp_w_dcf*G42+(1-tp_w_dcf)*H42</f>
        <v>508.545780472255</v>
      </c>
      <c r="J42" s="21" t="n">
        <f aca="false">I42/I$4-1</f>
        <v>0.00933015837903084</v>
      </c>
    </row>
    <row r="43" customFormat="false" ht="17.15" hidden="false" customHeight="false" outlineLevel="0" collapsed="false">
      <c r="A43" s="0" t="s">
        <v>906</v>
      </c>
      <c r="B43" s="0" t="s">
        <v>356</v>
      </c>
      <c r="C43" s="0" t="s">
        <v>907</v>
      </c>
      <c r="D43" s="19" t="n">
        <f aca="false">D4</f>
        <v>29.0769978466096</v>
      </c>
      <c r="E43" s="19" t="n">
        <f aca="false">E4</f>
        <v>25.638066894105</v>
      </c>
      <c r="F43" s="21" t="n">
        <f aca="false">E43/E$4-1</f>
        <v>0</v>
      </c>
      <c r="G4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336.53956018999</v>
      </c>
      <c r="H43" s="18" t="n">
        <f aca="false">H4</f>
        <v>671.150096659206</v>
      </c>
      <c r="I43" s="18" t="n">
        <f aca="false">0.3*G43+(1-0.3)*H43</f>
        <v>570.766935718441</v>
      </c>
      <c r="J43" s="21" t="n">
        <f aca="false">I43/I$4-1</f>
        <v>0.132822852430762</v>
      </c>
    </row>
    <row r="44" customFormat="false" ht="17.15" hidden="false" customHeight="false" outlineLevel="0" collapsed="false">
      <c r="A44" s="0" t="s">
        <v>908</v>
      </c>
      <c r="B44" s="0" t="s">
        <v>356</v>
      </c>
      <c r="C44" s="0" t="s">
        <v>909</v>
      </c>
      <c r="D44" s="19" t="n">
        <f aca="false">D4</f>
        <v>29.0769978466096</v>
      </c>
      <c r="E44" s="19" t="n">
        <f aca="false">E4</f>
        <v>25.638066894105</v>
      </c>
      <c r="F44" s="21" t="n">
        <f aca="false">E44/E$4-1</f>
        <v>0</v>
      </c>
      <c r="G44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336.53956018999</v>
      </c>
      <c r="H44" s="18" t="n">
        <f aca="false">H4</f>
        <v>671.150096659206</v>
      </c>
      <c r="I44" s="18" t="n">
        <f aca="false">0.7*G44+(1-0.7)*H44</f>
        <v>436.922721130755</v>
      </c>
      <c r="J44" s="21" t="n">
        <f aca="false">I44/I$4-1</f>
        <v>-0.132822852430763</v>
      </c>
    </row>
    <row r="45" customFormat="false" ht="17.15" hidden="false" customHeight="false" outlineLevel="0" collapsed="false">
      <c r="A45" s="4" t="s">
        <v>910</v>
      </c>
      <c r="B45" s="0" t="s">
        <v>206</v>
      </c>
      <c r="C45" s="4" t="s">
        <v>911</v>
      </c>
      <c r="D45" s="19" t="n">
        <f aca="false">PL!E161</f>
        <v>29.0769978466096</v>
      </c>
      <c r="E45" s="19" t="n">
        <f aca="false">PL!F161</f>
        <v>25.638066894105</v>
      </c>
      <c r="F45" s="21" t="n">
        <f aca="false">E45/E$4-1</f>
        <v>0</v>
      </c>
      <c r="G45" s="18" t="n">
        <f aca="false">(tp_wA*MAX(0,PL!E161*(1-MIN(tp_g/tp_roe,0.8))/(1+tp_r)^1+PL!F161*(1-MIN(tp_g/tp_roe,0.8))/(1+tp_r)^2+PL!G161*(1-MIN(tp_g/tp_roe,0.8))/(1+tp_r)^3+PL!H161*(1-MIN(tp_g/tp_roe,0.8))/(1+tp_r)^4+PL!I161*(1-MIN(tp_g/tp_roe,0.8))/(1+tp_r)^5+PL!J161*(1-MIN(tp_g/tp_roe,0.8))/(1+tp_r)^6+PL!J161*(1-MIN(tp_g/tp_roe,0.8))*(1+tp_g)/(tp_r-tp_g)/(1+tp_r)^6)+tp_wB*MAX(0,PL!E161*(1-MIN(tp_g/tp_roe,0.8))/(1+tp_r)^1+PL!F161*(1-MIN(tp_g/tp_roe,0.8))/(1+tp_r)^2+PL!G161*(1-MIN(tp_g/tp_roe,0.8))/(1+tp_r)^3+PL!H161*(1-MIN(tp_g/tp_roe,0.8))/(1+tp_r)^4+PL!I161*(1-MIN(tp_g/tp_roe,0.8))/(1+tp_r)^5+PL!J161*(1-MIN(tp_g/tp_roe,0.8))/(1+tp_r)^6+PL!J161*(1-MIN(tp_g/tp_roe,0.8))*(1+tp_g)/(tp_r-tp_g)/(1+tp_r)^6)+tp_wC*MAX(0,PL!E161*(1-MIN(tp_g/tp_roe,0.8))/(1+tp_r)^1+PL!F161*(1-MIN(tp_g/tp_roe,0.8))/(1+tp_r)^2+PL!G161*(1-MIN(tp_g/tp_roe,0.8))/(1+tp_r)^3+PL!H161*(1-MIN(tp_g/tp_roe,0.8))/(1+tp_r)^4+PL!I161*(1-MIN(tp_g/tp_roe,0.8))/(1+tp_r)^5+PL!J161*(1-MIN(tp_g/tp_roe,0.8))/(1+tp_r)^6+PL!J161*(1-MIN(tp_g/tp_roe,0.8))*(1+tp_g)/(tp_r-tp_g)/(1+tp_r)^6))*(1+tp_r)</f>
        <v>317.839675088037</v>
      </c>
      <c r="H45" s="18" t="n">
        <f aca="false">Val!$B$33*(tp_wA*(2/12*PL!E161+10/12*PL!F161)+tp_wB*(2/12*PL!E161+10/12*PL!F161)+tp_wC*(2/12*PL!E161+10/12*PL!F161))*rm_factor</f>
        <v>647.203432329465</v>
      </c>
      <c r="I45" s="18" t="n">
        <f aca="false">tp_w_dcf*G45+(1-tp_w_dcf)*H45</f>
        <v>482.521553708751</v>
      </c>
      <c r="J45" s="21" t="n">
        <f aca="false">I45/I$4-1</f>
        <v>-0.0423211145830742</v>
      </c>
    </row>
    <row r="46" customFormat="false" ht="17.15" hidden="false" customHeight="false" outlineLevel="0" collapsed="false">
      <c r="A46" s="4" t="s">
        <v>912</v>
      </c>
      <c r="B46" s="0" t="s">
        <v>206</v>
      </c>
      <c r="C46" s="4" t="s">
        <v>913</v>
      </c>
      <c r="D46" s="19" t="n">
        <f aca="false">PL!E210</f>
        <v>27.159922902957</v>
      </c>
      <c r="E46" s="19" t="n">
        <f aca="false">PL!F210</f>
        <v>17.590033509049</v>
      </c>
      <c r="F46" s="21" t="n">
        <f aca="false">E46/E$4-1</f>
        <v>-0.313909524391893</v>
      </c>
      <c r="G46" s="18" t="n">
        <f aca="false">(tp_wA*MAX(0,PL!E210*(1-MIN(tp_g/tp_roe,0.8))/(1+tp_r)^1+PL!F210*(1-MIN(tp_g/tp_roe,0.8))/(1+tp_r)^2+PL!G210*(1-MIN(tp_g/tp_roe,0.8))/(1+tp_r)^3+PL!H210*(1-MIN(tp_g/tp_roe,0.8))/(1+tp_r)^4+PL!I210*(1-MIN(tp_g/tp_roe,0.8))/(1+tp_r)^5+PL!J210*(1-MIN(tp_g/tp_roe,0.8))/(1+tp_r)^6+PL!J210*(1-MIN(tp_g/tp_roe,0.8))*(1+tp_g)/(tp_r-tp_g)/(1+tp_r)^6)+tp_wB*MAX(0,PL!E210*(1-MIN(tp_g/tp_roe,0.8))/(1+tp_r)^1+PL!F210*(1-MIN(tp_g/tp_roe,0.8))/(1+tp_r)^2+PL!G210*(1-MIN(tp_g/tp_roe,0.8))/(1+tp_r)^3+PL!H210*(1-MIN(tp_g/tp_roe,0.8))/(1+tp_r)^4+PL!I210*(1-MIN(tp_g/tp_roe,0.8))/(1+tp_r)^5+PL!J210*(1-MIN(tp_g/tp_roe,0.8))/(1+tp_r)^6+PL!J210*(1-MIN(tp_g/tp_roe,0.8))*(1+tp_g)/(tp_r-tp_g)/(1+tp_r)^6)+tp_wC*MAX(0,PL!E210*(1-MIN(tp_g/tp_roe,0.8))/(1+tp_r)^1+PL!F210*(1-MIN(tp_g/tp_roe,0.8))/(1+tp_r)^2+PL!G210*(1-MIN(tp_g/tp_roe,0.8))/(1+tp_r)^3+PL!H210*(1-MIN(tp_g/tp_roe,0.8))/(1+tp_r)^4+PL!I210*(1-MIN(tp_g/tp_roe,0.8))/(1+tp_r)^5+PL!J210*(1-MIN(tp_g/tp_roe,0.8))/(1+tp_r)^6+PL!J210*(1-MIN(tp_g/tp_roe,0.8))*(1+tp_g)/(tp_r-tp_g)/(1+tp_r)^6))*(1+tp_r)</f>
        <v>176.841514953342</v>
      </c>
      <c r="H46" s="18" t="n">
        <f aca="false">Val!$B$33*(tp_wA*(2/12*PL!E210+10/12*PL!F210)+tp_wB*(2/12*PL!E210+10/12*PL!F210)+tp_wC*(2/12*PL!E210+10/12*PL!F210))*rm_factor</f>
        <v>473.713418649465</v>
      </c>
      <c r="I46" s="18" t="n">
        <f aca="false">tp_w_dcf*G46+(1-tp_w_dcf)*H46</f>
        <v>325.277466801404</v>
      </c>
      <c r="J46" s="21" t="n">
        <f aca="false">I46/I$4-1</f>
        <v>-0.354409436297146</v>
      </c>
    </row>
    <row r="48" customFormat="false" ht="17.15" hidden="false" customHeight="false" outlineLevel="0" collapsed="false">
      <c r="A48" s="4" t="s">
        <v>914</v>
      </c>
    </row>
    <row r="118" customFormat="false" ht="15" hidden="false" customHeight="false" outlineLevel="0" collapsed="false">
      <c r="A118" s="1" t="s">
        <v>915</v>
      </c>
    </row>
    <row r="120" customFormat="false" ht="17.15" hidden="false" customHeight="false" outlineLevel="0" collapsed="false">
      <c r="A120" s="1" t="s">
        <v>916</v>
      </c>
    </row>
    <row r="121" customFormat="false" ht="17.15" hidden="false" customHeight="false" outlineLevel="0" collapsed="false">
      <c r="A121" s="5" t="s">
        <v>21</v>
      </c>
      <c r="B121" s="5" t="s">
        <v>22</v>
      </c>
      <c r="C121" s="15" t="s">
        <v>424</v>
      </c>
      <c r="D121" s="15" t="s">
        <v>524</v>
      </c>
      <c r="E121" s="15" t="s">
        <v>525</v>
      </c>
      <c r="F121" s="15" t="s">
        <v>526</v>
      </c>
      <c r="G121" s="15" t="s">
        <v>527</v>
      </c>
      <c r="H121" s="15" t="s">
        <v>528</v>
      </c>
      <c r="I121" s="15" t="s">
        <v>529</v>
      </c>
      <c r="J121" s="15" t="s">
        <v>530</v>
      </c>
      <c r="K121" s="5" t="s">
        <v>382</v>
      </c>
    </row>
    <row r="122" customFormat="false" ht="17.15" hidden="false" customHeight="false" outlineLevel="0" collapsed="false">
      <c r="A122" s="6" t="s">
        <v>548</v>
      </c>
    </row>
    <row r="123" customFormat="false" ht="17.15" hidden="false" customHeight="false" outlineLevel="0" collapsed="false">
      <c r="A123" s="0" t="s">
        <v>549</v>
      </c>
      <c r="B123" s="4" t="s">
        <v>32</v>
      </c>
      <c r="D123" s="19" t="n">
        <f aca="false">units_26</f>
        <v>15.2</v>
      </c>
      <c r="E123" s="19" t="n">
        <f aca="false">units_27*0.8</f>
        <v>18.96</v>
      </c>
      <c r="F123" s="19" t="n">
        <f aca="false">units_28*um28_A*0.8</f>
        <v>21.2</v>
      </c>
      <c r="G123" s="19" t="n">
        <f aca="false">units_29*um29_A*0.8</f>
        <v>24.12</v>
      </c>
    </row>
    <row r="124" customFormat="false" ht="17.15" hidden="false" customHeight="false" outlineLevel="0" collapsed="false">
      <c r="A124" s="4" t="s">
        <v>497</v>
      </c>
      <c r="B124" s="0" t="s">
        <v>45</v>
      </c>
      <c r="D124" s="22" t="n">
        <f aca="false">ar_26</f>
        <v>1</v>
      </c>
      <c r="E124" s="22" t="n">
        <f aca="false">ar_27</f>
        <v>1.278156</v>
      </c>
      <c r="F124" s="22" t="n">
        <f aca="false">ar_28</f>
        <v>1.428615</v>
      </c>
      <c r="G124" s="22" t="n">
        <f aca="false">ar_29</f>
        <v>1.431796</v>
      </c>
    </row>
    <row r="125" customFormat="false" ht="17.15" hidden="false" customHeight="false" outlineLevel="0" collapsed="false">
      <c r="A125" s="4" t="s">
        <v>550</v>
      </c>
      <c r="B125" s="0" t="s">
        <v>45</v>
      </c>
      <c r="D125" s="19" t="n">
        <f aca="false">1</f>
        <v>1</v>
      </c>
      <c r="E125" s="19" t="n">
        <f aca="false">rel27_A</f>
        <v>1.1</v>
      </c>
      <c r="F125" s="19" t="n">
        <f aca="false">rel28_A</f>
        <v>1.15</v>
      </c>
      <c r="G125" s="19" t="n">
        <f aca="false">rel29_A</f>
        <v>1.2</v>
      </c>
    </row>
    <row r="126" customFormat="false" ht="17.15" hidden="false" customHeight="false" outlineLevel="0" collapsed="false">
      <c r="A126" s="4" t="s">
        <v>551</v>
      </c>
      <c r="B126" s="0" t="s">
        <v>502</v>
      </c>
      <c r="D126" s="23" t="n">
        <f aca="false">D127*1000/D123</f>
        <v>236.842105263158</v>
      </c>
      <c r="E126" s="23" t="n">
        <f aca="false">$D126*E124^el</f>
        <v>267.763172119488</v>
      </c>
      <c r="F126" s="23" t="n">
        <f aca="false">$D126*F124^el</f>
        <v>283.084777049615</v>
      </c>
      <c r="G126" s="23" t="n">
        <f aca="false">$D126*G124^el</f>
        <v>283.399764630809</v>
      </c>
      <c r="K126" s="8" t="s">
        <v>552</v>
      </c>
    </row>
    <row r="127" customFormat="false" ht="17.15" hidden="false" customHeight="false" outlineLevel="0" collapsed="false">
      <c r="A127" s="0" t="s">
        <v>553</v>
      </c>
      <c r="B127" s="0" t="s">
        <v>120</v>
      </c>
      <c r="D127" s="22" t="n">
        <f aca="false">leap26-D128-D129</f>
        <v>3.6</v>
      </c>
      <c r="E127" s="22" t="n">
        <f aca="false">E123*E125*E126/1000</f>
        <v>5.58446871772403</v>
      </c>
      <c r="F127" s="22" t="n">
        <f aca="false">F123*F125*F126/1000</f>
        <v>6.9016068644696</v>
      </c>
      <c r="G127" s="22" t="n">
        <f aca="false">G123*G125*G126/1000</f>
        <v>8.20272278747413</v>
      </c>
      <c r="K127" s="8" t="s">
        <v>554</v>
      </c>
    </row>
    <row r="128" customFormat="false" ht="17.15" hidden="false" customHeight="false" outlineLevel="0" collapsed="false">
      <c r="A128" s="4" t="s">
        <v>555</v>
      </c>
      <c r="B128" s="0" t="s">
        <v>120</v>
      </c>
      <c r="D128" s="22" t="n">
        <f aca="false">fp26</f>
        <v>0.3</v>
      </c>
      <c r="E128" s="22" t="n">
        <f aca="false">fp27_A</f>
        <v>1.2</v>
      </c>
      <c r="F128" s="22" t="n">
        <f aca="false">E128*F123/E123*(1+fp_g)</f>
        <v>1.74430379746835</v>
      </c>
      <c r="G128" s="22" t="n">
        <f aca="false">F128*G123/F123*(1+fp_g)</f>
        <v>2.57992405063291</v>
      </c>
    </row>
    <row r="129" customFormat="false" ht="17.15" hidden="false" customHeight="false" outlineLevel="0" collapsed="false">
      <c r="A129" s="0" t="s">
        <v>556</v>
      </c>
      <c r="B129" s="0" t="s">
        <v>120</v>
      </c>
      <c r="D129" s="22" t="n">
        <f aca="false">cpo27*cpo_A_26/cpo_A_27</f>
        <v>0.1</v>
      </c>
      <c r="E129" s="22" t="n">
        <f aca="false">cpo27*cpo_A_27/cpo_A_27</f>
        <v>0.5</v>
      </c>
      <c r="F129" s="22" t="n">
        <f aca="false">cpo27*cpo_A_28/cpo_A_27*F123/E123</f>
        <v>1.11814345991561</v>
      </c>
      <c r="G129" s="22" t="n">
        <f aca="false">cpo27*cpo_A_29/cpo_A_27*G123/E123</f>
        <v>2.03544303797468</v>
      </c>
      <c r="K129" s="8" t="s">
        <v>557</v>
      </c>
    </row>
    <row r="130" customFormat="false" ht="17.15" hidden="false" customHeight="false" outlineLevel="0" collapsed="false">
      <c r="A130" s="0" t="s">
        <v>510</v>
      </c>
      <c r="B130" s="0" t="s">
        <v>120</v>
      </c>
      <c r="C130" s="22" t="n">
        <f aca="false">leap25</f>
        <v>1.6</v>
      </c>
      <c r="D130" s="22" t="n">
        <f aca="false">D127+D128+D129</f>
        <v>4</v>
      </c>
      <c r="E130" s="22" t="n">
        <f aca="false">E127+E128+E129</f>
        <v>7.28446871772403</v>
      </c>
      <c r="F130" s="22" t="n">
        <f aca="false">F127+F128+F129</f>
        <v>9.76405412185357</v>
      </c>
      <c r="G130" s="22" t="n">
        <f aca="false">G127+G128+G129</f>
        <v>12.8180898760817</v>
      </c>
    </row>
    <row r="131" customFormat="false" ht="17.15" hidden="false" customHeight="false" outlineLevel="0" collapsed="false">
      <c r="A131" s="4" t="s">
        <v>558</v>
      </c>
      <c r="B131" s="0" t="s">
        <v>114</v>
      </c>
      <c r="C131" s="19" t="n">
        <f aca="false">fx25</f>
        <v>31</v>
      </c>
      <c r="D131" s="19" t="n">
        <f aca="false">a26_leap/D130</f>
        <v>31.9</v>
      </c>
      <c r="E131" s="19" t="n">
        <f aca="false">fx</f>
        <v>32</v>
      </c>
      <c r="F131" s="19" t="n">
        <f aca="false">fx</f>
        <v>32</v>
      </c>
      <c r="G131" s="19" t="n">
        <f aca="false">fx</f>
        <v>32</v>
      </c>
      <c r="K131" s="8" t="s">
        <v>559</v>
      </c>
    </row>
    <row r="132" customFormat="false" ht="17.15" hidden="false" customHeight="false" outlineLevel="0" collapsed="false">
      <c r="A132" s="6" t="s">
        <v>560</v>
      </c>
    </row>
    <row r="133" customFormat="false" ht="17.15" hidden="false" customHeight="false" outlineLevel="0" collapsed="false">
      <c r="A133" s="0" t="s">
        <v>438</v>
      </c>
      <c r="B133" s="0" t="s">
        <v>234</v>
      </c>
      <c r="C133" s="30" t="n">
        <f aca="false">a25_leap</f>
        <v>49.6</v>
      </c>
      <c r="D133" s="30" t="n">
        <f aca="false">a26_leap</f>
        <v>127.6</v>
      </c>
      <c r="E133" s="30" t="n">
        <f aca="false">E130*E131</f>
        <v>233.102998967169</v>
      </c>
      <c r="F133" s="30" t="n">
        <f aca="false">F130*F131</f>
        <v>312.449731899314</v>
      </c>
      <c r="G133" s="30" t="n">
        <f aca="false">G130*G131</f>
        <v>410.178876034615</v>
      </c>
    </row>
    <row r="134" customFormat="false" ht="15" hidden="false" customHeight="false" outlineLevel="0" collapsed="false">
      <c r="A134" s="4" t="s">
        <v>561</v>
      </c>
      <c r="B134" s="0" t="s">
        <v>234</v>
      </c>
      <c r="C134" s="30" t="n">
        <f aca="false">a25_ms</f>
        <v>339.628</v>
      </c>
      <c r="D134" s="30" t="n">
        <f aca="false">a26_ms</f>
        <v>432.1302</v>
      </c>
      <c r="E134" s="30" t="n">
        <f aca="false">D134*(1+g_ms27)</f>
        <v>496.94973</v>
      </c>
      <c r="F134" s="30" t="n">
        <f aca="false">E134*(1+g_msL)</f>
        <v>531.7362111</v>
      </c>
      <c r="G134" s="30" t="n">
        <f aca="false">F134*(1+g_msL)</f>
        <v>568.957745877</v>
      </c>
    </row>
    <row r="135" customFormat="false" ht="17.15" hidden="false" customHeight="false" outlineLevel="0" collapsed="false">
      <c r="A135" s="4" t="s">
        <v>562</v>
      </c>
      <c r="B135" s="0" t="s">
        <v>234</v>
      </c>
      <c r="C135" s="30" t="n">
        <f aca="false">C133+C134</f>
        <v>389.228</v>
      </c>
      <c r="D135" s="30" t="n">
        <f aca="false">D133+D134</f>
        <v>559.7302</v>
      </c>
      <c r="E135" s="30" t="n">
        <f aca="false">E133+E134</f>
        <v>730.052728967169</v>
      </c>
      <c r="F135" s="30" t="n">
        <f aca="false">F133+F134</f>
        <v>844.185942999314</v>
      </c>
      <c r="G135" s="30" t="n">
        <f aca="false">G133+G134</f>
        <v>979.136621911615</v>
      </c>
    </row>
    <row r="136" customFormat="false" ht="17.15" hidden="false" customHeight="false" outlineLevel="0" collapsed="false">
      <c r="A136" s="0" t="s">
        <v>563</v>
      </c>
      <c r="B136" s="0" t="s">
        <v>234</v>
      </c>
      <c r="C136" s="30" t="n">
        <f aca="false">a25_ems</f>
        <v>259.079</v>
      </c>
      <c r="D136" s="30" t="n">
        <f aca="false">a26_ems</f>
        <v>314.602</v>
      </c>
      <c r="E136" s="30" t="n">
        <f aca="false">D136*(1+g_ems27)</f>
        <v>346.0622</v>
      </c>
      <c r="F136" s="30" t="n">
        <f aca="false">E136*(1+g_emsL)</f>
        <v>363.36531</v>
      </c>
      <c r="G136" s="30" t="n">
        <f aca="false">F136*(1+g_emsL)</f>
        <v>381.5335755</v>
      </c>
    </row>
    <row r="137" customFormat="false" ht="17.15" hidden="false" customHeight="false" outlineLevel="0" collapsed="false">
      <c r="A137" s="4" t="s">
        <v>564</v>
      </c>
      <c r="B137" s="0" t="s">
        <v>234</v>
      </c>
      <c r="C137" s="30" t="n">
        <f aca="false">a25_elim</f>
        <v>-2.91899999999998</v>
      </c>
      <c r="D137" s="30" t="n">
        <f aca="false">a26_elim</f>
        <v>-3.16484905982349</v>
      </c>
      <c r="E137" s="30" t="n">
        <f aca="false">$D137/($D135+$D136)*(E135+E136)</f>
        <v>-3.89524864943069</v>
      </c>
      <c r="F137" s="30" t="n">
        <f aca="false">$D137/($D135+$D136)*(F135+F136)</f>
        <v>-4.37101304028784</v>
      </c>
      <c r="G137" s="30" t="n">
        <f aca="false">$D137/($D135+$D136)*(G135+G136)</f>
        <v>-4.92526272623608</v>
      </c>
      <c r="K137" s="4" t="s">
        <v>565</v>
      </c>
    </row>
    <row r="138" customFormat="false" ht="17.15" hidden="false" customHeight="false" outlineLevel="0" collapsed="false">
      <c r="A138" s="4" t="s">
        <v>431</v>
      </c>
      <c r="B138" s="0" t="s">
        <v>234</v>
      </c>
      <c r="C138" s="30" t="n">
        <f aca="false">C135+C136+C137</f>
        <v>645.388</v>
      </c>
      <c r="D138" s="30" t="n">
        <f aca="false">D135+D136+D137</f>
        <v>871.167350940177</v>
      </c>
      <c r="E138" s="30" t="n">
        <f aca="false">E135+E136+E137</f>
        <v>1072.21968031774</v>
      </c>
      <c r="F138" s="30" t="n">
        <f aca="false">F135+F136+F137</f>
        <v>1203.18023995903</v>
      </c>
      <c r="G138" s="30" t="n">
        <f aca="false">G135+G136+G137</f>
        <v>1355.74493468538</v>
      </c>
      <c r="H138" s="31" t="n">
        <f aca="false">G138*(1+H139)</f>
        <v>1497.46655381199</v>
      </c>
      <c r="I138" s="31" t="n">
        <f aca="false">H138*(1+I139)</f>
        <v>1620.65873316658</v>
      </c>
      <c r="J138" s="31" t="n">
        <f aca="false">I138*(1+J139)</f>
        <v>1717.89825715658</v>
      </c>
      <c r="K138" s="8" t="s">
        <v>566</v>
      </c>
    </row>
    <row r="139" customFormat="false" ht="15" hidden="false" customHeight="false" outlineLevel="0" collapsed="false">
      <c r="A139" s="4" t="s">
        <v>567</v>
      </c>
      <c r="B139" s="0" t="s">
        <v>76</v>
      </c>
      <c r="D139" s="21" t="n">
        <f aca="false">D138/C138-1</f>
        <v>0.349835061916516</v>
      </c>
      <c r="E139" s="21" t="n">
        <f aca="false">E138/D138-1</f>
        <v>0.230784968193061</v>
      </c>
      <c r="F139" s="21" t="n">
        <f aca="false">F138/E138-1</f>
        <v>0.122139671603938</v>
      </c>
      <c r="G139" s="21" t="n">
        <f aca="false">G138/F138-1</f>
        <v>0.12680119707713</v>
      </c>
      <c r="H139" s="26" t="n">
        <f aca="false">$G139+(fade_gA-$G139)*1/3</f>
        <v>0.104534131384753</v>
      </c>
      <c r="I139" s="26" t="n">
        <f aca="false">$G139+(fade_gA-$G139)*2/3</f>
        <v>0.0822670656923766</v>
      </c>
      <c r="J139" s="26" t="n">
        <f aca="false">$G139+(fade_gA-$G139)*3/3</f>
        <v>0.06</v>
      </c>
    </row>
    <row r="140" customFormat="false" ht="17.15" hidden="false" customHeight="false" outlineLevel="0" collapsed="false">
      <c r="A140" s="0" t="s">
        <v>475</v>
      </c>
      <c r="B140" s="0" t="s">
        <v>76</v>
      </c>
      <c r="C140" s="21" t="n">
        <f aca="false">C133/C135</f>
        <v>0.127431736668482</v>
      </c>
      <c r="D140" s="21" t="n">
        <f aca="false">D133/D135</f>
        <v>0.227966974088588</v>
      </c>
      <c r="E140" s="21" t="n">
        <f aca="false">E133/E135</f>
        <v>0.31929611344231</v>
      </c>
      <c r="F140" s="21" t="n">
        <f aca="false">F133/F135</f>
        <v>0.37011956250919</v>
      </c>
      <c r="G140" s="21" t="n">
        <f aca="false">G133/G135</f>
        <v>0.418918940273936</v>
      </c>
    </row>
    <row r="141" customFormat="false" ht="15" hidden="false" customHeight="false" outlineLevel="0" collapsed="false">
      <c r="A141" s="4" t="s">
        <v>568</v>
      </c>
      <c r="B141" s="0" t="s">
        <v>76</v>
      </c>
      <c r="D141" s="21" t="n">
        <f aca="false">D135/C135-1</f>
        <v>0.438052247012034</v>
      </c>
      <c r="E141" s="21" t="n">
        <f aca="false">E135/D135-1</f>
        <v>0.304293977647032</v>
      </c>
      <c r="F141" s="21" t="n">
        <f aca="false">F135/E135-1</f>
        <v>0.156335576189974</v>
      </c>
      <c r="G141" s="21" t="n">
        <f aca="false">G135/F135-1</f>
        <v>0.159858950544514</v>
      </c>
    </row>
    <row r="142" customFormat="false" ht="17.15" hidden="false" customHeight="false" outlineLevel="0" collapsed="false">
      <c r="A142" s="6" t="s">
        <v>569</v>
      </c>
    </row>
    <row r="143" customFormat="false" ht="17.15" hidden="false" customHeight="false" outlineLevel="0" collapsed="false">
      <c r="A143" s="4" t="s">
        <v>570</v>
      </c>
      <c r="B143" s="0" t="s">
        <v>120</v>
      </c>
      <c r="C143" s="19" t="n">
        <f aca="false">capex25</f>
        <v>5.5</v>
      </c>
      <c r="D143" s="19" t="n">
        <f aca="false">capex26</f>
        <v>11.5</v>
      </c>
      <c r="E143" s="19" t="n">
        <f aca="false">capex27</f>
        <v>13</v>
      </c>
      <c r="F143" s="19" t="n">
        <f aca="false">capi*F138/F131</f>
        <v>11.2798147496159</v>
      </c>
      <c r="G143" s="19" t="n">
        <f aca="false">capi*G138/G131</f>
        <v>12.7101087626754</v>
      </c>
      <c r="K143" s="8" t="s">
        <v>571</v>
      </c>
    </row>
    <row r="144" customFormat="false" ht="15" hidden="false" customHeight="false" outlineLevel="0" collapsed="false">
      <c r="A144" s="4" t="s">
        <v>572</v>
      </c>
      <c r="B144" s="0" t="s">
        <v>234</v>
      </c>
      <c r="C144" s="30" t="n">
        <f aca="false">C143*C131</f>
        <v>170.5</v>
      </c>
      <c r="D144" s="30" t="n">
        <f aca="false">D143*31.9</f>
        <v>366.85</v>
      </c>
      <c r="E144" s="30" t="n">
        <f aca="false">E143*E131</f>
        <v>416</v>
      </c>
      <c r="F144" s="30" t="n">
        <f aca="false">F143*F131</f>
        <v>360.954071987708</v>
      </c>
      <c r="G144" s="30" t="n">
        <f aca="false">G143*G131</f>
        <v>406.723480405614</v>
      </c>
    </row>
    <row r="145" customFormat="false" ht="17.15" hidden="false" customHeight="false" outlineLevel="0" collapsed="false">
      <c r="A145" s="4" t="s">
        <v>473</v>
      </c>
      <c r="B145" s="0" t="s">
        <v>76</v>
      </c>
      <c r="C145" s="21" t="n">
        <f aca="false">C144/C138</f>
        <v>0.264182166386732</v>
      </c>
      <c r="D145" s="21" t="n">
        <f aca="false">D144/D138</f>
        <v>0.421101639775745</v>
      </c>
      <c r="E145" s="21" t="n">
        <f aca="false">E144/E138</f>
        <v>0.387980194391436</v>
      </c>
      <c r="F145" s="21" t="n">
        <f aca="false">F144/F138</f>
        <v>0.3</v>
      </c>
      <c r="G145" s="21" t="n">
        <f aca="false">G144/G138</f>
        <v>0.3</v>
      </c>
    </row>
    <row r="146" customFormat="false" ht="17.15" hidden="false" customHeight="false" outlineLevel="0" collapsed="false">
      <c r="A146" s="4" t="s">
        <v>573</v>
      </c>
      <c r="B146" s="0" t="s">
        <v>234</v>
      </c>
      <c r="C146" s="30" t="n">
        <f aca="false">a25_da</f>
        <v>75.255</v>
      </c>
      <c r="D146" s="30" t="n">
        <f aca="false">a26_da</f>
        <v>97.124</v>
      </c>
      <c r="E146" s="30" t="n">
        <f aca="false">D146*(1-1/life)+D144/life</f>
        <v>130.83975</v>
      </c>
      <c r="F146" s="30" t="n">
        <f aca="false">E146*(1-1/life)+E144/life</f>
        <v>166.48478125</v>
      </c>
      <c r="G146" s="30" t="n">
        <f aca="false">F146*(1-1/life)+F144/life</f>
        <v>190.793442592213</v>
      </c>
      <c r="K146" s="4" t="s">
        <v>574</v>
      </c>
    </row>
    <row r="147" customFormat="false" ht="17.15" hidden="false" customHeight="false" outlineLevel="0" collapsed="false">
      <c r="A147" s="4" t="s">
        <v>575</v>
      </c>
      <c r="B147" s="0" t="s">
        <v>234</v>
      </c>
      <c r="C147" s="30" t="n">
        <f aca="false">a25_agp</f>
        <v>91.38</v>
      </c>
      <c r="D147" s="30" t="n">
        <f aca="false">a26_agp</f>
        <v>164.623388</v>
      </c>
      <c r="E147" s="30" t="n">
        <f aca="false">$D147+ft*(E135-$D135)-(E146-$D146)</f>
        <v>216.068902483585</v>
      </c>
      <c r="F147" s="30" t="n">
        <f aca="false">$D147+ft*(F135-$D135)-(F146-$D146)</f>
        <v>237.490478249657</v>
      </c>
      <c r="G147" s="30" t="n">
        <f aca="false">$D147+ft*(G135-$D135)-(G146-$D146)</f>
        <v>280.657156363594</v>
      </c>
      <c r="K147" s="4" t="s">
        <v>576</v>
      </c>
    </row>
    <row r="148" customFormat="false" ht="15" hidden="false" customHeight="false" outlineLevel="0" collapsed="false">
      <c r="A148" s="4" t="s">
        <v>447</v>
      </c>
      <c r="B148" s="0" t="s">
        <v>76</v>
      </c>
      <c r="C148" s="14" t="n">
        <f aca="false">C147/C135</f>
        <v>0.234772421305764</v>
      </c>
      <c r="D148" s="14" t="n">
        <f aca="false">D147/D135</f>
        <v>0.294112034690999</v>
      </c>
      <c r="E148" s="14" t="n">
        <f aca="false">E147/E135</f>
        <v>0.295963420052227</v>
      </c>
      <c r="F148" s="14" t="n">
        <f aca="false">F147/F135</f>
        <v>0.281324843441334</v>
      </c>
      <c r="G148" s="14" t="n">
        <f aca="false">G147/G135</f>
        <v>0.286637380405253</v>
      </c>
    </row>
    <row r="149" customFormat="false" ht="17.15" hidden="false" customHeight="false" outlineLevel="0" collapsed="false">
      <c r="A149" s="0" t="s">
        <v>449</v>
      </c>
      <c r="B149" s="0" t="s">
        <v>234</v>
      </c>
      <c r="C149" s="30" t="n">
        <f aca="false">a25_egp</f>
        <v>23.695</v>
      </c>
      <c r="D149" s="30" t="n">
        <f aca="false">a26_egp</f>
        <v>27.00552</v>
      </c>
      <c r="E149" s="30" t="n">
        <f aca="false">E136*ems_gm</f>
        <v>29.415287</v>
      </c>
      <c r="F149" s="30" t="n">
        <f aca="false">F136*ems_gm</f>
        <v>30.88605135</v>
      </c>
      <c r="G149" s="30" t="n">
        <f aca="false">G136*ems_gm</f>
        <v>32.4303539175</v>
      </c>
    </row>
    <row r="150" customFormat="false" ht="15" hidden="false" customHeight="false" outlineLevel="0" collapsed="false">
      <c r="A150" s="4" t="s">
        <v>577</v>
      </c>
      <c r="B150" s="0" t="s">
        <v>234</v>
      </c>
      <c r="C150" s="30" t="n">
        <f aca="false">a25_lgp</f>
        <v>-0.881999999999998</v>
      </c>
      <c r="D150" s="30" t="n">
        <f aca="false">a26_lgp</f>
        <v>-0.948662139013863</v>
      </c>
      <c r="E150" s="30" t="n">
        <f aca="false">$D150/$D137*E137</f>
        <v>-1.16759910059214</v>
      </c>
      <c r="F150" s="30" t="n">
        <f aca="false">$D150/$D137*F137</f>
        <v>-1.31020927130352</v>
      </c>
      <c r="G150" s="30" t="n">
        <f aca="false">$D150/$D137*G137</f>
        <v>-1.47634537532636</v>
      </c>
    </row>
    <row r="151" customFormat="false" ht="15" hidden="false" customHeight="false" outlineLevel="0" collapsed="false">
      <c r="A151" s="4" t="s">
        <v>451</v>
      </c>
      <c r="B151" s="0" t="s">
        <v>234</v>
      </c>
      <c r="C151" s="30" t="n">
        <f aca="false">C147+C149+C150</f>
        <v>114.193</v>
      </c>
      <c r="D151" s="30" t="n">
        <f aca="false">D147+D149+D150</f>
        <v>190.680245860986</v>
      </c>
      <c r="E151" s="30" t="n">
        <f aca="false">E147+E149+E150</f>
        <v>244.316590382992</v>
      </c>
      <c r="F151" s="30" t="n">
        <f aca="false">F147+F149+F150</f>
        <v>267.066320328354</v>
      </c>
      <c r="G151" s="30" t="n">
        <f aca="false">G147+G149+G150</f>
        <v>311.611164905768</v>
      </c>
    </row>
    <row r="152" customFormat="false" ht="15" hidden="false" customHeight="false" outlineLevel="0" collapsed="false">
      <c r="A152" s="4" t="s">
        <v>452</v>
      </c>
      <c r="B152" s="0" t="s">
        <v>76</v>
      </c>
      <c r="C152" s="14" t="n">
        <f aca="false">C151/C138</f>
        <v>0.176936974347214</v>
      </c>
      <c r="D152" s="14" t="n">
        <f aca="false">D151/D138</f>
        <v>0.218879008327391</v>
      </c>
      <c r="E152" s="14" t="n">
        <f aca="false">E151/E138</f>
        <v>0.2278605726679</v>
      </c>
      <c r="F152" s="14" t="n">
        <f aca="false">F151/F138</f>
        <v>0.22196700997803</v>
      </c>
      <c r="G152" s="14" t="n">
        <f aca="false">G151/G138</f>
        <v>0.229844978161826</v>
      </c>
    </row>
    <row r="153" customFormat="false" ht="15" hidden="false" customHeight="false" outlineLevel="0" collapsed="false">
      <c r="A153" s="4" t="s">
        <v>578</v>
      </c>
      <c r="B153" s="0" t="s">
        <v>234</v>
      </c>
      <c r="C153" s="30" t="n">
        <f aca="false">a25_opx</f>
        <v>63.437</v>
      </c>
      <c r="D153" s="30" t="n">
        <f aca="false">a26_opx</f>
        <v>79.658</v>
      </c>
      <c r="E153" s="30" t="n">
        <f aca="false">D153*(1+phi*E139)</f>
        <v>90.6883213977937</v>
      </c>
      <c r="F153" s="30" t="n">
        <f aca="false">E153*(1+phi*F139)</f>
        <v>97.3343064740971</v>
      </c>
      <c r="G153" s="30" t="n">
        <f aca="false">F153*(1+phi*G139)</f>
        <v>104.73957042065</v>
      </c>
    </row>
    <row r="154" customFormat="false" ht="15" hidden="false" customHeight="false" outlineLevel="0" collapsed="false">
      <c r="A154" s="4" t="s">
        <v>455</v>
      </c>
      <c r="B154" s="0" t="s">
        <v>234</v>
      </c>
      <c r="C154" s="30" t="n">
        <f aca="false">C151-C153</f>
        <v>50.756</v>
      </c>
      <c r="D154" s="30" t="n">
        <f aca="false">D151-D153</f>
        <v>111.022245860986</v>
      </c>
      <c r="E154" s="30" t="n">
        <f aca="false">E151-E153</f>
        <v>153.628268985199</v>
      </c>
      <c r="F154" s="30" t="n">
        <f aca="false">F151-F153</f>
        <v>169.732013854257</v>
      </c>
      <c r="G154" s="30" t="n">
        <f aca="false">G151-G153</f>
        <v>206.871594485118</v>
      </c>
    </row>
    <row r="155" customFormat="false" ht="15" hidden="false" customHeight="false" outlineLevel="0" collapsed="false">
      <c r="A155" s="4" t="s">
        <v>537</v>
      </c>
      <c r="B155" s="0" t="s">
        <v>76</v>
      </c>
      <c r="C155" s="14" t="n">
        <f aca="false">C154/C138</f>
        <v>0.0786441644406156</v>
      </c>
      <c r="D155" s="14" t="n">
        <f aca="false">D154/D138</f>
        <v>0.127440779020437</v>
      </c>
      <c r="E155" s="14" t="n">
        <f aca="false">E154/E138</f>
        <v>0.143280590540618</v>
      </c>
      <c r="F155" s="14" t="n">
        <f aca="false">F154/F138</f>
        <v>0.141069482540734</v>
      </c>
      <c r="G155" s="14" t="n">
        <f aca="false">G154/G138</f>
        <v>0.152588875084476</v>
      </c>
    </row>
    <row r="156" customFormat="false" ht="15" hidden="false" customHeight="false" outlineLevel="0" collapsed="false">
      <c r="A156" s="4" t="s">
        <v>456</v>
      </c>
      <c r="B156" s="0" t="s">
        <v>234</v>
      </c>
      <c r="C156" s="30" t="n">
        <f aca="false">a25_nonop</f>
        <v>0.545</v>
      </c>
      <c r="D156" s="30" t="n">
        <f aca="false">a26_nonop</f>
        <v>4.302</v>
      </c>
      <c r="E156" s="30" t="n">
        <f aca="false">nonop_f</f>
        <v>-5</v>
      </c>
      <c r="F156" s="30" t="n">
        <f aca="false">nonop_f</f>
        <v>-5</v>
      </c>
      <c r="G156" s="30" t="n">
        <f aca="false">nonop_f</f>
        <v>-5</v>
      </c>
    </row>
    <row r="157" customFormat="false" ht="15" hidden="false" customHeight="false" outlineLevel="0" collapsed="false">
      <c r="A157" s="4" t="s">
        <v>459</v>
      </c>
      <c r="B157" s="0" t="s">
        <v>234</v>
      </c>
      <c r="C157" s="30" t="n">
        <f aca="false">C154+C156</f>
        <v>51.301</v>
      </c>
      <c r="D157" s="30" t="n">
        <f aca="false">D154+D156</f>
        <v>115.324245860986</v>
      </c>
      <c r="E157" s="30" t="n">
        <f aca="false">E154+E156</f>
        <v>148.628268985199</v>
      </c>
      <c r="F157" s="30" t="n">
        <f aca="false">F154+F156</f>
        <v>164.732013854257</v>
      </c>
      <c r="G157" s="30" t="n">
        <f aca="false">G154+G156</f>
        <v>201.871594485118</v>
      </c>
    </row>
    <row r="158" customFormat="false" ht="15" hidden="false" customHeight="false" outlineLevel="0" collapsed="false">
      <c r="A158" s="4" t="s">
        <v>460</v>
      </c>
      <c r="B158" s="0" t="s">
        <v>234</v>
      </c>
      <c r="C158" s="30" t="n">
        <f aca="false">a25_tax</f>
        <v>9.461</v>
      </c>
      <c r="D158" s="30" t="n">
        <f aca="false">a26_tax</f>
        <v>19.2197317963676</v>
      </c>
      <c r="E158" s="30" t="n">
        <f aca="false">E157*tax</f>
        <v>25.2668057274838</v>
      </c>
      <c r="F158" s="30" t="n">
        <f aca="false">F157*tax</f>
        <v>28.0044423552236</v>
      </c>
      <c r="G158" s="30" t="n">
        <f aca="false">G157*tax</f>
        <v>34.3181710624701</v>
      </c>
    </row>
    <row r="159" customFormat="false" ht="15" hidden="false" customHeight="false" outlineLevel="0" collapsed="false">
      <c r="A159" s="4" t="s">
        <v>461</v>
      </c>
      <c r="B159" s="0" t="s">
        <v>234</v>
      </c>
      <c r="C159" s="30" t="n">
        <f aca="false">a25_nci</f>
        <v>1.182</v>
      </c>
      <c r="D159" s="30" t="n">
        <f aca="false">a26_nci</f>
        <v>2.543</v>
      </c>
      <c r="E159" s="30" t="n">
        <f aca="false">nci</f>
        <v>3</v>
      </c>
      <c r="F159" s="30" t="n">
        <f aca="false">nci</f>
        <v>3</v>
      </c>
      <c r="G159" s="30" t="n">
        <f aca="false">nci</f>
        <v>3</v>
      </c>
    </row>
    <row r="160" customFormat="false" ht="15" hidden="false" customHeight="false" outlineLevel="0" collapsed="false">
      <c r="A160" s="4" t="s">
        <v>462</v>
      </c>
      <c r="B160" s="0" t="s">
        <v>234</v>
      </c>
      <c r="C160" s="30" t="n">
        <f aca="false">C157-C158-C159</f>
        <v>40.658</v>
      </c>
      <c r="D160" s="30" t="n">
        <f aca="false">D157-D158-D159</f>
        <v>93.5615140646185</v>
      </c>
      <c r="E160" s="30" t="n">
        <f aca="false">E157-E158-E159</f>
        <v>120.361463257715</v>
      </c>
      <c r="F160" s="30" t="n">
        <f aca="false">F157-F158-F159</f>
        <v>133.727571499033</v>
      </c>
      <c r="G160" s="30" t="n">
        <f aca="false">G157-G158-G159</f>
        <v>164.553423422648</v>
      </c>
      <c r="H160" s="31" t="n">
        <f aca="false">H138*H164</f>
        <v>186.961524814841</v>
      </c>
      <c r="I160" s="31" t="n">
        <f aca="false">I138*I164</f>
        <v>207.977289066308</v>
      </c>
      <c r="J160" s="31" t="n">
        <f aca="false">J138*J164</f>
        <v>226.42901391032</v>
      </c>
    </row>
    <row r="161" customFormat="false" ht="15" hidden="false" customHeight="false" outlineLevel="0" collapsed="false">
      <c r="A161" s="4" t="s">
        <v>579</v>
      </c>
      <c r="B161" s="4" t="s">
        <v>580</v>
      </c>
      <c r="C161" s="18" t="n">
        <f aca="false">a25_sh</f>
        <v>4339.16755602988</v>
      </c>
      <c r="D161" s="18" t="n">
        <f aca="false">a26_sh</f>
        <v>4392.90105184664</v>
      </c>
      <c r="E161" s="18" t="n">
        <f aca="false">D161*(1+sh_g)</f>
        <v>4414.86555710588</v>
      </c>
      <c r="F161" s="18" t="n">
        <f aca="false">E161*(1+sh_g)</f>
        <v>4436.9398848914</v>
      </c>
      <c r="G161" s="18" t="n">
        <f aca="false">F161*(1+sh_g)</f>
        <v>4459.12458431586</v>
      </c>
      <c r="H161" s="25" t="n">
        <f aca="false">G161*(1+sh_g)</f>
        <v>4481.42020723744</v>
      </c>
      <c r="I161" s="25" t="n">
        <f aca="false">H161*(1+sh_g)</f>
        <v>4503.82730827363</v>
      </c>
      <c r="J161" s="25" t="n">
        <f aca="false">I161*(1+sh_g)</f>
        <v>4526.34644481499</v>
      </c>
    </row>
    <row r="162" customFormat="false" ht="17.15" hidden="false" customHeight="false" outlineLevel="0" collapsed="false">
      <c r="A162" s="0" t="s">
        <v>465</v>
      </c>
      <c r="B162" s="0" t="s">
        <v>304</v>
      </c>
      <c r="C162" s="19" t="n">
        <f aca="false">a25_eps</f>
        <v>9.37</v>
      </c>
      <c r="D162" s="19" t="n">
        <f aca="false">a26_eps</f>
        <v>21.2828697294455</v>
      </c>
      <c r="E162" s="19" t="n">
        <f aca="false">E160/E161*1000</f>
        <v>27.2627697720011</v>
      </c>
      <c r="F162" s="19" t="n">
        <f aca="false">F160/F161*1000</f>
        <v>30.1395950741636</v>
      </c>
      <c r="G162" s="19" t="n">
        <f aca="false">G160/G161*1000</f>
        <v>36.9026297227563</v>
      </c>
      <c r="H162" s="28" t="n">
        <f aca="false">H160/H161*1000</f>
        <v>41.7192577729936</v>
      </c>
      <c r="I162" s="28" t="n">
        <f aca="false">I160/I161*1000</f>
        <v>46.1779004457497</v>
      </c>
      <c r="J162" s="28" t="n">
        <f aca="false">J160/J161*1000</f>
        <v>50.0246758994106</v>
      </c>
    </row>
    <row r="163" customFormat="false" ht="17.15" hidden="false" customHeight="false" outlineLevel="0" collapsed="false">
      <c r="A163" s="0" t="s">
        <v>581</v>
      </c>
      <c r="B163" s="0" t="s">
        <v>76</v>
      </c>
      <c r="D163" s="21" t="n">
        <f aca="false">D162/C162-1</f>
        <v>1.27138417603474</v>
      </c>
      <c r="E163" s="21" t="n">
        <f aca="false">E162/D162-1</f>
        <v>0.280972449607311</v>
      </c>
      <c r="F163" s="21" t="n">
        <f aca="false">F162/E162-1</f>
        <v>0.105522121421316</v>
      </c>
      <c r="G163" s="21" t="n">
        <f aca="false">G162/F162-1</f>
        <v>0.224390361979023</v>
      </c>
      <c r="H163" s="26" t="n">
        <f aca="false">H162/G162-1</f>
        <v>0.130522623629367</v>
      </c>
      <c r="I163" s="26" t="n">
        <f aca="false">I162/H162-1</f>
        <v>0.106872531074663</v>
      </c>
      <c r="J163" s="26" t="n">
        <f aca="false">J162/I162-1</f>
        <v>0.0833033857435799</v>
      </c>
    </row>
    <row r="164" customFormat="false" ht="17.15" hidden="false" customHeight="false" outlineLevel="0" collapsed="false">
      <c r="A164" s="4" t="s">
        <v>582</v>
      </c>
      <c r="B164" s="0" t="s">
        <v>76</v>
      </c>
      <c r="C164" s="14" t="n">
        <f aca="false">C160/C138</f>
        <v>0.0629977625862272</v>
      </c>
      <c r="D164" s="14" t="n">
        <f aca="false">D160/D138</f>
        <v>0.107397865592237</v>
      </c>
      <c r="E164" s="14" t="n">
        <f aca="false">E160/E138</f>
        <v>0.11225448055761</v>
      </c>
      <c r="F164" s="14" t="n">
        <f aca="false">F160/F138</f>
        <v>0.111145086212176</v>
      </c>
      <c r="G164" s="14" t="n">
        <f aca="false">G160/G138</f>
        <v>0.121374912944694</v>
      </c>
      <c r="H164" s="27" t="n">
        <f aca="false">$G164+(fade_mA-$G164)*1/3</f>
        <v>0.124851886901184</v>
      </c>
      <c r="I164" s="27" t="n">
        <f aca="false">$G164+(fade_mA-$G164)*2/3</f>
        <v>0.128328860857674</v>
      </c>
      <c r="J164" s="27" t="n">
        <f aca="false">$G164+(fade_mA-$G164)*3/3</f>
        <v>0.131805834814164</v>
      </c>
    </row>
    <row r="165" customFormat="false" ht="17.15" hidden="false" customHeight="false" outlineLevel="0" collapsed="false">
      <c r="A165" s="4" t="s">
        <v>583</v>
      </c>
      <c r="B165" s="0" t="s">
        <v>234</v>
      </c>
      <c r="C165" s="30" t="n">
        <f aca="false">C160+C146-C144</f>
        <v>-54.587</v>
      </c>
      <c r="D165" s="30" t="n">
        <f aca="false">D160+D146-D144</f>
        <v>-176.164485935382</v>
      </c>
      <c r="E165" s="30" t="n">
        <f aca="false">E160+E146-E144</f>
        <v>-164.798786742285</v>
      </c>
      <c r="F165" s="30" t="n">
        <f aca="false">F160+F146-F144</f>
        <v>-60.741719238675</v>
      </c>
      <c r="G165" s="30" t="n">
        <f aca="false">G160+G146-G144</f>
        <v>-51.3766143907523</v>
      </c>
      <c r="K165" s="4" t="s">
        <v>584</v>
      </c>
    </row>
    <row r="166" customFormat="false" ht="17.15" hidden="false" customHeight="false" outlineLevel="0" collapsed="false">
      <c r="A166" s="4" t="s">
        <v>585</v>
      </c>
      <c r="B166" s="0" t="s">
        <v>76</v>
      </c>
      <c r="D166" s="21" t="n">
        <f aca="false">(D154-$C154)/SUM($D144:D144)</f>
        <v>0.164280348537512</v>
      </c>
      <c r="E166" s="21" t="n">
        <f aca="false">(E154-$C154)/SUM($D144:E144)</f>
        <v>0.131407381982754</v>
      </c>
      <c r="F166" s="21" t="n">
        <f aca="false">(F154-$C154)/SUM($D144:F144)</f>
        <v>0.104017826800966</v>
      </c>
      <c r="G166" s="21" t="n">
        <f aca="false">(G154-$C154)/SUM($D144:G144)</f>
        <v>0.100685469435319</v>
      </c>
      <c r="K166" s="4" t="s">
        <v>586</v>
      </c>
    </row>
    <row r="169" customFormat="false" ht="17.15" hidden="false" customHeight="false" outlineLevel="0" collapsed="false">
      <c r="A169" s="1" t="s">
        <v>917</v>
      </c>
    </row>
    <row r="170" customFormat="false" ht="17.15" hidden="false" customHeight="false" outlineLevel="0" collapsed="false">
      <c r="A170" s="5" t="s">
        <v>21</v>
      </c>
      <c r="B170" s="5" t="s">
        <v>22</v>
      </c>
      <c r="C170" s="15" t="s">
        <v>424</v>
      </c>
      <c r="D170" s="15" t="s">
        <v>524</v>
      </c>
      <c r="E170" s="15" t="s">
        <v>525</v>
      </c>
      <c r="F170" s="15" t="s">
        <v>526</v>
      </c>
      <c r="G170" s="15" t="s">
        <v>527</v>
      </c>
      <c r="H170" s="15" t="s">
        <v>528</v>
      </c>
      <c r="I170" s="15" t="s">
        <v>529</v>
      </c>
      <c r="J170" s="15" t="s">
        <v>530</v>
      </c>
      <c r="K170" s="5" t="s">
        <v>382</v>
      </c>
    </row>
    <row r="171" customFormat="false" ht="17.15" hidden="false" customHeight="false" outlineLevel="0" collapsed="false">
      <c r="A171" s="6" t="s">
        <v>548</v>
      </c>
    </row>
    <row r="172" customFormat="false" ht="17.15" hidden="false" customHeight="false" outlineLevel="0" collapsed="false">
      <c r="A172" s="0" t="s">
        <v>549</v>
      </c>
      <c r="B172" s="4" t="s">
        <v>32</v>
      </c>
      <c r="D172" s="19" t="n">
        <f aca="false">units_26</f>
        <v>15.2</v>
      </c>
      <c r="E172" s="19" t="n">
        <f aca="false">units_27*0.8</f>
        <v>18.96</v>
      </c>
      <c r="F172" s="19" t="n">
        <f aca="false">units_28*um28_B*0.8</f>
        <v>16.96</v>
      </c>
      <c r="G172" s="19" t="n">
        <f aca="false">units_29*um29_B*0.8</f>
        <v>20.502</v>
      </c>
    </row>
    <row r="173" customFormat="false" ht="17.15" hidden="false" customHeight="false" outlineLevel="0" collapsed="false">
      <c r="A173" s="4" t="s">
        <v>497</v>
      </c>
      <c r="B173" s="0" t="s">
        <v>45</v>
      </c>
      <c r="D173" s="22" t="n">
        <f aca="false">ar_26</f>
        <v>1</v>
      </c>
      <c r="E173" s="22" t="n">
        <f aca="false">ar_27</f>
        <v>1.278156</v>
      </c>
      <c r="F173" s="22" t="n">
        <f aca="false">ar_28</f>
        <v>1.428615</v>
      </c>
      <c r="G173" s="22" t="n">
        <f aca="false">ar_29</f>
        <v>1.431796</v>
      </c>
    </row>
    <row r="174" customFormat="false" ht="17.15" hidden="false" customHeight="false" outlineLevel="0" collapsed="false">
      <c r="A174" s="4" t="s">
        <v>550</v>
      </c>
      <c r="B174" s="0" t="s">
        <v>45</v>
      </c>
      <c r="D174" s="19" t="n">
        <f aca="false">1</f>
        <v>1</v>
      </c>
      <c r="E174" s="19" t="n">
        <f aca="false">rel27_B</f>
        <v>1.05</v>
      </c>
      <c r="F174" s="19" t="n">
        <f aca="false">rel28_B</f>
        <v>1.08</v>
      </c>
      <c r="G174" s="19" t="n">
        <f aca="false">rel29_B</f>
        <v>1.1</v>
      </c>
    </row>
    <row r="175" customFormat="false" ht="17.15" hidden="false" customHeight="false" outlineLevel="0" collapsed="false">
      <c r="A175" s="4" t="s">
        <v>551</v>
      </c>
      <c r="B175" s="0" t="s">
        <v>502</v>
      </c>
      <c r="D175" s="23" t="n">
        <f aca="false">D176*1000/D172</f>
        <v>236.842105263158</v>
      </c>
      <c r="E175" s="23" t="n">
        <f aca="false">$D175*E173^el</f>
        <v>267.763172119488</v>
      </c>
      <c r="F175" s="23" t="n">
        <f aca="false">$D175*F173^el</f>
        <v>283.084777049615</v>
      </c>
      <c r="G175" s="23" t="n">
        <f aca="false">$D175*G173^el</f>
        <v>283.399764630809</v>
      </c>
      <c r="K175" s="8" t="s">
        <v>552</v>
      </c>
    </row>
    <row r="176" customFormat="false" ht="17.15" hidden="false" customHeight="false" outlineLevel="0" collapsed="false">
      <c r="A176" s="0" t="s">
        <v>553</v>
      </c>
      <c r="B176" s="0" t="s">
        <v>120</v>
      </c>
      <c r="D176" s="22" t="n">
        <f aca="false">leap26-D177-D178</f>
        <v>3.6</v>
      </c>
      <c r="E176" s="22" t="n">
        <f aca="false">E172*E174*E175/1000</f>
        <v>5.33062923055476</v>
      </c>
      <c r="F176" s="22" t="n">
        <f aca="false">F172*F174*F175/1000</f>
        <v>5.18520724426238</v>
      </c>
      <c r="G176" s="22" t="n">
        <f aca="false">G172*G174*G175/1000</f>
        <v>6.39128817190693</v>
      </c>
      <c r="K176" s="8" t="s">
        <v>554</v>
      </c>
    </row>
    <row r="177" customFormat="false" ht="17.15" hidden="false" customHeight="false" outlineLevel="0" collapsed="false">
      <c r="A177" s="4" t="s">
        <v>555</v>
      </c>
      <c r="B177" s="0" t="s">
        <v>120</v>
      </c>
      <c r="D177" s="22" t="n">
        <f aca="false">fp26</f>
        <v>0.3</v>
      </c>
      <c r="E177" s="22" t="n">
        <f aca="false">fp27_B</f>
        <v>1</v>
      </c>
      <c r="F177" s="22" t="n">
        <f aca="false">E177*F172/E172*(1+fp_g)</f>
        <v>1.16286919831224</v>
      </c>
      <c r="G177" s="22" t="n">
        <f aca="false">F177*G172/F172*(1+fp_g)</f>
        <v>1.82744620253165</v>
      </c>
    </row>
    <row r="178" customFormat="false" ht="17.15" hidden="false" customHeight="false" outlineLevel="0" collapsed="false">
      <c r="A178" s="0" t="s">
        <v>556</v>
      </c>
      <c r="B178" s="0" t="s">
        <v>120</v>
      </c>
      <c r="D178" s="22" t="n">
        <f aca="false">cpo27*cpo_B_26/cpo_A_27</f>
        <v>0.1</v>
      </c>
      <c r="E178" s="22" t="n">
        <f aca="false">cpo27*cpo_B_27/cpo_A_27</f>
        <v>0.3</v>
      </c>
      <c r="F178" s="22" t="n">
        <f aca="false">cpo27*cpo_B_28/cpo_A_27*F172/E172</f>
        <v>0.447257383966245</v>
      </c>
      <c r="G178" s="22" t="n">
        <f aca="false">cpo27*cpo_B_29/cpo_A_27*G172/E172</f>
        <v>0.86506329113924</v>
      </c>
      <c r="K178" s="8" t="s">
        <v>557</v>
      </c>
    </row>
    <row r="179" customFormat="false" ht="17.15" hidden="false" customHeight="false" outlineLevel="0" collapsed="false">
      <c r="A179" s="0" t="s">
        <v>510</v>
      </c>
      <c r="B179" s="0" t="s">
        <v>120</v>
      </c>
      <c r="C179" s="22" t="n">
        <f aca="false">leap25</f>
        <v>1.6</v>
      </c>
      <c r="D179" s="22" t="n">
        <f aca="false">D176+D177+D178</f>
        <v>4</v>
      </c>
      <c r="E179" s="22" t="n">
        <f aca="false">E176+E177+E178</f>
        <v>6.63062923055476</v>
      </c>
      <c r="F179" s="22" t="n">
        <f aca="false">F176+F177+F178</f>
        <v>6.79533382654086</v>
      </c>
      <c r="G179" s="22" t="n">
        <f aca="false">G176+G177+G178</f>
        <v>9.08379766557781</v>
      </c>
    </row>
    <row r="180" customFormat="false" ht="17.15" hidden="false" customHeight="false" outlineLevel="0" collapsed="false">
      <c r="A180" s="4" t="s">
        <v>558</v>
      </c>
      <c r="B180" s="0" t="s">
        <v>114</v>
      </c>
      <c r="C180" s="19" t="n">
        <f aca="false">fx25</f>
        <v>31</v>
      </c>
      <c r="D180" s="19" t="n">
        <f aca="false">a26_leap/D179</f>
        <v>31.9</v>
      </c>
      <c r="E180" s="19" t="n">
        <f aca="false">fx</f>
        <v>32</v>
      </c>
      <c r="F180" s="19" t="n">
        <f aca="false">fx</f>
        <v>32</v>
      </c>
      <c r="G180" s="19" t="n">
        <f aca="false">fx</f>
        <v>32</v>
      </c>
      <c r="K180" s="8" t="s">
        <v>559</v>
      </c>
    </row>
    <row r="181" customFormat="false" ht="17.15" hidden="false" customHeight="false" outlineLevel="0" collapsed="false">
      <c r="A181" s="6" t="s">
        <v>560</v>
      </c>
    </row>
    <row r="182" customFormat="false" ht="17.15" hidden="false" customHeight="false" outlineLevel="0" collapsed="false">
      <c r="A182" s="0" t="s">
        <v>438</v>
      </c>
      <c r="B182" s="0" t="s">
        <v>234</v>
      </c>
      <c r="C182" s="30" t="n">
        <f aca="false">a25_leap</f>
        <v>49.6</v>
      </c>
      <c r="D182" s="30" t="n">
        <f aca="false">a26_leap</f>
        <v>127.6</v>
      </c>
      <c r="E182" s="30" t="n">
        <f aca="false">E179*E180</f>
        <v>212.180135377752</v>
      </c>
      <c r="F182" s="30" t="n">
        <f aca="false">F179*F180</f>
        <v>217.450682449308</v>
      </c>
      <c r="G182" s="30" t="n">
        <f aca="false">G179*G180</f>
        <v>290.68152529849</v>
      </c>
    </row>
    <row r="183" customFormat="false" ht="15" hidden="false" customHeight="false" outlineLevel="0" collapsed="false">
      <c r="A183" s="4" t="s">
        <v>561</v>
      </c>
      <c r="B183" s="0" t="s">
        <v>234</v>
      </c>
      <c r="C183" s="30" t="n">
        <f aca="false">a25_ms</f>
        <v>339.628</v>
      </c>
      <c r="D183" s="30" t="n">
        <f aca="false">a26_ms</f>
        <v>432.1302</v>
      </c>
      <c r="E183" s="30" t="n">
        <f aca="false">D183*(1+g_ms27)</f>
        <v>496.94973</v>
      </c>
      <c r="F183" s="30" t="n">
        <f aca="false">E183*(1+g_msL)</f>
        <v>531.7362111</v>
      </c>
      <c r="G183" s="30" t="n">
        <f aca="false">F183*(1+g_msL)</f>
        <v>568.957745877</v>
      </c>
    </row>
    <row r="184" customFormat="false" ht="17.15" hidden="false" customHeight="false" outlineLevel="0" collapsed="false">
      <c r="A184" s="4" t="s">
        <v>562</v>
      </c>
      <c r="B184" s="0" t="s">
        <v>234</v>
      </c>
      <c r="C184" s="30" t="n">
        <f aca="false">C182+C183</f>
        <v>389.228</v>
      </c>
      <c r="D184" s="30" t="n">
        <f aca="false">D182+D183</f>
        <v>559.7302</v>
      </c>
      <c r="E184" s="30" t="n">
        <f aca="false">E182+E183</f>
        <v>709.129865377752</v>
      </c>
      <c r="F184" s="30" t="n">
        <f aca="false">F182+F183</f>
        <v>749.186893549308</v>
      </c>
      <c r="G184" s="30" t="n">
        <f aca="false">G182+G183</f>
        <v>859.63927117549</v>
      </c>
    </row>
    <row r="185" customFormat="false" ht="17.15" hidden="false" customHeight="false" outlineLevel="0" collapsed="false">
      <c r="A185" s="0" t="s">
        <v>563</v>
      </c>
      <c r="B185" s="0" t="s">
        <v>234</v>
      </c>
      <c r="C185" s="30" t="n">
        <f aca="false">a25_ems</f>
        <v>259.079</v>
      </c>
      <c r="D185" s="30" t="n">
        <f aca="false">a26_ems</f>
        <v>314.602</v>
      </c>
      <c r="E185" s="30" t="n">
        <f aca="false">D185*(1+g_ems27)</f>
        <v>346.0622</v>
      </c>
      <c r="F185" s="30" t="n">
        <f aca="false">E185*(1+g_emsL)</f>
        <v>363.36531</v>
      </c>
      <c r="G185" s="30" t="n">
        <f aca="false">F185*(1+g_emsL)</f>
        <v>381.5335755</v>
      </c>
    </row>
    <row r="186" customFormat="false" ht="17.15" hidden="false" customHeight="false" outlineLevel="0" collapsed="false">
      <c r="A186" s="4" t="s">
        <v>564</v>
      </c>
      <c r="B186" s="0" t="s">
        <v>234</v>
      </c>
      <c r="C186" s="30" t="n">
        <f aca="false">a25_elim</f>
        <v>-2.91899999999998</v>
      </c>
      <c r="D186" s="30" t="n">
        <f aca="false">a26_elim</f>
        <v>-3.16484905982349</v>
      </c>
      <c r="E186" s="30" t="n">
        <f aca="false">$D186/($D184+$D185)*(E184+E185)</f>
        <v>-3.81951347101706</v>
      </c>
      <c r="F186" s="30" t="n">
        <f aca="false">$D186/($D184+$D185)*(F184+F185)</f>
        <v>-4.02714185227031</v>
      </c>
      <c r="G186" s="30" t="n">
        <f aca="false">$D186/($D184+$D185)*(G184+G185)</f>
        <v>-4.49271423021978</v>
      </c>
      <c r="K186" s="4" t="s">
        <v>565</v>
      </c>
    </row>
    <row r="187" customFormat="false" ht="17.15" hidden="false" customHeight="false" outlineLevel="0" collapsed="false">
      <c r="A187" s="4" t="s">
        <v>431</v>
      </c>
      <c r="B187" s="0" t="s">
        <v>234</v>
      </c>
      <c r="C187" s="30" t="n">
        <f aca="false">C184+C185+C186</f>
        <v>645.388</v>
      </c>
      <c r="D187" s="30" t="n">
        <f aca="false">D184+D185+D186</f>
        <v>871.167350940177</v>
      </c>
      <c r="E187" s="30" t="n">
        <f aca="false">E184+E185+E186</f>
        <v>1051.37255190674</v>
      </c>
      <c r="F187" s="30" t="n">
        <f aca="false">F184+F185+F186</f>
        <v>1108.52506169704</v>
      </c>
      <c r="G187" s="30" t="n">
        <f aca="false">G184+G185+G186</f>
        <v>1236.68013244527</v>
      </c>
      <c r="H187" s="31" t="n">
        <f aca="false">G187*(1+H188)</f>
        <v>1348.48313669082</v>
      </c>
      <c r="I187" s="31" t="n">
        <f aca="false">H187*(1+I188)</f>
        <v>1436.40811919613</v>
      </c>
      <c r="J187" s="31" t="n">
        <f aca="false">I187*(1+J188)</f>
        <v>1493.86444396398</v>
      </c>
      <c r="K187" s="8" t="s">
        <v>566</v>
      </c>
    </row>
    <row r="188" customFormat="false" ht="15" hidden="false" customHeight="false" outlineLevel="0" collapsed="false">
      <c r="A188" s="4" t="s">
        <v>567</v>
      </c>
      <c r="B188" s="0" t="s">
        <v>76</v>
      </c>
      <c r="D188" s="21" t="n">
        <f aca="false">D187/C187-1</f>
        <v>0.349835061916516</v>
      </c>
      <c r="E188" s="21" t="n">
        <f aca="false">E187/D187-1</f>
        <v>0.206854860632781</v>
      </c>
      <c r="F188" s="21" t="n">
        <f aca="false">F187/E187-1</f>
        <v>0.0543599028590314</v>
      </c>
      <c r="G188" s="21" t="n">
        <f aca="false">G187/F187-1</f>
        <v>0.115608636355087</v>
      </c>
      <c r="H188" s="26" t="n">
        <f aca="false">$G188+(fade_gB-$G188)*1/3</f>
        <v>0.0904057575700579</v>
      </c>
      <c r="I188" s="26" t="n">
        <f aca="false">$G188+(fade_gB-$G188)*2/3</f>
        <v>0.0652028787850289</v>
      </c>
      <c r="J188" s="26" t="n">
        <f aca="false">$G188+(fade_gB-$G188)*3/3</f>
        <v>0.04</v>
      </c>
    </row>
    <row r="189" customFormat="false" ht="17.15" hidden="false" customHeight="false" outlineLevel="0" collapsed="false">
      <c r="A189" s="0" t="s">
        <v>475</v>
      </c>
      <c r="B189" s="0" t="s">
        <v>76</v>
      </c>
      <c r="C189" s="21" t="n">
        <f aca="false">C182/C184</f>
        <v>0.127431736668482</v>
      </c>
      <c r="D189" s="21" t="n">
        <f aca="false">D182/D184</f>
        <v>0.227966974088588</v>
      </c>
      <c r="E189" s="21" t="n">
        <f aca="false">E182/E184</f>
        <v>0.299211957833315</v>
      </c>
      <c r="F189" s="21" t="n">
        <f aca="false">F182/F184</f>
        <v>0.290248914285092</v>
      </c>
      <c r="G189" s="21" t="n">
        <f aca="false">G182/G184</f>
        <v>0.338143608656926</v>
      </c>
    </row>
    <row r="190" customFormat="false" ht="15" hidden="false" customHeight="false" outlineLevel="0" collapsed="false">
      <c r="A190" s="4" t="s">
        <v>568</v>
      </c>
      <c r="B190" s="0" t="s">
        <v>76</v>
      </c>
      <c r="D190" s="21" t="n">
        <f aca="false">D184/C184-1</f>
        <v>0.438052247012034</v>
      </c>
      <c r="E190" s="21" t="n">
        <f aca="false">E184/D184-1</f>
        <v>0.266913711959355</v>
      </c>
      <c r="F190" s="21" t="n">
        <f aca="false">F184/E184-1</f>
        <v>0.0564875774202756</v>
      </c>
      <c r="G190" s="21" t="n">
        <f aca="false">G184/F184-1</f>
        <v>0.147429671524163</v>
      </c>
    </row>
    <row r="191" customFormat="false" ht="17.15" hidden="false" customHeight="false" outlineLevel="0" collapsed="false">
      <c r="A191" s="6" t="s">
        <v>569</v>
      </c>
    </row>
    <row r="192" customFormat="false" ht="17.15" hidden="false" customHeight="false" outlineLevel="0" collapsed="false">
      <c r="A192" s="4" t="s">
        <v>570</v>
      </c>
      <c r="B192" s="0" t="s">
        <v>120</v>
      </c>
      <c r="C192" s="19" t="n">
        <f aca="false">capex25</f>
        <v>5.5</v>
      </c>
      <c r="D192" s="19" t="n">
        <f aca="false">capex26</f>
        <v>11.5</v>
      </c>
      <c r="E192" s="19" t="n">
        <f aca="false">capex27</f>
        <v>13</v>
      </c>
      <c r="F192" s="19" t="n">
        <f aca="false">capi*F187/F180</f>
        <v>10.3924224534097</v>
      </c>
      <c r="G192" s="19" t="n">
        <f aca="false">capi*G187/G180</f>
        <v>11.5938762416744</v>
      </c>
      <c r="K192" s="8" t="s">
        <v>571</v>
      </c>
    </row>
    <row r="193" customFormat="false" ht="15" hidden="false" customHeight="false" outlineLevel="0" collapsed="false">
      <c r="A193" s="4" t="s">
        <v>572</v>
      </c>
      <c r="B193" s="0" t="s">
        <v>234</v>
      </c>
      <c r="C193" s="30" t="n">
        <f aca="false">C192*C180</f>
        <v>170.5</v>
      </c>
      <c r="D193" s="30" t="n">
        <f aca="false">D192*31.9</f>
        <v>366.85</v>
      </c>
      <c r="E193" s="30" t="n">
        <f aca="false">E192*E180</f>
        <v>416</v>
      </c>
      <c r="F193" s="30" t="n">
        <f aca="false">F192*F180</f>
        <v>332.557518509111</v>
      </c>
      <c r="G193" s="30" t="n">
        <f aca="false">G192*G180</f>
        <v>371.004039733581</v>
      </c>
    </row>
    <row r="194" customFormat="false" ht="17.15" hidden="false" customHeight="false" outlineLevel="0" collapsed="false">
      <c r="A194" s="4" t="s">
        <v>473</v>
      </c>
      <c r="B194" s="0" t="s">
        <v>76</v>
      </c>
      <c r="C194" s="21" t="n">
        <f aca="false">C193/C187</f>
        <v>0.264182166386732</v>
      </c>
      <c r="D194" s="21" t="n">
        <f aca="false">D193/D187</f>
        <v>0.421101639775745</v>
      </c>
      <c r="E194" s="21" t="n">
        <f aca="false">E193/E187</f>
        <v>0.395673255161128</v>
      </c>
      <c r="F194" s="21" t="n">
        <f aca="false">F193/F187</f>
        <v>0.3</v>
      </c>
      <c r="G194" s="21" t="n">
        <f aca="false">G193/G187</f>
        <v>0.3</v>
      </c>
    </row>
    <row r="195" customFormat="false" ht="17.15" hidden="false" customHeight="false" outlineLevel="0" collapsed="false">
      <c r="A195" s="4" t="s">
        <v>573</v>
      </c>
      <c r="B195" s="0" t="s">
        <v>234</v>
      </c>
      <c r="C195" s="30" t="n">
        <f aca="false">a25_da</f>
        <v>75.255</v>
      </c>
      <c r="D195" s="30" t="n">
        <f aca="false">a26_da</f>
        <v>97.124</v>
      </c>
      <c r="E195" s="30" t="n">
        <f aca="false">D195*(1-1/life)+D193/life</f>
        <v>130.83975</v>
      </c>
      <c r="F195" s="30" t="n">
        <f aca="false">E195*(1-1/life)+E193/life</f>
        <v>166.48478125</v>
      </c>
      <c r="G195" s="30" t="n">
        <f aca="false">F195*(1-1/life)+F193/life</f>
        <v>187.243873407389</v>
      </c>
      <c r="K195" s="4" t="s">
        <v>574</v>
      </c>
    </row>
    <row r="196" customFormat="false" ht="17.15" hidden="false" customHeight="false" outlineLevel="0" collapsed="false">
      <c r="A196" s="4" t="s">
        <v>575</v>
      </c>
      <c r="B196" s="0" t="s">
        <v>234</v>
      </c>
      <c r="C196" s="30" t="n">
        <f aca="false">a25_agp</f>
        <v>91.38</v>
      </c>
      <c r="D196" s="30" t="n">
        <f aca="false">a26_agp</f>
        <v>164.623388</v>
      </c>
      <c r="E196" s="30" t="n">
        <f aca="false">$D196+ft*(E184-$D184)-(E195-$D195)</f>
        <v>205.607470688876</v>
      </c>
      <c r="F196" s="30" t="n">
        <f aca="false">$D196+ft*(F184-$D184)-(F195-$D195)</f>
        <v>189.990953524654</v>
      </c>
      <c r="G196" s="30" t="n">
        <f aca="false">$D196+ft*(G184-$D184)-(G195-$D195)</f>
        <v>224.458050180356</v>
      </c>
      <c r="K196" s="4" t="s">
        <v>576</v>
      </c>
    </row>
    <row r="197" customFormat="false" ht="15" hidden="false" customHeight="false" outlineLevel="0" collapsed="false">
      <c r="A197" s="4" t="s">
        <v>447</v>
      </c>
      <c r="B197" s="0" t="s">
        <v>76</v>
      </c>
      <c r="C197" s="14" t="n">
        <f aca="false">C196/C184</f>
        <v>0.234772421305764</v>
      </c>
      <c r="D197" s="14" t="n">
        <f aca="false">D196/D184</f>
        <v>0.294112034690999</v>
      </c>
      <c r="E197" s="14" t="n">
        <f aca="false">E196/E184</f>
        <v>0.289943324526812</v>
      </c>
      <c r="F197" s="14" t="n">
        <f aca="false">F196/F184</f>
        <v>0.253596205647115</v>
      </c>
      <c r="G197" s="14" t="n">
        <f aca="false">G196/G184</f>
        <v>0.26110725475981</v>
      </c>
    </row>
    <row r="198" customFormat="false" ht="17.15" hidden="false" customHeight="false" outlineLevel="0" collapsed="false">
      <c r="A198" s="0" t="s">
        <v>449</v>
      </c>
      <c r="B198" s="0" t="s">
        <v>234</v>
      </c>
      <c r="C198" s="30" t="n">
        <f aca="false">a25_egp</f>
        <v>23.695</v>
      </c>
      <c r="D198" s="30" t="n">
        <f aca="false">a26_egp</f>
        <v>27.00552</v>
      </c>
      <c r="E198" s="30" t="n">
        <f aca="false">E185*ems_gm</f>
        <v>29.415287</v>
      </c>
      <c r="F198" s="30" t="n">
        <f aca="false">F185*ems_gm</f>
        <v>30.88605135</v>
      </c>
      <c r="G198" s="30" t="n">
        <f aca="false">G185*ems_gm</f>
        <v>32.4303539175</v>
      </c>
    </row>
    <row r="199" customFormat="false" ht="15" hidden="false" customHeight="false" outlineLevel="0" collapsed="false">
      <c r="A199" s="4" t="s">
        <v>577</v>
      </c>
      <c r="B199" s="0" t="s">
        <v>234</v>
      </c>
      <c r="C199" s="30" t="n">
        <f aca="false">a25_lgp</f>
        <v>-0.881999999999998</v>
      </c>
      <c r="D199" s="30" t="n">
        <f aca="false">a26_lgp</f>
        <v>-0.948662139013863</v>
      </c>
      <c r="E199" s="30" t="n">
        <f aca="false">$D199/$D186*E186</f>
        <v>-1.14489751356717</v>
      </c>
      <c r="F199" s="30" t="n">
        <f aca="false">$D199/$D186*F186</f>
        <v>-1.20713403118823</v>
      </c>
      <c r="G199" s="30" t="n">
        <f aca="false">$D199/$D186*G186</f>
        <v>-1.34668915043172</v>
      </c>
    </row>
    <row r="200" customFormat="false" ht="15" hidden="false" customHeight="false" outlineLevel="0" collapsed="false">
      <c r="A200" s="4" t="s">
        <v>451</v>
      </c>
      <c r="B200" s="0" t="s">
        <v>234</v>
      </c>
      <c r="C200" s="30" t="n">
        <f aca="false">C196+C198+C199</f>
        <v>114.193</v>
      </c>
      <c r="D200" s="30" t="n">
        <f aca="false">D196+D198+D199</f>
        <v>190.680245860986</v>
      </c>
      <c r="E200" s="30" t="n">
        <f aca="false">E196+E198+E199</f>
        <v>233.877860175309</v>
      </c>
      <c r="F200" s="30" t="n">
        <f aca="false">F196+F198+F199</f>
        <v>219.669870843466</v>
      </c>
      <c r="G200" s="30" t="n">
        <f aca="false">G196+G198+G199</f>
        <v>255.541714947424</v>
      </c>
    </row>
    <row r="201" customFormat="false" ht="15" hidden="false" customHeight="false" outlineLevel="0" collapsed="false">
      <c r="A201" s="4" t="s">
        <v>452</v>
      </c>
      <c r="B201" s="0" t="s">
        <v>76</v>
      </c>
      <c r="C201" s="14" t="n">
        <f aca="false">C200/C187</f>
        <v>0.176936974347214</v>
      </c>
      <c r="D201" s="14" t="n">
        <f aca="false">D200/D187</f>
        <v>0.218879008327391</v>
      </c>
      <c r="E201" s="14" t="n">
        <f aca="false">E200/E187</f>
        <v>0.222450034244432</v>
      </c>
      <c r="F201" s="14" t="n">
        <f aca="false">F200/F187</f>
        <v>0.198164099697641</v>
      </c>
      <c r="G201" s="14" t="n">
        <f aca="false">G200/G187</f>
        <v>0.206635255344602</v>
      </c>
    </row>
    <row r="202" customFormat="false" ht="15" hidden="false" customHeight="false" outlineLevel="0" collapsed="false">
      <c r="A202" s="4" t="s">
        <v>578</v>
      </c>
      <c r="B202" s="0" t="s">
        <v>234</v>
      </c>
      <c r="C202" s="30" t="n">
        <f aca="false">a25_opx</f>
        <v>63.437</v>
      </c>
      <c r="D202" s="30" t="n">
        <f aca="false">a26_opx</f>
        <v>79.658</v>
      </c>
      <c r="E202" s="30" t="n">
        <f aca="false">D202*(1+phi*E188)</f>
        <v>89.5445866929716</v>
      </c>
      <c r="F202" s="30" t="n">
        <f aca="false">E202*(1+phi*F188)</f>
        <v>92.4651677134808</v>
      </c>
      <c r="G202" s="30" t="n">
        <f aca="false">F202*(1+phi*G188)</f>
        <v>98.8790308833008</v>
      </c>
    </row>
    <row r="203" customFormat="false" ht="15" hidden="false" customHeight="false" outlineLevel="0" collapsed="false">
      <c r="A203" s="4" t="s">
        <v>455</v>
      </c>
      <c r="B203" s="0" t="s">
        <v>234</v>
      </c>
      <c r="C203" s="30" t="n">
        <f aca="false">C200-C202</f>
        <v>50.756</v>
      </c>
      <c r="D203" s="30" t="n">
        <f aca="false">D200-D202</f>
        <v>111.022245860986</v>
      </c>
      <c r="E203" s="30" t="n">
        <f aca="false">E200-E202</f>
        <v>144.333273482337</v>
      </c>
      <c r="F203" s="30" t="n">
        <f aca="false">F200-F202</f>
        <v>127.204703129985</v>
      </c>
      <c r="G203" s="30" t="n">
        <f aca="false">G200-G202</f>
        <v>156.662684064124</v>
      </c>
    </row>
    <row r="204" customFormat="false" ht="15" hidden="false" customHeight="false" outlineLevel="0" collapsed="false">
      <c r="A204" s="4" t="s">
        <v>537</v>
      </c>
      <c r="B204" s="0" t="s">
        <v>76</v>
      </c>
      <c r="C204" s="14" t="n">
        <f aca="false">C203/C187</f>
        <v>0.0786441644406156</v>
      </c>
      <c r="D204" s="14" t="n">
        <f aca="false">D203/D187</f>
        <v>0.127440779020437</v>
      </c>
      <c r="E204" s="14" t="n">
        <f aca="false">E203/E187</f>
        <v>0.137280808045235</v>
      </c>
      <c r="F204" s="14" t="n">
        <f aca="false">F203/F187</f>
        <v>0.114751310119455</v>
      </c>
      <c r="G204" s="14" t="n">
        <f aca="false">G203/G187</f>
        <v>0.126680036295527</v>
      </c>
    </row>
    <row r="205" customFormat="false" ht="15" hidden="false" customHeight="false" outlineLevel="0" collapsed="false">
      <c r="A205" s="4" t="s">
        <v>456</v>
      </c>
      <c r="B205" s="0" t="s">
        <v>234</v>
      </c>
      <c r="C205" s="30" t="n">
        <f aca="false">a25_nonop</f>
        <v>0.545</v>
      </c>
      <c r="D205" s="30" t="n">
        <f aca="false">a26_nonop</f>
        <v>4.302</v>
      </c>
      <c r="E205" s="30" t="n">
        <f aca="false">nonop_f</f>
        <v>-5</v>
      </c>
      <c r="F205" s="30" t="n">
        <f aca="false">nonop_f</f>
        <v>-5</v>
      </c>
      <c r="G205" s="30" t="n">
        <f aca="false">nonop_f</f>
        <v>-5</v>
      </c>
    </row>
    <row r="206" customFormat="false" ht="15" hidden="false" customHeight="false" outlineLevel="0" collapsed="false">
      <c r="A206" s="4" t="s">
        <v>459</v>
      </c>
      <c r="B206" s="0" t="s">
        <v>234</v>
      </c>
      <c r="C206" s="30" t="n">
        <f aca="false">C203+C205</f>
        <v>51.301</v>
      </c>
      <c r="D206" s="30" t="n">
        <f aca="false">D203+D205</f>
        <v>115.324245860986</v>
      </c>
      <c r="E206" s="30" t="n">
        <f aca="false">E203+E205</f>
        <v>139.333273482337</v>
      </c>
      <c r="F206" s="30" t="n">
        <f aca="false">F203+F205</f>
        <v>122.204703129985</v>
      </c>
      <c r="G206" s="30" t="n">
        <f aca="false">G203+G205</f>
        <v>151.662684064124</v>
      </c>
    </row>
    <row r="207" customFormat="false" ht="15" hidden="false" customHeight="false" outlineLevel="0" collapsed="false">
      <c r="A207" s="4" t="s">
        <v>460</v>
      </c>
      <c r="B207" s="0" t="s">
        <v>234</v>
      </c>
      <c r="C207" s="30" t="n">
        <f aca="false">a25_tax</f>
        <v>9.461</v>
      </c>
      <c r="D207" s="30" t="n">
        <f aca="false">a26_tax</f>
        <v>19.2197317963676</v>
      </c>
      <c r="E207" s="30" t="n">
        <f aca="false">E206*tax</f>
        <v>23.6866564919974</v>
      </c>
      <c r="F207" s="30" t="n">
        <f aca="false">F206*tax</f>
        <v>20.7747995320974</v>
      </c>
      <c r="G207" s="30" t="n">
        <f aca="false">G206*tax</f>
        <v>25.782656290901</v>
      </c>
    </row>
    <row r="208" customFormat="false" ht="15" hidden="false" customHeight="false" outlineLevel="0" collapsed="false">
      <c r="A208" s="4" t="s">
        <v>461</v>
      </c>
      <c r="B208" s="0" t="s">
        <v>234</v>
      </c>
      <c r="C208" s="30" t="n">
        <f aca="false">a25_nci</f>
        <v>1.182</v>
      </c>
      <c r="D208" s="30" t="n">
        <f aca="false">a26_nci</f>
        <v>2.543</v>
      </c>
      <c r="E208" s="30" t="n">
        <f aca="false">nci</f>
        <v>3</v>
      </c>
      <c r="F208" s="30" t="n">
        <f aca="false">nci</f>
        <v>3</v>
      </c>
      <c r="G208" s="30" t="n">
        <f aca="false">nci</f>
        <v>3</v>
      </c>
    </row>
    <row r="209" customFormat="false" ht="15" hidden="false" customHeight="false" outlineLevel="0" collapsed="false">
      <c r="A209" s="4" t="s">
        <v>462</v>
      </c>
      <c r="B209" s="0" t="s">
        <v>234</v>
      </c>
      <c r="C209" s="30" t="n">
        <f aca="false">C206-C207-C208</f>
        <v>40.658</v>
      </c>
      <c r="D209" s="30" t="n">
        <f aca="false">D206-D207-D208</f>
        <v>93.5615140646185</v>
      </c>
      <c r="E209" s="30" t="n">
        <f aca="false">E206-E207-E208</f>
        <v>112.64661699034</v>
      </c>
      <c r="F209" s="30" t="n">
        <f aca="false">F206-F207-F208</f>
        <v>98.4299035978874</v>
      </c>
      <c r="G209" s="30" t="n">
        <f aca="false">G206-G207-G208</f>
        <v>122.880027773223</v>
      </c>
      <c r="H209" s="31" t="n">
        <f aca="false">H187*H213</f>
        <v>133.495521640606</v>
      </c>
      <c r="I209" s="31" t="n">
        <f aca="false">I187*I213</f>
        <v>141.674063759605</v>
      </c>
      <c r="J209" s="31" t="n">
        <f aca="false">J187*J213</f>
        <v>146.794246105236</v>
      </c>
    </row>
    <row r="210" customFormat="false" ht="15" hidden="false" customHeight="false" outlineLevel="0" collapsed="false">
      <c r="A210" s="4" t="s">
        <v>579</v>
      </c>
      <c r="B210" s="4" t="s">
        <v>580</v>
      </c>
      <c r="C210" s="18" t="n">
        <f aca="false">a25_sh</f>
        <v>4339.16755602988</v>
      </c>
      <c r="D210" s="18" t="n">
        <f aca="false">a26_sh</f>
        <v>4392.90105184664</v>
      </c>
      <c r="E210" s="18" t="n">
        <f aca="false">D210*(1+sh_g)</f>
        <v>4414.86555710588</v>
      </c>
      <c r="F210" s="18" t="n">
        <f aca="false">E210*(1+sh_g)</f>
        <v>4436.9398848914</v>
      </c>
      <c r="G210" s="18" t="n">
        <f aca="false">F210*(1+sh_g)</f>
        <v>4459.12458431586</v>
      </c>
      <c r="H210" s="25" t="n">
        <f aca="false">G210*(1+sh_g)</f>
        <v>4481.42020723744</v>
      </c>
      <c r="I210" s="25" t="n">
        <f aca="false">H210*(1+sh_g)</f>
        <v>4503.82730827363</v>
      </c>
      <c r="J210" s="25" t="n">
        <f aca="false">I210*(1+sh_g)</f>
        <v>4526.34644481499</v>
      </c>
    </row>
    <row r="211" customFormat="false" ht="17.15" hidden="false" customHeight="false" outlineLevel="0" collapsed="false">
      <c r="A211" s="0" t="s">
        <v>465</v>
      </c>
      <c r="B211" s="0" t="s">
        <v>304</v>
      </c>
      <c r="C211" s="19" t="n">
        <f aca="false">a25_eps</f>
        <v>9.37</v>
      </c>
      <c r="D211" s="19" t="n">
        <f aca="false">a26_eps</f>
        <v>21.2828697294455</v>
      </c>
      <c r="E211" s="19" t="n">
        <f aca="false">E209/E210*1000</f>
        <v>25.5152995109968</v>
      </c>
      <c r="F211" s="19" t="n">
        <f aca="false">F209/F210*1000</f>
        <v>22.1841868836356</v>
      </c>
      <c r="G211" s="19" t="n">
        <f aca="false">G209/G210*1000</f>
        <v>27.5569846613907</v>
      </c>
      <c r="H211" s="28" t="n">
        <f aca="false">H209/H210*1000</f>
        <v>29.7886641884222</v>
      </c>
      <c r="I211" s="28" t="n">
        <f aca="false">I209/I210*1000</f>
        <v>31.4563712288316</v>
      </c>
      <c r="J211" s="28" t="n">
        <f aca="false">J209/J210*1000</f>
        <v>32.4310672846068</v>
      </c>
    </row>
    <row r="212" customFormat="false" ht="17.15" hidden="false" customHeight="false" outlineLevel="0" collapsed="false">
      <c r="A212" s="0" t="s">
        <v>581</v>
      </c>
      <c r="B212" s="0" t="s">
        <v>76</v>
      </c>
      <c r="D212" s="21" t="n">
        <f aca="false">D211/C211-1</f>
        <v>1.27138417603474</v>
      </c>
      <c r="E212" s="21" t="n">
        <f aca="false">E211/D211-1</f>
        <v>0.198865558797062</v>
      </c>
      <c r="F212" s="21" t="n">
        <f aca="false">F211/E211-1</f>
        <v>-0.130553538120356</v>
      </c>
      <c r="G212" s="21" t="n">
        <f aca="false">G211/F211-1</f>
        <v>0.242190430775649</v>
      </c>
      <c r="H212" s="26" t="n">
        <f aca="false">H211/G211-1</f>
        <v>0.0809841698739344</v>
      </c>
      <c r="I212" s="26" t="n">
        <f aca="false">I211/H211-1</f>
        <v>0.0559846198493708</v>
      </c>
      <c r="J212" s="26" t="n">
        <f aca="false">J211/I211-1</f>
        <v>0.0309856483026834</v>
      </c>
    </row>
    <row r="213" customFormat="false" ht="17.15" hidden="false" customHeight="false" outlineLevel="0" collapsed="false">
      <c r="A213" s="4" t="s">
        <v>582</v>
      </c>
      <c r="B213" s="0" t="s">
        <v>76</v>
      </c>
      <c r="C213" s="14" t="n">
        <f aca="false">C209/C187</f>
        <v>0.0629977625862272</v>
      </c>
      <c r="D213" s="14" t="n">
        <f aca="false">D209/D187</f>
        <v>0.107397865592237</v>
      </c>
      <c r="E213" s="14" t="n">
        <f aca="false">E209/E187</f>
        <v>0.107142436604463</v>
      </c>
      <c r="F213" s="14" t="n">
        <f aca="false">F209/F187</f>
        <v>0.0887935753542652</v>
      </c>
      <c r="G213" s="14" t="n">
        <f aca="false">G209/G187</f>
        <v>0.0993628219208581</v>
      </c>
      <c r="H213" s="27" t="n">
        <f aca="false">$G213+(fade_mB-$G213)*1/3</f>
        <v>0.0989968046379901</v>
      </c>
      <c r="I213" s="27" t="n">
        <f aca="false">$G213+(fade_mB-$G213)*2/3</f>
        <v>0.0986307873551221</v>
      </c>
      <c r="J213" s="27" t="n">
        <f aca="false">$G213+(fade_mB-$G213)*3/3</f>
        <v>0.0982647700722541</v>
      </c>
    </row>
    <row r="214" customFormat="false" ht="17.15" hidden="false" customHeight="false" outlineLevel="0" collapsed="false">
      <c r="A214" s="4" t="s">
        <v>583</v>
      </c>
      <c r="B214" s="0" t="s">
        <v>234</v>
      </c>
      <c r="C214" s="30" t="n">
        <f aca="false">C209+C195-C193</f>
        <v>-54.587</v>
      </c>
      <c r="D214" s="30" t="n">
        <f aca="false">D209+D195-D193</f>
        <v>-176.164485935382</v>
      </c>
      <c r="E214" s="30" t="n">
        <f aca="false">E209+E195-E193</f>
        <v>-172.51363300966</v>
      </c>
      <c r="F214" s="30" t="n">
        <f aca="false">F209+F195-F193</f>
        <v>-67.6428336612239</v>
      </c>
      <c r="G214" s="30" t="n">
        <f aca="false">G209+G195-G193</f>
        <v>-60.8801385529696</v>
      </c>
      <c r="K214" s="4" t="s">
        <v>584</v>
      </c>
    </row>
    <row r="215" customFormat="false" ht="17.15" hidden="false" customHeight="false" outlineLevel="0" collapsed="false">
      <c r="A215" s="4" t="s">
        <v>585</v>
      </c>
      <c r="B215" s="0" t="s">
        <v>76</v>
      </c>
      <c r="D215" s="21" t="n">
        <f aca="false">(D203-$C203)/SUM($D193:D193)</f>
        <v>0.164280348537512</v>
      </c>
      <c r="E215" s="21" t="n">
        <f aca="false">(E203-$C203)/SUM($D193:E193)</f>
        <v>0.119534104211966</v>
      </c>
      <c r="F215" s="21" t="n">
        <f aca="false">(F203-$C203)/SUM($D193:F193)</f>
        <v>0.068538809234645</v>
      </c>
      <c r="G215" s="21" t="n">
        <f aca="false">(G203-$C203)/SUM($D193:G193)</f>
        <v>0.0712499061762757</v>
      </c>
      <c r="K215" s="4" t="s">
        <v>586</v>
      </c>
    </row>
    <row r="218" customFormat="false" ht="17.15" hidden="false" customHeight="false" outlineLevel="0" collapsed="false">
      <c r="A218" s="1" t="s">
        <v>918</v>
      </c>
    </row>
    <row r="219" customFormat="false" ht="17.15" hidden="false" customHeight="false" outlineLevel="0" collapsed="false">
      <c r="A219" s="5" t="s">
        <v>21</v>
      </c>
      <c r="B219" s="5" t="s">
        <v>22</v>
      </c>
      <c r="C219" s="15" t="s">
        <v>424</v>
      </c>
      <c r="D219" s="15" t="s">
        <v>524</v>
      </c>
      <c r="E219" s="15" t="s">
        <v>525</v>
      </c>
      <c r="F219" s="15" t="s">
        <v>526</v>
      </c>
      <c r="G219" s="15" t="s">
        <v>527</v>
      </c>
      <c r="H219" s="15" t="s">
        <v>528</v>
      </c>
      <c r="I219" s="15" t="s">
        <v>529</v>
      </c>
      <c r="J219" s="15" t="s">
        <v>530</v>
      </c>
      <c r="K219" s="5" t="s">
        <v>382</v>
      </c>
    </row>
    <row r="220" customFormat="false" ht="17.15" hidden="false" customHeight="false" outlineLevel="0" collapsed="false">
      <c r="A220" s="6" t="s">
        <v>548</v>
      </c>
    </row>
    <row r="221" customFormat="false" ht="17.15" hidden="false" customHeight="false" outlineLevel="0" collapsed="false">
      <c r="A221" s="0" t="s">
        <v>549</v>
      </c>
      <c r="B221" s="4" t="s">
        <v>32</v>
      </c>
      <c r="D221" s="19" t="n">
        <f aca="false">units_26</f>
        <v>15.2</v>
      </c>
      <c r="E221" s="19" t="n">
        <f aca="false">units_27*0.8</f>
        <v>18.96</v>
      </c>
      <c r="F221" s="19" t="n">
        <f aca="false">units_28*um28_C*0.8</f>
        <v>12.72</v>
      </c>
      <c r="G221" s="19" t="n">
        <f aca="false">units_29*um29_C*0.8</f>
        <v>14.472</v>
      </c>
    </row>
    <row r="222" customFormat="false" ht="17.15" hidden="false" customHeight="false" outlineLevel="0" collapsed="false">
      <c r="A222" s="4" t="s">
        <v>497</v>
      </c>
      <c r="B222" s="0" t="s">
        <v>45</v>
      </c>
      <c r="D222" s="22" t="n">
        <f aca="false">ar_26</f>
        <v>1</v>
      </c>
      <c r="E222" s="22" t="n">
        <f aca="false">ar_27</f>
        <v>1.278156</v>
      </c>
      <c r="F222" s="22" t="n">
        <f aca="false">ar_28</f>
        <v>1.428615</v>
      </c>
      <c r="G222" s="22" t="n">
        <f aca="false">ar_29</f>
        <v>1.431796</v>
      </c>
    </row>
    <row r="223" customFormat="false" ht="17.15" hidden="false" customHeight="false" outlineLevel="0" collapsed="false">
      <c r="A223" s="4" t="s">
        <v>550</v>
      </c>
      <c r="B223" s="0" t="s">
        <v>45</v>
      </c>
      <c r="D223" s="19" t="n">
        <f aca="false">1</f>
        <v>1</v>
      </c>
      <c r="E223" s="19" t="n">
        <f aca="false">rel27_C</f>
        <v>1</v>
      </c>
      <c r="F223" s="19" t="n">
        <f aca="false">rel28_C</f>
        <v>0.95</v>
      </c>
      <c r="G223" s="19" t="n">
        <f aca="false">rel29_C</f>
        <v>0.92</v>
      </c>
    </row>
    <row r="224" customFormat="false" ht="17.15" hidden="false" customHeight="false" outlineLevel="0" collapsed="false">
      <c r="A224" s="4" t="s">
        <v>551</v>
      </c>
      <c r="B224" s="0" t="s">
        <v>502</v>
      </c>
      <c r="D224" s="23" t="n">
        <f aca="false">D225*1000/D221</f>
        <v>236.842105263158</v>
      </c>
      <c r="E224" s="23" t="n">
        <f aca="false">$D224*E222^el</f>
        <v>267.763172119488</v>
      </c>
      <c r="F224" s="23" t="n">
        <f aca="false">$D224*F222^el</f>
        <v>283.084777049615</v>
      </c>
      <c r="G224" s="23" t="n">
        <f aca="false">$D224*G222^el</f>
        <v>283.399764630809</v>
      </c>
      <c r="K224" s="8" t="s">
        <v>552</v>
      </c>
    </row>
    <row r="225" customFormat="false" ht="17.15" hidden="false" customHeight="false" outlineLevel="0" collapsed="false">
      <c r="A225" s="0" t="s">
        <v>553</v>
      </c>
      <c r="B225" s="0" t="s">
        <v>120</v>
      </c>
      <c r="D225" s="22" t="n">
        <f aca="false">leap26-D226-D227</f>
        <v>3.6</v>
      </c>
      <c r="E225" s="22" t="n">
        <f aca="false">E221*E223*E224/1000</f>
        <v>5.07678974338548</v>
      </c>
      <c r="F225" s="22" t="n">
        <f aca="false">F221*F223*F224/1000</f>
        <v>3.42079644586754</v>
      </c>
      <c r="G225" s="22" t="n">
        <f aca="false">G221*G223*G224/1000</f>
        <v>3.7732524822381</v>
      </c>
      <c r="K225" s="8" t="s">
        <v>554</v>
      </c>
    </row>
    <row r="226" customFormat="false" ht="17.15" hidden="false" customHeight="false" outlineLevel="0" collapsed="false">
      <c r="A226" s="4" t="s">
        <v>555</v>
      </c>
      <c r="B226" s="0" t="s">
        <v>120</v>
      </c>
      <c r="D226" s="22" t="n">
        <f aca="false">fp26</f>
        <v>0.3</v>
      </c>
      <c r="E226" s="22" t="n">
        <f aca="false">fp27_C</f>
        <v>0.7</v>
      </c>
      <c r="F226" s="22" t="n">
        <f aca="false">E226*F221/E221*(1+fp_g)</f>
        <v>0.610506329113924</v>
      </c>
      <c r="G226" s="22" t="n">
        <f aca="false">F226*G221/F221*(1+fp_g)</f>
        <v>0.902973417721519</v>
      </c>
    </row>
    <row r="227" customFormat="false" ht="17.15" hidden="false" customHeight="false" outlineLevel="0" collapsed="false">
      <c r="A227" s="0" t="s">
        <v>556</v>
      </c>
      <c r="B227" s="0" t="s">
        <v>120</v>
      </c>
      <c r="D227" s="22" t="n">
        <f aca="false">cpo27*cpo_C_26/cpo_A_27</f>
        <v>0.1</v>
      </c>
      <c r="E227" s="22" t="n">
        <f aca="false">cpo27*cpo_C_27/cpo_A_27</f>
        <v>0.2</v>
      </c>
      <c r="F227" s="22" t="n">
        <f aca="false">cpo27*cpo_C_28/cpo_A_27*F221/E221</f>
        <v>0.20126582278481</v>
      </c>
      <c r="G227" s="22" t="n">
        <f aca="false">cpo27*cpo_C_29/cpo_A_27*G221/E221</f>
        <v>0.381645569620253</v>
      </c>
      <c r="K227" s="8" t="s">
        <v>557</v>
      </c>
    </row>
    <row r="228" customFormat="false" ht="17.15" hidden="false" customHeight="false" outlineLevel="0" collapsed="false">
      <c r="A228" s="0" t="s">
        <v>510</v>
      </c>
      <c r="B228" s="0" t="s">
        <v>120</v>
      </c>
      <c r="C228" s="22" t="n">
        <f aca="false">leap25</f>
        <v>1.6</v>
      </c>
      <c r="D228" s="22" t="n">
        <f aca="false">D225+D226+D227</f>
        <v>4</v>
      </c>
      <c r="E228" s="22" t="n">
        <f aca="false">E225+E226+E227</f>
        <v>5.97678974338549</v>
      </c>
      <c r="F228" s="22" t="n">
        <f aca="false">F225+F226+F227</f>
        <v>4.23256859776628</v>
      </c>
      <c r="G228" s="22" t="n">
        <f aca="false">G225+G226+G227</f>
        <v>5.05787146957987</v>
      </c>
    </row>
    <row r="229" customFormat="false" ht="17.15" hidden="false" customHeight="false" outlineLevel="0" collapsed="false">
      <c r="A229" s="4" t="s">
        <v>558</v>
      </c>
      <c r="B229" s="0" t="s">
        <v>114</v>
      </c>
      <c r="C229" s="19" t="n">
        <f aca="false">fx25</f>
        <v>31</v>
      </c>
      <c r="D229" s="19" t="n">
        <f aca="false">a26_leap/D228</f>
        <v>31.9</v>
      </c>
      <c r="E229" s="19" t="n">
        <f aca="false">fx</f>
        <v>32</v>
      </c>
      <c r="F229" s="19" t="n">
        <f aca="false">fx</f>
        <v>32</v>
      </c>
      <c r="G229" s="19" t="n">
        <f aca="false">fx</f>
        <v>32</v>
      </c>
      <c r="K229" s="8" t="s">
        <v>559</v>
      </c>
    </row>
    <row r="230" customFormat="false" ht="17.15" hidden="false" customHeight="false" outlineLevel="0" collapsed="false">
      <c r="A230" s="6" t="s">
        <v>560</v>
      </c>
    </row>
    <row r="231" customFormat="false" ht="17.15" hidden="false" customHeight="false" outlineLevel="0" collapsed="false">
      <c r="A231" s="0" t="s">
        <v>438</v>
      </c>
      <c r="B231" s="0" t="s">
        <v>234</v>
      </c>
      <c r="C231" s="30" t="n">
        <f aca="false">a25_leap</f>
        <v>49.6</v>
      </c>
      <c r="D231" s="30" t="n">
        <f aca="false">a26_leap</f>
        <v>127.6</v>
      </c>
      <c r="E231" s="30" t="n">
        <f aca="false">E228*E229</f>
        <v>191.257271788336</v>
      </c>
      <c r="F231" s="30" t="n">
        <f aca="false">F228*F229</f>
        <v>135.442195128521</v>
      </c>
      <c r="G231" s="30" t="n">
        <f aca="false">G228*G229</f>
        <v>161.851887026556</v>
      </c>
    </row>
    <row r="232" customFormat="false" ht="15" hidden="false" customHeight="false" outlineLevel="0" collapsed="false">
      <c r="A232" s="4" t="s">
        <v>561</v>
      </c>
      <c r="B232" s="0" t="s">
        <v>234</v>
      </c>
      <c r="C232" s="30" t="n">
        <f aca="false">a25_ms</f>
        <v>339.628</v>
      </c>
      <c r="D232" s="30" t="n">
        <f aca="false">a26_ms</f>
        <v>432.1302</v>
      </c>
      <c r="E232" s="30" t="n">
        <f aca="false">D232*(1+g_ms27)</f>
        <v>496.94973</v>
      </c>
      <c r="F232" s="30" t="n">
        <f aca="false">E232*(1+g_msL)</f>
        <v>531.7362111</v>
      </c>
      <c r="G232" s="30" t="n">
        <f aca="false">F232*(1+g_msL)</f>
        <v>568.957745877</v>
      </c>
    </row>
    <row r="233" customFormat="false" ht="17.15" hidden="false" customHeight="false" outlineLevel="0" collapsed="false">
      <c r="A233" s="4" t="s">
        <v>562</v>
      </c>
      <c r="B233" s="0" t="s">
        <v>234</v>
      </c>
      <c r="C233" s="30" t="n">
        <f aca="false">C231+C232</f>
        <v>389.228</v>
      </c>
      <c r="D233" s="30" t="n">
        <f aca="false">D231+D232</f>
        <v>559.7302</v>
      </c>
      <c r="E233" s="30" t="n">
        <f aca="false">E231+E232</f>
        <v>688.207001788336</v>
      </c>
      <c r="F233" s="30" t="n">
        <f aca="false">F231+F232</f>
        <v>667.178406228521</v>
      </c>
      <c r="G233" s="30" t="n">
        <f aca="false">G231+G232</f>
        <v>730.809632903556</v>
      </c>
    </row>
    <row r="234" customFormat="false" ht="17.15" hidden="false" customHeight="false" outlineLevel="0" collapsed="false">
      <c r="A234" s="0" t="s">
        <v>563</v>
      </c>
      <c r="B234" s="0" t="s">
        <v>234</v>
      </c>
      <c r="C234" s="30" t="n">
        <f aca="false">a25_ems</f>
        <v>259.079</v>
      </c>
      <c r="D234" s="30" t="n">
        <f aca="false">a26_ems</f>
        <v>314.602</v>
      </c>
      <c r="E234" s="30" t="n">
        <f aca="false">D234*(1+g_ems27)</f>
        <v>346.0622</v>
      </c>
      <c r="F234" s="30" t="n">
        <f aca="false">E234*(1+g_emsL)</f>
        <v>363.36531</v>
      </c>
      <c r="G234" s="30" t="n">
        <f aca="false">F234*(1+g_emsL)</f>
        <v>381.5335755</v>
      </c>
    </row>
    <row r="235" customFormat="false" ht="17.15" hidden="false" customHeight="false" outlineLevel="0" collapsed="false">
      <c r="A235" s="4" t="s">
        <v>564</v>
      </c>
      <c r="B235" s="0" t="s">
        <v>234</v>
      </c>
      <c r="C235" s="30" t="n">
        <f aca="false">a25_elim</f>
        <v>-2.91899999999998</v>
      </c>
      <c r="D235" s="30" t="n">
        <f aca="false">a26_elim</f>
        <v>-3.16484905982349</v>
      </c>
      <c r="E235" s="30" t="n">
        <f aca="false">$D235/($D233+$D234)*(E233+E234)</f>
        <v>-3.74377829260343</v>
      </c>
      <c r="F235" s="30" t="n">
        <f aca="false">$D235/($D233+$D234)*(F233+F234)</f>
        <v>-3.73029302982646</v>
      </c>
      <c r="G235" s="30" t="n">
        <f aca="false">$D235/($D233+$D234)*(G233+G234)</f>
        <v>-4.02638534565813</v>
      </c>
      <c r="K235" s="4" t="s">
        <v>565</v>
      </c>
    </row>
    <row r="236" customFormat="false" ht="17.15" hidden="false" customHeight="false" outlineLevel="0" collapsed="false">
      <c r="A236" s="4" t="s">
        <v>431</v>
      </c>
      <c r="B236" s="0" t="s">
        <v>234</v>
      </c>
      <c r="C236" s="30" t="n">
        <f aca="false">C233+C234+C235</f>
        <v>645.388</v>
      </c>
      <c r="D236" s="30" t="n">
        <f aca="false">D233+D234+D235</f>
        <v>871.167350940177</v>
      </c>
      <c r="E236" s="30" t="n">
        <f aca="false">E233+E234+E235</f>
        <v>1030.52542349573</v>
      </c>
      <c r="F236" s="30" t="n">
        <f aca="false">F233+F234+F235</f>
        <v>1026.81342319869</v>
      </c>
      <c r="G236" s="30" t="n">
        <f aca="false">G233+G234+G235</f>
        <v>1108.3168230579</v>
      </c>
      <c r="H236" s="31" t="n">
        <f aca="false">G236*(1+H237)</f>
        <v>1174.35409449276</v>
      </c>
      <c r="I236" s="31" t="n">
        <f aca="false">H236*(1+I237)</f>
        <v>1221.08363334246</v>
      </c>
      <c r="J236" s="31" t="n">
        <f aca="false">I236*(1+J237)</f>
        <v>1245.50530600931</v>
      </c>
      <c r="K236" s="8" t="s">
        <v>566</v>
      </c>
    </row>
    <row r="237" customFormat="false" ht="15" hidden="false" customHeight="false" outlineLevel="0" collapsed="false">
      <c r="A237" s="4" t="s">
        <v>567</v>
      </c>
      <c r="B237" s="0" t="s">
        <v>76</v>
      </c>
      <c r="D237" s="21" t="n">
        <f aca="false">D236/C236-1</f>
        <v>0.349835061916516</v>
      </c>
      <c r="E237" s="21" t="n">
        <f aca="false">E236/D236-1</f>
        <v>0.1829247530725</v>
      </c>
      <c r="F237" s="21" t="n">
        <f aca="false">F236/E236-1</f>
        <v>-0.00360204630803385</v>
      </c>
      <c r="G237" s="21" t="n">
        <f aca="false">G236/F236-1</f>
        <v>0.0793750821890376</v>
      </c>
      <c r="H237" s="26" t="n">
        <f aca="false">$G237+(fade_gC-$G237)*1/3</f>
        <v>0.059583388126025</v>
      </c>
      <c r="I237" s="26" t="n">
        <f aca="false">$G237+(fade_gC-$G237)*2/3</f>
        <v>0.0397916940630125</v>
      </c>
      <c r="J237" s="26" t="n">
        <f aca="false">$G237+(fade_gC-$G237)*3/3</f>
        <v>0.02</v>
      </c>
    </row>
    <row r="238" customFormat="false" ht="17.15" hidden="false" customHeight="false" outlineLevel="0" collapsed="false">
      <c r="A238" s="0" t="s">
        <v>475</v>
      </c>
      <c r="B238" s="0" t="s">
        <v>76</v>
      </c>
      <c r="C238" s="21" t="n">
        <f aca="false">C231/C233</f>
        <v>0.127431736668482</v>
      </c>
      <c r="D238" s="21" t="n">
        <f aca="false">D231/D233</f>
        <v>0.227966974088588</v>
      </c>
      <c r="E238" s="21" t="n">
        <f aca="false">E231/E233</f>
        <v>0.277906605558132</v>
      </c>
      <c r="F238" s="21" t="n">
        <f aca="false">F231/F233</f>
        <v>0.20300746226809</v>
      </c>
      <c r="G238" s="21" t="n">
        <f aca="false">G231/G233</f>
        <v>0.221469285213863</v>
      </c>
    </row>
    <row r="239" customFormat="false" ht="15" hidden="false" customHeight="false" outlineLevel="0" collapsed="false">
      <c r="A239" s="4" t="s">
        <v>568</v>
      </c>
      <c r="B239" s="0" t="s">
        <v>76</v>
      </c>
      <c r="D239" s="21" t="n">
        <f aca="false">D233/C233-1</f>
        <v>0.438052247012034</v>
      </c>
      <c r="E239" s="21" t="n">
        <f aca="false">E233/D233-1</f>
        <v>0.229533446271678</v>
      </c>
      <c r="F239" s="21" t="n">
        <f aca="false">F233/E233-1</f>
        <v>-0.0305556257131516</v>
      </c>
      <c r="G239" s="21" t="n">
        <f aca="false">G233/F233-1</f>
        <v>0.0953736303228618</v>
      </c>
    </row>
    <row r="240" customFormat="false" ht="17.15" hidden="false" customHeight="false" outlineLevel="0" collapsed="false">
      <c r="A240" s="6" t="s">
        <v>569</v>
      </c>
    </row>
    <row r="241" customFormat="false" ht="17.15" hidden="false" customHeight="false" outlineLevel="0" collapsed="false">
      <c r="A241" s="4" t="s">
        <v>570</v>
      </c>
      <c r="B241" s="0" t="s">
        <v>120</v>
      </c>
      <c r="C241" s="19" t="n">
        <f aca="false">capex25</f>
        <v>5.5</v>
      </c>
      <c r="D241" s="19" t="n">
        <f aca="false">capex26</f>
        <v>11.5</v>
      </c>
      <c r="E241" s="19" t="n">
        <f aca="false">capex27</f>
        <v>13</v>
      </c>
      <c r="F241" s="19" t="n">
        <f aca="false">capi*F236/F229</f>
        <v>9.62637584248776</v>
      </c>
      <c r="G241" s="19" t="n">
        <f aca="false">capi*G236/G229</f>
        <v>10.3904702161678</v>
      </c>
      <c r="K241" s="8" t="s">
        <v>571</v>
      </c>
    </row>
    <row r="242" customFormat="false" ht="15" hidden="false" customHeight="false" outlineLevel="0" collapsed="false">
      <c r="A242" s="4" t="s">
        <v>572</v>
      </c>
      <c r="B242" s="0" t="s">
        <v>234</v>
      </c>
      <c r="C242" s="30" t="n">
        <f aca="false">C241*C229</f>
        <v>170.5</v>
      </c>
      <c r="D242" s="30" t="n">
        <f aca="false">D241*31.9</f>
        <v>366.85</v>
      </c>
      <c r="E242" s="30" t="n">
        <f aca="false">E241*E229</f>
        <v>416</v>
      </c>
      <c r="F242" s="30" t="n">
        <f aca="false">F241*F229</f>
        <v>308.044026959608</v>
      </c>
      <c r="G242" s="30" t="n">
        <f aca="false">G241*G229</f>
        <v>332.495046917369</v>
      </c>
    </row>
    <row r="243" customFormat="false" ht="17.15" hidden="false" customHeight="false" outlineLevel="0" collapsed="false">
      <c r="A243" s="4" t="s">
        <v>473</v>
      </c>
      <c r="B243" s="0" t="s">
        <v>76</v>
      </c>
      <c r="C243" s="21" t="n">
        <f aca="false">C242/C236</f>
        <v>0.264182166386732</v>
      </c>
      <c r="D243" s="21" t="n">
        <f aca="false">D242/D236</f>
        <v>0.421101639775745</v>
      </c>
      <c r="E243" s="21" t="n">
        <f aca="false">E242/E236</f>
        <v>0.403677571183883</v>
      </c>
      <c r="F243" s="21" t="n">
        <f aca="false">F242/F236</f>
        <v>0.3</v>
      </c>
      <c r="G243" s="21" t="n">
        <f aca="false">G242/G236</f>
        <v>0.3</v>
      </c>
    </row>
    <row r="244" customFormat="false" ht="17.15" hidden="false" customHeight="false" outlineLevel="0" collapsed="false">
      <c r="A244" s="4" t="s">
        <v>573</v>
      </c>
      <c r="B244" s="0" t="s">
        <v>234</v>
      </c>
      <c r="C244" s="30" t="n">
        <f aca="false">a25_da</f>
        <v>75.255</v>
      </c>
      <c r="D244" s="30" t="n">
        <f aca="false">a26_da</f>
        <v>97.124</v>
      </c>
      <c r="E244" s="30" t="n">
        <f aca="false">D244*(1-1/life)+D242/life</f>
        <v>130.83975</v>
      </c>
      <c r="F244" s="30" t="n">
        <f aca="false">E244*(1-1/life)+E242/life</f>
        <v>166.48478125</v>
      </c>
      <c r="G244" s="30" t="n">
        <f aca="false">F244*(1-1/life)+F242/life</f>
        <v>184.179686963701</v>
      </c>
      <c r="K244" s="4" t="s">
        <v>574</v>
      </c>
    </row>
    <row r="245" customFormat="false" ht="17.15" hidden="false" customHeight="false" outlineLevel="0" collapsed="false">
      <c r="A245" s="4" t="s">
        <v>575</v>
      </c>
      <c r="B245" s="0" t="s">
        <v>234</v>
      </c>
      <c r="C245" s="30" t="n">
        <f aca="false">a25_agp</f>
        <v>91.38</v>
      </c>
      <c r="D245" s="30" t="n">
        <f aca="false">a26_agp</f>
        <v>164.623388</v>
      </c>
      <c r="E245" s="30" t="n">
        <f aca="false">$D245+ft*(E233-$D233)-(E244-$D244)</f>
        <v>195.146038894168</v>
      </c>
      <c r="F245" s="30" t="n">
        <f aca="false">$D245+ft*(F233-$D233)-(F244-$D244)</f>
        <v>148.98670986426</v>
      </c>
      <c r="G245" s="30" t="n">
        <f aca="false">$D245+ft*(G233-$D233)-(G244-$D244)</f>
        <v>163.107417488077</v>
      </c>
      <c r="K245" s="4" t="s">
        <v>576</v>
      </c>
    </row>
    <row r="246" customFormat="false" ht="15" hidden="false" customHeight="false" outlineLevel="0" collapsed="false">
      <c r="A246" s="4" t="s">
        <v>447</v>
      </c>
      <c r="B246" s="0" t="s">
        <v>76</v>
      </c>
      <c r="C246" s="14" t="n">
        <f aca="false">C245/C233</f>
        <v>0.234772421305764</v>
      </c>
      <c r="D246" s="14" t="n">
        <f aca="false">D245/D233</f>
        <v>0.294112034690999</v>
      </c>
      <c r="E246" s="14" t="n">
        <f aca="false">E245/E233</f>
        <v>0.283557183212424</v>
      </c>
      <c r="F246" s="14" t="n">
        <f aca="false">F245/F233</f>
        <v>0.223308650989567</v>
      </c>
      <c r="G246" s="14" t="n">
        <f aca="false">G245/G233</f>
        <v>0.223187284546374</v>
      </c>
    </row>
    <row r="247" customFormat="false" ht="17.15" hidden="false" customHeight="false" outlineLevel="0" collapsed="false">
      <c r="A247" s="0" t="s">
        <v>449</v>
      </c>
      <c r="B247" s="0" t="s">
        <v>234</v>
      </c>
      <c r="C247" s="30" t="n">
        <f aca="false">a25_egp</f>
        <v>23.695</v>
      </c>
      <c r="D247" s="30" t="n">
        <f aca="false">a26_egp</f>
        <v>27.00552</v>
      </c>
      <c r="E247" s="30" t="n">
        <f aca="false">E234*ems_gm</f>
        <v>29.415287</v>
      </c>
      <c r="F247" s="30" t="n">
        <f aca="false">F234*ems_gm</f>
        <v>30.88605135</v>
      </c>
      <c r="G247" s="30" t="n">
        <f aca="false">G234*ems_gm</f>
        <v>32.4303539175</v>
      </c>
    </row>
    <row r="248" customFormat="false" ht="15" hidden="false" customHeight="false" outlineLevel="0" collapsed="false">
      <c r="A248" s="4" t="s">
        <v>577</v>
      </c>
      <c r="B248" s="0" t="s">
        <v>234</v>
      </c>
      <c r="C248" s="30" t="n">
        <f aca="false">a25_lgp</f>
        <v>-0.881999999999998</v>
      </c>
      <c r="D248" s="30" t="n">
        <f aca="false">a26_lgp</f>
        <v>-0.948662139013863</v>
      </c>
      <c r="E248" s="30" t="n">
        <f aca="false">$D248/$D235*E235</f>
        <v>-1.1221959265422</v>
      </c>
      <c r="F248" s="30" t="n">
        <f aca="false">$D248/$D235*F235</f>
        <v>-1.11815372484811</v>
      </c>
      <c r="G248" s="30" t="n">
        <f aca="false">$D248/$D235*G235</f>
        <v>-1.20690726865791</v>
      </c>
    </row>
    <row r="249" customFormat="false" ht="15" hidden="false" customHeight="false" outlineLevel="0" collapsed="false">
      <c r="A249" s="4" t="s">
        <v>451</v>
      </c>
      <c r="B249" s="0" t="s">
        <v>234</v>
      </c>
      <c r="C249" s="30" t="n">
        <f aca="false">C245+C247+C248</f>
        <v>114.193</v>
      </c>
      <c r="D249" s="30" t="n">
        <f aca="false">D245+D247+D248</f>
        <v>190.680245860986</v>
      </c>
      <c r="E249" s="30" t="n">
        <f aca="false">E245+E247+E248</f>
        <v>223.439129967626</v>
      </c>
      <c r="F249" s="30" t="n">
        <f aca="false">F245+F247+F248</f>
        <v>178.754607489412</v>
      </c>
      <c r="G249" s="30" t="n">
        <f aca="false">G245+G247+G248</f>
        <v>194.330864136919</v>
      </c>
    </row>
    <row r="250" customFormat="false" ht="15" hidden="false" customHeight="false" outlineLevel="0" collapsed="false">
      <c r="A250" s="4" t="s">
        <v>452</v>
      </c>
      <c r="B250" s="0" t="s">
        <v>76</v>
      </c>
      <c r="C250" s="14" t="n">
        <f aca="false">C249/C236</f>
        <v>0.176936974347214</v>
      </c>
      <c r="D250" s="14" t="n">
        <f aca="false">D249/D236</f>
        <v>0.218879008327391</v>
      </c>
      <c r="E250" s="14" t="n">
        <f aca="false">E249/E236</f>
        <v>0.216820589646084</v>
      </c>
      <c r="F250" s="14" t="n">
        <f aca="false">F249/F236</f>
        <v>0.174086745898356</v>
      </c>
      <c r="G250" s="14" t="n">
        <f aca="false">G249/G236</f>
        <v>0.175338729949755</v>
      </c>
    </row>
    <row r="251" customFormat="false" ht="15" hidden="false" customHeight="false" outlineLevel="0" collapsed="false">
      <c r="A251" s="4" t="s">
        <v>578</v>
      </c>
      <c r="B251" s="0" t="s">
        <v>234</v>
      </c>
      <c r="C251" s="30" t="n">
        <f aca="false">a25_opx</f>
        <v>63.437</v>
      </c>
      <c r="D251" s="30" t="n">
        <f aca="false">a26_opx</f>
        <v>79.658</v>
      </c>
      <c r="E251" s="30" t="n">
        <f aca="false">D251*(1+phi*E237)</f>
        <v>88.4008519881495</v>
      </c>
      <c r="F251" s="30" t="n">
        <f aca="false">E251*(1+phi*F237)</f>
        <v>88.2097976106309</v>
      </c>
      <c r="G251" s="30" t="n">
        <f aca="false">F251*(1+phi*G237)</f>
        <v>92.4107935717642</v>
      </c>
    </row>
    <row r="252" customFormat="false" ht="15" hidden="false" customHeight="false" outlineLevel="0" collapsed="false">
      <c r="A252" s="4" t="s">
        <v>455</v>
      </c>
      <c r="B252" s="0" t="s">
        <v>234</v>
      </c>
      <c r="C252" s="30" t="n">
        <f aca="false">C249-C251</f>
        <v>50.756</v>
      </c>
      <c r="D252" s="30" t="n">
        <f aca="false">D249-D251</f>
        <v>111.022245860986</v>
      </c>
      <c r="E252" s="30" t="n">
        <f aca="false">E249-E251</f>
        <v>135.038277979476</v>
      </c>
      <c r="F252" s="30" t="n">
        <f aca="false">F249-F251</f>
        <v>90.5448098787814</v>
      </c>
      <c r="G252" s="30" t="n">
        <f aca="false">G249-G251</f>
        <v>101.920070565155</v>
      </c>
    </row>
    <row r="253" customFormat="false" ht="15" hidden="false" customHeight="false" outlineLevel="0" collapsed="false">
      <c r="A253" s="4" t="s">
        <v>537</v>
      </c>
      <c r="B253" s="0" t="s">
        <v>76</v>
      </c>
      <c r="C253" s="14" t="n">
        <f aca="false">C252/C236</f>
        <v>0.0786441644406156</v>
      </c>
      <c r="D253" s="14" t="n">
        <f aca="false">D252/D236</f>
        <v>0.127440779020437</v>
      </c>
      <c r="E253" s="14" t="n">
        <f aca="false">E252/E236</f>
        <v>0.131038279018291</v>
      </c>
      <c r="F253" s="14" t="n">
        <f aca="false">F252/F236</f>
        <v>0.0881803917178247</v>
      </c>
      <c r="G253" s="14" t="n">
        <f aca="false">G252/G236</f>
        <v>0.0919593282757836</v>
      </c>
    </row>
    <row r="254" customFormat="false" ht="15" hidden="false" customHeight="false" outlineLevel="0" collapsed="false">
      <c r="A254" s="4" t="s">
        <v>456</v>
      </c>
      <c r="B254" s="0" t="s">
        <v>234</v>
      </c>
      <c r="C254" s="30" t="n">
        <f aca="false">a25_nonop</f>
        <v>0.545</v>
      </c>
      <c r="D254" s="30" t="n">
        <f aca="false">a26_nonop</f>
        <v>4.302</v>
      </c>
      <c r="E254" s="30" t="n">
        <f aca="false">nonop_f</f>
        <v>-5</v>
      </c>
      <c r="F254" s="30" t="n">
        <f aca="false">nonop_f</f>
        <v>-5</v>
      </c>
      <c r="G254" s="30" t="n">
        <f aca="false">nonop_f</f>
        <v>-5</v>
      </c>
    </row>
    <row r="255" customFormat="false" ht="15" hidden="false" customHeight="false" outlineLevel="0" collapsed="false">
      <c r="A255" s="4" t="s">
        <v>459</v>
      </c>
      <c r="B255" s="0" t="s">
        <v>234</v>
      </c>
      <c r="C255" s="30" t="n">
        <f aca="false">C252+C254</f>
        <v>51.301</v>
      </c>
      <c r="D255" s="30" t="n">
        <f aca="false">D252+D254</f>
        <v>115.324245860986</v>
      </c>
      <c r="E255" s="30" t="n">
        <f aca="false">E252+E254</f>
        <v>130.038277979476</v>
      </c>
      <c r="F255" s="30" t="n">
        <f aca="false">F252+F254</f>
        <v>85.5448098787814</v>
      </c>
      <c r="G255" s="30" t="n">
        <f aca="false">G252+G254</f>
        <v>96.9200705651548</v>
      </c>
    </row>
    <row r="256" customFormat="false" ht="15" hidden="false" customHeight="false" outlineLevel="0" collapsed="false">
      <c r="A256" s="4" t="s">
        <v>460</v>
      </c>
      <c r="B256" s="0" t="s">
        <v>234</v>
      </c>
      <c r="C256" s="30" t="n">
        <f aca="false">a25_tax</f>
        <v>9.461</v>
      </c>
      <c r="D256" s="30" t="n">
        <f aca="false">a26_tax</f>
        <v>19.2197317963676</v>
      </c>
      <c r="E256" s="30" t="n">
        <f aca="false">E255*tax</f>
        <v>22.1065072565109</v>
      </c>
      <c r="F256" s="30" t="n">
        <f aca="false">F255*tax</f>
        <v>14.5426176793928</v>
      </c>
      <c r="G256" s="30" t="n">
        <f aca="false">G255*tax</f>
        <v>16.4764119960763</v>
      </c>
    </row>
    <row r="257" customFormat="false" ht="15" hidden="false" customHeight="false" outlineLevel="0" collapsed="false">
      <c r="A257" s="4" t="s">
        <v>461</v>
      </c>
      <c r="B257" s="0" t="s">
        <v>234</v>
      </c>
      <c r="C257" s="30" t="n">
        <f aca="false">a25_nci</f>
        <v>1.182</v>
      </c>
      <c r="D257" s="30" t="n">
        <f aca="false">a26_nci</f>
        <v>2.543</v>
      </c>
      <c r="E257" s="30" t="n">
        <f aca="false">nci</f>
        <v>3</v>
      </c>
      <c r="F257" s="30" t="n">
        <f aca="false">nci</f>
        <v>3</v>
      </c>
      <c r="G257" s="30" t="n">
        <f aca="false">nci</f>
        <v>3</v>
      </c>
    </row>
    <row r="258" customFormat="false" ht="15" hidden="false" customHeight="false" outlineLevel="0" collapsed="false">
      <c r="A258" s="4" t="s">
        <v>462</v>
      </c>
      <c r="B258" s="0" t="s">
        <v>234</v>
      </c>
      <c r="C258" s="30" t="n">
        <f aca="false">C255-C256-C257</f>
        <v>40.658</v>
      </c>
      <c r="D258" s="30" t="n">
        <f aca="false">D255-D256-D257</f>
        <v>93.5615140646185</v>
      </c>
      <c r="E258" s="30" t="n">
        <f aca="false">E255-E256-E257</f>
        <v>104.931770722965</v>
      </c>
      <c r="F258" s="30" t="n">
        <f aca="false">F255-F256-F257</f>
        <v>68.0021921993886</v>
      </c>
      <c r="G258" s="30" t="n">
        <f aca="false">G255-G256-G257</f>
        <v>77.4436585690785</v>
      </c>
      <c r="H258" s="31" t="n">
        <f aca="false">H236*H262</f>
        <v>78.8356020135723</v>
      </c>
      <c r="I258" s="31" t="n">
        <f aca="false">I236*I262</f>
        <v>78.6219668109423</v>
      </c>
      <c r="J258" s="31" t="n">
        <f aca="false">J236*J262</f>
        <v>76.776756040749</v>
      </c>
    </row>
    <row r="259" customFormat="false" ht="15" hidden="false" customHeight="false" outlineLevel="0" collapsed="false">
      <c r="A259" s="4" t="s">
        <v>579</v>
      </c>
      <c r="B259" s="4" t="s">
        <v>580</v>
      </c>
      <c r="C259" s="18" t="n">
        <f aca="false">a25_sh</f>
        <v>4339.16755602988</v>
      </c>
      <c r="D259" s="18" t="n">
        <f aca="false">a26_sh</f>
        <v>4392.90105184664</v>
      </c>
      <c r="E259" s="18" t="n">
        <f aca="false">D259*(1+sh_g)</f>
        <v>4414.86555710588</v>
      </c>
      <c r="F259" s="18" t="n">
        <f aca="false">E259*(1+sh_g)</f>
        <v>4436.9398848914</v>
      </c>
      <c r="G259" s="18" t="n">
        <f aca="false">F259*(1+sh_g)</f>
        <v>4459.12458431586</v>
      </c>
      <c r="H259" s="25" t="n">
        <f aca="false">G259*(1+sh_g)</f>
        <v>4481.42020723744</v>
      </c>
      <c r="I259" s="25" t="n">
        <f aca="false">H259*(1+sh_g)</f>
        <v>4503.82730827363</v>
      </c>
      <c r="J259" s="25" t="n">
        <f aca="false">I259*(1+sh_g)</f>
        <v>4526.34644481499</v>
      </c>
    </row>
    <row r="260" customFormat="false" ht="17.15" hidden="false" customHeight="false" outlineLevel="0" collapsed="false">
      <c r="A260" s="0" t="s">
        <v>465</v>
      </c>
      <c r="B260" s="0" t="s">
        <v>304</v>
      </c>
      <c r="C260" s="19" t="n">
        <f aca="false">a25_eps</f>
        <v>9.37</v>
      </c>
      <c r="D260" s="19" t="n">
        <f aca="false">a26_eps</f>
        <v>21.2828697294455</v>
      </c>
      <c r="E260" s="19" t="n">
        <f aca="false">E258/E259*1000</f>
        <v>23.7678292499924</v>
      </c>
      <c r="F260" s="19" t="n">
        <f aca="false">F258/F259*1000</f>
        <v>15.3263722213025</v>
      </c>
      <c r="G260" s="19" t="n">
        <f aca="false">G258/G259*1000</f>
        <v>17.3674579179672</v>
      </c>
      <c r="H260" s="28" t="n">
        <f aca="false">H258/H259*1000</f>
        <v>17.5916558519225</v>
      </c>
      <c r="I260" s="28" t="n">
        <f aca="false">I258/I259*1000</f>
        <v>17.4567010299245</v>
      </c>
      <c r="J260" s="28" t="n">
        <f aca="false">J258/J259*1000</f>
        <v>16.9621916874476</v>
      </c>
    </row>
    <row r="261" customFormat="false" ht="17.15" hidden="false" customHeight="false" outlineLevel="0" collapsed="false">
      <c r="A261" s="0" t="s">
        <v>581</v>
      </c>
      <c r="B261" s="0" t="s">
        <v>76</v>
      </c>
      <c r="D261" s="21" t="n">
        <f aca="false">D260/C260-1</f>
        <v>1.27138417603474</v>
      </c>
      <c r="E261" s="21" t="n">
        <f aca="false">E260/D260-1</f>
        <v>0.116758667986812</v>
      </c>
      <c r="F261" s="21" t="n">
        <f aca="false">F260/E260-1</f>
        <v>-0.355163146785593</v>
      </c>
      <c r="G261" s="21" t="n">
        <f aca="false">G260/F260-1</f>
        <v>0.133174743976773</v>
      </c>
      <c r="H261" s="26" t="n">
        <f aca="false">H260/G260-1</f>
        <v>0.0129090817443944</v>
      </c>
      <c r="I261" s="26" t="n">
        <f aca="false">I260/H260-1</f>
        <v>-0.00767152467817767</v>
      </c>
      <c r="J261" s="26" t="n">
        <f aca="false">J260/I260-1</f>
        <v>-0.0283277660326072</v>
      </c>
    </row>
    <row r="262" customFormat="false" ht="17.15" hidden="false" customHeight="false" outlineLevel="0" collapsed="false">
      <c r="A262" s="4" t="s">
        <v>582</v>
      </c>
      <c r="B262" s="0" t="s">
        <v>76</v>
      </c>
      <c r="C262" s="14" t="n">
        <f aca="false">C258/C236</f>
        <v>0.0629977625862272</v>
      </c>
      <c r="D262" s="14" t="n">
        <f aca="false">D258/D236</f>
        <v>0.107397865592237</v>
      </c>
      <c r="E262" s="14" t="n">
        <f aca="false">E258/E236</f>
        <v>0.101823563330458</v>
      </c>
      <c r="F262" s="14" t="n">
        <f aca="false">F258/F236</f>
        <v>0.0662264347767781</v>
      </c>
      <c r="G262" s="14" t="n">
        <f aca="false">G258/G236</f>
        <v>0.0698750185487646</v>
      </c>
      <c r="H262" s="27" t="n">
        <f aca="false">$G262+(fade_mC-$G262)*1/3</f>
        <v>0.0671310317588869</v>
      </c>
      <c r="I262" s="27" t="n">
        <f aca="false">$G262+(fade_mC-$G262)*2/3</f>
        <v>0.0643870449690092</v>
      </c>
      <c r="J262" s="27" t="n">
        <f aca="false">$G262+(fade_mC-$G262)*3/3</f>
        <v>0.0616430581791315</v>
      </c>
    </row>
    <row r="263" customFormat="false" ht="17.15" hidden="false" customHeight="false" outlineLevel="0" collapsed="false">
      <c r="A263" s="4" t="s">
        <v>583</v>
      </c>
      <c r="B263" s="0" t="s">
        <v>234</v>
      </c>
      <c r="C263" s="30" t="n">
        <f aca="false">C258+C244-C242</f>
        <v>-54.587</v>
      </c>
      <c r="D263" s="30" t="n">
        <f aca="false">D258+D244-D242</f>
        <v>-176.164485935382</v>
      </c>
      <c r="E263" s="30" t="n">
        <f aca="false">E258+E244-E242</f>
        <v>-180.228479277035</v>
      </c>
      <c r="F263" s="30" t="n">
        <f aca="false">F258+F244-F242</f>
        <v>-73.5570535102198</v>
      </c>
      <c r="G263" s="30" t="n">
        <f aca="false">G258+G244-G242</f>
        <v>-70.8717013845898</v>
      </c>
      <c r="K263" s="4" t="s">
        <v>584</v>
      </c>
    </row>
    <row r="264" customFormat="false" ht="17.15" hidden="false" customHeight="false" outlineLevel="0" collapsed="false">
      <c r="A264" s="4" t="s">
        <v>585</v>
      </c>
      <c r="B264" s="0" t="s">
        <v>76</v>
      </c>
      <c r="D264" s="21" t="n">
        <f aca="false">(D252-$C252)/SUM($D242:D242)</f>
        <v>0.164280348537512</v>
      </c>
      <c r="E264" s="21" t="n">
        <f aca="false">(E252-$C252)/SUM($D242:E242)</f>
        <v>0.107660826441178</v>
      </c>
      <c r="F264" s="21" t="n">
        <f aca="false">(F252-$C252)/SUM($D242:F242)</f>
        <v>0.036473579372027</v>
      </c>
      <c r="G264" s="21" t="n">
        <f aca="false">(G252-$C252)/SUM($D242:G242)</f>
        <v>0.035945246106039</v>
      </c>
      <c r="K264" s="4" t="s">
        <v>586</v>
      </c>
    </row>
    <row r="267" customFormat="false" ht="17.15" hidden="false" customHeight="false" outlineLevel="0" collapsed="false">
      <c r="A267" s="1" t="s">
        <v>919</v>
      </c>
    </row>
    <row r="268" customFormat="false" ht="17.15" hidden="false" customHeight="false" outlineLevel="0" collapsed="false">
      <c r="A268" s="5" t="s">
        <v>21</v>
      </c>
      <c r="B268" s="5" t="s">
        <v>22</v>
      </c>
      <c r="C268" s="15" t="s">
        <v>424</v>
      </c>
      <c r="D268" s="15" t="s">
        <v>524</v>
      </c>
      <c r="E268" s="15" t="s">
        <v>525</v>
      </c>
      <c r="F268" s="15" t="s">
        <v>526</v>
      </c>
      <c r="G268" s="15" t="s">
        <v>527</v>
      </c>
      <c r="H268" s="15" t="s">
        <v>528</v>
      </c>
      <c r="I268" s="15" t="s">
        <v>529</v>
      </c>
      <c r="J268" s="15" t="s">
        <v>530</v>
      </c>
      <c r="K268" s="5" t="s">
        <v>382</v>
      </c>
    </row>
    <row r="269" customFormat="false" ht="17.15" hidden="false" customHeight="false" outlineLevel="0" collapsed="false">
      <c r="A269" s="6" t="s">
        <v>548</v>
      </c>
    </row>
    <row r="270" customFormat="false" ht="17.15" hidden="false" customHeight="false" outlineLevel="0" collapsed="false">
      <c r="A270" s="0" t="s">
        <v>549</v>
      </c>
      <c r="B270" s="4" t="s">
        <v>32</v>
      </c>
      <c r="D270" s="19" t="n">
        <f aca="false">units_26</f>
        <v>15.2</v>
      </c>
      <c r="E270" s="19" t="n">
        <f aca="false">units_27*1.2</f>
        <v>28.44</v>
      </c>
      <c r="F270" s="19" t="n">
        <f aca="false">units_28*um28_A*1.2</f>
        <v>31.8</v>
      </c>
      <c r="G270" s="19" t="n">
        <f aca="false">units_29*um29_A*1.2</f>
        <v>36.18</v>
      </c>
    </row>
    <row r="271" customFormat="false" ht="17.15" hidden="false" customHeight="false" outlineLevel="0" collapsed="false">
      <c r="A271" s="4" t="s">
        <v>497</v>
      </c>
      <c r="B271" s="0" t="s">
        <v>45</v>
      </c>
      <c r="D271" s="22" t="n">
        <f aca="false">ar_26</f>
        <v>1</v>
      </c>
      <c r="E271" s="22" t="n">
        <f aca="false">ar_27</f>
        <v>1.278156</v>
      </c>
      <c r="F271" s="22" t="n">
        <f aca="false">ar_28</f>
        <v>1.428615</v>
      </c>
      <c r="G271" s="22" t="n">
        <f aca="false">ar_29</f>
        <v>1.431796</v>
      </c>
    </row>
    <row r="272" customFormat="false" ht="17.15" hidden="false" customHeight="false" outlineLevel="0" collapsed="false">
      <c r="A272" s="4" t="s">
        <v>550</v>
      </c>
      <c r="B272" s="0" t="s">
        <v>45</v>
      </c>
      <c r="D272" s="19" t="n">
        <f aca="false">1</f>
        <v>1</v>
      </c>
      <c r="E272" s="19" t="n">
        <f aca="false">rel27_A</f>
        <v>1.1</v>
      </c>
      <c r="F272" s="19" t="n">
        <f aca="false">rel28_A</f>
        <v>1.15</v>
      </c>
      <c r="G272" s="19" t="n">
        <f aca="false">rel29_A</f>
        <v>1.2</v>
      </c>
    </row>
    <row r="273" customFormat="false" ht="17.15" hidden="false" customHeight="false" outlineLevel="0" collapsed="false">
      <c r="A273" s="4" t="s">
        <v>551</v>
      </c>
      <c r="B273" s="0" t="s">
        <v>502</v>
      </c>
      <c r="D273" s="23" t="n">
        <f aca="false">D274*1000/D270</f>
        <v>236.842105263158</v>
      </c>
      <c r="E273" s="23" t="n">
        <f aca="false">$D273*E271^el</f>
        <v>267.763172119488</v>
      </c>
      <c r="F273" s="23" t="n">
        <f aca="false">$D273*F271^el</f>
        <v>283.084777049615</v>
      </c>
      <c r="G273" s="23" t="n">
        <f aca="false">$D273*G271^el</f>
        <v>283.399764630809</v>
      </c>
      <c r="K273" s="8" t="s">
        <v>552</v>
      </c>
    </row>
    <row r="274" customFormat="false" ht="17.15" hidden="false" customHeight="false" outlineLevel="0" collapsed="false">
      <c r="A274" s="0" t="s">
        <v>553</v>
      </c>
      <c r="B274" s="0" t="s">
        <v>120</v>
      </c>
      <c r="D274" s="22" t="n">
        <f aca="false">leap26-D275-D276</f>
        <v>3.6</v>
      </c>
      <c r="E274" s="22" t="n">
        <f aca="false">E270*E272*E273/1000</f>
        <v>8.37670307658605</v>
      </c>
      <c r="F274" s="22" t="n">
        <f aca="false">F270*F272*F273/1000</f>
        <v>10.3524102967044</v>
      </c>
      <c r="G274" s="22" t="n">
        <f aca="false">G270*G272*G273/1000</f>
        <v>12.3040841812112</v>
      </c>
      <c r="K274" s="8" t="s">
        <v>554</v>
      </c>
    </row>
    <row r="275" customFormat="false" ht="17.15" hidden="false" customHeight="false" outlineLevel="0" collapsed="false">
      <c r="A275" s="4" t="s">
        <v>555</v>
      </c>
      <c r="B275" s="0" t="s">
        <v>120</v>
      </c>
      <c r="D275" s="22" t="n">
        <f aca="false">fp26</f>
        <v>0.3</v>
      </c>
      <c r="E275" s="22" t="n">
        <f aca="false">fp27_A</f>
        <v>1.2</v>
      </c>
      <c r="F275" s="22" t="n">
        <f aca="false">E275*F270/E270*(1+fp_g)</f>
        <v>1.74430379746835</v>
      </c>
      <c r="G275" s="22" t="n">
        <f aca="false">F275*G270/F270*(1+fp_g)</f>
        <v>2.57992405063291</v>
      </c>
    </row>
    <row r="276" customFormat="false" ht="17.15" hidden="false" customHeight="false" outlineLevel="0" collapsed="false">
      <c r="A276" s="0" t="s">
        <v>556</v>
      </c>
      <c r="B276" s="0" t="s">
        <v>120</v>
      </c>
      <c r="D276" s="22" t="n">
        <f aca="false">cpo27*cpo_A_26/cpo_A_27</f>
        <v>0.1</v>
      </c>
      <c r="E276" s="22" t="n">
        <f aca="false">cpo27*cpo_A_27/cpo_A_27</f>
        <v>0.5</v>
      </c>
      <c r="F276" s="22" t="n">
        <f aca="false">cpo27*cpo_A_28/cpo_A_27*F270/E270</f>
        <v>1.11814345991561</v>
      </c>
      <c r="G276" s="22" t="n">
        <f aca="false">cpo27*cpo_A_29/cpo_A_27*G270/E270</f>
        <v>2.03544303797468</v>
      </c>
      <c r="K276" s="8" t="s">
        <v>557</v>
      </c>
    </row>
    <row r="277" customFormat="false" ht="17.15" hidden="false" customHeight="false" outlineLevel="0" collapsed="false">
      <c r="A277" s="0" t="s">
        <v>510</v>
      </c>
      <c r="B277" s="0" t="s">
        <v>120</v>
      </c>
      <c r="C277" s="22" t="n">
        <f aca="false">leap25</f>
        <v>1.6</v>
      </c>
      <c r="D277" s="22" t="n">
        <f aca="false">D274+D275+D276</f>
        <v>4</v>
      </c>
      <c r="E277" s="22" t="n">
        <f aca="false">E274+E275+E276</f>
        <v>10.076703076586</v>
      </c>
      <c r="F277" s="22" t="n">
        <f aca="false">F274+F275+F276</f>
        <v>13.2148575540884</v>
      </c>
      <c r="G277" s="22" t="n">
        <f aca="false">G274+G275+G276</f>
        <v>16.9194512698188</v>
      </c>
    </row>
    <row r="278" customFormat="false" ht="17.15" hidden="false" customHeight="false" outlineLevel="0" collapsed="false">
      <c r="A278" s="4" t="s">
        <v>558</v>
      </c>
      <c r="B278" s="0" t="s">
        <v>114</v>
      </c>
      <c r="C278" s="19" t="n">
        <f aca="false">fx25</f>
        <v>31</v>
      </c>
      <c r="D278" s="19" t="n">
        <f aca="false">a26_leap/D277</f>
        <v>31.9</v>
      </c>
      <c r="E278" s="19" t="n">
        <f aca="false">fx</f>
        <v>32</v>
      </c>
      <c r="F278" s="19" t="n">
        <f aca="false">fx</f>
        <v>32</v>
      </c>
      <c r="G278" s="19" t="n">
        <f aca="false">fx</f>
        <v>32</v>
      </c>
      <c r="K278" s="8" t="s">
        <v>559</v>
      </c>
    </row>
    <row r="279" customFormat="false" ht="17.15" hidden="false" customHeight="false" outlineLevel="0" collapsed="false">
      <c r="A279" s="6" t="s">
        <v>560</v>
      </c>
    </row>
    <row r="280" customFormat="false" ht="17.15" hidden="false" customHeight="false" outlineLevel="0" collapsed="false">
      <c r="A280" s="0" t="s">
        <v>438</v>
      </c>
      <c r="B280" s="0" t="s">
        <v>234</v>
      </c>
      <c r="C280" s="30" t="n">
        <f aca="false">a25_leap</f>
        <v>49.6</v>
      </c>
      <c r="D280" s="30" t="n">
        <f aca="false">a26_leap</f>
        <v>127.6</v>
      </c>
      <c r="E280" s="30" t="n">
        <f aca="false">E277*E278</f>
        <v>322.454498450754</v>
      </c>
      <c r="F280" s="30" t="n">
        <f aca="false">F277*F278</f>
        <v>422.875441730828</v>
      </c>
      <c r="G280" s="30" t="n">
        <f aca="false">G277*G278</f>
        <v>541.422440634201</v>
      </c>
    </row>
    <row r="281" customFormat="false" ht="15" hidden="false" customHeight="false" outlineLevel="0" collapsed="false">
      <c r="A281" s="4" t="s">
        <v>561</v>
      </c>
      <c r="B281" s="0" t="s">
        <v>234</v>
      </c>
      <c r="C281" s="30" t="n">
        <f aca="false">a25_ms</f>
        <v>339.628</v>
      </c>
      <c r="D281" s="30" t="n">
        <f aca="false">a26_ms</f>
        <v>432.1302</v>
      </c>
      <c r="E281" s="30" t="n">
        <f aca="false">D281*(1+g_ms27)</f>
        <v>496.94973</v>
      </c>
      <c r="F281" s="30" t="n">
        <f aca="false">E281*(1+g_msL)</f>
        <v>531.7362111</v>
      </c>
      <c r="G281" s="30" t="n">
        <f aca="false">F281*(1+g_msL)</f>
        <v>568.957745877</v>
      </c>
    </row>
    <row r="282" customFormat="false" ht="17.15" hidden="false" customHeight="false" outlineLevel="0" collapsed="false">
      <c r="A282" s="4" t="s">
        <v>562</v>
      </c>
      <c r="B282" s="0" t="s">
        <v>234</v>
      </c>
      <c r="C282" s="30" t="n">
        <f aca="false">C280+C281</f>
        <v>389.228</v>
      </c>
      <c r="D282" s="30" t="n">
        <f aca="false">D280+D281</f>
        <v>559.7302</v>
      </c>
      <c r="E282" s="30" t="n">
        <f aca="false">E280+E281</f>
        <v>819.404228450754</v>
      </c>
      <c r="F282" s="30" t="n">
        <f aca="false">F280+F281</f>
        <v>954.611652830828</v>
      </c>
      <c r="G282" s="30" t="n">
        <f aca="false">G280+G281</f>
        <v>1110.3801865112</v>
      </c>
    </row>
    <row r="283" customFormat="false" ht="17.15" hidden="false" customHeight="false" outlineLevel="0" collapsed="false">
      <c r="A283" s="0" t="s">
        <v>563</v>
      </c>
      <c r="B283" s="0" t="s">
        <v>234</v>
      </c>
      <c r="C283" s="30" t="n">
        <f aca="false">a25_ems</f>
        <v>259.079</v>
      </c>
      <c r="D283" s="30" t="n">
        <f aca="false">a26_ems</f>
        <v>314.602</v>
      </c>
      <c r="E283" s="30" t="n">
        <f aca="false">D283*(1+g_ems27)</f>
        <v>346.0622</v>
      </c>
      <c r="F283" s="30" t="n">
        <f aca="false">E283*(1+g_emsL)</f>
        <v>363.36531</v>
      </c>
      <c r="G283" s="30" t="n">
        <f aca="false">F283*(1+g_emsL)</f>
        <v>381.5335755</v>
      </c>
    </row>
    <row r="284" customFormat="false" ht="17.15" hidden="false" customHeight="false" outlineLevel="0" collapsed="false">
      <c r="A284" s="4" t="s">
        <v>564</v>
      </c>
      <c r="B284" s="0" t="s">
        <v>234</v>
      </c>
      <c r="C284" s="30" t="n">
        <f aca="false">a25_elim</f>
        <v>-2.91899999999998</v>
      </c>
      <c r="D284" s="30" t="n">
        <f aca="false">a26_elim</f>
        <v>-3.16484905982349</v>
      </c>
      <c r="E284" s="30" t="n">
        <f aca="false">$D284/($D282+$D283)*(E282+E283)</f>
        <v>-4.21867721483688</v>
      </c>
      <c r="F284" s="30" t="n">
        <f aca="false">$D284/($D282+$D283)*(F282+F283)</f>
        <v>-4.77072461895394</v>
      </c>
      <c r="G284" s="30" t="n">
        <f aca="false">$D284/($D282+$D283)*(G282+G283)</f>
        <v>-5.4003293794268</v>
      </c>
      <c r="K284" s="4" t="s">
        <v>565</v>
      </c>
    </row>
    <row r="285" customFormat="false" ht="17.15" hidden="false" customHeight="false" outlineLevel="0" collapsed="false">
      <c r="A285" s="4" t="s">
        <v>431</v>
      </c>
      <c r="B285" s="0" t="s">
        <v>234</v>
      </c>
      <c r="C285" s="30" t="n">
        <f aca="false">C282+C283+C284</f>
        <v>645.388</v>
      </c>
      <c r="D285" s="30" t="n">
        <f aca="false">D282+D283+D284</f>
        <v>871.167350940177</v>
      </c>
      <c r="E285" s="30" t="n">
        <f aca="false">E282+E283+E284</f>
        <v>1161.24775123592</v>
      </c>
      <c r="F285" s="30" t="n">
        <f aca="false">F282+F283+F284</f>
        <v>1313.20623821187</v>
      </c>
      <c r="G285" s="30" t="n">
        <f aca="false">G282+G283+G284</f>
        <v>1486.51343263177</v>
      </c>
      <c r="H285" s="31" t="n">
        <f aca="false">G285*(1+H286)</f>
        <v>1647.0296941115</v>
      </c>
      <c r="I285" s="31" t="n">
        <f aca="false">H285*(1+I286)</f>
        <v>1785.36512582407</v>
      </c>
      <c r="J285" s="31" t="n">
        <f aca="false">I285*(1+J286)</f>
        <v>1892.48703337351</v>
      </c>
      <c r="K285" s="8" t="s">
        <v>566</v>
      </c>
    </row>
    <row r="286" customFormat="false" ht="15" hidden="false" customHeight="false" outlineLevel="0" collapsed="false">
      <c r="A286" s="4" t="s">
        <v>567</v>
      </c>
      <c r="B286" s="0" t="s">
        <v>76</v>
      </c>
      <c r="D286" s="21" t="n">
        <f aca="false">D285/C285-1</f>
        <v>0.349835061916516</v>
      </c>
      <c r="E286" s="21" t="n">
        <f aca="false">E285/D285-1</f>
        <v>0.33297896205899</v>
      </c>
      <c r="F286" s="21" t="n">
        <f aca="false">F285/E285-1</f>
        <v>0.130857938639044</v>
      </c>
      <c r="G286" s="21" t="n">
        <f aca="false">G285/F285-1</f>
        <v>0.13197256407789</v>
      </c>
      <c r="H286" s="26" t="n">
        <f aca="false">$G286+(fade_gA-$G286)*1/3</f>
        <v>0.10798170938526</v>
      </c>
      <c r="I286" s="26" t="n">
        <f aca="false">$G286+(fade_gA-$G286)*2/3</f>
        <v>0.0839908546926299</v>
      </c>
      <c r="J286" s="26" t="n">
        <f aca="false">$G286+(fade_gA-$G286)*3/3</f>
        <v>0.06</v>
      </c>
    </row>
    <row r="287" customFormat="false" ht="17.15" hidden="false" customHeight="false" outlineLevel="0" collapsed="false">
      <c r="A287" s="0" t="s">
        <v>475</v>
      </c>
      <c r="B287" s="0" t="s">
        <v>76</v>
      </c>
      <c r="C287" s="21" t="n">
        <f aca="false">C280/C282</f>
        <v>0.127431736668482</v>
      </c>
      <c r="D287" s="21" t="n">
        <f aca="false">D280/D282</f>
        <v>0.227966974088588</v>
      </c>
      <c r="E287" s="21" t="n">
        <f aca="false">E280/E282</f>
        <v>0.39352310771012</v>
      </c>
      <c r="F287" s="21" t="n">
        <f aca="false">F280/F282</f>
        <v>0.442981646491349</v>
      </c>
      <c r="G287" s="21" t="n">
        <f aca="false">G280/G282</f>
        <v>0.487600956151192</v>
      </c>
    </row>
    <row r="288" customFormat="false" ht="15" hidden="false" customHeight="false" outlineLevel="0" collapsed="false">
      <c r="A288" s="4" t="s">
        <v>568</v>
      </c>
      <c r="B288" s="0" t="s">
        <v>76</v>
      </c>
      <c r="D288" s="21" t="n">
        <f aca="false">D282/C282-1</f>
        <v>0.438052247012034</v>
      </c>
      <c r="E288" s="21" t="n">
        <f aca="false">E282/D282-1</f>
        <v>0.463927135699938</v>
      </c>
      <c r="F288" s="21" t="n">
        <f aca="false">F282/E282-1</f>
        <v>0.165006988840796</v>
      </c>
      <c r="G288" s="21" t="n">
        <f aca="false">G282/F282-1</f>
        <v>0.163174766637778</v>
      </c>
    </row>
    <row r="289" customFormat="false" ht="17.15" hidden="false" customHeight="false" outlineLevel="0" collapsed="false">
      <c r="A289" s="6" t="s">
        <v>569</v>
      </c>
    </row>
    <row r="290" customFormat="false" ht="17.15" hidden="false" customHeight="false" outlineLevel="0" collapsed="false">
      <c r="A290" s="4" t="s">
        <v>570</v>
      </c>
      <c r="B290" s="0" t="s">
        <v>120</v>
      </c>
      <c r="C290" s="19" t="n">
        <f aca="false">capex25</f>
        <v>5.5</v>
      </c>
      <c r="D290" s="19" t="n">
        <f aca="false">capex26</f>
        <v>11.5</v>
      </c>
      <c r="E290" s="19" t="n">
        <f aca="false">capex27</f>
        <v>13</v>
      </c>
      <c r="F290" s="19" t="n">
        <f aca="false">capi*F285/F278</f>
        <v>12.3113084832363</v>
      </c>
      <c r="G290" s="19" t="n">
        <f aca="false">capi*G285/G278</f>
        <v>13.9360634309229</v>
      </c>
      <c r="K290" s="8" t="s">
        <v>571</v>
      </c>
    </row>
    <row r="291" customFormat="false" ht="15" hidden="false" customHeight="false" outlineLevel="0" collapsed="false">
      <c r="A291" s="4" t="s">
        <v>572</v>
      </c>
      <c r="B291" s="0" t="s">
        <v>234</v>
      </c>
      <c r="C291" s="30" t="n">
        <f aca="false">C290*C278</f>
        <v>170.5</v>
      </c>
      <c r="D291" s="30" t="n">
        <f aca="false">D290*31.9</f>
        <v>366.85</v>
      </c>
      <c r="E291" s="30" t="n">
        <f aca="false">E290*E278</f>
        <v>416</v>
      </c>
      <c r="F291" s="30" t="n">
        <f aca="false">F290*F278</f>
        <v>393.961871463562</v>
      </c>
      <c r="G291" s="30" t="n">
        <f aca="false">G290*G278</f>
        <v>445.954029789532</v>
      </c>
    </row>
    <row r="292" customFormat="false" ht="17.15" hidden="false" customHeight="false" outlineLevel="0" collapsed="false">
      <c r="A292" s="4" t="s">
        <v>473</v>
      </c>
      <c r="B292" s="0" t="s">
        <v>76</v>
      </c>
      <c r="C292" s="21" t="n">
        <f aca="false">C291/C285</f>
        <v>0.264182166386732</v>
      </c>
      <c r="D292" s="21" t="n">
        <f aca="false">D291/D285</f>
        <v>0.421101639775745</v>
      </c>
      <c r="E292" s="21" t="n">
        <f aca="false">E291/E285</f>
        <v>0.358235354649558</v>
      </c>
      <c r="F292" s="21" t="n">
        <f aca="false">F291/F285</f>
        <v>0.3</v>
      </c>
      <c r="G292" s="21" t="n">
        <f aca="false">G291/G285</f>
        <v>0.3</v>
      </c>
    </row>
    <row r="293" customFormat="false" ht="17.15" hidden="false" customHeight="false" outlineLevel="0" collapsed="false">
      <c r="A293" s="4" t="s">
        <v>573</v>
      </c>
      <c r="B293" s="0" t="s">
        <v>234</v>
      </c>
      <c r="C293" s="30" t="n">
        <f aca="false">a25_da</f>
        <v>75.255</v>
      </c>
      <c r="D293" s="30" t="n">
        <f aca="false">a26_da</f>
        <v>97.124</v>
      </c>
      <c r="E293" s="30" t="n">
        <f aca="false">D293*(1-1/life)+D291/life</f>
        <v>130.83975</v>
      </c>
      <c r="F293" s="30" t="n">
        <f aca="false">E293*(1-1/life)+E291/life</f>
        <v>166.48478125</v>
      </c>
      <c r="G293" s="30" t="n">
        <f aca="false">F293*(1-1/life)+F291/life</f>
        <v>194.919417526695</v>
      </c>
      <c r="K293" s="4" t="s">
        <v>574</v>
      </c>
    </row>
    <row r="294" customFormat="false" ht="17.15" hidden="false" customHeight="false" outlineLevel="0" collapsed="false">
      <c r="A294" s="4" t="s">
        <v>575</v>
      </c>
      <c r="B294" s="0" t="s">
        <v>234</v>
      </c>
      <c r="C294" s="30" t="n">
        <f aca="false">a25_agp</f>
        <v>91.38</v>
      </c>
      <c r="D294" s="30" t="n">
        <f aca="false">a26_agp</f>
        <v>164.623388</v>
      </c>
      <c r="E294" s="30" t="n">
        <f aca="false">$D294+ft*(E282-$D282)-(E293-$D293)</f>
        <v>260.744652225377</v>
      </c>
      <c r="F294" s="30" t="n">
        <f aca="false">$D294+ft*(F282-$D282)-(F293-$D293)</f>
        <v>292.703333165414</v>
      </c>
      <c r="G294" s="30" t="n">
        <f aca="false">$D294+ft*(G282-$D282)-(G293-$D293)</f>
        <v>342.152963728905</v>
      </c>
      <c r="K294" s="4" t="s">
        <v>576</v>
      </c>
    </row>
    <row r="295" customFormat="false" ht="15" hidden="false" customHeight="false" outlineLevel="0" collapsed="false">
      <c r="A295" s="4" t="s">
        <v>447</v>
      </c>
      <c r="B295" s="0" t="s">
        <v>76</v>
      </c>
      <c r="C295" s="14" t="n">
        <f aca="false">C294/C282</f>
        <v>0.234772421305764</v>
      </c>
      <c r="D295" s="14" t="n">
        <f aca="false">D294/D282</f>
        <v>0.294112034690999</v>
      </c>
      <c r="E295" s="14" t="n">
        <f aca="false">E294/E282</f>
        <v>0.318212480692669</v>
      </c>
      <c r="F295" s="14" t="n">
        <f aca="false">F294/F282</f>
        <v>0.30662032282701</v>
      </c>
      <c r="G295" s="14" t="n">
        <f aca="false">G294/G282</f>
        <v>0.308140371996321</v>
      </c>
    </row>
    <row r="296" customFormat="false" ht="17.15" hidden="false" customHeight="false" outlineLevel="0" collapsed="false">
      <c r="A296" s="0" t="s">
        <v>449</v>
      </c>
      <c r="B296" s="0" t="s">
        <v>234</v>
      </c>
      <c r="C296" s="30" t="n">
        <f aca="false">a25_egp</f>
        <v>23.695</v>
      </c>
      <c r="D296" s="30" t="n">
        <f aca="false">a26_egp</f>
        <v>27.00552</v>
      </c>
      <c r="E296" s="30" t="n">
        <f aca="false">E283*ems_gm</f>
        <v>29.415287</v>
      </c>
      <c r="F296" s="30" t="n">
        <f aca="false">F283*ems_gm</f>
        <v>30.88605135</v>
      </c>
      <c r="G296" s="30" t="n">
        <f aca="false">G283*ems_gm</f>
        <v>32.4303539175</v>
      </c>
    </row>
    <row r="297" customFormat="false" ht="15" hidden="false" customHeight="false" outlineLevel="0" collapsed="false">
      <c r="A297" s="4" t="s">
        <v>577</v>
      </c>
      <c r="B297" s="0" t="s">
        <v>234</v>
      </c>
      <c r="C297" s="30" t="n">
        <f aca="false">a25_lgp</f>
        <v>-0.881999999999998</v>
      </c>
      <c r="D297" s="30" t="n">
        <f aca="false">a26_lgp</f>
        <v>-0.948662139013863</v>
      </c>
      <c r="E297" s="30" t="n">
        <f aca="false">$D297/$D284*E284</f>
        <v>-1.26454667340736</v>
      </c>
      <c r="F297" s="30" t="n">
        <f aca="false">$D297/$D284*F284</f>
        <v>-1.43002264440231</v>
      </c>
      <c r="G297" s="30" t="n">
        <f aca="false">$D297/$D284*G284</f>
        <v>-1.61874639947352</v>
      </c>
    </row>
    <row r="298" customFormat="false" ht="15" hidden="false" customHeight="false" outlineLevel="0" collapsed="false">
      <c r="A298" s="4" t="s">
        <v>451</v>
      </c>
      <c r="B298" s="0" t="s">
        <v>234</v>
      </c>
      <c r="C298" s="30" t="n">
        <f aca="false">C294+C296+C297</f>
        <v>114.193</v>
      </c>
      <c r="D298" s="30" t="n">
        <f aca="false">D294+D296+D297</f>
        <v>190.680245860986</v>
      </c>
      <c r="E298" s="30" t="n">
        <f aca="false">E294+E296+E297</f>
        <v>288.895392551969</v>
      </c>
      <c r="F298" s="30" t="n">
        <f aca="false">F294+F296+F297</f>
        <v>322.159361871012</v>
      </c>
      <c r="G298" s="30" t="n">
        <f aca="false">G294+G296+G297</f>
        <v>372.964571246932</v>
      </c>
    </row>
    <row r="299" customFormat="false" ht="15" hidden="false" customHeight="false" outlineLevel="0" collapsed="false">
      <c r="A299" s="4" t="s">
        <v>452</v>
      </c>
      <c r="B299" s="0" t="s">
        <v>76</v>
      </c>
      <c r="C299" s="14" t="n">
        <f aca="false">C298/C285</f>
        <v>0.176936974347214</v>
      </c>
      <c r="D299" s="14" t="n">
        <f aca="false">D298/D285</f>
        <v>0.218879008327391</v>
      </c>
      <c r="E299" s="14" t="n">
        <f aca="false">E298/E285</f>
        <v>0.248780152421822</v>
      </c>
      <c r="F299" s="14" t="n">
        <f aca="false">F298/F285</f>
        <v>0.24532274710306</v>
      </c>
      <c r="G299" s="14" t="n">
        <f aca="false">G298/G285</f>
        <v>0.25089889069258</v>
      </c>
    </row>
    <row r="300" customFormat="false" ht="15" hidden="false" customHeight="false" outlineLevel="0" collapsed="false">
      <c r="A300" s="4" t="s">
        <v>578</v>
      </c>
      <c r="B300" s="0" t="s">
        <v>234</v>
      </c>
      <c r="C300" s="30" t="n">
        <f aca="false">a25_opx</f>
        <v>63.437</v>
      </c>
      <c r="D300" s="30" t="n">
        <f aca="false">a26_opx</f>
        <v>79.658</v>
      </c>
      <c r="E300" s="30" t="n">
        <f aca="false">D300*(1+phi*E286)</f>
        <v>95.572662895817</v>
      </c>
      <c r="F300" s="30" t="n">
        <f aca="false">E300*(1+phi*F286)</f>
        <v>103.076527889892</v>
      </c>
      <c r="G300" s="30" t="n">
        <f aca="false">F300*(1+phi*G286)</f>
        <v>111.238492099017</v>
      </c>
    </row>
    <row r="301" customFormat="false" ht="15" hidden="false" customHeight="false" outlineLevel="0" collapsed="false">
      <c r="A301" s="4" t="s">
        <v>455</v>
      </c>
      <c r="B301" s="0" t="s">
        <v>234</v>
      </c>
      <c r="C301" s="30" t="n">
        <f aca="false">C298-C300</f>
        <v>50.756</v>
      </c>
      <c r="D301" s="30" t="n">
        <f aca="false">D298-D300</f>
        <v>111.022245860986</v>
      </c>
      <c r="E301" s="30" t="n">
        <f aca="false">E298-E300</f>
        <v>193.322729656152</v>
      </c>
      <c r="F301" s="30" t="n">
        <f aca="false">F298-F300</f>
        <v>219.08283398112</v>
      </c>
      <c r="G301" s="30" t="n">
        <f aca="false">G298-G300</f>
        <v>261.726079147915</v>
      </c>
    </row>
    <row r="302" customFormat="false" ht="15" hidden="false" customHeight="false" outlineLevel="0" collapsed="false">
      <c r="A302" s="4" t="s">
        <v>537</v>
      </c>
      <c r="B302" s="0" t="s">
        <v>76</v>
      </c>
      <c r="C302" s="14" t="n">
        <f aca="false">C301/C285</f>
        <v>0.0786441644406156</v>
      </c>
      <c r="D302" s="14" t="n">
        <f aca="false">D301/D285</f>
        <v>0.127440779020437</v>
      </c>
      <c r="E302" s="14" t="n">
        <f aca="false">E301/E285</f>
        <v>0.166478453413924</v>
      </c>
      <c r="F302" s="14" t="n">
        <f aca="false">F301/F285</f>
        <v>0.166830485270489</v>
      </c>
      <c r="G302" s="14" t="n">
        <f aca="false">G301/G285</f>
        <v>0.176067079787195</v>
      </c>
    </row>
    <row r="303" customFormat="false" ht="15" hidden="false" customHeight="false" outlineLevel="0" collapsed="false">
      <c r="A303" s="4" t="s">
        <v>456</v>
      </c>
      <c r="B303" s="0" t="s">
        <v>234</v>
      </c>
      <c r="C303" s="30" t="n">
        <f aca="false">a25_nonop</f>
        <v>0.545</v>
      </c>
      <c r="D303" s="30" t="n">
        <f aca="false">a26_nonop</f>
        <v>4.302</v>
      </c>
      <c r="E303" s="30" t="n">
        <f aca="false">nonop_f</f>
        <v>-5</v>
      </c>
      <c r="F303" s="30" t="n">
        <f aca="false">nonop_f</f>
        <v>-5</v>
      </c>
      <c r="G303" s="30" t="n">
        <f aca="false">nonop_f</f>
        <v>-5</v>
      </c>
    </row>
    <row r="304" customFormat="false" ht="15" hidden="false" customHeight="false" outlineLevel="0" collapsed="false">
      <c r="A304" s="4" t="s">
        <v>459</v>
      </c>
      <c r="B304" s="0" t="s">
        <v>234</v>
      </c>
      <c r="C304" s="30" t="n">
        <f aca="false">C301+C303</f>
        <v>51.301</v>
      </c>
      <c r="D304" s="30" t="n">
        <f aca="false">D301+D303</f>
        <v>115.324245860986</v>
      </c>
      <c r="E304" s="30" t="n">
        <f aca="false">E301+E303</f>
        <v>188.322729656152</v>
      </c>
      <c r="F304" s="30" t="n">
        <f aca="false">F301+F303</f>
        <v>214.08283398112</v>
      </c>
      <c r="G304" s="30" t="n">
        <f aca="false">G301+G303</f>
        <v>256.726079147915</v>
      </c>
    </row>
    <row r="305" customFormat="false" ht="15" hidden="false" customHeight="false" outlineLevel="0" collapsed="false">
      <c r="A305" s="4" t="s">
        <v>460</v>
      </c>
      <c r="B305" s="0" t="s">
        <v>234</v>
      </c>
      <c r="C305" s="30" t="n">
        <f aca="false">a25_tax</f>
        <v>9.461</v>
      </c>
      <c r="D305" s="30" t="n">
        <f aca="false">a26_tax</f>
        <v>19.2197317963676</v>
      </c>
      <c r="E305" s="30" t="n">
        <f aca="false">E304*tax</f>
        <v>32.0148640415459</v>
      </c>
      <c r="F305" s="30" t="n">
        <f aca="false">F304*tax</f>
        <v>36.3940817767904</v>
      </c>
      <c r="G305" s="30" t="n">
        <f aca="false">G304*tax</f>
        <v>43.6434334551456</v>
      </c>
    </row>
    <row r="306" customFormat="false" ht="15" hidden="false" customHeight="false" outlineLevel="0" collapsed="false">
      <c r="A306" s="4" t="s">
        <v>461</v>
      </c>
      <c r="B306" s="0" t="s">
        <v>234</v>
      </c>
      <c r="C306" s="30" t="n">
        <f aca="false">a25_nci</f>
        <v>1.182</v>
      </c>
      <c r="D306" s="30" t="n">
        <f aca="false">a26_nci</f>
        <v>2.543</v>
      </c>
      <c r="E306" s="30" t="n">
        <f aca="false">nci</f>
        <v>3</v>
      </c>
      <c r="F306" s="30" t="n">
        <f aca="false">nci</f>
        <v>3</v>
      </c>
      <c r="G306" s="30" t="n">
        <f aca="false">nci</f>
        <v>3</v>
      </c>
    </row>
    <row r="307" customFormat="false" ht="15" hidden="false" customHeight="false" outlineLevel="0" collapsed="false">
      <c r="A307" s="4" t="s">
        <v>462</v>
      </c>
      <c r="B307" s="0" t="s">
        <v>234</v>
      </c>
      <c r="C307" s="30" t="n">
        <f aca="false">C304-C305-C306</f>
        <v>40.658</v>
      </c>
      <c r="D307" s="30" t="n">
        <f aca="false">D304-D305-D306</f>
        <v>93.5615140646185</v>
      </c>
      <c r="E307" s="30" t="n">
        <f aca="false">E304-E305-E306</f>
        <v>153.307865614606</v>
      </c>
      <c r="F307" s="30" t="n">
        <f aca="false">F304-F305-F306</f>
        <v>174.68875220433</v>
      </c>
      <c r="G307" s="30" t="n">
        <f aca="false">G304-G305-G306</f>
        <v>210.08264569277</v>
      </c>
      <c r="H307" s="31" t="n">
        <f aca="false">H285*H311</f>
        <v>227.541193856596</v>
      </c>
      <c r="I307" s="31" t="n">
        <f aca="false">I285*I311</f>
        <v>240.987057031865</v>
      </c>
      <c r="J307" s="31" t="n">
        <f aca="false">J285*J311</f>
        <v>249.440833308776</v>
      </c>
    </row>
    <row r="308" customFormat="false" ht="15" hidden="false" customHeight="false" outlineLevel="0" collapsed="false">
      <c r="A308" s="4" t="s">
        <v>579</v>
      </c>
      <c r="B308" s="4" t="s">
        <v>580</v>
      </c>
      <c r="C308" s="18" t="n">
        <f aca="false">a25_sh</f>
        <v>4339.16755602988</v>
      </c>
      <c r="D308" s="18" t="n">
        <f aca="false">a26_sh</f>
        <v>4392.90105184664</v>
      </c>
      <c r="E308" s="18" t="n">
        <f aca="false">D308*(1+sh_g)</f>
        <v>4414.86555710588</v>
      </c>
      <c r="F308" s="18" t="n">
        <f aca="false">E308*(1+sh_g)</f>
        <v>4436.9398848914</v>
      </c>
      <c r="G308" s="18" t="n">
        <f aca="false">F308*(1+sh_g)</f>
        <v>4459.12458431586</v>
      </c>
      <c r="H308" s="25" t="n">
        <f aca="false">G308*(1+sh_g)</f>
        <v>4481.42020723744</v>
      </c>
      <c r="I308" s="25" t="n">
        <f aca="false">H308*(1+sh_g)</f>
        <v>4503.82730827363</v>
      </c>
      <c r="J308" s="25" t="n">
        <f aca="false">I308*(1+sh_g)</f>
        <v>4526.34644481499</v>
      </c>
    </row>
    <row r="309" customFormat="false" ht="17.15" hidden="false" customHeight="false" outlineLevel="0" collapsed="false">
      <c r="A309" s="0" t="s">
        <v>465</v>
      </c>
      <c r="B309" s="0" t="s">
        <v>304</v>
      </c>
      <c r="C309" s="19" t="n">
        <f aca="false">a25_eps</f>
        <v>9.37</v>
      </c>
      <c r="D309" s="19" t="n">
        <f aca="false">a26_eps</f>
        <v>21.2828697294455</v>
      </c>
      <c r="E309" s="19" t="n">
        <f aca="false">E307/E308*1000</f>
        <v>34.7253758085232</v>
      </c>
      <c r="F309" s="19" t="n">
        <f aca="false">F307/F308*1000</f>
        <v>39.3714489572367</v>
      </c>
      <c r="G309" s="19" t="n">
        <f aca="false">G307/G308*1000</f>
        <v>47.1129796264711</v>
      </c>
      <c r="H309" s="28" t="n">
        <f aca="false">H307/H308*1000</f>
        <v>50.7743490532577</v>
      </c>
      <c r="I309" s="28" t="n">
        <f aca="false">I307/I308*1000</f>
        <v>53.5071707987485</v>
      </c>
      <c r="J309" s="28" t="n">
        <f aca="false">J307/J308*1000</f>
        <v>55.1086480785214</v>
      </c>
    </row>
    <row r="310" customFormat="false" ht="17.15" hidden="false" customHeight="false" outlineLevel="0" collapsed="false">
      <c r="A310" s="0" t="s">
        <v>581</v>
      </c>
      <c r="B310" s="0" t="s">
        <v>76</v>
      </c>
      <c r="D310" s="21" t="n">
        <f aca="false">D309/C309-1</f>
        <v>1.27138417603474</v>
      </c>
      <c r="E310" s="21" t="n">
        <f aca="false">E309/D309-1</f>
        <v>0.63161153782187</v>
      </c>
      <c r="F310" s="21" t="n">
        <f aca="false">F309/E309-1</f>
        <v>0.133794755003723</v>
      </c>
      <c r="G310" s="21" t="n">
        <f aca="false">G309/F309-1</f>
        <v>0.196628035651999</v>
      </c>
      <c r="H310" s="26" t="n">
        <f aca="false">H309/G309-1</f>
        <v>0.0777146649567757</v>
      </c>
      <c r="I310" s="26" t="n">
        <f aca="false">I309/H309-1</f>
        <v>0.0538228809713401</v>
      </c>
      <c r="J310" s="26" t="n">
        <f aca="false">J309/I309-1</f>
        <v>0.0299301431166381</v>
      </c>
    </row>
    <row r="311" customFormat="false" ht="17.15" hidden="false" customHeight="false" outlineLevel="0" collapsed="false">
      <c r="A311" s="4" t="s">
        <v>582</v>
      </c>
      <c r="B311" s="0" t="s">
        <v>76</v>
      </c>
      <c r="C311" s="14" t="n">
        <f aca="false">C307/C285</f>
        <v>0.0629977625862272</v>
      </c>
      <c r="D311" s="14" t="n">
        <f aca="false">D307/D285</f>
        <v>0.107397865592237</v>
      </c>
      <c r="E311" s="14" t="n">
        <f aca="false">E307/E285</f>
        <v>0.132019946175517</v>
      </c>
      <c r="F311" s="14" t="n">
        <f aca="false">F307/F285</f>
        <v>0.13302461343939</v>
      </c>
      <c r="G311" s="14" t="n">
        <f aca="false">G307/G285</f>
        <v>0.141325763414618</v>
      </c>
      <c r="H311" s="27" t="n">
        <f aca="false">$G311+(fade_mA-$G311)*1/3</f>
        <v>0.138152453881133</v>
      </c>
      <c r="I311" s="27" t="n">
        <f aca="false">$G311+(fade_mA-$G311)*2/3</f>
        <v>0.134979144347648</v>
      </c>
      <c r="J311" s="27" t="n">
        <f aca="false">$G311+(fade_mA-$G311)*3/3</f>
        <v>0.131805834814164</v>
      </c>
    </row>
    <row r="312" customFormat="false" ht="17.15" hidden="false" customHeight="false" outlineLevel="0" collapsed="false">
      <c r="A312" s="4" t="s">
        <v>583</v>
      </c>
      <c r="B312" s="0" t="s">
        <v>234</v>
      </c>
      <c r="C312" s="30" t="n">
        <f aca="false">C307+C293-C291</f>
        <v>-54.587</v>
      </c>
      <c r="D312" s="30" t="n">
        <f aca="false">D307+D293-D291</f>
        <v>-176.164485935382</v>
      </c>
      <c r="E312" s="30" t="n">
        <f aca="false">E307+E293-E291</f>
        <v>-131.852384385394</v>
      </c>
      <c r="F312" s="30" t="n">
        <f aca="false">F307+F293-F291</f>
        <v>-52.7883380092325</v>
      </c>
      <c r="G312" s="30" t="n">
        <f aca="false">G307+G293-G291</f>
        <v>-40.9519665700674</v>
      </c>
      <c r="K312" s="4" t="s">
        <v>584</v>
      </c>
    </row>
    <row r="313" customFormat="false" ht="17.15" hidden="false" customHeight="false" outlineLevel="0" collapsed="false">
      <c r="A313" s="4" t="s">
        <v>585</v>
      </c>
      <c r="B313" s="0" t="s">
        <v>76</v>
      </c>
      <c r="D313" s="21" t="n">
        <f aca="false">(D301-$C301)/SUM($D291:D291)</f>
        <v>0.164280348537512</v>
      </c>
      <c r="E313" s="21" t="n">
        <f aca="false">(E301-$C301)/SUM($D291:E291)</f>
        <v>0.182112447667053</v>
      </c>
      <c r="F313" s="21" t="n">
        <f aca="false">(F301-$C301)/SUM($D291:F291)</f>
        <v>0.143036315372803</v>
      </c>
      <c r="G313" s="21" t="n">
        <f aca="false">(G301-$C301)/SUM($D291:G291)</f>
        <v>0.130006477819755</v>
      </c>
      <c r="K313" s="4" t="s">
        <v>586</v>
      </c>
    </row>
    <row r="316" customFormat="false" ht="17.15" hidden="false" customHeight="false" outlineLevel="0" collapsed="false">
      <c r="A316" s="1" t="s">
        <v>920</v>
      </c>
    </row>
    <row r="317" customFormat="false" ht="17.15" hidden="false" customHeight="false" outlineLevel="0" collapsed="false">
      <c r="A317" s="5" t="s">
        <v>21</v>
      </c>
      <c r="B317" s="5" t="s">
        <v>22</v>
      </c>
      <c r="C317" s="15" t="s">
        <v>424</v>
      </c>
      <c r="D317" s="15" t="s">
        <v>524</v>
      </c>
      <c r="E317" s="15" t="s">
        <v>525</v>
      </c>
      <c r="F317" s="15" t="s">
        <v>526</v>
      </c>
      <c r="G317" s="15" t="s">
        <v>527</v>
      </c>
      <c r="H317" s="15" t="s">
        <v>528</v>
      </c>
      <c r="I317" s="15" t="s">
        <v>529</v>
      </c>
      <c r="J317" s="15" t="s">
        <v>530</v>
      </c>
      <c r="K317" s="5" t="s">
        <v>382</v>
      </c>
    </row>
    <row r="318" customFormat="false" ht="17.15" hidden="false" customHeight="false" outlineLevel="0" collapsed="false">
      <c r="A318" s="6" t="s">
        <v>548</v>
      </c>
    </row>
    <row r="319" customFormat="false" ht="17.15" hidden="false" customHeight="false" outlineLevel="0" collapsed="false">
      <c r="A319" s="0" t="s">
        <v>549</v>
      </c>
      <c r="B319" s="4" t="s">
        <v>32</v>
      </c>
      <c r="D319" s="19" t="n">
        <f aca="false">units_26</f>
        <v>15.2</v>
      </c>
      <c r="E319" s="19" t="n">
        <f aca="false">units_27*1.2</f>
        <v>28.44</v>
      </c>
      <c r="F319" s="19" t="n">
        <f aca="false">units_28*um28_B*1.2</f>
        <v>25.44</v>
      </c>
      <c r="G319" s="19" t="n">
        <f aca="false">units_29*um29_B*1.2</f>
        <v>30.753</v>
      </c>
    </row>
    <row r="320" customFormat="false" ht="17.15" hidden="false" customHeight="false" outlineLevel="0" collapsed="false">
      <c r="A320" s="4" t="s">
        <v>497</v>
      </c>
      <c r="B320" s="0" t="s">
        <v>45</v>
      </c>
      <c r="D320" s="22" t="n">
        <f aca="false">ar_26</f>
        <v>1</v>
      </c>
      <c r="E320" s="22" t="n">
        <f aca="false">ar_27</f>
        <v>1.278156</v>
      </c>
      <c r="F320" s="22" t="n">
        <f aca="false">ar_28</f>
        <v>1.428615</v>
      </c>
      <c r="G320" s="22" t="n">
        <f aca="false">ar_29</f>
        <v>1.431796</v>
      </c>
    </row>
    <row r="321" customFormat="false" ht="17.15" hidden="false" customHeight="false" outlineLevel="0" collapsed="false">
      <c r="A321" s="4" t="s">
        <v>550</v>
      </c>
      <c r="B321" s="0" t="s">
        <v>45</v>
      </c>
      <c r="D321" s="19" t="n">
        <f aca="false">1</f>
        <v>1</v>
      </c>
      <c r="E321" s="19" t="n">
        <f aca="false">rel27_B</f>
        <v>1.05</v>
      </c>
      <c r="F321" s="19" t="n">
        <f aca="false">rel28_B</f>
        <v>1.08</v>
      </c>
      <c r="G321" s="19" t="n">
        <f aca="false">rel29_B</f>
        <v>1.1</v>
      </c>
    </row>
    <row r="322" customFormat="false" ht="17.15" hidden="false" customHeight="false" outlineLevel="0" collapsed="false">
      <c r="A322" s="4" t="s">
        <v>551</v>
      </c>
      <c r="B322" s="0" t="s">
        <v>502</v>
      </c>
      <c r="D322" s="23" t="n">
        <f aca="false">D323*1000/D319</f>
        <v>236.842105263158</v>
      </c>
      <c r="E322" s="23" t="n">
        <f aca="false">$D322*E320^el</f>
        <v>267.763172119488</v>
      </c>
      <c r="F322" s="23" t="n">
        <f aca="false">$D322*F320^el</f>
        <v>283.084777049615</v>
      </c>
      <c r="G322" s="23" t="n">
        <f aca="false">$D322*G320^el</f>
        <v>283.399764630809</v>
      </c>
      <c r="K322" s="8" t="s">
        <v>552</v>
      </c>
    </row>
    <row r="323" customFormat="false" ht="17.15" hidden="false" customHeight="false" outlineLevel="0" collapsed="false">
      <c r="A323" s="0" t="s">
        <v>553</v>
      </c>
      <c r="B323" s="0" t="s">
        <v>120</v>
      </c>
      <c r="D323" s="22" t="n">
        <f aca="false">leap26-D324-D325</f>
        <v>3.6</v>
      </c>
      <c r="E323" s="22" t="n">
        <f aca="false">E319*E321*E322/1000</f>
        <v>7.99594384583214</v>
      </c>
      <c r="F323" s="22" t="n">
        <f aca="false">F319*F321*F322/1000</f>
        <v>7.77781086639357</v>
      </c>
      <c r="G323" s="22" t="n">
        <f aca="false">G319*G321*G322/1000</f>
        <v>9.58693225786039</v>
      </c>
      <c r="K323" s="8" t="s">
        <v>554</v>
      </c>
    </row>
    <row r="324" customFormat="false" ht="17.15" hidden="false" customHeight="false" outlineLevel="0" collapsed="false">
      <c r="A324" s="4" t="s">
        <v>555</v>
      </c>
      <c r="B324" s="0" t="s">
        <v>120</v>
      </c>
      <c r="D324" s="22" t="n">
        <f aca="false">fp26</f>
        <v>0.3</v>
      </c>
      <c r="E324" s="22" t="n">
        <f aca="false">fp27_B</f>
        <v>1</v>
      </c>
      <c r="F324" s="22" t="n">
        <f aca="false">E324*F319/E319*(1+fp_g)</f>
        <v>1.16286919831224</v>
      </c>
      <c r="G324" s="22" t="n">
        <f aca="false">F324*G319/F319*(1+fp_g)</f>
        <v>1.82744620253165</v>
      </c>
    </row>
    <row r="325" customFormat="false" ht="17.15" hidden="false" customHeight="false" outlineLevel="0" collapsed="false">
      <c r="A325" s="0" t="s">
        <v>556</v>
      </c>
      <c r="B325" s="0" t="s">
        <v>120</v>
      </c>
      <c r="D325" s="22" t="n">
        <f aca="false">cpo27*cpo_B_26/cpo_A_27</f>
        <v>0.1</v>
      </c>
      <c r="E325" s="22" t="n">
        <f aca="false">cpo27*cpo_B_27/cpo_A_27</f>
        <v>0.3</v>
      </c>
      <c r="F325" s="22" t="n">
        <f aca="false">cpo27*cpo_B_28/cpo_A_27*F319/E319</f>
        <v>0.447257383966245</v>
      </c>
      <c r="G325" s="22" t="n">
        <f aca="false">cpo27*cpo_B_29/cpo_A_27*G319/E319</f>
        <v>0.86506329113924</v>
      </c>
      <c r="K325" s="8" t="s">
        <v>557</v>
      </c>
    </row>
    <row r="326" customFormat="false" ht="17.15" hidden="false" customHeight="false" outlineLevel="0" collapsed="false">
      <c r="A326" s="0" t="s">
        <v>510</v>
      </c>
      <c r="B326" s="0" t="s">
        <v>120</v>
      </c>
      <c r="C326" s="22" t="n">
        <f aca="false">leap25</f>
        <v>1.6</v>
      </c>
      <c r="D326" s="22" t="n">
        <f aca="false">D323+D324+D325</f>
        <v>4</v>
      </c>
      <c r="E326" s="22" t="n">
        <f aca="false">E323+E324+E325</f>
        <v>9.29594384583214</v>
      </c>
      <c r="F326" s="22" t="n">
        <f aca="false">F323+F324+F325</f>
        <v>9.38793744867205</v>
      </c>
      <c r="G326" s="22" t="n">
        <f aca="false">G323+G324+G325</f>
        <v>12.2794417515313</v>
      </c>
    </row>
    <row r="327" customFormat="false" ht="17.15" hidden="false" customHeight="false" outlineLevel="0" collapsed="false">
      <c r="A327" s="4" t="s">
        <v>558</v>
      </c>
      <c r="B327" s="0" t="s">
        <v>114</v>
      </c>
      <c r="C327" s="19" t="n">
        <f aca="false">fx25</f>
        <v>31</v>
      </c>
      <c r="D327" s="19" t="n">
        <f aca="false">a26_leap/D326</f>
        <v>31.9</v>
      </c>
      <c r="E327" s="19" t="n">
        <f aca="false">fx</f>
        <v>32</v>
      </c>
      <c r="F327" s="19" t="n">
        <f aca="false">fx</f>
        <v>32</v>
      </c>
      <c r="G327" s="19" t="n">
        <f aca="false">fx</f>
        <v>32</v>
      </c>
      <c r="K327" s="8" t="s">
        <v>559</v>
      </c>
    </row>
    <row r="328" customFormat="false" ht="17.15" hidden="false" customHeight="false" outlineLevel="0" collapsed="false">
      <c r="A328" s="6" t="s">
        <v>560</v>
      </c>
    </row>
    <row r="329" customFormat="false" ht="17.15" hidden="false" customHeight="false" outlineLevel="0" collapsed="false">
      <c r="A329" s="0" t="s">
        <v>438</v>
      </c>
      <c r="B329" s="0" t="s">
        <v>234</v>
      </c>
      <c r="C329" s="30" t="n">
        <f aca="false">a25_leap</f>
        <v>49.6</v>
      </c>
      <c r="D329" s="30" t="n">
        <f aca="false">a26_leap</f>
        <v>127.6</v>
      </c>
      <c r="E329" s="30" t="n">
        <f aca="false">E326*E327</f>
        <v>297.470203066628</v>
      </c>
      <c r="F329" s="30" t="n">
        <f aca="false">F326*F327</f>
        <v>300.413998357506</v>
      </c>
      <c r="G329" s="30" t="n">
        <f aca="false">G326*G327</f>
        <v>392.942136049001</v>
      </c>
    </row>
    <row r="330" customFormat="false" ht="15" hidden="false" customHeight="false" outlineLevel="0" collapsed="false">
      <c r="A330" s="4" t="s">
        <v>561</v>
      </c>
      <c r="B330" s="0" t="s">
        <v>234</v>
      </c>
      <c r="C330" s="30" t="n">
        <f aca="false">a25_ms</f>
        <v>339.628</v>
      </c>
      <c r="D330" s="30" t="n">
        <f aca="false">a26_ms</f>
        <v>432.1302</v>
      </c>
      <c r="E330" s="30" t="n">
        <f aca="false">D330*(1+g_ms27)</f>
        <v>496.94973</v>
      </c>
      <c r="F330" s="30" t="n">
        <f aca="false">E330*(1+g_msL)</f>
        <v>531.7362111</v>
      </c>
      <c r="G330" s="30" t="n">
        <f aca="false">F330*(1+g_msL)</f>
        <v>568.957745877</v>
      </c>
    </row>
    <row r="331" customFormat="false" ht="17.15" hidden="false" customHeight="false" outlineLevel="0" collapsed="false">
      <c r="A331" s="4" t="s">
        <v>562</v>
      </c>
      <c r="B331" s="0" t="s">
        <v>234</v>
      </c>
      <c r="C331" s="30" t="n">
        <f aca="false">C329+C330</f>
        <v>389.228</v>
      </c>
      <c r="D331" s="30" t="n">
        <f aca="false">D329+D330</f>
        <v>559.7302</v>
      </c>
      <c r="E331" s="30" t="n">
        <f aca="false">E329+E330</f>
        <v>794.419933066629</v>
      </c>
      <c r="F331" s="30" t="n">
        <f aca="false">F329+F330</f>
        <v>832.150209457506</v>
      </c>
      <c r="G331" s="30" t="n">
        <f aca="false">G329+G330</f>
        <v>961.899881926001</v>
      </c>
    </row>
    <row r="332" customFormat="false" ht="17.15" hidden="false" customHeight="false" outlineLevel="0" collapsed="false">
      <c r="A332" s="0" t="s">
        <v>563</v>
      </c>
      <c r="B332" s="0" t="s">
        <v>234</v>
      </c>
      <c r="C332" s="30" t="n">
        <f aca="false">a25_ems</f>
        <v>259.079</v>
      </c>
      <c r="D332" s="30" t="n">
        <f aca="false">a26_ems</f>
        <v>314.602</v>
      </c>
      <c r="E332" s="30" t="n">
        <f aca="false">D332*(1+g_ems27)</f>
        <v>346.0622</v>
      </c>
      <c r="F332" s="30" t="n">
        <f aca="false">E332*(1+g_emsL)</f>
        <v>363.36531</v>
      </c>
      <c r="G332" s="30" t="n">
        <f aca="false">F332*(1+g_emsL)</f>
        <v>381.5335755</v>
      </c>
    </row>
    <row r="333" customFormat="false" ht="17.15" hidden="false" customHeight="false" outlineLevel="0" collapsed="false">
      <c r="A333" s="4" t="s">
        <v>564</v>
      </c>
      <c r="B333" s="0" t="s">
        <v>234</v>
      </c>
      <c r="C333" s="30" t="n">
        <f aca="false">a25_elim</f>
        <v>-2.91899999999998</v>
      </c>
      <c r="D333" s="30" t="n">
        <f aca="false">a26_elim</f>
        <v>-3.16484905982349</v>
      </c>
      <c r="E333" s="30" t="n">
        <f aca="false">$D333/($D331+$D332)*(E331+E332)</f>
        <v>-4.1282407379957</v>
      </c>
      <c r="F333" s="30" t="n">
        <f aca="false">$D333/($D331+$D332)*(F331+F332)</f>
        <v>-4.32744689919858</v>
      </c>
      <c r="G333" s="30" t="n">
        <f aca="false">$D333/($D331+$D332)*(G331+G332)</f>
        <v>-4.86287033083088</v>
      </c>
      <c r="K333" s="4" t="s">
        <v>565</v>
      </c>
    </row>
    <row r="334" customFormat="false" ht="17.15" hidden="false" customHeight="false" outlineLevel="0" collapsed="false">
      <c r="A334" s="4" t="s">
        <v>431</v>
      </c>
      <c r="B334" s="0" t="s">
        <v>234</v>
      </c>
      <c r="C334" s="30" t="n">
        <f aca="false">C331+C332+C333</f>
        <v>645.388</v>
      </c>
      <c r="D334" s="30" t="n">
        <f aca="false">D331+D332+D333</f>
        <v>871.167350940177</v>
      </c>
      <c r="E334" s="30" t="n">
        <f aca="false">E331+E332+E333</f>
        <v>1136.35389232863</v>
      </c>
      <c r="F334" s="30" t="n">
        <f aca="false">F331+F332+F333</f>
        <v>1191.18807255831</v>
      </c>
      <c r="G334" s="30" t="n">
        <f aca="false">G331+G332+G333</f>
        <v>1338.57058709517</v>
      </c>
      <c r="H334" s="31" t="n">
        <f aca="false">G334*(1+H335)</f>
        <v>1466.83003419294</v>
      </c>
      <c r="I334" s="31" t="n">
        <f aca="false">H334*(1+I335)</f>
        <v>1566.44115419828</v>
      </c>
      <c r="J334" s="31" t="n">
        <f aca="false">I334*(1+J335)</f>
        <v>1629.09880036621</v>
      </c>
      <c r="K334" s="8" t="s">
        <v>566</v>
      </c>
    </row>
    <row r="335" customFormat="false" ht="15" hidden="false" customHeight="false" outlineLevel="0" collapsed="false">
      <c r="A335" s="4" t="s">
        <v>567</v>
      </c>
      <c r="B335" s="0" t="s">
        <v>76</v>
      </c>
      <c r="D335" s="21" t="n">
        <f aca="false">D334/C334-1</f>
        <v>0.349835061916516</v>
      </c>
      <c r="E335" s="21" t="n">
        <f aca="false">E334/D334-1</f>
        <v>0.304403672959349</v>
      </c>
      <c r="F335" s="21" t="n">
        <f aca="false">F334/E334-1</f>
        <v>0.0482544923723609</v>
      </c>
      <c r="G335" s="21" t="n">
        <f aca="false">G334/F334-1</f>
        <v>0.123727325627371</v>
      </c>
      <c r="H335" s="26" t="n">
        <f aca="false">$G335+(fade_gB-$G335)*1/3</f>
        <v>0.0958182170849143</v>
      </c>
      <c r="I335" s="26" t="n">
        <f aca="false">$G335+(fade_gB-$G335)*2/3</f>
        <v>0.0679091085424572</v>
      </c>
      <c r="J335" s="26" t="n">
        <f aca="false">$G335+(fade_gB-$G335)*3/3</f>
        <v>0.04</v>
      </c>
    </row>
    <row r="336" customFormat="false" ht="17.15" hidden="false" customHeight="false" outlineLevel="0" collapsed="false">
      <c r="A336" s="0" t="s">
        <v>475</v>
      </c>
      <c r="B336" s="0" t="s">
        <v>76</v>
      </c>
      <c r="C336" s="21" t="n">
        <f aca="false">C329/C331</f>
        <v>0.127431736668482</v>
      </c>
      <c r="D336" s="21" t="n">
        <f aca="false">D329/D331</f>
        <v>0.227966974088588</v>
      </c>
      <c r="E336" s="21" t="n">
        <f aca="false">E329/E331</f>
        <v>0.374449570919414</v>
      </c>
      <c r="F336" s="21" t="n">
        <f aca="false">F329/F331</f>
        <v>0.361009340553253</v>
      </c>
      <c r="G336" s="21" t="n">
        <f aca="false">G329/G331</f>
        <v>0.40850627329553</v>
      </c>
    </row>
    <row r="337" customFormat="false" ht="15" hidden="false" customHeight="false" outlineLevel="0" collapsed="false">
      <c r="A337" s="4" t="s">
        <v>568</v>
      </c>
      <c r="B337" s="0" t="s">
        <v>76</v>
      </c>
      <c r="D337" s="21" t="n">
        <f aca="false">D331/C331-1</f>
        <v>0.438052247012034</v>
      </c>
      <c r="E337" s="21" t="n">
        <f aca="false">E331/D331-1</f>
        <v>0.419290817373492</v>
      </c>
      <c r="F337" s="21" t="n">
        <f aca="false">F331/E331-1</f>
        <v>0.0474941209559414</v>
      </c>
      <c r="G337" s="21" t="n">
        <f aca="false">G331/F331-1</f>
        <v>0.155920975556902</v>
      </c>
    </row>
    <row r="338" customFormat="false" ht="17.15" hidden="false" customHeight="false" outlineLevel="0" collapsed="false">
      <c r="A338" s="6" t="s">
        <v>569</v>
      </c>
    </row>
    <row r="339" customFormat="false" ht="17.15" hidden="false" customHeight="false" outlineLevel="0" collapsed="false">
      <c r="A339" s="4" t="s">
        <v>570</v>
      </c>
      <c r="B339" s="0" t="s">
        <v>120</v>
      </c>
      <c r="C339" s="19" t="n">
        <f aca="false">capex25</f>
        <v>5.5</v>
      </c>
      <c r="D339" s="19" t="n">
        <f aca="false">capex26</f>
        <v>11.5</v>
      </c>
      <c r="E339" s="19" t="n">
        <f aca="false">capex27</f>
        <v>13</v>
      </c>
      <c r="F339" s="19" t="n">
        <f aca="false">capi*F334/F327</f>
        <v>11.1673881802341</v>
      </c>
      <c r="G339" s="19" t="n">
        <f aca="false">capi*G334/G327</f>
        <v>12.5490992540172</v>
      </c>
      <c r="K339" s="8" t="s">
        <v>571</v>
      </c>
    </row>
    <row r="340" customFormat="false" ht="15" hidden="false" customHeight="false" outlineLevel="0" collapsed="false">
      <c r="A340" s="4" t="s">
        <v>572</v>
      </c>
      <c r="B340" s="0" t="s">
        <v>234</v>
      </c>
      <c r="C340" s="30" t="n">
        <f aca="false">C339*C327</f>
        <v>170.5</v>
      </c>
      <c r="D340" s="30" t="n">
        <f aca="false">D339*31.9</f>
        <v>366.85</v>
      </c>
      <c r="E340" s="30" t="n">
        <f aca="false">E339*E327</f>
        <v>416</v>
      </c>
      <c r="F340" s="30" t="n">
        <f aca="false">F339*F327</f>
        <v>357.356421767492</v>
      </c>
      <c r="G340" s="30" t="n">
        <f aca="false">G339*G327</f>
        <v>401.571176128551</v>
      </c>
    </row>
    <row r="341" customFormat="false" ht="17.15" hidden="false" customHeight="false" outlineLevel="0" collapsed="false">
      <c r="A341" s="4" t="s">
        <v>473</v>
      </c>
      <c r="B341" s="0" t="s">
        <v>76</v>
      </c>
      <c r="C341" s="21" t="n">
        <f aca="false">C340/C334</f>
        <v>0.264182166386732</v>
      </c>
      <c r="D341" s="21" t="n">
        <f aca="false">D340/D334</f>
        <v>0.421101639775745</v>
      </c>
      <c r="E341" s="21" t="n">
        <f aca="false">E340/E334</f>
        <v>0.366083139071691</v>
      </c>
      <c r="F341" s="21" t="n">
        <f aca="false">F340/F334</f>
        <v>0.3</v>
      </c>
      <c r="G341" s="21" t="n">
        <f aca="false">G340/G334</f>
        <v>0.3</v>
      </c>
    </row>
    <row r="342" customFormat="false" ht="17.15" hidden="false" customHeight="false" outlineLevel="0" collapsed="false">
      <c r="A342" s="4" t="s">
        <v>573</v>
      </c>
      <c r="B342" s="0" t="s">
        <v>234</v>
      </c>
      <c r="C342" s="30" t="n">
        <f aca="false">a25_da</f>
        <v>75.255</v>
      </c>
      <c r="D342" s="30" t="n">
        <f aca="false">a26_da</f>
        <v>97.124</v>
      </c>
      <c r="E342" s="30" t="n">
        <f aca="false">D342*(1-1/life)+D340/life</f>
        <v>130.83975</v>
      </c>
      <c r="F342" s="30" t="n">
        <f aca="false">E342*(1-1/life)+E340/life</f>
        <v>166.48478125</v>
      </c>
      <c r="G342" s="30" t="n">
        <f aca="false">F342*(1-1/life)+F340/life</f>
        <v>190.343736314687</v>
      </c>
      <c r="K342" s="4" t="s">
        <v>574</v>
      </c>
    </row>
    <row r="343" customFormat="false" ht="17.15" hidden="false" customHeight="false" outlineLevel="0" collapsed="false">
      <c r="A343" s="4" t="s">
        <v>575</v>
      </c>
      <c r="B343" s="0" t="s">
        <v>234</v>
      </c>
      <c r="C343" s="30" t="n">
        <f aca="false">a25_agp</f>
        <v>91.38</v>
      </c>
      <c r="D343" s="30" t="n">
        <f aca="false">a26_agp</f>
        <v>164.623388</v>
      </c>
      <c r="E343" s="30" t="n">
        <f aca="false">$D343+ft*(E331-$D331)-(E342-$D342)</f>
        <v>248.252504533314</v>
      </c>
      <c r="F343" s="30" t="n">
        <f aca="false">$D343+ft*(F331-$D331)-(F342-$D342)</f>
        <v>231.472611478753</v>
      </c>
      <c r="G343" s="30" t="n">
        <f aca="false">$D343+ft*(G331-$D331)-(G342-$D342)</f>
        <v>272.488492648314</v>
      </c>
      <c r="K343" s="4" t="s">
        <v>576</v>
      </c>
    </row>
    <row r="344" customFormat="false" ht="15" hidden="false" customHeight="false" outlineLevel="0" collapsed="false">
      <c r="A344" s="4" t="s">
        <v>447</v>
      </c>
      <c r="B344" s="0" t="s">
        <v>76</v>
      </c>
      <c r="C344" s="14" t="n">
        <f aca="false">C343/C331</f>
        <v>0.234772421305764</v>
      </c>
      <c r="D344" s="14" t="n">
        <f aca="false">D343/D331</f>
        <v>0.294112034690999</v>
      </c>
      <c r="E344" s="14" t="n">
        <f aca="false">E343/E331</f>
        <v>0.312495311610583</v>
      </c>
      <c r="F344" s="14" t="n">
        <f aca="false">F343/F331</f>
        <v>0.278162053975393</v>
      </c>
      <c r="G344" s="14" t="n">
        <f aca="false">G343/G331</f>
        <v>0.283281553276328</v>
      </c>
    </row>
    <row r="345" customFormat="false" ht="17.15" hidden="false" customHeight="false" outlineLevel="0" collapsed="false">
      <c r="A345" s="0" t="s">
        <v>449</v>
      </c>
      <c r="B345" s="0" t="s">
        <v>234</v>
      </c>
      <c r="C345" s="30" t="n">
        <f aca="false">a25_egp</f>
        <v>23.695</v>
      </c>
      <c r="D345" s="30" t="n">
        <f aca="false">a26_egp</f>
        <v>27.00552</v>
      </c>
      <c r="E345" s="30" t="n">
        <f aca="false">E332*ems_gm</f>
        <v>29.415287</v>
      </c>
      <c r="F345" s="30" t="n">
        <f aca="false">F332*ems_gm</f>
        <v>30.88605135</v>
      </c>
      <c r="G345" s="30" t="n">
        <f aca="false">G332*ems_gm</f>
        <v>32.4303539175</v>
      </c>
    </row>
    <row r="346" customFormat="false" ht="15" hidden="false" customHeight="false" outlineLevel="0" collapsed="false">
      <c r="A346" s="4" t="s">
        <v>577</v>
      </c>
      <c r="B346" s="0" t="s">
        <v>234</v>
      </c>
      <c r="C346" s="30" t="n">
        <f aca="false">a25_lgp</f>
        <v>-0.881999999999998</v>
      </c>
      <c r="D346" s="30" t="n">
        <f aca="false">a26_lgp</f>
        <v>-0.948662139013863</v>
      </c>
      <c r="E346" s="30" t="n">
        <f aca="false">$D346/$D333*E333</f>
        <v>-1.23743837852716</v>
      </c>
      <c r="F346" s="30" t="n">
        <f aca="false">$D346/$D333*F333</f>
        <v>-1.29715033932506</v>
      </c>
      <c r="G346" s="30" t="n">
        <f aca="false">$D346/$D333*G333</f>
        <v>-1.45764328174639</v>
      </c>
    </row>
    <row r="347" customFormat="false" ht="15" hidden="false" customHeight="false" outlineLevel="0" collapsed="false">
      <c r="A347" s="4" t="s">
        <v>451</v>
      </c>
      <c r="B347" s="0" t="s">
        <v>234</v>
      </c>
      <c r="C347" s="30" t="n">
        <f aca="false">C343+C345+C346</f>
        <v>114.193</v>
      </c>
      <c r="D347" s="30" t="n">
        <f aca="false">D343+D345+D346</f>
        <v>190.680245860986</v>
      </c>
      <c r="E347" s="30" t="n">
        <f aca="false">E343+E345+E346</f>
        <v>276.430353154787</v>
      </c>
      <c r="F347" s="30" t="n">
        <f aca="false">F343+F345+F346</f>
        <v>261.061512489428</v>
      </c>
      <c r="G347" s="30" t="n">
        <f aca="false">G343+G345+G346</f>
        <v>303.461203284067</v>
      </c>
    </row>
    <row r="348" customFormat="false" ht="15" hidden="false" customHeight="false" outlineLevel="0" collapsed="false">
      <c r="A348" s="4" t="s">
        <v>452</v>
      </c>
      <c r="B348" s="0" t="s">
        <v>76</v>
      </c>
      <c r="C348" s="14" t="n">
        <f aca="false">C347/C334</f>
        <v>0.176936974347214</v>
      </c>
      <c r="D348" s="14" t="n">
        <f aca="false">D347/D334</f>
        <v>0.218879008327391</v>
      </c>
      <c r="E348" s="14" t="n">
        <f aca="false">E347/E334</f>
        <v>0.243260796676924</v>
      </c>
      <c r="F348" s="14" t="n">
        <f aca="false">F347/F334</f>
        <v>0.219160616617616</v>
      </c>
      <c r="G348" s="14" t="n">
        <f aca="false">G347/G334</f>
        <v>0.226705417114093</v>
      </c>
    </row>
    <row r="349" customFormat="false" ht="15" hidden="false" customHeight="false" outlineLevel="0" collapsed="false">
      <c r="A349" s="4" t="s">
        <v>578</v>
      </c>
      <c r="B349" s="0" t="s">
        <v>234</v>
      </c>
      <c r="C349" s="30" t="n">
        <f aca="false">a25_opx</f>
        <v>63.437</v>
      </c>
      <c r="D349" s="30" t="n">
        <f aca="false">a26_opx</f>
        <v>79.658</v>
      </c>
      <c r="E349" s="30" t="n">
        <f aca="false">D349*(1+phi*E335)</f>
        <v>94.2069126683575</v>
      </c>
      <c r="F349" s="30" t="n">
        <f aca="false">E349*(1+phi*F335)</f>
        <v>96.9344567176249</v>
      </c>
      <c r="G349" s="30" t="n">
        <f aca="false">F349*(1+phi*G335)</f>
        <v>104.130521372113</v>
      </c>
    </row>
    <row r="350" customFormat="false" ht="15" hidden="false" customHeight="false" outlineLevel="0" collapsed="false">
      <c r="A350" s="4" t="s">
        <v>455</v>
      </c>
      <c r="B350" s="0" t="s">
        <v>234</v>
      </c>
      <c r="C350" s="30" t="n">
        <f aca="false">C347-C349</f>
        <v>50.756</v>
      </c>
      <c r="D350" s="30" t="n">
        <f aca="false">D347-D349</f>
        <v>111.022245860986</v>
      </c>
      <c r="E350" s="30" t="n">
        <f aca="false">E347-E349</f>
        <v>182.22344048643</v>
      </c>
      <c r="F350" s="30" t="n">
        <f aca="false">F347-F349</f>
        <v>164.127055771803</v>
      </c>
      <c r="G350" s="30" t="n">
        <f aca="false">G347-G349</f>
        <v>199.330681911954</v>
      </c>
    </row>
    <row r="351" customFormat="false" ht="15" hidden="false" customHeight="false" outlineLevel="0" collapsed="false">
      <c r="A351" s="4" t="s">
        <v>537</v>
      </c>
      <c r="B351" s="0" t="s">
        <v>76</v>
      </c>
      <c r="C351" s="14" t="n">
        <f aca="false">C350/C334</f>
        <v>0.0786441644406156</v>
      </c>
      <c r="D351" s="14" t="n">
        <f aca="false">D350/D334</f>
        <v>0.127440779020437</v>
      </c>
      <c r="E351" s="14" t="n">
        <f aca="false">E350/E334</f>
        <v>0.16035800265797</v>
      </c>
      <c r="F351" s="14" t="n">
        <f aca="false">F350/F334</f>
        <v>0.137784334441251</v>
      </c>
      <c r="G351" s="14" t="n">
        <f aca="false">G350/G334</f>
        <v>0.148913089704534</v>
      </c>
    </row>
    <row r="352" customFormat="false" ht="15" hidden="false" customHeight="false" outlineLevel="0" collapsed="false">
      <c r="A352" s="4" t="s">
        <v>456</v>
      </c>
      <c r="B352" s="0" t="s">
        <v>234</v>
      </c>
      <c r="C352" s="30" t="n">
        <f aca="false">a25_nonop</f>
        <v>0.545</v>
      </c>
      <c r="D352" s="30" t="n">
        <f aca="false">a26_nonop</f>
        <v>4.302</v>
      </c>
      <c r="E352" s="30" t="n">
        <f aca="false">nonop_f</f>
        <v>-5</v>
      </c>
      <c r="F352" s="30" t="n">
        <f aca="false">nonop_f</f>
        <v>-5</v>
      </c>
      <c r="G352" s="30" t="n">
        <f aca="false">nonop_f</f>
        <v>-5</v>
      </c>
    </row>
    <row r="353" customFormat="false" ht="15" hidden="false" customHeight="false" outlineLevel="0" collapsed="false">
      <c r="A353" s="4" t="s">
        <v>459</v>
      </c>
      <c r="B353" s="0" t="s">
        <v>234</v>
      </c>
      <c r="C353" s="30" t="n">
        <f aca="false">C350+C352</f>
        <v>51.301</v>
      </c>
      <c r="D353" s="30" t="n">
        <f aca="false">D350+D352</f>
        <v>115.324245860986</v>
      </c>
      <c r="E353" s="30" t="n">
        <f aca="false">E350+E352</f>
        <v>177.22344048643</v>
      </c>
      <c r="F353" s="30" t="n">
        <f aca="false">F350+F352</f>
        <v>159.127055771803</v>
      </c>
      <c r="G353" s="30" t="n">
        <f aca="false">G350+G352</f>
        <v>194.330681911954</v>
      </c>
    </row>
    <row r="354" customFormat="false" ht="15" hidden="false" customHeight="false" outlineLevel="0" collapsed="false">
      <c r="A354" s="4" t="s">
        <v>460</v>
      </c>
      <c r="B354" s="0" t="s">
        <v>234</v>
      </c>
      <c r="C354" s="30" t="n">
        <f aca="false">a25_tax</f>
        <v>9.461</v>
      </c>
      <c r="D354" s="30" t="n">
        <f aca="false">a26_tax</f>
        <v>19.2197317963676</v>
      </c>
      <c r="E354" s="30" t="n">
        <f aca="false">E353*tax</f>
        <v>30.127984882693</v>
      </c>
      <c r="F354" s="30" t="n">
        <f aca="false">F353*tax</f>
        <v>27.0515994812065</v>
      </c>
      <c r="G354" s="30" t="n">
        <f aca="false">G353*tax</f>
        <v>33.0362159250322</v>
      </c>
    </row>
    <row r="355" customFormat="false" ht="15" hidden="false" customHeight="false" outlineLevel="0" collapsed="false">
      <c r="A355" s="4" t="s">
        <v>461</v>
      </c>
      <c r="B355" s="0" t="s">
        <v>234</v>
      </c>
      <c r="C355" s="30" t="n">
        <f aca="false">a25_nci</f>
        <v>1.182</v>
      </c>
      <c r="D355" s="30" t="n">
        <f aca="false">a26_nci</f>
        <v>2.543</v>
      </c>
      <c r="E355" s="30" t="n">
        <f aca="false">nci</f>
        <v>3</v>
      </c>
      <c r="F355" s="30" t="n">
        <f aca="false">nci</f>
        <v>3</v>
      </c>
      <c r="G355" s="30" t="n">
        <f aca="false">nci</f>
        <v>3</v>
      </c>
    </row>
    <row r="356" customFormat="false" ht="15" hidden="false" customHeight="false" outlineLevel="0" collapsed="false">
      <c r="A356" s="4" t="s">
        <v>462</v>
      </c>
      <c r="B356" s="0" t="s">
        <v>234</v>
      </c>
      <c r="C356" s="30" t="n">
        <f aca="false">C353-C354-C355</f>
        <v>40.658</v>
      </c>
      <c r="D356" s="30" t="n">
        <f aca="false">D353-D354-D355</f>
        <v>93.5615140646185</v>
      </c>
      <c r="E356" s="30" t="n">
        <f aca="false">E353-E354-E355</f>
        <v>144.095455603737</v>
      </c>
      <c r="F356" s="30" t="n">
        <f aca="false">F353-F354-F355</f>
        <v>129.075456290597</v>
      </c>
      <c r="G356" s="30" t="n">
        <f aca="false">G353-G354-G355</f>
        <v>158.294465986922</v>
      </c>
      <c r="H356" s="31" t="n">
        <f aca="false">H334*H360</f>
        <v>163.68721167648</v>
      </c>
      <c r="I356" s="31" t="n">
        <f aca="false">I334*I360</f>
        <v>164.36452207512</v>
      </c>
      <c r="J356" s="31" t="n">
        <f aca="false">J334*J360</f>
        <v>160.083019042971</v>
      </c>
    </row>
    <row r="357" customFormat="false" ht="15" hidden="false" customHeight="false" outlineLevel="0" collapsed="false">
      <c r="A357" s="4" t="s">
        <v>579</v>
      </c>
      <c r="B357" s="4" t="s">
        <v>580</v>
      </c>
      <c r="C357" s="18" t="n">
        <f aca="false">a25_sh</f>
        <v>4339.16755602988</v>
      </c>
      <c r="D357" s="18" t="n">
        <f aca="false">a26_sh</f>
        <v>4392.90105184664</v>
      </c>
      <c r="E357" s="18" t="n">
        <f aca="false">D357*(1+sh_g)</f>
        <v>4414.86555710588</v>
      </c>
      <c r="F357" s="18" t="n">
        <f aca="false">E357*(1+sh_g)</f>
        <v>4436.9398848914</v>
      </c>
      <c r="G357" s="18" t="n">
        <f aca="false">F357*(1+sh_g)</f>
        <v>4459.12458431586</v>
      </c>
      <c r="H357" s="25" t="n">
        <f aca="false">G357*(1+sh_g)</f>
        <v>4481.42020723744</v>
      </c>
      <c r="I357" s="25" t="n">
        <f aca="false">H357*(1+sh_g)</f>
        <v>4503.82730827363</v>
      </c>
      <c r="J357" s="25" t="n">
        <f aca="false">I357*(1+sh_g)</f>
        <v>4526.34644481499</v>
      </c>
    </row>
    <row r="358" customFormat="false" ht="17.15" hidden="false" customHeight="false" outlineLevel="0" collapsed="false">
      <c r="A358" s="0" t="s">
        <v>465</v>
      </c>
      <c r="B358" s="0" t="s">
        <v>304</v>
      </c>
      <c r="C358" s="19" t="n">
        <f aca="false">a25_eps</f>
        <v>9.37</v>
      </c>
      <c r="D358" s="19" t="n">
        <f aca="false">a26_eps</f>
        <v>21.2828697294455</v>
      </c>
      <c r="E358" s="19" t="n">
        <f aca="false">E356/E357*1000</f>
        <v>32.6386961822224</v>
      </c>
      <c r="F358" s="19" t="n">
        <f aca="false">F356/F357*1000</f>
        <v>29.0910987390481</v>
      </c>
      <c r="G358" s="19" t="n">
        <f aca="false">G356/G357*1000</f>
        <v>35.4990005311117</v>
      </c>
      <c r="H358" s="28" t="n">
        <f aca="false">H356/H357*1000</f>
        <v>36.5257449886371</v>
      </c>
      <c r="I358" s="28" t="n">
        <f aca="false">I356/I357*1000</f>
        <v>36.4944103814059</v>
      </c>
      <c r="J358" s="28" t="n">
        <f aca="false">J356/J357*1000</f>
        <v>35.3669390963983</v>
      </c>
    </row>
    <row r="359" customFormat="false" ht="17.15" hidden="false" customHeight="false" outlineLevel="0" collapsed="false">
      <c r="A359" s="0" t="s">
        <v>581</v>
      </c>
      <c r="B359" s="0" t="s">
        <v>76</v>
      </c>
      <c r="D359" s="21" t="n">
        <f aca="false">D358/C358-1</f>
        <v>1.27138417603474</v>
      </c>
      <c r="E359" s="21" t="n">
        <f aca="false">E358/D358-1</f>
        <v>0.533566506638232</v>
      </c>
      <c r="F359" s="21" t="n">
        <f aca="false">F358/E358-1</f>
        <v>-0.108692988940734</v>
      </c>
      <c r="G359" s="21" t="n">
        <f aca="false">G358/F358-1</f>
        <v>0.220270188126737</v>
      </c>
      <c r="H359" s="26" t="n">
        <f aca="false">H358/G358-1</f>
        <v>0.0289231933903489</v>
      </c>
      <c r="I359" s="26" t="n">
        <f aca="false">I358/H358-1</f>
        <v>-0.000857877292879339</v>
      </c>
      <c r="J359" s="26" t="n">
        <f aca="false">J358/I358-1</f>
        <v>-0.0308943554156463</v>
      </c>
    </row>
    <row r="360" customFormat="false" ht="17.15" hidden="false" customHeight="false" outlineLevel="0" collapsed="false">
      <c r="A360" s="4" t="s">
        <v>582</v>
      </c>
      <c r="B360" s="0" t="s">
        <v>76</v>
      </c>
      <c r="C360" s="14" t="n">
        <f aca="false">C356/C334</f>
        <v>0.0629977625862272</v>
      </c>
      <c r="D360" s="14" t="n">
        <f aca="false">D356/D334</f>
        <v>0.107397865592237</v>
      </c>
      <c r="E360" s="14" t="n">
        <f aca="false">E356/E334</f>
        <v>0.12680508825332</v>
      </c>
      <c r="F360" s="14" t="n">
        <f aca="false">F356/F334</f>
        <v>0.108358586913469</v>
      </c>
      <c r="G360" s="14" t="n">
        <f aca="false">G356/G334</f>
        <v>0.118256345621964</v>
      </c>
      <c r="H360" s="27" t="n">
        <f aca="false">$G360+(fade_mB-$G360)*1/3</f>
        <v>0.111592487105394</v>
      </c>
      <c r="I360" s="27" t="n">
        <f aca="false">$G360+(fade_mB-$G360)*2/3</f>
        <v>0.104928628588824</v>
      </c>
      <c r="J360" s="27" t="n">
        <f aca="false">$G360+(fade_mB-$G360)*3/3</f>
        <v>0.0982647700722541</v>
      </c>
    </row>
    <row r="361" customFormat="false" ht="17.15" hidden="false" customHeight="false" outlineLevel="0" collapsed="false">
      <c r="A361" s="4" t="s">
        <v>583</v>
      </c>
      <c r="B361" s="0" t="s">
        <v>234</v>
      </c>
      <c r="C361" s="30" t="n">
        <f aca="false">C356+C342-C340</f>
        <v>-54.587</v>
      </c>
      <c r="D361" s="30" t="n">
        <f aca="false">D356+D342-D340</f>
        <v>-176.164485935382</v>
      </c>
      <c r="E361" s="30" t="n">
        <f aca="false">E356+E342-E340</f>
        <v>-141.064794396264</v>
      </c>
      <c r="F361" s="30" t="n">
        <f aca="false">F356+F342-F340</f>
        <v>-61.7961842268957</v>
      </c>
      <c r="G361" s="30" t="n">
        <f aca="false">G356+G342-G340</f>
        <v>-52.9329738269425</v>
      </c>
      <c r="K361" s="4" t="s">
        <v>584</v>
      </c>
    </row>
    <row r="362" customFormat="false" ht="17.15" hidden="false" customHeight="false" outlineLevel="0" collapsed="false">
      <c r="A362" s="4" t="s">
        <v>585</v>
      </c>
      <c r="B362" s="0" t="s">
        <v>76</v>
      </c>
      <c r="D362" s="21" t="n">
        <f aca="false">(D350-$C350)/SUM($D340:D340)</f>
        <v>0.164280348537512</v>
      </c>
      <c r="E362" s="21" t="n">
        <f aca="false">(E350-$C350)/SUM($D340:E340)</f>
        <v>0.167934394183342</v>
      </c>
      <c r="F362" s="21" t="n">
        <f aca="false">(F350-$C350)/SUM($D340:F340)</f>
        <v>0.0994302905223607</v>
      </c>
      <c r="G362" s="21" t="n">
        <f aca="false">(G350-$C350)/SUM($D340:G340)</f>
        <v>0.0963658326043288</v>
      </c>
      <c r="K362" s="4" t="s">
        <v>586</v>
      </c>
    </row>
    <row r="365" customFormat="false" ht="17.15" hidden="false" customHeight="false" outlineLevel="0" collapsed="false">
      <c r="A365" s="1" t="s">
        <v>921</v>
      </c>
    </row>
    <row r="366" customFormat="false" ht="17.15" hidden="false" customHeight="false" outlineLevel="0" collapsed="false">
      <c r="A366" s="5" t="s">
        <v>21</v>
      </c>
      <c r="B366" s="5" t="s">
        <v>22</v>
      </c>
      <c r="C366" s="15" t="s">
        <v>424</v>
      </c>
      <c r="D366" s="15" t="s">
        <v>524</v>
      </c>
      <c r="E366" s="15" t="s">
        <v>525</v>
      </c>
      <c r="F366" s="15" t="s">
        <v>526</v>
      </c>
      <c r="G366" s="15" t="s">
        <v>527</v>
      </c>
      <c r="H366" s="15" t="s">
        <v>528</v>
      </c>
      <c r="I366" s="15" t="s">
        <v>529</v>
      </c>
      <c r="J366" s="15" t="s">
        <v>530</v>
      </c>
      <c r="K366" s="5" t="s">
        <v>382</v>
      </c>
    </row>
    <row r="367" customFormat="false" ht="17.15" hidden="false" customHeight="false" outlineLevel="0" collapsed="false">
      <c r="A367" s="6" t="s">
        <v>548</v>
      </c>
    </row>
    <row r="368" customFormat="false" ht="17.15" hidden="false" customHeight="false" outlineLevel="0" collapsed="false">
      <c r="A368" s="0" t="s">
        <v>549</v>
      </c>
      <c r="B368" s="4" t="s">
        <v>32</v>
      </c>
      <c r="D368" s="19" t="n">
        <f aca="false">units_26</f>
        <v>15.2</v>
      </c>
      <c r="E368" s="19" t="n">
        <f aca="false">units_27*1.2</f>
        <v>28.44</v>
      </c>
      <c r="F368" s="19" t="n">
        <f aca="false">units_28*um28_C*1.2</f>
        <v>19.08</v>
      </c>
      <c r="G368" s="19" t="n">
        <f aca="false">units_29*um29_C*1.2</f>
        <v>21.708</v>
      </c>
    </row>
    <row r="369" customFormat="false" ht="17.15" hidden="false" customHeight="false" outlineLevel="0" collapsed="false">
      <c r="A369" s="4" t="s">
        <v>497</v>
      </c>
      <c r="B369" s="0" t="s">
        <v>45</v>
      </c>
      <c r="D369" s="22" t="n">
        <f aca="false">ar_26</f>
        <v>1</v>
      </c>
      <c r="E369" s="22" t="n">
        <f aca="false">ar_27</f>
        <v>1.278156</v>
      </c>
      <c r="F369" s="22" t="n">
        <f aca="false">ar_28</f>
        <v>1.428615</v>
      </c>
      <c r="G369" s="22" t="n">
        <f aca="false">ar_29</f>
        <v>1.431796</v>
      </c>
    </row>
    <row r="370" customFormat="false" ht="17.15" hidden="false" customHeight="false" outlineLevel="0" collapsed="false">
      <c r="A370" s="4" t="s">
        <v>550</v>
      </c>
      <c r="B370" s="0" t="s">
        <v>45</v>
      </c>
      <c r="D370" s="19" t="n">
        <f aca="false">1</f>
        <v>1</v>
      </c>
      <c r="E370" s="19" t="n">
        <f aca="false">rel27_C</f>
        <v>1</v>
      </c>
      <c r="F370" s="19" t="n">
        <f aca="false">rel28_C</f>
        <v>0.95</v>
      </c>
      <c r="G370" s="19" t="n">
        <f aca="false">rel29_C</f>
        <v>0.92</v>
      </c>
    </row>
    <row r="371" customFormat="false" ht="17.15" hidden="false" customHeight="false" outlineLevel="0" collapsed="false">
      <c r="A371" s="4" t="s">
        <v>551</v>
      </c>
      <c r="B371" s="0" t="s">
        <v>502</v>
      </c>
      <c r="D371" s="23" t="n">
        <f aca="false">D372*1000/D368</f>
        <v>236.842105263158</v>
      </c>
      <c r="E371" s="23" t="n">
        <f aca="false">$D371*E369^el</f>
        <v>267.763172119488</v>
      </c>
      <c r="F371" s="23" t="n">
        <f aca="false">$D371*F369^el</f>
        <v>283.084777049615</v>
      </c>
      <c r="G371" s="23" t="n">
        <f aca="false">$D371*G369^el</f>
        <v>283.399764630809</v>
      </c>
      <c r="K371" s="8" t="s">
        <v>552</v>
      </c>
    </row>
    <row r="372" customFormat="false" ht="17.15" hidden="false" customHeight="false" outlineLevel="0" collapsed="false">
      <c r="A372" s="0" t="s">
        <v>553</v>
      </c>
      <c r="B372" s="0" t="s">
        <v>120</v>
      </c>
      <c r="D372" s="22" t="n">
        <f aca="false">leap26-D373-D374</f>
        <v>3.6</v>
      </c>
      <c r="E372" s="22" t="n">
        <f aca="false">E368*E370*E371/1000</f>
        <v>7.61518461507823</v>
      </c>
      <c r="F372" s="22" t="n">
        <f aca="false">F368*F370*F371/1000</f>
        <v>5.13119466880131</v>
      </c>
      <c r="G372" s="22" t="n">
        <f aca="false">G368*G370*G371/1000</f>
        <v>5.65987872335715</v>
      </c>
      <c r="K372" s="8" t="s">
        <v>554</v>
      </c>
    </row>
    <row r="373" customFormat="false" ht="17.15" hidden="false" customHeight="false" outlineLevel="0" collapsed="false">
      <c r="A373" s="4" t="s">
        <v>555</v>
      </c>
      <c r="B373" s="0" t="s">
        <v>120</v>
      </c>
      <c r="D373" s="22" t="n">
        <f aca="false">fp26</f>
        <v>0.3</v>
      </c>
      <c r="E373" s="22" t="n">
        <f aca="false">fp27_C</f>
        <v>0.7</v>
      </c>
      <c r="F373" s="22" t="n">
        <f aca="false">E373*F368/E368*(1+fp_g)</f>
        <v>0.610506329113924</v>
      </c>
      <c r="G373" s="22" t="n">
        <f aca="false">F373*G368/F368*(1+fp_g)</f>
        <v>0.902973417721519</v>
      </c>
    </row>
    <row r="374" customFormat="false" ht="17.15" hidden="false" customHeight="false" outlineLevel="0" collapsed="false">
      <c r="A374" s="0" t="s">
        <v>556</v>
      </c>
      <c r="B374" s="0" t="s">
        <v>120</v>
      </c>
      <c r="D374" s="22" t="n">
        <f aca="false">cpo27*cpo_C_26/cpo_A_27</f>
        <v>0.1</v>
      </c>
      <c r="E374" s="22" t="n">
        <f aca="false">cpo27*cpo_C_27/cpo_A_27</f>
        <v>0.2</v>
      </c>
      <c r="F374" s="22" t="n">
        <f aca="false">cpo27*cpo_C_28/cpo_A_27*F368/E368</f>
        <v>0.20126582278481</v>
      </c>
      <c r="G374" s="22" t="n">
        <f aca="false">cpo27*cpo_C_29/cpo_A_27*G368/E368</f>
        <v>0.381645569620253</v>
      </c>
      <c r="K374" s="8" t="s">
        <v>557</v>
      </c>
    </row>
    <row r="375" customFormat="false" ht="17.15" hidden="false" customHeight="false" outlineLevel="0" collapsed="false">
      <c r="A375" s="0" t="s">
        <v>510</v>
      </c>
      <c r="B375" s="0" t="s">
        <v>120</v>
      </c>
      <c r="C375" s="22" t="n">
        <f aca="false">leap25</f>
        <v>1.6</v>
      </c>
      <c r="D375" s="22" t="n">
        <f aca="false">D372+D373+D374</f>
        <v>4</v>
      </c>
      <c r="E375" s="22" t="n">
        <f aca="false">E372+E373+E374</f>
        <v>8.51518461507822</v>
      </c>
      <c r="F375" s="22" t="n">
        <f aca="false">F372+F373+F374</f>
        <v>5.94296682070005</v>
      </c>
      <c r="G375" s="22" t="n">
        <f aca="false">G372+G373+G374</f>
        <v>6.94449771069892</v>
      </c>
    </row>
    <row r="376" customFormat="false" ht="17.15" hidden="false" customHeight="false" outlineLevel="0" collapsed="false">
      <c r="A376" s="4" t="s">
        <v>558</v>
      </c>
      <c r="B376" s="0" t="s">
        <v>114</v>
      </c>
      <c r="C376" s="19" t="n">
        <f aca="false">fx25</f>
        <v>31</v>
      </c>
      <c r="D376" s="19" t="n">
        <f aca="false">a26_leap/D375</f>
        <v>31.9</v>
      </c>
      <c r="E376" s="19" t="n">
        <f aca="false">fx</f>
        <v>32</v>
      </c>
      <c r="F376" s="19" t="n">
        <f aca="false">fx</f>
        <v>32</v>
      </c>
      <c r="G376" s="19" t="n">
        <f aca="false">fx</f>
        <v>32</v>
      </c>
      <c r="K376" s="8" t="s">
        <v>559</v>
      </c>
    </row>
    <row r="377" customFormat="false" ht="17.15" hidden="false" customHeight="false" outlineLevel="0" collapsed="false">
      <c r="A377" s="6" t="s">
        <v>560</v>
      </c>
    </row>
    <row r="378" customFormat="false" ht="17.15" hidden="false" customHeight="false" outlineLevel="0" collapsed="false">
      <c r="A378" s="0" t="s">
        <v>438</v>
      </c>
      <c r="B378" s="0" t="s">
        <v>234</v>
      </c>
      <c r="C378" s="30" t="n">
        <f aca="false">a25_leap</f>
        <v>49.6</v>
      </c>
      <c r="D378" s="30" t="n">
        <f aca="false">a26_leap</f>
        <v>127.6</v>
      </c>
      <c r="E378" s="30" t="n">
        <f aca="false">E375*E376</f>
        <v>272.485907682503</v>
      </c>
      <c r="F378" s="30" t="n">
        <f aca="false">F375*F376</f>
        <v>190.174938262401</v>
      </c>
      <c r="G378" s="30" t="n">
        <f aca="false">G375*G376</f>
        <v>222.223926742365</v>
      </c>
    </row>
    <row r="379" customFormat="false" ht="15" hidden="false" customHeight="false" outlineLevel="0" collapsed="false">
      <c r="A379" s="4" t="s">
        <v>561</v>
      </c>
      <c r="B379" s="0" t="s">
        <v>234</v>
      </c>
      <c r="C379" s="30" t="n">
        <f aca="false">a25_ms</f>
        <v>339.628</v>
      </c>
      <c r="D379" s="30" t="n">
        <f aca="false">a26_ms</f>
        <v>432.1302</v>
      </c>
      <c r="E379" s="30" t="n">
        <f aca="false">D379*(1+g_ms27)</f>
        <v>496.94973</v>
      </c>
      <c r="F379" s="30" t="n">
        <f aca="false">E379*(1+g_msL)</f>
        <v>531.7362111</v>
      </c>
      <c r="G379" s="30" t="n">
        <f aca="false">F379*(1+g_msL)</f>
        <v>568.957745877</v>
      </c>
    </row>
    <row r="380" customFormat="false" ht="17.15" hidden="false" customHeight="false" outlineLevel="0" collapsed="false">
      <c r="A380" s="4" t="s">
        <v>562</v>
      </c>
      <c r="B380" s="0" t="s">
        <v>234</v>
      </c>
      <c r="C380" s="30" t="n">
        <f aca="false">C378+C379</f>
        <v>389.228</v>
      </c>
      <c r="D380" s="30" t="n">
        <f aca="false">D378+D379</f>
        <v>559.7302</v>
      </c>
      <c r="E380" s="30" t="n">
        <f aca="false">E378+E379</f>
        <v>769.435637682503</v>
      </c>
      <c r="F380" s="30" t="n">
        <f aca="false">F378+F379</f>
        <v>721.911149362402</v>
      </c>
      <c r="G380" s="30" t="n">
        <f aca="false">G378+G379</f>
        <v>791.181672619366</v>
      </c>
    </row>
    <row r="381" customFormat="false" ht="17.15" hidden="false" customHeight="false" outlineLevel="0" collapsed="false">
      <c r="A381" s="0" t="s">
        <v>563</v>
      </c>
      <c r="B381" s="0" t="s">
        <v>234</v>
      </c>
      <c r="C381" s="30" t="n">
        <f aca="false">a25_ems</f>
        <v>259.079</v>
      </c>
      <c r="D381" s="30" t="n">
        <f aca="false">a26_ems</f>
        <v>314.602</v>
      </c>
      <c r="E381" s="30" t="n">
        <f aca="false">D381*(1+g_ems27)</f>
        <v>346.0622</v>
      </c>
      <c r="F381" s="30" t="n">
        <f aca="false">E381*(1+g_emsL)</f>
        <v>363.36531</v>
      </c>
      <c r="G381" s="30" t="n">
        <f aca="false">F381*(1+g_emsL)</f>
        <v>381.5335755</v>
      </c>
    </row>
    <row r="382" customFormat="false" ht="17.15" hidden="false" customHeight="false" outlineLevel="0" collapsed="false">
      <c r="A382" s="4" t="s">
        <v>564</v>
      </c>
      <c r="B382" s="0" t="s">
        <v>234</v>
      </c>
      <c r="C382" s="30" t="n">
        <f aca="false">a25_elim</f>
        <v>-2.91899999999998</v>
      </c>
      <c r="D382" s="30" t="n">
        <f aca="false">a26_elim</f>
        <v>-3.16484905982349</v>
      </c>
      <c r="E382" s="30" t="n">
        <f aca="false">$D382/($D380+$D381)*(E380+E381)</f>
        <v>-4.03780426115452</v>
      </c>
      <c r="F382" s="30" t="n">
        <f aca="false">$D382/($D380+$D381)*(F380+F381)</f>
        <v>-3.92841094273053</v>
      </c>
      <c r="G382" s="30" t="n">
        <f aca="false">$D382/($D380+$D381)*(G380+G381)</f>
        <v>-4.24491600612587</v>
      </c>
      <c r="K382" s="4" t="s">
        <v>565</v>
      </c>
    </row>
    <row r="383" customFormat="false" ht="17.15" hidden="false" customHeight="false" outlineLevel="0" collapsed="false">
      <c r="A383" s="4" t="s">
        <v>431</v>
      </c>
      <c r="B383" s="0" t="s">
        <v>234</v>
      </c>
      <c r="C383" s="30" t="n">
        <f aca="false">C380+C381+C382</f>
        <v>645.388</v>
      </c>
      <c r="D383" s="30" t="n">
        <f aca="false">D380+D381+D382</f>
        <v>871.167350940177</v>
      </c>
      <c r="E383" s="30" t="n">
        <f aca="false">E380+E381+E382</f>
        <v>1111.46003342135</v>
      </c>
      <c r="F383" s="30" t="n">
        <f aca="false">F380+F381+F382</f>
        <v>1081.34804841967</v>
      </c>
      <c r="G383" s="30" t="n">
        <f aca="false">G380+G381+G382</f>
        <v>1168.47033211324</v>
      </c>
      <c r="H383" s="31" t="n">
        <f aca="false">G383*(1+H384)</f>
        <v>1239.021181467</v>
      </c>
      <c r="I383" s="31" t="n">
        <f aca="false">H383*(1+I384)</f>
        <v>1288.81670615842</v>
      </c>
      <c r="J383" s="31" t="n">
        <f aca="false">I383*(1+J384)</f>
        <v>1314.59304028159</v>
      </c>
      <c r="K383" s="8" t="s">
        <v>566</v>
      </c>
    </row>
    <row r="384" customFormat="false" ht="15" hidden="false" customHeight="false" outlineLevel="0" collapsed="false">
      <c r="A384" s="4" t="s">
        <v>567</v>
      </c>
      <c r="B384" s="0" t="s">
        <v>76</v>
      </c>
      <c r="D384" s="21" t="n">
        <f aca="false">D383/C383-1</f>
        <v>0.349835061916516</v>
      </c>
      <c r="E384" s="21" t="n">
        <f aca="false">E383/D383-1</f>
        <v>0.275828383859708</v>
      </c>
      <c r="F384" s="21" t="n">
        <f aca="false">F383/E383-1</f>
        <v>-0.0270922787110804</v>
      </c>
      <c r="G384" s="21" t="n">
        <f aca="false">G383/F383-1</f>
        <v>0.0805682165153887</v>
      </c>
      <c r="H384" s="26" t="n">
        <f aca="false">$G384+(fade_gC-$G384)*1/3</f>
        <v>0.0603788110102591</v>
      </c>
      <c r="I384" s="26" t="n">
        <f aca="false">$G384+(fade_gC-$G384)*2/3</f>
        <v>0.0401894055051296</v>
      </c>
      <c r="J384" s="26" t="n">
        <f aca="false">$G384+(fade_gC-$G384)*3/3</f>
        <v>0.02</v>
      </c>
    </row>
    <row r="385" customFormat="false" ht="17.15" hidden="false" customHeight="false" outlineLevel="0" collapsed="false">
      <c r="A385" s="0" t="s">
        <v>475</v>
      </c>
      <c r="B385" s="0" t="s">
        <v>76</v>
      </c>
      <c r="C385" s="21" t="n">
        <f aca="false">C378/C380</f>
        <v>0.127431736668482</v>
      </c>
      <c r="D385" s="21" t="n">
        <f aca="false">D378/D380</f>
        <v>0.227966974088588</v>
      </c>
      <c r="E385" s="21" t="n">
        <f aca="false">E378/E380</f>
        <v>0.354137362942033</v>
      </c>
      <c r="F385" s="21" t="n">
        <f aca="false">F378/F380</f>
        <v>0.263432609996903</v>
      </c>
      <c r="G385" s="21" t="n">
        <f aca="false">G378/G380</f>
        <v>0.280875978846487</v>
      </c>
    </row>
    <row r="386" customFormat="false" ht="15" hidden="false" customHeight="false" outlineLevel="0" collapsed="false">
      <c r="A386" s="4" t="s">
        <v>568</v>
      </c>
      <c r="B386" s="0" t="s">
        <v>76</v>
      </c>
      <c r="D386" s="21" t="n">
        <f aca="false">D380/C380-1</f>
        <v>0.438052247012034</v>
      </c>
      <c r="E386" s="21" t="n">
        <f aca="false">E380/D380-1</f>
        <v>0.374654499047047</v>
      </c>
      <c r="F386" s="21" t="n">
        <f aca="false">F380/E380-1</f>
        <v>-0.0617653849037234</v>
      </c>
      <c r="G386" s="21" t="n">
        <f aca="false">G380/F380-1</f>
        <v>0.095954361306297</v>
      </c>
    </row>
    <row r="387" customFormat="false" ht="17.15" hidden="false" customHeight="false" outlineLevel="0" collapsed="false">
      <c r="A387" s="6" t="s">
        <v>569</v>
      </c>
    </row>
    <row r="388" customFormat="false" ht="17.15" hidden="false" customHeight="false" outlineLevel="0" collapsed="false">
      <c r="A388" s="4" t="s">
        <v>570</v>
      </c>
      <c r="B388" s="0" t="s">
        <v>120</v>
      </c>
      <c r="C388" s="19" t="n">
        <f aca="false">capex25</f>
        <v>5.5</v>
      </c>
      <c r="D388" s="19" t="n">
        <f aca="false">capex26</f>
        <v>11.5</v>
      </c>
      <c r="E388" s="19" t="n">
        <f aca="false">capex27</f>
        <v>13</v>
      </c>
      <c r="F388" s="19" t="n">
        <f aca="false">capi*F383/F376</f>
        <v>10.1376379539344</v>
      </c>
      <c r="G388" s="19" t="n">
        <f aca="false">capi*G383/G376</f>
        <v>10.9544093635616</v>
      </c>
      <c r="K388" s="8" t="s">
        <v>571</v>
      </c>
    </row>
    <row r="389" customFormat="false" ht="15" hidden="false" customHeight="false" outlineLevel="0" collapsed="false">
      <c r="A389" s="4" t="s">
        <v>572</v>
      </c>
      <c r="B389" s="0" t="s">
        <v>234</v>
      </c>
      <c r="C389" s="30" t="n">
        <f aca="false">C388*C376</f>
        <v>170.5</v>
      </c>
      <c r="D389" s="30" t="n">
        <f aca="false">D388*31.9</f>
        <v>366.85</v>
      </c>
      <c r="E389" s="30" t="n">
        <f aca="false">E388*E376</f>
        <v>416</v>
      </c>
      <c r="F389" s="30" t="n">
        <f aca="false">F388*F376</f>
        <v>324.404414525901</v>
      </c>
      <c r="G389" s="30" t="n">
        <f aca="false">G388*G376</f>
        <v>350.541099633972</v>
      </c>
    </row>
    <row r="390" customFormat="false" ht="17.15" hidden="false" customHeight="false" outlineLevel="0" collapsed="false">
      <c r="A390" s="4" t="s">
        <v>473</v>
      </c>
      <c r="B390" s="0" t="s">
        <v>76</v>
      </c>
      <c r="C390" s="21" t="n">
        <f aca="false">C389/C383</f>
        <v>0.264182166386732</v>
      </c>
      <c r="D390" s="21" t="n">
        <f aca="false">D389/D383</f>
        <v>0.421101639775745</v>
      </c>
      <c r="E390" s="21" t="n">
        <f aca="false">E389/E383</f>
        <v>0.374282464048167</v>
      </c>
      <c r="F390" s="21" t="n">
        <f aca="false">F389/F383</f>
        <v>0.3</v>
      </c>
      <c r="G390" s="21" t="n">
        <f aca="false">G389/G383</f>
        <v>0.3</v>
      </c>
    </row>
    <row r="391" customFormat="false" ht="17.15" hidden="false" customHeight="false" outlineLevel="0" collapsed="false">
      <c r="A391" s="4" t="s">
        <v>573</v>
      </c>
      <c r="B391" s="0" t="s">
        <v>234</v>
      </c>
      <c r="C391" s="30" t="n">
        <f aca="false">a25_da</f>
        <v>75.255</v>
      </c>
      <c r="D391" s="30" t="n">
        <f aca="false">a26_da</f>
        <v>97.124</v>
      </c>
      <c r="E391" s="30" t="n">
        <f aca="false">D391*(1-1/life)+D389/life</f>
        <v>130.83975</v>
      </c>
      <c r="F391" s="30" t="n">
        <f aca="false">E391*(1-1/life)+E389/life</f>
        <v>166.48478125</v>
      </c>
      <c r="G391" s="30" t="n">
        <f aca="false">F391*(1-1/life)+F389/life</f>
        <v>186.224735409488</v>
      </c>
      <c r="K391" s="4" t="s">
        <v>574</v>
      </c>
    </row>
    <row r="392" customFormat="false" ht="17.15" hidden="false" customHeight="false" outlineLevel="0" collapsed="false">
      <c r="A392" s="4" t="s">
        <v>575</v>
      </c>
      <c r="B392" s="0" t="s">
        <v>234</v>
      </c>
      <c r="C392" s="30" t="n">
        <f aca="false">a25_agp</f>
        <v>91.38</v>
      </c>
      <c r="D392" s="30" t="n">
        <f aca="false">a26_agp</f>
        <v>164.623388</v>
      </c>
      <c r="E392" s="30" t="n">
        <f aca="false">$D392+ft*(E380-$D380)-(E391-$D391)</f>
        <v>235.760356841252</v>
      </c>
      <c r="F392" s="30" t="n">
        <f aca="false">$D392+ft*(F380-$D380)-(F391-$D391)</f>
        <v>176.353081431201</v>
      </c>
      <c r="G392" s="30" t="n">
        <f aca="false">$D392+ft*(G380-$D380)-(G391-$D391)</f>
        <v>191.248388900195</v>
      </c>
      <c r="K392" s="4" t="s">
        <v>576</v>
      </c>
    </row>
    <row r="393" customFormat="false" ht="15" hidden="false" customHeight="false" outlineLevel="0" collapsed="false">
      <c r="A393" s="4" t="s">
        <v>447</v>
      </c>
      <c r="B393" s="0" t="s">
        <v>76</v>
      </c>
      <c r="C393" s="14" t="n">
        <f aca="false">C392/C380</f>
        <v>0.234772421305764</v>
      </c>
      <c r="D393" s="14" t="n">
        <f aca="false">D392/D380</f>
        <v>0.294112034690999</v>
      </c>
      <c r="E393" s="14" t="n">
        <f aca="false">E392/E380</f>
        <v>0.306406858865218</v>
      </c>
      <c r="F393" s="14" t="n">
        <f aca="false">F392/F380</f>
        <v>0.244286407803727</v>
      </c>
      <c r="G393" s="14" t="n">
        <f aca="false">G392/G380</f>
        <v>0.241724998845119</v>
      </c>
    </row>
    <row r="394" customFormat="false" ht="17.15" hidden="false" customHeight="false" outlineLevel="0" collapsed="false">
      <c r="A394" s="0" t="s">
        <v>449</v>
      </c>
      <c r="B394" s="0" t="s">
        <v>234</v>
      </c>
      <c r="C394" s="30" t="n">
        <f aca="false">a25_egp</f>
        <v>23.695</v>
      </c>
      <c r="D394" s="30" t="n">
        <f aca="false">a26_egp</f>
        <v>27.00552</v>
      </c>
      <c r="E394" s="30" t="n">
        <f aca="false">E381*ems_gm</f>
        <v>29.415287</v>
      </c>
      <c r="F394" s="30" t="n">
        <f aca="false">F381*ems_gm</f>
        <v>30.88605135</v>
      </c>
      <c r="G394" s="30" t="n">
        <f aca="false">G381*ems_gm</f>
        <v>32.4303539175</v>
      </c>
    </row>
    <row r="395" customFormat="false" ht="15" hidden="false" customHeight="false" outlineLevel="0" collapsed="false">
      <c r="A395" s="4" t="s">
        <v>577</v>
      </c>
      <c r="B395" s="0" t="s">
        <v>234</v>
      </c>
      <c r="C395" s="30" t="n">
        <f aca="false">a25_lgp</f>
        <v>-0.881999999999998</v>
      </c>
      <c r="D395" s="30" t="n">
        <f aca="false">a26_lgp</f>
        <v>-0.948662139013863</v>
      </c>
      <c r="E395" s="30" t="n">
        <f aca="false">$D395/$D382*E382</f>
        <v>-1.21033008364695</v>
      </c>
      <c r="F395" s="30" t="n">
        <f aca="false">$D395/$D382*F382</f>
        <v>-1.17753948368838</v>
      </c>
      <c r="G395" s="30" t="n">
        <f aca="false">$D395/$D382*G382</f>
        <v>-1.27241173976561</v>
      </c>
    </row>
    <row r="396" customFormat="false" ht="15" hidden="false" customHeight="false" outlineLevel="0" collapsed="false">
      <c r="A396" s="4" t="s">
        <v>451</v>
      </c>
      <c r="B396" s="0" t="s">
        <v>234</v>
      </c>
      <c r="C396" s="30" t="n">
        <f aca="false">C392+C394+C395</f>
        <v>114.193</v>
      </c>
      <c r="D396" s="30" t="n">
        <f aca="false">D392+D394+D395</f>
        <v>190.680245860986</v>
      </c>
      <c r="E396" s="30" t="n">
        <f aca="false">E392+E394+E395</f>
        <v>263.965313757605</v>
      </c>
      <c r="F396" s="30" t="n">
        <f aca="false">F392+F394+F395</f>
        <v>206.061593297512</v>
      </c>
      <c r="G396" s="30" t="n">
        <f aca="false">G392+G394+G395</f>
        <v>222.40633107793</v>
      </c>
    </row>
    <row r="397" customFormat="false" ht="15" hidden="false" customHeight="false" outlineLevel="0" collapsed="false">
      <c r="A397" s="4" t="s">
        <v>452</v>
      </c>
      <c r="B397" s="0" t="s">
        <v>76</v>
      </c>
      <c r="C397" s="14" t="n">
        <f aca="false">C396/C383</f>
        <v>0.176936974347214</v>
      </c>
      <c r="D397" s="14" t="n">
        <f aca="false">D396/D383</f>
        <v>0.218879008327391</v>
      </c>
      <c r="E397" s="14" t="n">
        <f aca="false">E396/E383</f>
        <v>0.237494202058759</v>
      </c>
      <c r="F397" s="14" t="n">
        <f aca="false">F396/F383</f>
        <v>0.190559916022098</v>
      </c>
      <c r="G397" s="14" t="n">
        <f aca="false">G396/G383</f>
        <v>0.190339733038575</v>
      </c>
    </row>
    <row r="398" customFormat="false" ht="15" hidden="false" customHeight="false" outlineLevel="0" collapsed="false">
      <c r="A398" s="4" t="s">
        <v>578</v>
      </c>
      <c r="B398" s="0" t="s">
        <v>234</v>
      </c>
      <c r="C398" s="30" t="n">
        <f aca="false">a25_opx</f>
        <v>63.437</v>
      </c>
      <c r="D398" s="30" t="n">
        <f aca="false">a26_opx</f>
        <v>79.658</v>
      </c>
      <c r="E398" s="30" t="n">
        <f aca="false">D398*(1+phi*E384)</f>
        <v>92.841162440898</v>
      </c>
      <c r="F398" s="30" t="n">
        <f aca="false">E398*(1+phi*F384)</f>
        <v>91.3319952516723</v>
      </c>
      <c r="G398" s="30" t="n">
        <f aca="false">F398*(1+phi*G384)</f>
        <v>95.7470688326038</v>
      </c>
    </row>
    <row r="399" customFormat="false" ht="15" hidden="false" customHeight="false" outlineLevel="0" collapsed="false">
      <c r="A399" s="4" t="s">
        <v>455</v>
      </c>
      <c r="B399" s="0" t="s">
        <v>234</v>
      </c>
      <c r="C399" s="30" t="n">
        <f aca="false">C396-C398</f>
        <v>50.756</v>
      </c>
      <c r="D399" s="30" t="n">
        <f aca="false">D396-D398</f>
        <v>111.022245860986</v>
      </c>
      <c r="E399" s="30" t="n">
        <f aca="false">E396-E398</f>
        <v>171.124151316707</v>
      </c>
      <c r="F399" s="30" t="n">
        <f aca="false">F396-F398</f>
        <v>114.72959804584</v>
      </c>
      <c r="G399" s="30" t="n">
        <f aca="false">G396-G398</f>
        <v>126.659262245326</v>
      </c>
    </row>
    <row r="400" customFormat="false" ht="15" hidden="false" customHeight="false" outlineLevel="0" collapsed="false">
      <c r="A400" s="4" t="s">
        <v>537</v>
      </c>
      <c r="B400" s="0" t="s">
        <v>76</v>
      </c>
      <c r="C400" s="14" t="n">
        <f aca="false">C399/C383</f>
        <v>0.0786441644406156</v>
      </c>
      <c r="D400" s="14" t="n">
        <f aca="false">D399/D383</f>
        <v>0.127440779020437</v>
      </c>
      <c r="E400" s="14" t="n">
        <f aca="false">E399/E383</f>
        <v>0.153963387050405</v>
      </c>
      <c r="F400" s="14" t="n">
        <f aca="false">F399/F383</f>
        <v>0.106098677676915</v>
      </c>
      <c r="G400" s="14" t="n">
        <f aca="false">G399/G383</f>
        <v>0.108397499503694</v>
      </c>
    </row>
    <row r="401" customFormat="false" ht="15" hidden="false" customHeight="false" outlineLevel="0" collapsed="false">
      <c r="A401" s="4" t="s">
        <v>456</v>
      </c>
      <c r="B401" s="0" t="s">
        <v>234</v>
      </c>
      <c r="C401" s="30" t="n">
        <f aca="false">a25_nonop</f>
        <v>0.545</v>
      </c>
      <c r="D401" s="30" t="n">
        <f aca="false">a26_nonop</f>
        <v>4.302</v>
      </c>
      <c r="E401" s="30" t="n">
        <f aca="false">nonop_f</f>
        <v>-5</v>
      </c>
      <c r="F401" s="30" t="n">
        <f aca="false">nonop_f</f>
        <v>-5</v>
      </c>
      <c r="G401" s="30" t="n">
        <f aca="false">nonop_f</f>
        <v>-5</v>
      </c>
    </row>
    <row r="402" customFormat="false" ht="15" hidden="false" customHeight="false" outlineLevel="0" collapsed="false">
      <c r="A402" s="4" t="s">
        <v>459</v>
      </c>
      <c r="B402" s="0" t="s">
        <v>234</v>
      </c>
      <c r="C402" s="30" t="n">
        <f aca="false">C399+C401</f>
        <v>51.301</v>
      </c>
      <c r="D402" s="30" t="n">
        <f aca="false">D399+D401</f>
        <v>115.324245860986</v>
      </c>
      <c r="E402" s="30" t="n">
        <f aca="false">E399+E401</f>
        <v>166.124151316707</v>
      </c>
      <c r="F402" s="30" t="n">
        <f aca="false">F399+F401</f>
        <v>109.72959804584</v>
      </c>
      <c r="G402" s="30" t="n">
        <f aca="false">G399+G401</f>
        <v>121.659262245326</v>
      </c>
    </row>
    <row r="403" customFormat="false" ht="15" hidden="false" customHeight="false" outlineLevel="0" collapsed="false">
      <c r="A403" s="4" t="s">
        <v>460</v>
      </c>
      <c r="B403" s="0" t="s">
        <v>234</v>
      </c>
      <c r="C403" s="30" t="n">
        <f aca="false">a25_tax</f>
        <v>9.461</v>
      </c>
      <c r="D403" s="30" t="n">
        <f aca="false">a26_tax</f>
        <v>19.2197317963676</v>
      </c>
      <c r="E403" s="30" t="n">
        <f aca="false">E402*tax</f>
        <v>28.2411057238401</v>
      </c>
      <c r="F403" s="30" t="n">
        <f aca="false">F402*tax</f>
        <v>18.6540316677928</v>
      </c>
      <c r="G403" s="30" t="n">
        <f aca="false">G402*tax</f>
        <v>20.6820745817054</v>
      </c>
    </row>
    <row r="404" customFormat="false" ht="15" hidden="false" customHeight="false" outlineLevel="0" collapsed="false">
      <c r="A404" s="4" t="s">
        <v>461</v>
      </c>
      <c r="B404" s="0" t="s">
        <v>234</v>
      </c>
      <c r="C404" s="30" t="n">
        <f aca="false">a25_nci</f>
        <v>1.182</v>
      </c>
      <c r="D404" s="30" t="n">
        <f aca="false">a26_nci</f>
        <v>2.543</v>
      </c>
      <c r="E404" s="30" t="n">
        <f aca="false">nci</f>
        <v>3</v>
      </c>
      <c r="F404" s="30" t="n">
        <f aca="false">nci</f>
        <v>3</v>
      </c>
      <c r="G404" s="30" t="n">
        <f aca="false">nci</f>
        <v>3</v>
      </c>
    </row>
    <row r="405" customFormat="false" ht="15" hidden="false" customHeight="false" outlineLevel="0" collapsed="false">
      <c r="A405" s="4" t="s">
        <v>462</v>
      </c>
      <c r="B405" s="0" t="s">
        <v>234</v>
      </c>
      <c r="C405" s="30" t="n">
        <f aca="false">C402-C403-C404</f>
        <v>40.658</v>
      </c>
      <c r="D405" s="30" t="n">
        <f aca="false">D402-D403-D404</f>
        <v>93.5615140646185</v>
      </c>
      <c r="E405" s="30" t="n">
        <f aca="false">E402-E403-E404</f>
        <v>134.883045592867</v>
      </c>
      <c r="F405" s="30" t="n">
        <f aca="false">F402-F403-F404</f>
        <v>88.0755663780473</v>
      </c>
      <c r="G405" s="30" t="n">
        <f aca="false">G402-G403-G404</f>
        <v>97.9771876636204</v>
      </c>
      <c r="H405" s="31" t="n">
        <f aca="false">H383*H409</f>
        <v>94.7209740987014</v>
      </c>
      <c r="I405" s="31" t="n">
        <f aca="false">I383*I409</f>
        <v>88.9871784682776</v>
      </c>
      <c r="J405" s="31" t="n">
        <f aca="false">J383*J409</f>
        <v>81.0355352639595</v>
      </c>
    </row>
    <row r="406" customFormat="false" ht="15" hidden="false" customHeight="false" outlineLevel="0" collapsed="false">
      <c r="A406" s="4" t="s">
        <v>579</v>
      </c>
      <c r="B406" s="4" t="s">
        <v>580</v>
      </c>
      <c r="C406" s="18" t="n">
        <f aca="false">a25_sh</f>
        <v>4339.16755602988</v>
      </c>
      <c r="D406" s="18" t="n">
        <f aca="false">a26_sh</f>
        <v>4392.90105184664</v>
      </c>
      <c r="E406" s="18" t="n">
        <f aca="false">D406*(1+sh_g)</f>
        <v>4414.86555710588</v>
      </c>
      <c r="F406" s="18" t="n">
        <f aca="false">E406*(1+sh_g)</f>
        <v>4436.9398848914</v>
      </c>
      <c r="G406" s="18" t="n">
        <f aca="false">F406*(1+sh_g)</f>
        <v>4459.12458431586</v>
      </c>
      <c r="H406" s="25" t="n">
        <f aca="false">G406*(1+sh_g)</f>
        <v>4481.42020723744</v>
      </c>
      <c r="I406" s="25" t="n">
        <f aca="false">H406*(1+sh_g)</f>
        <v>4503.82730827363</v>
      </c>
      <c r="J406" s="25" t="n">
        <f aca="false">I406*(1+sh_g)</f>
        <v>4526.34644481499</v>
      </c>
    </row>
    <row r="407" customFormat="false" ht="17.15" hidden="false" customHeight="false" outlineLevel="0" collapsed="false">
      <c r="A407" s="0" t="s">
        <v>465</v>
      </c>
      <c r="B407" s="0" t="s">
        <v>304</v>
      </c>
      <c r="C407" s="19" t="n">
        <f aca="false">a25_eps</f>
        <v>9.37</v>
      </c>
      <c r="D407" s="19" t="n">
        <f aca="false">a26_eps</f>
        <v>21.2828697294455</v>
      </c>
      <c r="E407" s="19" t="n">
        <f aca="false">E405/E406*1000</f>
        <v>30.5520165559216</v>
      </c>
      <c r="F407" s="19" t="n">
        <f aca="false">F405/F406*1000</f>
        <v>19.8505205531319</v>
      </c>
      <c r="G407" s="19" t="n">
        <f aca="false">G405/G406*1000</f>
        <v>21.9722920521747</v>
      </c>
      <c r="H407" s="28" t="n">
        <f aca="false">H405/H406*1000</f>
        <v>21.1363741221428</v>
      </c>
      <c r="I407" s="28" t="n">
        <f aca="false">I405/I406*1000</f>
        <v>19.7581240081755</v>
      </c>
      <c r="J407" s="28" t="n">
        <f aca="false">J405/J406*1000</f>
        <v>17.9030783993097</v>
      </c>
    </row>
    <row r="408" customFormat="false" ht="17.15" hidden="false" customHeight="false" outlineLevel="0" collapsed="false">
      <c r="A408" s="0" t="s">
        <v>581</v>
      </c>
      <c r="B408" s="0" t="s">
        <v>76</v>
      </c>
      <c r="D408" s="21" t="n">
        <f aca="false">D407/C407-1</f>
        <v>1.27138417603474</v>
      </c>
      <c r="E408" s="21" t="n">
        <f aca="false">E407/D407-1</f>
        <v>0.435521475454594</v>
      </c>
      <c r="F408" s="21" t="n">
        <f aca="false">F407/E407-1</f>
        <v>-0.350271347333227</v>
      </c>
      <c r="G408" s="21" t="n">
        <f aca="false">G407/F407-1</f>
        <v>0.106887448788245</v>
      </c>
      <c r="H408" s="26" t="n">
        <f aca="false">H407/G407-1</f>
        <v>-0.0380441843776225</v>
      </c>
      <c r="I408" s="26" t="n">
        <f aca="false">I407/H407-1</f>
        <v>-0.0652074999241923</v>
      </c>
      <c r="J408" s="26" t="n">
        <f aca="false">J407/I407-1</f>
        <v>-0.0938877399543728</v>
      </c>
    </row>
    <row r="409" customFormat="false" ht="17.15" hidden="false" customHeight="false" outlineLevel="0" collapsed="false">
      <c r="A409" s="4" t="s">
        <v>582</v>
      </c>
      <c r="B409" s="0" t="s">
        <v>76</v>
      </c>
      <c r="C409" s="14" t="n">
        <f aca="false">C405/C383</f>
        <v>0.0629977625862272</v>
      </c>
      <c r="D409" s="14" t="n">
        <f aca="false">D405/D383</f>
        <v>0.107397865592237</v>
      </c>
      <c r="E409" s="14" t="n">
        <f aca="false">E405/E383</f>
        <v>0.121356631401008</v>
      </c>
      <c r="F409" s="14" t="n">
        <f aca="false">F405/F383</f>
        <v>0.0814497852997144</v>
      </c>
      <c r="G409" s="14" t="n">
        <f aca="false">G405/G383</f>
        <v>0.0838508132991477</v>
      </c>
      <c r="H409" s="27" t="n">
        <f aca="false">$G409+(fade_mC-$G409)*1/3</f>
        <v>0.0764482282591423</v>
      </c>
      <c r="I409" s="27" t="n">
        <f aca="false">$G409+(fade_mC-$G409)*2/3</f>
        <v>0.0690456432191369</v>
      </c>
      <c r="J409" s="27" t="n">
        <f aca="false">$G409+(fade_mC-$G409)*3/3</f>
        <v>0.0616430581791315</v>
      </c>
    </row>
    <row r="410" customFormat="false" ht="17.15" hidden="false" customHeight="false" outlineLevel="0" collapsed="false">
      <c r="A410" s="4" t="s">
        <v>583</v>
      </c>
      <c r="B410" s="0" t="s">
        <v>234</v>
      </c>
      <c r="C410" s="30" t="n">
        <f aca="false">C405+C391-C389</f>
        <v>-54.587</v>
      </c>
      <c r="D410" s="30" t="n">
        <f aca="false">D405+D391-D389</f>
        <v>-176.164485935382</v>
      </c>
      <c r="E410" s="30" t="n">
        <f aca="false">E405+E391-E389</f>
        <v>-150.277204407133</v>
      </c>
      <c r="F410" s="30" t="n">
        <f aca="false">F405+F391-F389</f>
        <v>-69.844066897854</v>
      </c>
      <c r="G410" s="30" t="n">
        <f aca="false">G405+G391-G389</f>
        <v>-66.3391765608639</v>
      </c>
      <c r="K410" s="4" t="s">
        <v>584</v>
      </c>
    </row>
    <row r="411" customFormat="false" ht="17.15" hidden="false" customHeight="false" outlineLevel="0" collapsed="false">
      <c r="A411" s="4" t="s">
        <v>585</v>
      </c>
      <c r="B411" s="0" t="s">
        <v>76</v>
      </c>
      <c r="D411" s="21" t="n">
        <f aca="false">(D399-$C399)/SUM($D389:D389)</f>
        <v>0.164280348537512</v>
      </c>
      <c r="E411" s="21" t="n">
        <f aca="false">(E399-$C399)/SUM($D389:E389)</f>
        <v>0.153756340699632</v>
      </c>
      <c r="F411" s="21" t="n">
        <f aca="false">(F399-$C399)/SUM($D389:F389)</f>
        <v>0.0577767830108242</v>
      </c>
      <c r="G411" s="21" t="n">
        <f aca="false">(G399-$C399)/SUM($D389:G389)</f>
        <v>0.0520671531144536</v>
      </c>
      <c r="K411" s="4" t="s">
        <v>586</v>
      </c>
    </row>
    <row r="414" customFormat="false" ht="17.15" hidden="false" customHeight="false" outlineLevel="0" collapsed="false">
      <c r="A414" s="1" t="s">
        <v>922</v>
      </c>
    </row>
    <row r="415" customFormat="false" ht="17.15" hidden="false" customHeight="false" outlineLevel="0" collapsed="false">
      <c r="A415" s="5" t="s">
        <v>21</v>
      </c>
      <c r="B415" s="5" t="s">
        <v>22</v>
      </c>
      <c r="C415" s="15" t="s">
        <v>424</v>
      </c>
      <c r="D415" s="15" t="s">
        <v>524</v>
      </c>
      <c r="E415" s="15" t="s">
        <v>525</v>
      </c>
      <c r="F415" s="15" t="s">
        <v>526</v>
      </c>
      <c r="G415" s="15" t="s">
        <v>527</v>
      </c>
      <c r="H415" s="15" t="s">
        <v>528</v>
      </c>
      <c r="I415" s="15" t="s">
        <v>529</v>
      </c>
      <c r="J415" s="15" t="s">
        <v>530</v>
      </c>
      <c r="K415" s="5" t="s">
        <v>382</v>
      </c>
    </row>
    <row r="416" customFormat="false" ht="17.15" hidden="false" customHeight="false" outlineLevel="0" collapsed="false">
      <c r="A416" s="6" t="s">
        <v>548</v>
      </c>
    </row>
    <row r="417" customFormat="false" ht="17.15" hidden="false" customHeight="false" outlineLevel="0" collapsed="false">
      <c r="A417" s="0" t="s">
        <v>549</v>
      </c>
      <c r="B417" s="4" t="s">
        <v>32</v>
      </c>
      <c r="D417" s="19" t="n">
        <f aca="false">units_26</f>
        <v>15.2</v>
      </c>
      <c r="E417" s="19" t="n">
        <f aca="false">units_27*1</f>
        <v>23.7</v>
      </c>
      <c r="F417" s="19" t="n">
        <f aca="false">units_28*um28_A*1</f>
        <v>26.5</v>
      </c>
      <c r="G417" s="19" t="n">
        <f aca="false">units_29*um29_A*1</f>
        <v>30.15</v>
      </c>
    </row>
    <row r="418" customFormat="false" ht="17.15" hidden="false" customHeight="false" outlineLevel="0" collapsed="false">
      <c r="A418" s="4" t="s">
        <v>497</v>
      </c>
      <c r="B418" s="0" t="s">
        <v>45</v>
      </c>
      <c r="D418" s="22" t="n">
        <f aca="false">ar_26</f>
        <v>1</v>
      </c>
      <c r="E418" s="22" t="n">
        <f aca="false">ar_27</f>
        <v>1.278156</v>
      </c>
      <c r="F418" s="22" t="n">
        <f aca="false">ar_28</f>
        <v>1.428615</v>
      </c>
      <c r="G418" s="22" t="n">
        <f aca="false">ar_29</f>
        <v>1.431796</v>
      </c>
    </row>
    <row r="419" customFormat="false" ht="17.15" hidden="false" customHeight="false" outlineLevel="0" collapsed="false">
      <c r="A419" s="4" t="s">
        <v>550</v>
      </c>
      <c r="B419" s="0" t="s">
        <v>45</v>
      </c>
      <c r="D419" s="19" t="n">
        <f aca="false">1</f>
        <v>1</v>
      </c>
      <c r="E419" s="19" t="n">
        <f aca="false">rel27_A</f>
        <v>1.1</v>
      </c>
      <c r="F419" s="19" t="n">
        <f aca="false">rel28_A</f>
        <v>1.15</v>
      </c>
      <c r="G419" s="19" t="n">
        <f aca="false">rel29_A</f>
        <v>1.2</v>
      </c>
    </row>
    <row r="420" customFormat="false" ht="17.15" hidden="false" customHeight="false" outlineLevel="0" collapsed="false">
      <c r="A420" s="4" t="s">
        <v>551</v>
      </c>
      <c r="B420" s="0" t="s">
        <v>502</v>
      </c>
      <c r="D420" s="23" t="n">
        <f aca="false">D421*1000/D417</f>
        <v>236.842105263158</v>
      </c>
      <c r="E420" s="23" t="n">
        <f aca="false">$D420*E418^el_lo</f>
        <v>254.937704914838</v>
      </c>
      <c r="F420" s="23" t="n">
        <f aca="false">$D420*F418^el_lo</f>
        <v>263.592758218181</v>
      </c>
      <c r="G420" s="23" t="n">
        <f aca="false">$D420*G418^el_lo</f>
        <v>263.7686983984</v>
      </c>
      <c r="K420" s="8" t="s">
        <v>552</v>
      </c>
    </row>
    <row r="421" customFormat="false" ht="17.15" hidden="false" customHeight="false" outlineLevel="0" collapsed="false">
      <c r="A421" s="0" t="s">
        <v>553</v>
      </c>
      <c r="B421" s="0" t="s">
        <v>120</v>
      </c>
      <c r="D421" s="22" t="n">
        <f aca="false">leap26-D422-D423</f>
        <v>3.6</v>
      </c>
      <c r="E421" s="22" t="n">
        <f aca="false">E417*E419*E420/1000</f>
        <v>6.64622596712982</v>
      </c>
      <c r="F421" s="22" t="n">
        <f aca="false">F417*F419*F420/1000</f>
        <v>8.03298930669906</v>
      </c>
      <c r="G421" s="22" t="n">
        <f aca="false">G417*G419*G420/1000</f>
        <v>9.54315150805411</v>
      </c>
      <c r="K421" s="8" t="s">
        <v>554</v>
      </c>
    </row>
    <row r="422" customFormat="false" ht="17.15" hidden="false" customHeight="false" outlineLevel="0" collapsed="false">
      <c r="A422" s="4" t="s">
        <v>555</v>
      </c>
      <c r="B422" s="0" t="s">
        <v>120</v>
      </c>
      <c r="D422" s="22" t="n">
        <f aca="false">fp26</f>
        <v>0.3</v>
      </c>
      <c r="E422" s="22" t="n">
        <f aca="false">fp27_A</f>
        <v>1.2</v>
      </c>
      <c r="F422" s="22" t="n">
        <f aca="false">E422*F417/E417*(1+fp_g)</f>
        <v>1.74430379746835</v>
      </c>
      <c r="G422" s="22" t="n">
        <f aca="false">F422*G417/F417*(1+fp_g)</f>
        <v>2.57992405063291</v>
      </c>
    </row>
    <row r="423" customFormat="false" ht="17.15" hidden="false" customHeight="false" outlineLevel="0" collapsed="false">
      <c r="A423" s="0" t="s">
        <v>556</v>
      </c>
      <c r="B423" s="0" t="s">
        <v>120</v>
      </c>
      <c r="D423" s="22" t="n">
        <f aca="false">cpo27*cpo_A_26/cpo_A_27</f>
        <v>0.1</v>
      </c>
      <c r="E423" s="22" t="n">
        <f aca="false">cpo27*cpo_A_27/cpo_A_27</f>
        <v>0.5</v>
      </c>
      <c r="F423" s="22" t="n">
        <f aca="false">cpo27*cpo_A_28/cpo_A_27*F417/E417</f>
        <v>1.11814345991561</v>
      </c>
      <c r="G423" s="22" t="n">
        <f aca="false">cpo27*cpo_A_29/cpo_A_27*G417/E417</f>
        <v>2.03544303797468</v>
      </c>
      <c r="K423" s="8" t="s">
        <v>557</v>
      </c>
    </row>
    <row r="424" customFormat="false" ht="17.15" hidden="false" customHeight="false" outlineLevel="0" collapsed="false">
      <c r="A424" s="0" t="s">
        <v>510</v>
      </c>
      <c r="B424" s="0" t="s">
        <v>120</v>
      </c>
      <c r="C424" s="22" t="n">
        <f aca="false">leap25</f>
        <v>1.6</v>
      </c>
      <c r="D424" s="22" t="n">
        <f aca="false">D421+D422+D423</f>
        <v>4</v>
      </c>
      <c r="E424" s="22" t="n">
        <f aca="false">E421+E422+E423</f>
        <v>8.34622596712982</v>
      </c>
      <c r="F424" s="22" t="n">
        <f aca="false">F421+F422+F423</f>
        <v>10.895436564083</v>
      </c>
      <c r="G424" s="22" t="n">
        <f aca="false">G421+G422+G423</f>
        <v>14.1585185966617</v>
      </c>
    </row>
    <row r="425" customFormat="false" ht="17.15" hidden="false" customHeight="false" outlineLevel="0" collapsed="false">
      <c r="A425" s="4" t="s">
        <v>558</v>
      </c>
      <c r="B425" s="0" t="s">
        <v>114</v>
      </c>
      <c r="C425" s="19" t="n">
        <f aca="false">fx25</f>
        <v>31</v>
      </c>
      <c r="D425" s="19" t="n">
        <f aca="false">a26_leap/D424</f>
        <v>31.9</v>
      </c>
      <c r="E425" s="19" t="n">
        <f aca="false">fx</f>
        <v>32</v>
      </c>
      <c r="F425" s="19" t="n">
        <f aca="false">fx</f>
        <v>32</v>
      </c>
      <c r="G425" s="19" t="n">
        <f aca="false">fx</f>
        <v>32</v>
      </c>
      <c r="K425" s="8" t="s">
        <v>559</v>
      </c>
    </row>
    <row r="426" customFormat="false" ht="17.15" hidden="false" customHeight="false" outlineLevel="0" collapsed="false">
      <c r="A426" s="6" t="s">
        <v>560</v>
      </c>
    </row>
    <row r="427" customFormat="false" ht="17.15" hidden="false" customHeight="false" outlineLevel="0" collapsed="false">
      <c r="A427" s="0" t="s">
        <v>438</v>
      </c>
      <c r="B427" s="0" t="s">
        <v>234</v>
      </c>
      <c r="C427" s="30" t="n">
        <f aca="false">a25_leap</f>
        <v>49.6</v>
      </c>
      <c r="D427" s="30" t="n">
        <f aca="false">a26_leap</f>
        <v>127.6</v>
      </c>
      <c r="E427" s="30" t="n">
        <f aca="false">E424*E425</f>
        <v>267.079230948154</v>
      </c>
      <c r="F427" s="30" t="n">
        <f aca="false">F424*F425</f>
        <v>348.653970050657</v>
      </c>
      <c r="G427" s="30" t="n">
        <f aca="false">G424*G425</f>
        <v>453.072595093175</v>
      </c>
    </row>
    <row r="428" customFormat="false" ht="15" hidden="false" customHeight="false" outlineLevel="0" collapsed="false">
      <c r="A428" s="4" t="s">
        <v>561</v>
      </c>
      <c r="B428" s="0" t="s">
        <v>234</v>
      </c>
      <c r="C428" s="30" t="n">
        <f aca="false">a25_ms</f>
        <v>339.628</v>
      </c>
      <c r="D428" s="30" t="n">
        <f aca="false">a26_ms</f>
        <v>432.1302</v>
      </c>
      <c r="E428" s="30" t="n">
        <f aca="false">D428*(1+g_ms27)</f>
        <v>496.94973</v>
      </c>
      <c r="F428" s="30" t="n">
        <f aca="false">E428*(1+g_msL)</f>
        <v>531.7362111</v>
      </c>
      <c r="G428" s="30" t="n">
        <f aca="false">F428*(1+g_msL)</f>
        <v>568.957745877</v>
      </c>
    </row>
    <row r="429" customFormat="false" ht="17.15" hidden="false" customHeight="false" outlineLevel="0" collapsed="false">
      <c r="A429" s="4" t="s">
        <v>562</v>
      </c>
      <c r="B429" s="0" t="s">
        <v>234</v>
      </c>
      <c r="C429" s="30" t="n">
        <f aca="false">C427+C428</f>
        <v>389.228</v>
      </c>
      <c r="D429" s="30" t="n">
        <f aca="false">D427+D428</f>
        <v>559.7302</v>
      </c>
      <c r="E429" s="30" t="n">
        <f aca="false">E427+E428</f>
        <v>764.028960948154</v>
      </c>
      <c r="F429" s="30" t="n">
        <f aca="false">F427+F428</f>
        <v>880.390181150657</v>
      </c>
      <c r="G429" s="30" t="n">
        <f aca="false">G427+G428</f>
        <v>1022.03034097017</v>
      </c>
    </row>
    <row r="430" customFormat="false" ht="17.15" hidden="false" customHeight="false" outlineLevel="0" collapsed="false">
      <c r="A430" s="0" t="s">
        <v>563</v>
      </c>
      <c r="B430" s="0" t="s">
        <v>234</v>
      </c>
      <c r="C430" s="30" t="n">
        <f aca="false">a25_ems</f>
        <v>259.079</v>
      </c>
      <c r="D430" s="30" t="n">
        <f aca="false">a26_ems</f>
        <v>314.602</v>
      </c>
      <c r="E430" s="30" t="n">
        <f aca="false">D430*(1+g_ems27)</f>
        <v>346.0622</v>
      </c>
      <c r="F430" s="30" t="n">
        <f aca="false">E430*(1+g_emsL)</f>
        <v>363.36531</v>
      </c>
      <c r="G430" s="30" t="n">
        <f aca="false">F430*(1+g_emsL)</f>
        <v>381.5335755</v>
      </c>
    </row>
    <row r="431" customFormat="false" ht="17.15" hidden="false" customHeight="false" outlineLevel="0" collapsed="false">
      <c r="A431" s="4" t="s">
        <v>564</v>
      </c>
      <c r="B431" s="0" t="s">
        <v>234</v>
      </c>
      <c r="C431" s="30" t="n">
        <f aca="false">a25_elim</f>
        <v>-2.91899999999998</v>
      </c>
      <c r="D431" s="30" t="n">
        <f aca="false">a26_elim</f>
        <v>-3.16484905982349</v>
      </c>
      <c r="E431" s="30" t="n">
        <f aca="false">$D431/($D429+$D430)*(E429+E430)</f>
        <v>-4.0182335353143</v>
      </c>
      <c r="F431" s="30" t="n">
        <f aca="false">$D431/($D429+$D430)*(F429+F430)</f>
        <v>-4.50206271348402</v>
      </c>
      <c r="G431" s="30" t="n">
        <f aca="false">$D431/($D429+$D430)*(G429+G430)</f>
        <v>-5.08052653378522</v>
      </c>
      <c r="K431" s="4" t="s">
        <v>565</v>
      </c>
    </row>
    <row r="432" customFormat="false" ht="17.15" hidden="false" customHeight="false" outlineLevel="0" collapsed="false">
      <c r="A432" s="4" t="s">
        <v>431</v>
      </c>
      <c r="B432" s="0" t="s">
        <v>234</v>
      </c>
      <c r="C432" s="30" t="n">
        <f aca="false">C429+C430+C431</f>
        <v>645.388</v>
      </c>
      <c r="D432" s="30" t="n">
        <f aca="false">D429+D430+D431</f>
        <v>871.167350940177</v>
      </c>
      <c r="E432" s="30" t="n">
        <f aca="false">E429+E430+E431</f>
        <v>1106.07292741284</v>
      </c>
      <c r="F432" s="30" t="n">
        <f aca="false">F429+F430+F431</f>
        <v>1239.25342843717</v>
      </c>
      <c r="G432" s="30" t="n">
        <f aca="false">G429+G430+G431</f>
        <v>1398.48338993639</v>
      </c>
      <c r="H432" s="31" t="n">
        <f aca="false">G432*(1+H433)</f>
        <v>1546.245857296</v>
      </c>
      <c r="I432" s="31" t="n">
        <f aca="false">H432*(1+I433)</f>
        <v>1674.32068982086</v>
      </c>
      <c r="J432" s="31" t="n">
        <f aca="false">I432*(1+J433)</f>
        <v>1774.77993121012</v>
      </c>
      <c r="K432" s="8" t="s">
        <v>566</v>
      </c>
    </row>
    <row r="433" customFormat="false" ht="15" hidden="false" customHeight="false" outlineLevel="0" collapsed="false">
      <c r="A433" s="4" t="s">
        <v>567</v>
      </c>
      <c r="B433" s="0" t="s">
        <v>76</v>
      </c>
      <c r="D433" s="21" t="n">
        <f aca="false">D432/C432-1</f>
        <v>0.349835061916516</v>
      </c>
      <c r="E433" s="21" t="n">
        <f aca="false">E432/D432-1</f>
        <v>0.269644605274922</v>
      </c>
      <c r="F433" s="21" t="n">
        <f aca="false">F432/E432-1</f>
        <v>0.120408426717259</v>
      </c>
      <c r="G433" s="21" t="n">
        <f aca="false">G432/F432-1</f>
        <v>0.128488618909873</v>
      </c>
      <c r="H433" s="26" t="n">
        <f aca="false">$G433+(fade_gA-$G433)*1/3</f>
        <v>0.105659079273248</v>
      </c>
      <c r="I433" s="26" t="n">
        <f aca="false">$G433+(fade_gA-$G433)*2/3</f>
        <v>0.0828295396366242</v>
      </c>
      <c r="J433" s="26" t="n">
        <f aca="false">$G433+(fade_gA-$G433)*3/3</f>
        <v>0.06</v>
      </c>
    </row>
    <row r="434" customFormat="false" ht="17.15" hidden="false" customHeight="false" outlineLevel="0" collapsed="false">
      <c r="A434" s="0" t="s">
        <v>475</v>
      </c>
      <c r="B434" s="0" t="s">
        <v>76</v>
      </c>
      <c r="C434" s="21" t="n">
        <f aca="false">C427/C429</f>
        <v>0.127431736668482</v>
      </c>
      <c r="D434" s="21" t="n">
        <f aca="false">D427/D429</f>
        <v>0.227966974088588</v>
      </c>
      <c r="E434" s="21" t="n">
        <f aca="false">E427/E429</f>
        <v>0.349566894187769</v>
      </c>
      <c r="F434" s="21" t="n">
        <f aca="false">F427/F429</f>
        <v>0.396022101921867</v>
      </c>
      <c r="G434" s="21" t="n">
        <f aca="false">G427/G429</f>
        <v>0.443306403861836</v>
      </c>
    </row>
    <row r="435" customFormat="false" ht="15" hidden="false" customHeight="false" outlineLevel="0" collapsed="false">
      <c r="A435" s="4" t="s">
        <v>568</v>
      </c>
      <c r="B435" s="0" t="s">
        <v>76</v>
      </c>
      <c r="D435" s="21" t="n">
        <f aca="false">D429/C429-1</f>
        <v>0.438052247012034</v>
      </c>
      <c r="E435" s="21" t="n">
        <f aca="false">E429/D429-1</f>
        <v>0.364995065387135</v>
      </c>
      <c r="F435" s="21" t="n">
        <f aca="false">F429/E429-1</f>
        <v>0.152299488828407</v>
      </c>
      <c r="G435" s="21" t="n">
        <f aca="false">G429/F429-1</f>
        <v>0.16088339335452</v>
      </c>
    </row>
    <row r="436" customFormat="false" ht="17.15" hidden="false" customHeight="false" outlineLevel="0" collapsed="false">
      <c r="A436" s="6" t="s">
        <v>569</v>
      </c>
    </row>
    <row r="437" customFormat="false" ht="17.15" hidden="false" customHeight="false" outlineLevel="0" collapsed="false">
      <c r="A437" s="4" t="s">
        <v>570</v>
      </c>
      <c r="B437" s="0" t="s">
        <v>120</v>
      </c>
      <c r="C437" s="19" t="n">
        <f aca="false">capex25</f>
        <v>5.5</v>
      </c>
      <c r="D437" s="19" t="n">
        <f aca="false">capex26</f>
        <v>11.5</v>
      </c>
      <c r="E437" s="19" t="n">
        <f aca="false">capex27</f>
        <v>13</v>
      </c>
      <c r="F437" s="19" t="n">
        <f aca="false">capi*F432/F425</f>
        <v>11.6180008915985</v>
      </c>
      <c r="G437" s="19" t="n">
        <f aca="false">capi*G432/G425</f>
        <v>13.1107817806537</v>
      </c>
      <c r="K437" s="8" t="s">
        <v>571</v>
      </c>
    </row>
    <row r="438" customFormat="false" ht="15" hidden="false" customHeight="false" outlineLevel="0" collapsed="false">
      <c r="A438" s="4" t="s">
        <v>572</v>
      </c>
      <c r="B438" s="0" t="s">
        <v>234</v>
      </c>
      <c r="C438" s="30" t="n">
        <f aca="false">C437*C425</f>
        <v>170.5</v>
      </c>
      <c r="D438" s="30" t="n">
        <f aca="false">D437*31.9</f>
        <v>366.85</v>
      </c>
      <c r="E438" s="30" t="n">
        <f aca="false">E437*E425</f>
        <v>416</v>
      </c>
      <c r="F438" s="30" t="n">
        <f aca="false">F437*F425</f>
        <v>371.776028531152</v>
      </c>
      <c r="G438" s="30" t="n">
        <f aca="false">G437*G425</f>
        <v>419.545016980917</v>
      </c>
    </row>
    <row r="439" customFormat="false" ht="17.15" hidden="false" customHeight="false" outlineLevel="0" collapsed="false">
      <c r="A439" s="4" t="s">
        <v>473</v>
      </c>
      <c r="B439" s="0" t="s">
        <v>76</v>
      </c>
      <c r="C439" s="21" t="n">
        <f aca="false">C438/C432</f>
        <v>0.264182166386732</v>
      </c>
      <c r="D439" s="21" t="n">
        <f aca="false">D438/D432</f>
        <v>0.421101639775745</v>
      </c>
      <c r="E439" s="21" t="n">
        <f aca="false">E438/E432</f>
        <v>0.376105399282346</v>
      </c>
      <c r="F439" s="21" t="n">
        <f aca="false">F438/F432</f>
        <v>0.3</v>
      </c>
      <c r="G439" s="21" t="n">
        <f aca="false">G438/G432</f>
        <v>0.3</v>
      </c>
    </row>
    <row r="440" customFormat="false" ht="17.15" hidden="false" customHeight="false" outlineLevel="0" collapsed="false">
      <c r="A440" s="4" t="s">
        <v>573</v>
      </c>
      <c r="B440" s="0" t="s">
        <v>234</v>
      </c>
      <c r="C440" s="30" t="n">
        <f aca="false">a25_da</f>
        <v>75.255</v>
      </c>
      <c r="D440" s="30" t="n">
        <f aca="false">a26_da</f>
        <v>97.124</v>
      </c>
      <c r="E440" s="30" t="n">
        <f aca="false">D440*(1-1/life)+D438/life</f>
        <v>130.83975</v>
      </c>
      <c r="F440" s="30" t="n">
        <f aca="false">E440*(1-1/life)+E438/life</f>
        <v>166.48478125</v>
      </c>
      <c r="G440" s="30" t="n">
        <f aca="false">F440*(1-1/life)+F438/life</f>
        <v>192.146187160144</v>
      </c>
      <c r="K440" s="4" t="s">
        <v>574</v>
      </c>
    </row>
    <row r="441" customFormat="false" ht="17.15" hidden="false" customHeight="false" outlineLevel="0" collapsed="false">
      <c r="A441" s="4" t="s">
        <v>575</v>
      </c>
      <c r="B441" s="0" t="s">
        <v>234</v>
      </c>
      <c r="C441" s="30" t="n">
        <f aca="false">a25_agp</f>
        <v>91.38</v>
      </c>
      <c r="D441" s="30" t="n">
        <f aca="false">a26_agp</f>
        <v>164.623388</v>
      </c>
      <c r="E441" s="30" t="n">
        <f aca="false">$D441+ft*(E429-$D429)-(E440-$D440)</f>
        <v>233.057018474077</v>
      </c>
      <c r="F441" s="30" t="n">
        <f aca="false">$D441+ft*(F429-$D429)-(F440-$D440)</f>
        <v>255.592597325328</v>
      </c>
      <c r="G441" s="30" t="n">
        <f aca="false">$D441+ft*(G429-$D429)-(G440-$D440)</f>
        <v>300.751271324943</v>
      </c>
      <c r="K441" s="4" t="s">
        <v>576</v>
      </c>
    </row>
    <row r="442" customFormat="false" ht="15" hidden="false" customHeight="false" outlineLevel="0" collapsed="false">
      <c r="A442" s="4" t="s">
        <v>447</v>
      </c>
      <c r="B442" s="0" t="s">
        <v>76</v>
      </c>
      <c r="C442" s="14" t="n">
        <f aca="false">C441/C429</f>
        <v>0.234772421305764</v>
      </c>
      <c r="D442" s="14" t="n">
        <f aca="false">D441/D429</f>
        <v>0.294112034690999</v>
      </c>
      <c r="E442" s="14" t="n">
        <f aca="false">E441/E429</f>
        <v>0.305036890466632</v>
      </c>
      <c r="F442" s="14" t="n">
        <f aca="false">F441/F429</f>
        <v>0.290317410163835</v>
      </c>
      <c r="G442" s="14" t="n">
        <f aca="false">G441/G429</f>
        <v>0.294268437314152</v>
      </c>
    </row>
    <row r="443" customFormat="false" ht="17.15" hidden="false" customHeight="false" outlineLevel="0" collapsed="false">
      <c r="A443" s="0" t="s">
        <v>449</v>
      </c>
      <c r="B443" s="0" t="s">
        <v>234</v>
      </c>
      <c r="C443" s="30" t="n">
        <f aca="false">a25_egp</f>
        <v>23.695</v>
      </c>
      <c r="D443" s="30" t="n">
        <f aca="false">a26_egp</f>
        <v>27.00552</v>
      </c>
      <c r="E443" s="30" t="n">
        <f aca="false">E430*ems_gm</f>
        <v>29.415287</v>
      </c>
      <c r="F443" s="30" t="n">
        <f aca="false">F430*ems_gm</f>
        <v>30.88605135</v>
      </c>
      <c r="G443" s="30" t="n">
        <f aca="false">G430*ems_gm</f>
        <v>32.4303539175</v>
      </c>
    </row>
    <row r="444" customFormat="false" ht="15" hidden="false" customHeight="false" outlineLevel="0" collapsed="false">
      <c r="A444" s="4" t="s">
        <v>577</v>
      </c>
      <c r="B444" s="0" t="s">
        <v>234</v>
      </c>
      <c r="C444" s="30" t="n">
        <f aca="false">a25_lgp</f>
        <v>-0.881999999999998</v>
      </c>
      <c r="D444" s="30" t="n">
        <f aca="false">a26_lgp</f>
        <v>-0.948662139013863</v>
      </c>
      <c r="E444" s="30" t="n">
        <f aca="false">$D444/$D431*E431</f>
        <v>-1.20446376702752</v>
      </c>
      <c r="F444" s="30" t="n">
        <f aca="false">$D444/$D431*F431</f>
        <v>-1.34949135425325</v>
      </c>
      <c r="G444" s="30" t="n">
        <f aca="false">$D444/$D431*G431</f>
        <v>-1.52288563459206</v>
      </c>
    </row>
    <row r="445" customFormat="false" ht="15" hidden="false" customHeight="false" outlineLevel="0" collapsed="false">
      <c r="A445" s="4" t="s">
        <v>451</v>
      </c>
      <c r="B445" s="0" t="s">
        <v>234</v>
      </c>
      <c r="C445" s="30" t="n">
        <f aca="false">C441+C443+C444</f>
        <v>114.193</v>
      </c>
      <c r="D445" s="30" t="n">
        <f aca="false">D441+D443+D444</f>
        <v>190.680245860986</v>
      </c>
      <c r="E445" s="30" t="n">
        <f aca="false">E441+E443+E444</f>
        <v>261.26784170705</v>
      </c>
      <c r="F445" s="30" t="n">
        <f aca="false">F441+F443+F444</f>
        <v>285.129157321075</v>
      </c>
      <c r="G445" s="30" t="n">
        <f aca="false">G441+G443+G444</f>
        <v>331.658739607851</v>
      </c>
    </row>
    <row r="446" customFormat="false" ht="15" hidden="false" customHeight="false" outlineLevel="0" collapsed="false">
      <c r="A446" s="4" t="s">
        <v>452</v>
      </c>
      <c r="B446" s="0" t="s">
        <v>76</v>
      </c>
      <c r="C446" s="14" t="n">
        <f aca="false">C445/C432</f>
        <v>0.176936974347214</v>
      </c>
      <c r="D446" s="14" t="n">
        <f aca="false">D445/D432</f>
        <v>0.218879008327391</v>
      </c>
      <c r="E446" s="14" t="n">
        <f aca="false">E445/E432</f>
        <v>0.236212129627084</v>
      </c>
      <c r="F446" s="14" t="n">
        <f aca="false">F445/F432</f>
        <v>0.230081394796424</v>
      </c>
      <c r="G446" s="14" t="n">
        <f aca="false">G445/G432</f>
        <v>0.237156009141401</v>
      </c>
    </row>
    <row r="447" customFormat="false" ht="15" hidden="false" customHeight="false" outlineLevel="0" collapsed="false">
      <c r="A447" s="4" t="s">
        <v>578</v>
      </c>
      <c r="B447" s="0" t="s">
        <v>234</v>
      </c>
      <c r="C447" s="30" t="n">
        <f aca="false">a25_opx</f>
        <v>63.437</v>
      </c>
      <c r="D447" s="30" t="n">
        <f aca="false">a26_opx</f>
        <v>79.658</v>
      </c>
      <c r="E447" s="30" t="n">
        <f aca="false">D447*(1+phi*E433)</f>
        <v>92.5456099801938</v>
      </c>
      <c r="F447" s="30" t="n">
        <f aca="false">E447*(1+phi*F433)</f>
        <v>99.2315727585763</v>
      </c>
      <c r="G447" s="30" t="n">
        <f aca="false">F447*(1+phi*G433)</f>
        <v>106.881649400179</v>
      </c>
    </row>
    <row r="448" customFormat="false" ht="15" hidden="false" customHeight="false" outlineLevel="0" collapsed="false">
      <c r="A448" s="4" t="s">
        <v>455</v>
      </c>
      <c r="B448" s="0" t="s">
        <v>234</v>
      </c>
      <c r="C448" s="30" t="n">
        <f aca="false">C445-C447</f>
        <v>50.756</v>
      </c>
      <c r="D448" s="30" t="n">
        <f aca="false">D445-D447</f>
        <v>111.022245860986</v>
      </c>
      <c r="E448" s="30" t="n">
        <f aca="false">E445-E447</f>
        <v>168.722231726856</v>
      </c>
      <c r="F448" s="30" t="n">
        <f aca="false">F445-F447</f>
        <v>185.897584562499</v>
      </c>
      <c r="G448" s="30" t="n">
        <f aca="false">G445-G447</f>
        <v>224.777090207673</v>
      </c>
    </row>
    <row r="449" customFormat="false" ht="15" hidden="false" customHeight="false" outlineLevel="0" collapsed="false">
      <c r="A449" s="4" t="s">
        <v>537</v>
      </c>
      <c r="B449" s="0" t="s">
        <v>76</v>
      </c>
      <c r="C449" s="14" t="n">
        <f aca="false">C448/C432</f>
        <v>0.0786441644406156</v>
      </c>
      <c r="D449" s="14" t="n">
        <f aca="false">D448/D432</f>
        <v>0.127440779020437</v>
      </c>
      <c r="E449" s="14" t="n">
        <f aca="false">E448/E432</f>
        <v>0.152541688296725</v>
      </c>
      <c r="F449" s="14" t="n">
        <f aca="false">F448/F432</f>
        <v>0.150007722630984</v>
      </c>
      <c r="G449" s="14" t="n">
        <f aca="false">G448/G432</f>
        <v>0.1607291812153</v>
      </c>
    </row>
    <row r="450" customFormat="false" ht="15" hidden="false" customHeight="false" outlineLevel="0" collapsed="false">
      <c r="A450" s="4" t="s">
        <v>456</v>
      </c>
      <c r="B450" s="0" t="s">
        <v>234</v>
      </c>
      <c r="C450" s="30" t="n">
        <f aca="false">a25_nonop</f>
        <v>0.545</v>
      </c>
      <c r="D450" s="30" t="n">
        <f aca="false">a26_nonop</f>
        <v>4.302</v>
      </c>
      <c r="E450" s="30" t="n">
        <f aca="false">nonop_f</f>
        <v>-5</v>
      </c>
      <c r="F450" s="30" t="n">
        <f aca="false">nonop_f</f>
        <v>-5</v>
      </c>
      <c r="G450" s="30" t="n">
        <f aca="false">nonop_f</f>
        <v>-5</v>
      </c>
    </row>
    <row r="451" customFormat="false" ht="15" hidden="false" customHeight="false" outlineLevel="0" collapsed="false">
      <c r="A451" s="4" t="s">
        <v>459</v>
      </c>
      <c r="B451" s="0" t="s">
        <v>234</v>
      </c>
      <c r="C451" s="30" t="n">
        <f aca="false">C448+C450</f>
        <v>51.301</v>
      </c>
      <c r="D451" s="30" t="n">
        <f aca="false">D448+D450</f>
        <v>115.324245860986</v>
      </c>
      <c r="E451" s="30" t="n">
        <f aca="false">E448+E450</f>
        <v>163.722231726856</v>
      </c>
      <c r="F451" s="30" t="n">
        <f aca="false">F448+F450</f>
        <v>180.897584562499</v>
      </c>
      <c r="G451" s="30" t="n">
        <f aca="false">G448+G450</f>
        <v>219.777090207673</v>
      </c>
    </row>
    <row r="452" customFormat="false" ht="15" hidden="false" customHeight="false" outlineLevel="0" collapsed="false">
      <c r="A452" s="4" t="s">
        <v>460</v>
      </c>
      <c r="B452" s="0" t="s">
        <v>234</v>
      </c>
      <c r="C452" s="30" t="n">
        <f aca="false">a25_tax</f>
        <v>9.461</v>
      </c>
      <c r="D452" s="30" t="n">
        <f aca="false">a26_tax</f>
        <v>19.2197317963676</v>
      </c>
      <c r="E452" s="30" t="n">
        <f aca="false">E451*tax</f>
        <v>27.8327793935655</v>
      </c>
      <c r="F452" s="30" t="n">
        <f aca="false">F451*tax</f>
        <v>30.7525893756248</v>
      </c>
      <c r="G452" s="30" t="n">
        <f aca="false">G451*tax</f>
        <v>37.3621053353044</v>
      </c>
    </row>
    <row r="453" customFormat="false" ht="15" hidden="false" customHeight="false" outlineLevel="0" collapsed="false">
      <c r="A453" s="4" t="s">
        <v>461</v>
      </c>
      <c r="B453" s="0" t="s">
        <v>234</v>
      </c>
      <c r="C453" s="30" t="n">
        <f aca="false">a25_nci</f>
        <v>1.182</v>
      </c>
      <c r="D453" s="30" t="n">
        <f aca="false">a26_nci</f>
        <v>2.543</v>
      </c>
      <c r="E453" s="30" t="n">
        <f aca="false">nci</f>
        <v>3</v>
      </c>
      <c r="F453" s="30" t="n">
        <f aca="false">nci</f>
        <v>3</v>
      </c>
      <c r="G453" s="30" t="n">
        <f aca="false">nci</f>
        <v>3</v>
      </c>
    </row>
    <row r="454" customFormat="false" ht="15" hidden="false" customHeight="false" outlineLevel="0" collapsed="false">
      <c r="A454" s="4" t="s">
        <v>462</v>
      </c>
      <c r="B454" s="0" t="s">
        <v>234</v>
      </c>
      <c r="C454" s="30" t="n">
        <f aca="false">C451-C452-C453</f>
        <v>40.658</v>
      </c>
      <c r="D454" s="30" t="n">
        <f aca="false">D451-D452-D453</f>
        <v>93.5615140646185</v>
      </c>
      <c r="E454" s="30" t="n">
        <f aca="false">E451-E452-E453</f>
        <v>132.88945233329</v>
      </c>
      <c r="F454" s="30" t="n">
        <f aca="false">F451-F452-F453</f>
        <v>147.144995186874</v>
      </c>
      <c r="G454" s="30" t="n">
        <f aca="false">G451-G452-G453</f>
        <v>179.414984872368</v>
      </c>
      <c r="H454" s="31" t="n">
        <f aca="false">H432*H458</f>
        <v>200.182613337485</v>
      </c>
      <c r="I454" s="31" t="n">
        <f aca="false">I432*I458</f>
        <v>218.724441655975</v>
      </c>
      <c r="J454" s="31" t="n">
        <f aca="false">J432*J458</f>
        <v>233.926350444574</v>
      </c>
    </row>
    <row r="455" customFormat="false" ht="15" hidden="false" customHeight="false" outlineLevel="0" collapsed="false">
      <c r="A455" s="4" t="s">
        <v>579</v>
      </c>
      <c r="B455" s="4" t="s">
        <v>580</v>
      </c>
      <c r="C455" s="18" t="n">
        <f aca="false">a25_sh</f>
        <v>4339.16755602988</v>
      </c>
      <c r="D455" s="18" t="n">
        <f aca="false">a26_sh</f>
        <v>4392.90105184664</v>
      </c>
      <c r="E455" s="18" t="n">
        <f aca="false">D455*(1+sh_g)</f>
        <v>4414.86555710588</v>
      </c>
      <c r="F455" s="18" t="n">
        <f aca="false">E455*(1+sh_g)</f>
        <v>4436.9398848914</v>
      </c>
      <c r="G455" s="18" t="n">
        <f aca="false">F455*(1+sh_g)</f>
        <v>4459.12458431586</v>
      </c>
      <c r="H455" s="25" t="n">
        <f aca="false">G455*(1+sh_g)</f>
        <v>4481.42020723744</v>
      </c>
      <c r="I455" s="25" t="n">
        <f aca="false">H455*(1+sh_g)</f>
        <v>4503.82730827363</v>
      </c>
      <c r="J455" s="25" t="n">
        <f aca="false">I455*(1+sh_g)</f>
        <v>4526.34644481499</v>
      </c>
    </row>
    <row r="456" customFormat="false" ht="17.15" hidden="false" customHeight="false" outlineLevel="0" collapsed="false">
      <c r="A456" s="0" t="s">
        <v>465</v>
      </c>
      <c r="B456" s="0" t="s">
        <v>304</v>
      </c>
      <c r="C456" s="19" t="n">
        <f aca="false">a25_eps</f>
        <v>9.37</v>
      </c>
      <c r="D456" s="19" t="n">
        <f aca="false">a26_eps</f>
        <v>21.2828697294455</v>
      </c>
      <c r="E456" s="19" t="n">
        <f aca="false">E454/E455*1000</f>
        <v>30.1004528030078</v>
      </c>
      <c r="F456" s="19" t="n">
        <f aca="false">F454/F455*1000</f>
        <v>33.1636215509545</v>
      </c>
      <c r="G456" s="19" t="n">
        <f aca="false">G454/G455*1000</f>
        <v>40.2354725641502</v>
      </c>
      <c r="H456" s="28" t="n">
        <f aca="false">H454/H455*1000</f>
        <v>44.6694583592479</v>
      </c>
      <c r="I456" s="28" t="n">
        <f aca="false">I454/I455*1000</f>
        <v>48.5641270601503</v>
      </c>
      <c r="J456" s="28" t="n">
        <f aca="false">J454/J455*1000</f>
        <v>51.6810529853587</v>
      </c>
    </row>
    <row r="457" customFormat="false" ht="17.15" hidden="false" customHeight="false" outlineLevel="0" collapsed="false">
      <c r="A457" s="0" t="s">
        <v>581</v>
      </c>
      <c r="B457" s="0" t="s">
        <v>76</v>
      </c>
      <c r="D457" s="21" t="n">
        <f aca="false">D456/C456-1</f>
        <v>1.27138417603474</v>
      </c>
      <c r="E457" s="21" t="n">
        <f aca="false">E456/D456-1</f>
        <v>0.414304235549725</v>
      </c>
      <c r="F457" s="21" t="n">
        <f aca="false">F456/E456-1</f>
        <v>0.101764872707847</v>
      </c>
      <c r="G457" s="21" t="n">
        <f aca="false">G456/F456-1</f>
        <v>0.21324121680529</v>
      </c>
      <c r="H457" s="26" t="n">
        <f aca="false">H456/G456-1</f>
        <v>0.110200912590956</v>
      </c>
      <c r="I457" s="26" t="n">
        <f aca="false">I456/H456-1</f>
        <v>0.0871886260536252</v>
      </c>
      <c r="J457" s="26" t="n">
        <f aca="false">J456/I456-1</f>
        <v>0.0641816524643339</v>
      </c>
    </row>
    <row r="458" customFormat="false" ht="17.15" hidden="false" customHeight="false" outlineLevel="0" collapsed="false">
      <c r="A458" s="4" t="s">
        <v>582</v>
      </c>
      <c r="B458" s="0" t="s">
        <v>76</v>
      </c>
      <c r="C458" s="14" t="n">
        <f aca="false">C454/C432</f>
        <v>0.0629977625862272</v>
      </c>
      <c r="D458" s="14" t="n">
        <f aca="false">D454/D432</f>
        <v>0.107397865592237</v>
      </c>
      <c r="E458" s="14" t="n">
        <f aca="false">E454/E432</f>
        <v>0.120145289736117</v>
      </c>
      <c r="F458" s="14" t="n">
        <f aca="false">F454/F432</f>
        <v>0.118736807024564</v>
      </c>
      <c r="G458" s="14" t="n">
        <f aca="false">G454/G432</f>
        <v>0.128292539020094</v>
      </c>
      <c r="H458" s="27" t="n">
        <f aca="false">$G458+(fade_mA-$G458)*1/3</f>
        <v>0.129463637618118</v>
      </c>
      <c r="I458" s="27" t="n">
        <f aca="false">$G458+(fade_mA-$G458)*2/3</f>
        <v>0.130634736216141</v>
      </c>
      <c r="J458" s="27" t="n">
        <f aca="false">$G458+(fade_mA-$G458)*3/3</f>
        <v>0.131805834814164</v>
      </c>
    </row>
    <row r="459" customFormat="false" ht="17.15" hidden="false" customHeight="false" outlineLevel="0" collapsed="false">
      <c r="A459" s="4" t="s">
        <v>583</v>
      </c>
      <c r="B459" s="0" t="s">
        <v>234</v>
      </c>
      <c r="C459" s="30" t="n">
        <f aca="false">C454+C440-C438</f>
        <v>-54.587</v>
      </c>
      <c r="D459" s="30" t="n">
        <f aca="false">D454+D440-D438</f>
        <v>-176.164485935382</v>
      </c>
      <c r="E459" s="30" t="n">
        <f aca="false">E454+E440-E438</f>
        <v>-152.27079766671</v>
      </c>
      <c r="F459" s="30" t="n">
        <f aca="false">F454+F440-F438</f>
        <v>-58.1462520942777</v>
      </c>
      <c r="G459" s="30" t="n">
        <f aca="false">G454+G440-G438</f>
        <v>-47.9838449484047</v>
      </c>
      <c r="K459" s="4" t="s">
        <v>584</v>
      </c>
    </row>
    <row r="460" customFormat="false" ht="17.15" hidden="false" customHeight="false" outlineLevel="0" collapsed="false">
      <c r="A460" s="4" t="s">
        <v>585</v>
      </c>
      <c r="B460" s="0" t="s">
        <v>76</v>
      </c>
      <c r="D460" s="21" t="n">
        <f aca="false">(D448-$C448)/SUM($D438:D438)</f>
        <v>0.164280348537512</v>
      </c>
      <c r="E460" s="21" t="n">
        <f aca="false">(E448-$C448)/SUM($D438:E438)</f>
        <v>0.15068816724386</v>
      </c>
      <c r="F460" s="21" t="n">
        <f aca="false">(F448-$C448)/SUM($D438:F438)</f>
        <v>0.117043597860355</v>
      </c>
      <c r="G460" s="21" t="n">
        <f aca="false">(G448-$C448)/SUM($D438:G438)</f>
        <v>0.110547764617958</v>
      </c>
      <c r="K460" s="4" t="s">
        <v>586</v>
      </c>
    </row>
    <row r="463" customFormat="false" ht="17.15" hidden="false" customHeight="false" outlineLevel="0" collapsed="false">
      <c r="A463" s="1" t="s">
        <v>923</v>
      </c>
    </row>
    <row r="464" customFormat="false" ht="17.15" hidden="false" customHeight="false" outlineLevel="0" collapsed="false">
      <c r="A464" s="5" t="s">
        <v>21</v>
      </c>
      <c r="B464" s="5" t="s">
        <v>22</v>
      </c>
      <c r="C464" s="15" t="s">
        <v>424</v>
      </c>
      <c r="D464" s="15" t="s">
        <v>524</v>
      </c>
      <c r="E464" s="15" t="s">
        <v>525</v>
      </c>
      <c r="F464" s="15" t="s">
        <v>526</v>
      </c>
      <c r="G464" s="15" t="s">
        <v>527</v>
      </c>
      <c r="H464" s="15" t="s">
        <v>528</v>
      </c>
      <c r="I464" s="15" t="s">
        <v>529</v>
      </c>
      <c r="J464" s="15" t="s">
        <v>530</v>
      </c>
      <c r="K464" s="5" t="s">
        <v>382</v>
      </c>
    </row>
    <row r="465" customFormat="false" ht="17.15" hidden="false" customHeight="false" outlineLevel="0" collapsed="false">
      <c r="A465" s="6" t="s">
        <v>548</v>
      </c>
    </row>
    <row r="466" customFormat="false" ht="17.15" hidden="false" customHeight="false" outlineLevel="0" collapsed="false">
      <c r="A466" s="0" t="s">
        <v>549</v>
      </c>
      <c r="B466" s="4" t="s">
        <v>32</v>
      </c>
      <c r="D466" s="19" t="n">
        <f aca="false">units_26</f>
        <v>15.2</v>
      </c>
      <c r="E466" s="19" t="n">
        <f aca="false">units_27*1</f>
        <v>23.7</v>
      </c>
      <c r="F466" s="19" t="n">
        <f aca="false">units_28*um28_B*1</f>
        <v>21.2</v>
      </c>
      <c r="G466" s="19" t="n">
        <f aca="false">units_29*um29_B*1</f>
        <v>25.6275</v>
      </c>
    </row>
    <row r="467" customFormat="false" ht="17.15" hidden="false" customHeight="false" outlineLevel="0" collapsed="false">
      <c r="A467" s="4" t="s">
        <v>497</v>
      </c>
      <c r="B467" s="0" t="s">
        <v>45</v>
      </c>
      <c r="D467" s="22" t="n">
        <f aca="false">ar_26</f>
        <v>1</v>
      </c>
      <c r="E467" s="22" t="n">
        <f aca="false">ar_27</f>
        <v>1.278156</v>
      </c>
      <c r="F467" s="22" t="n">
        <f aca="false">ar_28</f>
        <v>1.428615</v>
      </c>
      <c r="G467" s="22" t="n">
        <f aca="false">ar_29</f>
        <v>1.431796</v>
      </c>
    </row>
    <row r="468" customFormat="false" ht="17.15" hidden="false" customHeight="false" outlineLevel="0" collapsed="false">
      <c r="A468" s="4" t="s">
        <v>550</v>
      </c>
      <c r="B468" s="0" t="s">
        <v>45</v>
      </c>
      <c r="D468" s="19" t="n">
        <f aca="false">1</f>
        <v>1</v>
      </c>
      <c r="E468" s="19" t="n">
        <f aca="false">rel27_B</f>
        <v>1.05</v>
      </c>
      <c r="F468" s="19" t="n">
        <f aca="false">rel28_B</f>
        <v>1.08</v>
      </c>
      <c r="G468" s="19" t="n">
        <f aca="false">rel29_B</f>
        <v>1.1</v>
      </c>
    </row>
    <row r="469" customFormat="false" ht="17.15" hidden="false" customHeight="false" outlineLevel="0" collapsed="false">
      <c r="A469" s="4" t="s">
        <v>551</v>
      </c>
      <c r="B469" s="0" t="s">
        <v>502</v>
      </c>
      <c r="D469" s="23" t="n">
        <f aca="false">D470*1000/D466</f>
        <v>236.842105263158</v>
      </c>
      <c r="E469" s="23" t="n">
        <f aca="false">$D469*E467^el_lo</f>
        <v>254.937704914838</v>
      </c>
      <c r="F469" s="23" t="n">
        <f aca="false">$D469*F467^el_lo</f>
        <v>263.592758218181</v>
      </c>
      <c r="G469" s="23" t="n">
        <f aca="false">$D469*G467^el_lo</f>
        <v>263.7686983984</v>
      </c>
      <c r="K469" s="8" t="s">
        <v>552</v>
      </c>
    </row>
    <row r="470" customFormat="false" ht="17.15" hidden="false" customHeight="false" outlineLevel="0" collapsed="false">
      <c r="A470" s="0" t="s">
        <v>553</v>
      </c>
      <c r="B470" s="0" t="s">
        <v>120</v>
      </c>
      <c r="D470" s="22" t="n">
        <f aca="false">leap26-D471-D472</f>
        <v>3.6</v>
      </c>
      <c r="E470" s="22" t="n">
        <f aca="false">E466*E468*E469/1000</f>
        <v>6.34412478680574</v>
      </c>
      <c r="F470" s="22" t="n">
        <f aca="false">F466*F468*F469/1000</f>
        <v>6.03521979216347</v>
      </c>
      <c r="G470" s="22" t="n">
        <f aca="false">G466*G468*G469/1000</f>
        <v>7.4357055500255</v>
      </c>
      <c r="K470" s="8" t="s">
        <v>554</v>
      </c>
    </row>
    <row r="471" customFormat="false" ht="17.15" hidden="false" customHeight="false" outlineLevel="0" collapsed="false">
      <c r="A471" s="4" t="s">
        <v>555</v>
      </c>
      <c r="B471" s="0" t="s">
        <v>120</v>
      </c>
      <c r="D471" s="22" t="n">
        <f aca="false">fp26</f>
        <v>0.3</v>
      </c>
      <c r="E471" s="22" t="n">
        <f aca="false">fp27_B</f>
        <v>1</v>
      </c>
      <c r="F471" s="22" t="n">
        <f aca="false">E471*F466/E466*(1+fp_g)</f>
        <v>1.16286919831224</v>
      </c>
      <c r="G471" s="22" t="n">
        <f aca="false">F471*G466/F466*(1+fp_g)</f>
        <v>1.82744620253165</v>
      </c>
    </row>
    <row r="472" customFormat="false" ht="17.15" hidden="false" customHeight="false" outlineLevel="0" collapsed="false">
      <c r="A472" s="0" t="s">
        <v>556</v>
      </c>
      <c r="B472" s="0" t="s">
        <v>120</v>
      </c>
      <c r="D472" s="22" t="n">
        <f aca="false">cpo27*cpo_B_26/cpo_A_27</f>
        <v>0.1</v>
      </c>
      <c r="E472" s="22" t="n">
        <f aca="false">cpo27*cpo_B_27/cpo_A_27</f>
        <v>0.3</v>
      </c>
      <c r="F472" s="22" t="n">
        <f aca="false">cpo27*cpo_B_28/cpo_A_27*F466/E466</f>
        <v>0.447257383966245</v>
      </c>
      <c r="G472" s="22" t="n">
        <f aca="false">cpo27*cpo_B_29/cpo_A_27*G466/E466</f>
        <v>0.86506329113924</v>
      </c>
      <c r="K472" s="8" t="s">
        <v>557</v>
      </c>
    </row>
    <row r="473" customFormat="false" ht="17.15" hidden="false" customHeight="false" outlineLevel="0" collapsed="false">
      <c r="A473" s="0" t="s">
        <v>510</v>
      </c>
      <c r="B473" s="0" t="s">
        <v>120</v>
      </c>
      <c r="C473" s="22" t="n">
        <f aca="false">leap25</f>
        <v>1.6</v>
      </c>
      <c r="D473" s="22" t="n">
        <f aca="false">D470+D471+D472</f>
        <v>4</v>
      </c>
      <c r="E473" s="22" t="n">
        <f aca="false">E470+E471+E472</f>
        <v>7.64412478680574</v>
      </c>
      <c r="F473" s="22" t="n">
        <f aca="false">F470+F471+F472</f>
        <v>7.64534637444195</v>
      </c>
      <c r="G473" s="22" t="n">
        <f aca="false">G470+G471+G472</f>
        <v>10.1282150436964</v>
      </c>
    </row>
    <row r="474" customFormat="false" ht="17.15" hidden="false" customHeight="false" outlineLevel="0" collapsed="false">
      <c r="A474" s="4" t="s">
        <v>558</v>
      </c>
      <c r="B474" s="0" t="s">
        <v>114</v>
      </c>
      <c r="C474" s="19" t="n">
        <f aca="false">fx25</f>
        <v>31</v>
      </c>
      <c r="D474" s="19" t="n">
        <f aca="false">a26_leap/D473</f>
        <v>31.9</v>
      </c>
      <c r="E474" s="19" t="n">
        <f aca="false">fx</f>
        <v>32</v>
      </c>
      <c r="F474" s="19" t="n">
        <f aca="false">fx</f>
        <v>32</v>
      </c>
      <c r="G474" s="19" t="n">
        <f aca="false">fx</f>
        <v>32</v>
      </c>
      <c r="K474" s="8" t="s">
        <v>559</v>
      </c>
    </row>
    <row r="475" customFormat="false" ht="17.15" hidden="false" customHeight="false" outlineLevel="0" collapsed="false">
      <c r="A475" s="6" t="s">
        <v>560</v>
      </c>
    </row>
    <row r="476" customFormat="false" ht="17.15" hidden="false" customHeight="false" outlineLevel="0" collapsed="false">
      <c r="A476" s="0" t="s">
        <v>438</v>
      </c>
      <c r="B476" s="0" t="s">
        <v>234</v>
      </c>
      <c r="C476" s="30" t="n">
        <f aca="false">a25_leap</f>
        <v>49.6</v>
      </c>
      <c r="D476" s="30" t="n">
        <f aca="false">a26_leap</f>
        <v>127.6</v>
      </c>
      <c r="E476" s="30" t="n">
        <f aca="false">E473*E474</f>
        <v>244.611993177784</v>
      </c>
      <c r="F476" s="30" t="n">
        <f aca="false">F473*F474</f>
        <v>244.651083982142</v>
      </c>
      <c r="G476" s="30" t="n">
        <f aca="false">G473*G474</f>
        <v>324.102881398284</v>
      </c>
    </row>
    <row r="477" customFormat="false" ht="15" hidden="false" customHeight="false" outlineLevel="0" collapsed="false">
      <c r="A477" s="4" t="s">
        <v>561</v>
      </c>
      <c r="B477" s="0" t="s">
        <v>234</v>
      </c>
      <c r="C477" s="30" t="n">
        <f aca="false">a25_ms</f>
        <v>339.628</v>
      </c>
      <c r="D477" s="30" t="n">
        <f aca="false">a26_ms</f>
        <v>432.1302</v>
      </c>
      <c r="E477" s="30" t="n">
        <f aca="false">D477*(1+g_ms27)</f>
        <v>496.94973</v>
      </c>
      <c r="F477" s="30" t="n">
        <f aca="false">E477*(1+g_msL)</f>
        <v>531.7362111</v>
      </c>
      <c r="G477" s="30" t="n">
        <f aca="false">F477*(1+g_msL)</f>
        <v>568.957745877</v>
      </c>
    </row>
    <row r="478" customFormat="false" ht="17.15" hidden="false" customHeight="false" outlineLevel="0" collapsed="false">
      <c r="A478" s="4" t="s">
        <v>562</v>
      </c>
      <c r="B478" s="0" t="s">
        <v>234</v>
      </c>
      <c r="C478" s="30" t="n">
        <f aca="false">C476+C477</f>
        <v>389.228</v>
      </c>
      <c r="D478" s="30" t="n">
        <f aca="false">D476+D477</f>
        <v>559.7302</v>
      </c>
      <c r="E478" s="30" t="n">
        <f aca="false">E476+E477</f>
        <v>741.561723177784</v>
      </c>
      <c r="F478" s="30" t="n">
        <f aca="false">F476+F477</f>
        <v>776.387295082142</v>
      </c>
      <c r="G478" s="30" t="n">
        <f aca="false">G476+G477</f>
        <v>893.060627275284</v>
      </c>
    </row>
    <row r="479" customFormat="false" ht="17.15" hidden="false" customHeight="false" outlineLevel="0" collapsed="false">
      <c r="A479" s="0" t="s">
        <v>563</v>
      </c>
      <c r="B479" s="0" t="s">
        <v>234</v>
      </c>
      <c r="C479" s="30" t="n">
        <f aca="false">a25_ems</f>
        <v>259.079</v>
      </c>
      <c r="D479" s="30" t="n">
        <f aca="false">a26_ems</f>
        <v>314.602</v>
      </c>
      <c r="E479" s="30" t="n">
        <f aca="false">D479*(1+g_ems27)</f>
        <v>346.0622</v>
      </c>
      <c r="F479" s="30" t="n">
        <f aca="false">E479*(1+g_emsL)</f>
        <v>363.36531</v>
      </c>
      <c r="G479" s="30" t="n">
        <f aca="false">F479*(1+g_emsL)</f>
        <v>381.5335755</v>
      </c>
    </row>
    <row r="480" customFormat="false" ht="17.15" hidden="false" customHeight="false" outlineLevel="0" collapsed="false">
      <c r="A480" s="4" t="s">
        <v>564</v>
      </c>
      <c r="B480" s="0" t="s">
        <v>234</v>
      </c>
      <c r="C480" s="30" t="n">
        <f aca="false">a25_elim</f>
        <v>-2.91899999999998</v>
      </c>
      <c r="D480" s="30" t="n">
        <f aca="false">a26_elim</f>
        <v>-3.16484905982349</v>
      </c>
      <c r="E480" s="30" t="n">
        <f aca="false">$D480/($D478+$D479)*(E478+E479)</f>
        <v>-3.93690813481505</v>
      </c>
      <c r="F480" s="30" t="n">
        <f aca="false">$D480/($D478+$D479)*(F478+F479)</f>
        <v>-4.12560004152379</v>
      </c>
      <c r="G480" s="30" t="n">
        <f aca="false">$D480/($D478+$D479)*(G478+G479)</f>
        <v>-4.61369061360182</v>
      </c>
      <c r="K480" s="4" t="s">
        <v>565</v>
      </c>
    </row>
    <row r="481" customFormat="false" ht="17.15" hidden="false" customHeight="false" outlineLevel="0" collapsed="false">
      <c r="A481" s="4" t="s">
        <v>431</v>
      </c>
      <c r="B481" s="0" t="s">
        <v>234</v>
      </c>
      <c r="C481" s="30" t="n">
        <f aca="false">C478+C479+C480</f>
        <v>645.388</v>
      </c>
      <c r="D481" s="30" t="n">
        <f aca="false">D478+D479+D480</f>
        <v>871.167350940177</v>
      </c>
      <c r="E481" s="30" t="n">
        <f aca="false">E478+E479+E480</f>
        <v>1083.68701504297</v>
      </c>
      <c r="F481" s="30" t="n">
        <f aca="false">F478+F479+F480</f>
        <v>1135.62700504062</v>
      </c>
      <c r="G481" s="30" t="n">
        <f aca="false">G478+G479+G480</f>
        <v>1269.98051216168</v>
      </c>
      <c r="H481" s="31" t="n">
        <f aca="false">G481*(1+H482)</f>
        <v>1387.07930029586</v>
      </c>
      <c r="I481" s="31" t="n">
        <f aca="false">H481*(1+I482)</f>
        <v>1478.7688380834</v>
      </c>
      <c r="J481" s="31" t="n">
        <f aca="false">I481*(1+J482)</f>
        <v>1537.91959160674</v>
      </c>
      <c r="K481" s="8" t="s">
        <v>566</v>
      </c>
    </row>
    <row r="482" customFormat="false" ht="15" hidden="false" customHeight="false" outlineLevel="0" collapsed="false">
      <c r="A482" s="4" t="s">
        <v>567</v>
      </c>
      <c r="B482" s="0" t="s">
        <v>76</v>
      </c>
      <c r="D482" s="21" t="n">
        <f aca="false">D481/C481-1</f>
        <v>0.349835061916516</v>
      </c>
      <c r="E482" s="21" t="n">
        <f aca="false">E481/D481-1</f>
        <v>0.243948150574557</v>
      </c>
      <c r="F482" s="21" t="n">
        <f aca="false">F481/E481-1</f>
        <v>0.0479289585246074</v>
      </c>
      <c r="G482" s="21" t="n">
        <f aca="false">G481/F481-1</f>
        <v>0.118307777575489</v>
      </c>
      <c r="H482" s="26" t="n">
        <f aca="false">$G482+(fade_gB-$G482)*1/3</f>
        <v>0.0922051850503257</v>
      </c>
      <c r="I482" s="26" t="n">
        <f aca="false">$G482+(fade_gB-$G482)*2/3</f>
        <v>0.0661025925251629</v>
      </c>
      <c r="J482" s="26" t="n">
        <f aca="false">$G482+(fade_gB-$G482)*3/3</f>
        <v>0.04</v>
      </c>
    </row>
    <row r="483" customFormat="false" ht="17.15" hidden="false" customHeight="false" outlineLevel="0" collapsed="false">
      <c r="A483" s="0" t="s">
        <v>475</v>
      </c>
      <c r="B483" s="0" t="s">
        <v>76</v>
      </c>
      <c r="C483" s="21" t="n">
        <f aca="false">C476/C478</f>
        <v>0.127431736668482</v>
      </c>
      <c r="D483" s="21" t="n">
        <f aca="false">D476/D478</f>
        <v>0.227966974088588</v>
      </c>
      <c r="E483" s="21" t="n">
        <f aca="false">E476/E478</f>
        <v>0.329860597617631</v>
      </c>
      <c r="F483" s="21" t="n">
        <f aca="false">F476/F478</f>
        <v>0.315114744318759</v>
      </c>
      <c r="G483" s="21" t="n">
        <f aca="false">G476/G478</f>
        <v>0.3629125184783</v>
      </c>
    </row>
    <row r="484" customFormat="false" ht="15" hidden="false" customHeight="false" outlineLevel="0" collapsed="false">
      <c r="A484" s="4" t="s">
        <v>568</v>
      </c>
      <c r="B484" s="0" t="s">
        <v>76</v>
      </c>
      <c r="D484" s="21" t="n">
        <f aca="false">D478/C478-1</f>
        <v>0.438052247012034</v>
      </c>
      <c r="E484" s="21" t="n">
        <f aca="false">E478/D478-1</f>
        <v>0.324855659347635</v>
      </c>
      <c r="F484" s="21" t="n">
        <f aca="false">F478/E478-1</f>
        <v>0.0469624723281592</v>
      </c>
      <c r="G484" s="21" t="n">
        <f aca="false">G478/F478-1</f>
        <v>0.150277230104336</v>
      </c>
    </row>
    <row r="485" customFormat="false" ht="17.15" hidden="false" customHeight="false" outlineLevel="0" collapsed="false">
      <c r="A485" s="6" t="s">
        <v>569</v>
      </c>
    </row>
    <row r="486" customFormat="false" ht="17.15" hidden="false" customHeight="false" outlineLevel="0" collapsed="false">
      <c r="A486" s="4" t="s">
        <v>570</v>
      </c>
      <c r="B486" s="0" t="s">
        <v>120</v>
      </c>
      <c r="C486" s="19" t="n">
        <f aca="false">capex25</f>
        <v>5.5</v>
      </c>
      <c r="D486" s="19" t="n">
        <f aca="false">capex26</f>
        <v>11.5</v>
      </c>
      <c r="E486" s="19" t="n">
        <f aca="false">capex27</f>
        <v>13</v>
      </c>
      <c r="F486" s="19" t="n">
        <f aca="false">capi*F481/F474</f>
        <v>10.6465031722558</v>
      </c>
      <c r="G486" s="19" t="n">
        <f aca="false">capi*G481/G474</f>
        <v>11.9060673015158</v>
      </c>
      <c r="K486" s="8" t="s">
        <v>571</v>
      </c>
    </row>
    <row r="487" customFormat="false" ht="15" hidden="false" customHeight="false" outlineLevel="0" collapsed="false">
      <c r="A487" s="4" t="s">
        <v>572</v>
      </c>
      <c r="B487" s="0" t="s">
        <v>234</v>
      </c>
      <c r="C487" s="30" t="n">
        <f aca="false">C486*C474</f>
        <v>170.5</v>
      </c>
      <c r="D487" s="30" t="n">
        <f aca="false">D486*31.9</f>
        <v>366.85</v>
      </c>
      <c r="E487" s="30" t="n">
        <f aca="false">E486*E474</f>
        <v>416</v>
      </c>
      <c r="F487" s="30" t="n">
        <f aca="false">F486*F474</f>
        <v>340.688101512186</v>
      </c>
      <c r="G487" s="30" t="n">
        <f aca="false">G486*G474</f>
        <v>380.994153648505</v>
      </c>
    </row>
    <row r="488" customFormat="false" ht="17.15" hidden="false" customHeight="false" outlineLevel="0" collapsed="false">
      <c r="A488" s="4" t="s">
        <v>473</v>
      </c>
      <c r="B488" s="0" t="s">
        <v>76</v>
      </c>
      <c r="C488" s="21" t="n">
        <f aca="false">C487/C481</f>
        <v>0.264182166386732</v>
      </c>
      <c r="D488" s="21" t="n">
        <f aca="false">D487/D481</f>
        <v>0.421101639775745</v>
      </c>
      <c r="E488" s="21" t="n">
        <f aca="false">E487/E481</f>
        <v>0.383874674352821</v>
      </c>
      <c r="F488" s="21" t="n">
        <f aca="false">F487/F481</f>
        <v>0.3</v>
      </c>
      <c r="G488" s="21" t="n">
        <f aca="false">G487/G481</f>
        <v>0.3</v>
      </c>
    </row>
    <row r="489" customFormat="false" ht="17.15" hidden="false" customHeight="false" outlineLevel="0" collapsed="false">
      <c r="A489" s="4" t="s">
        <v>573</v>
      </c>
      <c r="B489" s="0" t="s">
        <v>234</v>
      </c>
      <c r="C489" s="30" t="n">
        <f aca="false">a25_da</f>
        <v>75.255</v>
      </c>
      <c r="D489" s="30" t="n">
        <f aca="false">a26_da</f>
        <v>97.124</v>
      </c>
      <c r="E489" s="30" t="n">
        <f aca="false">D489*(1-1/life)+D487/life</f>
        <v>130.83975</v>
      </c>
      <c r="F489" s="30" t="n">
        <f aca="false">E489*(1-1/life)+E487/life</f>
        <v>166.48478125</v>
      </c>
      <c r="G489" s="30" t="n">
        <f aca="false">F489*(1-1/life)+F487/life</f>
        <v>188.260196282773</v>
      </c>
      <c r="K489" s="4" t="s">
        <v>574</v>
      </c>
    </row>
    <row r="490" customFormat="false" ht="17.15" hidden="false" customHeight="false" outlineLevel="0" collapsed="false">
      <c r="A490" s="4" t="s">
        <v>575</v>
      </c>
      <c r="B490" s="0" t="s">
        <v>234</v>
      </c>
      <c r="C490" s="30" t="n">
        <f aca="false">a25_agp</f>
        <v>91.38</v>
      </c>
      <c r="D490" s="30" t="n">
        <f aca="false">a26_agp</f>
        <v>164.623388</v>
      </c>
      <c r="E490" s="30" t="n">
        <f aca="false">$D490+ft*(E478-$D478)-(E489-$D489)</f>
        <v>221.823399588892</v>
      </c>
      <c r="F490" s="30" t="n">
        <f aca="false">$D490+ft*(F478-$D478)-(F489-$D489)</f>
        <v>203.591154291071</v>
      </c>
      <c r="G490" s="30" t="n">
        <f aca="false">$D490+ft*(G478-$D478)-(G489-$D489)</f>
        <v>240.152405354869</v>
      </c>
      <c r="K490" s="4" t="s">
        <v>576</v>
      </c>
    </row>
    <row r="491" customFormat="false" ht="15" hidden="false" customHeight="false" outlineLevel="0" collapsed="false">
      <c r="A491" s="4" t="s">
        <v>447</v>
      </c>
      <c r="B491" s="0" t="s">
        <v>76</v>
      </c>
      <c r="C491" s="14" t="n">
        <f aca="false">C490/C478</f>
        <v>0.234772421305764</v>
      </c>
      <c r="D491" s="14" t="n">
        <f aca="false">D490/D478</f>
        <v>0.294112034690999</v>
      </c>
      <c r="E491" s="14" t="n">
        <f aca="false">E490/E478</f>
        <v>0.299130055740096</v>
      </c>
      <c r="F491" s="14" t="n">
        <f aca="false">F490/F478</f>
        <v>0.262228858690341</v>
      </c>
      <c r="G491" s="14" t="n">
        <f aca="false">G490/G478</f>
        <v>0.268909408857908</v>
      </c>
    </row>
    <row r="492" customFormat="false" ht="17.15" hidden="false" customHeight="false" outlineLevel="0" collapsed="false">
      <c r="A492" s="0" t="s">
        <v>449</v>
      </c>
      <c r="B492" s="0" t="s">
        <v>234</v>
      </c>
      <c r="C492" s="30" t="n">
        <f aca="false">a25_egp</f>
        <v>23.695</v>
      </c>
      <c r="D492" s="30" t="n">
        <f aca="false">a26_egp</f>
        <v>27.00552</v>
      </c>
      <c r="E492" s="30" t="n">
        <f aca="false">E479*ems_gm</f>
        <v>29.415287</v>
      </c>
      <c r="F492" s="30" t="n">
        <f aca="false">F479*ems_gm</f>
        <v>30.88605135</v>
      </c>
      <c r="G492" s="30" t="n">
        <f aca="false">G479*ems_gm</f>
        <v>32.4303539175</v>
      </c>
    </row>
    <row r="493" customFormat="false" ht="15" hidden="false" customHeight="false" outlineLevel="0" collapsed="false">
      <c r="A493" s="4" t="s">
        <v>577</v>
      </c>
      <c r="B493" s="0" t="s">
        <v>234</v>
      </c>
      <c r="C493" s="30" t="n">
        <f aca="false">a25_lgp</f>
        <v>-0.881999999999998</v>
      </c>
      <c r="D493" s="30" t="n">
        <f aca="false">a26_lgp</f>
        <v>-0.948662139013863</v>
      </c>
      <c r="E493" s="30" t="n">
        <f aca="false">$D493/$D480*E480</f>
        <v>-1.1800865133464</v>
      </c>
      <c r="F493" s="30" t="n">
        <f aca="false">$D493/$D480*F480</f>
        <v>-1.23664683090003</v>
      </c>
      <c r="G493" s="30" t="n">
        <f aca="false">$D493/$D480*G480</f>
        <v>-1.38295176910958</v>
      </c>
    </row>
    <row r="494" customFormat="false" ht="15" hidden="false" customHeight="false" outlineLevel="0" collapsed="false">
      <c r="A494" s="4" t="s">
        <v>451</v>
      </c>
      <c r="B494" s="0" t="s">
        <v>234</v>
      </c>
      <c r="C494" s="30" t="n">
        <f aca="false">C490+C492+C493</f>
        <v>114.193</v>
      </c>
      <c r="D494" s="30" t="n">
        <f aca="false">D490+D492+D493</f>
        <v>190.680245860986</v>
      </c>
      <c r="E494" s="30" t="n">
        <f aca="false">E490+E492+E493</f>
        <v>250.058600075545</v>
      </c>
      <c r="F494" s="30" t="n">
        <f aca="false">F490+F492+F493</f>
        <v>233.240558810171</v>
      </c>
      <c r="G494" s="30" t="n">
        <f aca="false">G490+G492+G493</f>
        <v>271.199807503259</v>
      </c>
    </row>
    <row r="495" customFormat="false" ht="15" hidden="false" customHeight="false" outlineLevel="0" collapsed="false">
      <c r="A495" s="4" t="s">
        <v>452</v>
      </c>
      <c r="B495" s="0" t="s">
        <v>76</v>
      </c>
      <c r="C495" s="14" t="n">
        <f aca="false">C494/C481</f>
        <v>0.176936974347214</v>
      </c>
      <c r="D495" s="14" t="n">
        <f aca="false">D494/D481</f>
        <v>0.218879008327391</v>
      </c>
      <c r="E495" s="14" t="n">
        <f aca="false">E494/E481</f>
        <v>0.230747989598852</v>
      </c>
      <c r="F495" s="14" t="n">
        <f aca="false">F494/F481</f>
        <v>0.205384829503794</v>
      </c>
      <c r="G495" s="14" t="n">
        <f aca="false">G494/G481</f>
        <v>0.213546432331973</v>
      </c>
    </row>
    <row r="496" customFormat="false" ht="15" hidden="false" customHeight="false" outlineLevel="0" collapsed="false">
      <c r="A496" s="4" t="s">
        <v>578</v>
      </c>
      <c r="B496" s="0" t="s">
        <v>234</v>
      </c>
      <c r="C496" s="30" t="n">
        <f aca="false">a25_opx</f>
        <v>63.437</v>
      </c>
      <c r="D496" s="30" t="n">
        <f aca="false">a26_opx</f>
        <v>79.658</v>
      </c>
      <c r="E496" s="30" t="n">
        <f aca="false">D496*(1+phi*E482)</f>
        <v>91.3174530670808</v>
      </c>
      <c r="F496" s="30" t="n">
        <f aca="false">E496*(1+phi*F482)</f>
        <v>93.9435033194558</v>
      </c>
      <c r="G496" s="30" t="n">
        <f aca="false">F496*(1+phi*G482)</f>
        <v>100.612051576684</v>
      </c>
    </row>
    <row r="497" customFormat="false" ht="15" hidden="false" customHeight="false" outlineLevel="0" collapsed="false">
      <c r="A497" s="4" t="s">
        <v>455</v>
      </c>
      <c r="B497" s="0" t="s">
        <v>234</v>
      </c>
      <c r="C497" s="30" t="n">
        <f aca="false">C494-C496</f>
        <v>50.756</v>
      </c>
      <c r="D497" s="30" t="n">
        <f aca="false">D494-D496</f>
        <v>111.022245860986</v>
      </c>
      <c r="E497" s="30" t="n">
        <f aca="false">E494-E496</f>
        <v>158.741147008465</v>
      </c>
      <c r="F497" s="30" t="n">
        <f aca="false">F494-F496</f>
        <v>139.297055490715</v>
      </c>
      <c r="G497" s="30" t="n">
        <f aca="false">G494-G496</f>
        <v>170.587755926575</v>
      </c>
    </row>
    <row r="498" customFormat="false" ht="15" hidden="false" customHeight="false" outlineLevel="0" collapsed="false">
      <c r="A498" s="4" t="s">
        <v>537</v>
      </c>
      <c r="B498" s="0" t="s">
        <v>76</v>
      </c>
      <c r="C498" s="14" t="n">
        <f aca="false">C497/C481</f>
        <v>0.0786441644406156</v>
      </c>
      <c r="D498" s="14" t="n">
        <f aca="false">D497/D481</f>
        <v>0.127440779020437</v>
      </c>
      <c r="E498" s="14" t="n">
        <f aca="false">E497/E481</f>
        <v>0.146482466620836</v>
      </c>
      <c r="F498" s="14" t="n">
        <f aca="false">F497/F481</f>
        <v>0.122660922003817</v>
      </c>
      <c r="G498" s="14" t="n">
        <f aca="false">G497/G481</f>
        <v>0.134323128814167</v>
      </c>
    </row>
    <row r="499" customFormat="false" ht="15" hidden="false" customHeight="false" outlineLevel="0" collapsed="false">
      <c r="A499" s="4" t="s">
        <v>456</v>
      </c>
      <c r="B499" s="0" t="s">
        <v>234</v>
      </c>
      <c r="C499" s="30" t="n">
        <f aca="false">a25_nonop</f>
        <v>0.545</v>
      </c>
      <c r="D499" s="30" t="n">
        <f aca="false">a26_nonop</f>
        <v>4.302</v>
      </c>
      <c r="E499" s="30" t="n">
        <f aca="false">nonop_f</f>
        <v>-5</v>
      </c>
      <c r="F499" s="30" t="n">
        <f aca="false">nonop_f</f>
        <v>-5</v>
      </c>
      <c r="G499" s="30" t="n">
        <f aca="false">nonop_f</f>
        <v>-5</v>
      </c>
    </row>
    <row r="500" customFormat="false" ht="15" hidden="false" customHeight="false" outlineLevel="0" collapsed="false">
      <c r="A500" s="4" t="s">
        <v>459</v>
      </c>
      <c r="B500" s="0" t="s">
        <v>234</v>
      </c>
      <c r="C500" s="30" t="n">
        <f aca="false">C497+C499</f>
        <v>51.301</v>
      </c>
      <c r="D500" s="30" t="n">
        <f aca="false">D497+D499</f>
        <v>115.324245860986</v>
      </c>
      <c r="E500" s="30" t="n">
        <f aca="false">E497+E499</f>
        <v>153.741147008465</v>
      </c>
      <c r="F500" s="30" t="n">
        <f aca="false">F497+F499</f>
        <v>134.297055490715</v>
      </c>
      <c r="G500" s="30" t="n">
        <f aca="false">G497+G499</f>
        <v>165.587755926575</v>
      </c>
    </row>
    <row r="501" customFormat="false" ht="15" hidden="false" customHeight="false" outlineLevel="0" collapsed="false">
      <c r="A501" s="4" t="s">
        <v>460</v>
      </c>
      <c r="B501" s="0" t="s">
        <v>234</v>
      </c>
      <c r="C501" s="30" t="n">
        <f aca="false">a25_tax</f>
        <v>9.461</v>
      </c>
      <c r="D501" s="30" t="n">
        <f aca="false">a26_tax</f>
        <v>19.2197317963676</v>
      </c>
      <c r="E501" s="30" t="n">
        <f aca="false">E500*tax</f>
        <v>26.135994991439</v>
      </c>
      <c r="F501" s="30" t="n">
        <f aca="false">F500*tax</f>
        <v>22.8304994334216</v>
      </c>
      <c r="G501" s="30" t="n">
        <f aca="false">G500*tax</f>
        <v>28.1499185075178</v>
      </c>
    </row>
    <row r="502" customFormat="false" ht="15" hidden="false" customHeight="false" outlineLevel="0" collapsed="false">
      <c r="A502" s="4" t="s">
        <v>461</v>
      </c>
      <c r="B502" s="0" t="s">
        <v>234</v>
      </c>
      <c r="C502" s="30" t="n">
        <f aca="false">a25_nci</f>
        <v>1.182</v>
      </c>
      <c r="D502" s="30" t="n">
        <f aca="false">a26_nci</f>
        <v>2.543</v>
      </c>
      <c r="E502" s="30" t="n">
        <f aca="false">nci</f>
        <v>3</v>
      </c>
      <c r="F502" s="30" t="n">
        <f aca="false">nci</f>
        <v>3</v>
      </c>
      <c r="G502" s="30" t="n">
        <f aca="false">nci</f>
        <v>3</v>
      </c>
    </row>
    <row r="503" customFormat="false" ht="15" hidden="false" customHeight="false" outlineLevel="0" collapsed="false">
      <c r="A503" s="4" t="s">
        <v>462</v>
      </c>
      <c r="B503" s="0" t="s">
        <v>234</v>
      </c>
      <c r="C503" s="30" t="n">
        <f aca="false">C500-C501-C502</f>
        <v>40.658</v>
      </c>
      <c r="D503" s="30" t="n">
        <f aca="false">D500-D501-D502</f>
        <v>93.5615140646185</v>
      </c>
      <c r="E503" s="30" t="n">
        <f aca="false">E500-E501-E502</f>
        <v>124.605152017026</v>
      </c>
      <c r="F503" s="30" t="n">
        <f aca="false">F500-F501-F502</f>
        <v>108.466556057294</v>
      </c>
      <c r="G503" s="30" t="n">
        <f aca="false">G500-G501-G502</f>
        <v>134.437837419058</v>
      </c>
      <c r="H503" s="31" t="n">
        <f aca="false">H481*H507</f>
        <v>143.322811569217</v>
      </c>
      <c r="I503" s="31" t="n">
        <f aca="false">I481*I507</f>
        <v>149.053850423109</v>
      </c>
      <c r="J503" s="31" t="n">
        <f aca="false">J481*J507</f>
        <v>151.123315058851</v>
      </c>
    </row>
    <row r="504" customFormat="false" ht="15" hidden="false" customHeight="false" outlineLevel="0" collapsed="false">
      <c r="A504" s="4" t="s">
        <v>579</v>
      </c>
      <c r="B504" s="4" t="s">
        <v>580</v>
      </c>
      <c r="C504" s="18" t="n">
        <f aca="false">a25_sh</f>
        <v>4339.16755602988</v>
      </c>
      <c r="D504" s="18" t="n">
        <f aca="false">a26_sh</f>
        <v>4392.90105184664</v>
      </c>
      <c r="E504" s="18" t="n">
        <f aca="false">D504*(1+sh_g)</f>
        <v>4414.86555710588</v>
      </c>
      <c r="F504" s="18" t="n">
        <f aca="false">E504*(1+sh_g)</f>
        <v>4436.9398848914</v>
      </c>
      <c r="G504" s="18" t="n">
        <f aca="false">F504*(1+sh_g)</f>
        <v>4459.12458431586</v>
      </c>
      <c r="H504" s="25" t="n">
        <f aca="false">G504*(1+sh_g)</f>
        <v>4481.42020723744</v>
      </c>
      <c r="I504" s="25" t="n">
        <f aca="false">H504*(1+sh_g)</f>
        <v>4503.82730827363</v>
      </c>
      <c r="J504" s="25" t="n">
        <f aca="false">I504*(1+sh_g)</f>
        <v>4526.34644481499</v>
      </c>
    </row>
    <row r="505" customFormat="false" ht="17.15" hidden="false" customHeight="false" outlineLevel="0" collapsed="false">
      <c r="A505" s="0" t="s">
        <v>465</v>
      </c>
      <c r="B505" s="0" t="s">
        <v>304</v>
      </c>
      <c r="C505" s="19" t="n">
        <f aca="false">a25_eps</f>
        <v>9.37</v>
      </c>
      <c r="D505" s="19" t="n">
        <f aca="false">a26_eps</f>
        <v>21.2828697294455</v>
      </c>
      <c r="E505" s="19" t="n">
        <f aca="false">E503/E504*1000</f>
        <v>28.223996949685</v>
      </c>
      <c r="F505" s="19" t="n">
        <f aca="false">F503/F504*1000</f>
        <v>24.4462532446388</v>
      </c>
      <c r="G505" s="19" t="n">
        <f aca="false">G503/G504*1000</f>
        <v>30.1489305528528</v>
      </c>
      <c r="H505" s="28" t="n">
        <f aca="false">H503/H504*1000</f>
        <v>31.9815605190855</v>
      </c>
      <c r="I505" s="28" t="n">
        <f aca="false">I503/I504*1000</f>
        <v>33.0949302050933</v>
      </c>
      <c r="J505" s="28" t="n">
        <f aca="false">J503/J504*1000</f>
        <v>33.3874830177804</v>
      </c>
    </row>
    <row r="506" customFormat="false" ht="17.15" hidden="false" customHeight="false" outlineLevel="0" collapsed="false">
      <c r="A506" s="0" t="s">
        <v>581</v>
      </c>
      <c r="B506" s="0" t="s">
        <v>76</v>
      </c>
      <c r="D506" s="21" t="n">
        <f aca="false">D505/C505-1</f>
        <v>1.27138417603474</v>
      </c>
      <c r="E506" s="21" t="n">
        <f aca="false">E505/D505-1</f>
        <v>0.32613680901482</v>
      </c>
      <c r="F506" s="21" t="n">
        <f aca="false">F505/E505-1</f>
        <v>-0.133848643471043</v>
      </c>
      <c r="G506" s="21" t="n">
        <f aca="false">G505/F505-1</f>
        <v>0.23327408299121</v>
      </c>
      <c r="H506" s="26" t="n">
        <f aca="false">H505/G505-1</f>
        <v>0.0607859029367546</v>
      </c>
      <c r="I506" s="26" t="n">
        <f aca="false">I505/H505-1</f>
        <v>0.0348128630353528</v>
      </c>
      <c r="J506" s="26" t="n">
        <f aca="false">J505/I505-1</f>
        <v>0.00883980751354119</v>
      </c>
    </row>
    <row r="507" customFormat="false" ht="17.15" hidden="false" customHeight="false" outlineLevel="0" collapsed="false">
      <c r="A507" s="4" t="s">
        <v>582</v>
      </c>
      <c r="B507" s="0" t="s">
        <v>76</v>
      </c>
      <c r="C507" s="14" t="n">
        <f aca="false">C503/C481</f>
        <v>0.0629977625862272</v>
      </c>
      <c r="D507" s="14" t="n">
        <f aca="false">D503/D481</f>
        <v>0.107397865592237</v>
      </c>
      <c r="E507" s="14" t="n">
        <f aca="false">E503/E481</f>
        <v>0.114982601329854</v>
      </c>
      <c r="F507" s="14" t="n">
        <f aca="false">F503/F481</f>
        <v>0.0955124839193254</v>
      </c>
      <c r="G507" s="14" t="n">
        <f aca="false">G503/G481</f>
        <v>0.10585818926483</v>
      </c>
      <c r="H507" s="27" t="n">
        <f aca="false">$G507+(fade_mB-$G507)*1/3</f>
        <v>0.103327049533972</v>
      </c>
      <c r="I507" s="27" t="n">
        <f aca="false">$G507+(fade_mB-$G507)*2/3</f>
        <v>0.100795909803113</v>
      </c>
      <c r="J507" s="27" t="n">
        <f aca="false">$G507+(fade_mB-$G507)*3/3</f>
        <v>0.0982647700722541</v>
      </c>
    </row>
    <row r="508" customFormat="false" ht="17.15" hidden="false" customHeight="false" outlineLevel="0" collapsed="false">
      <c r="A508" s="4" t="s">
        <v>583</v>
      </c>
      <c r="B508" s="0" t="s">
        <v>234</v>
      </c>
      <c r="C508" s="30" t="n">
        <f aca="false">C503+C489-C487</f>
        <v>-54.587</v>
      </c>
      <c r="D508" s="30" t="n">
        <f aca="false">D503+D489-D487</f>
        <v>-176.164485935382</v>
      </c>
      <c r="E508" s="30" t="n">
        <f aca="false">E503+E489-E487</f>
        <v>-160.555097982974</v>
      </c>
      <c r="F508" s="30" t="n">
        <f aca="false">F503+F489-F487</f>
        <v>-65.7367642048918</v>
      </c>
      <c r="G508" s="30" t="n">
        <f aca="false">G503+G489-G487</f>
        <v>-58.296119946674</v>
      </c>
      <c r="K508" s="4" t="s">
        <v>584</v>
      </c>
    </row>
    <row r="509" customFormat="false" ht="17.15" hidden="false" customHeight="false" outlineLevel="0" collapsed="false">
      <c r="A509" s="4" t="s">
        <v>585</v>
      </c>
      <c r="B509" s="0" t="s">
        <v>76</v>
      </c>
      <c r="D509" s="21" t="n">
        <f aca="false">(D497-$C497)/SUM($D487:D487)</f>
        <v>0.164280348537512</v>
      </c>
      <c r="E509" s="21" t="n">
        <f aca="false">(E497-$C497)/SUM($D487:E487)</f>
        <v>0.137938490143022</v>
      </c>
      <c r="F509" s="21" t="n">
        <f aca="false">(F497-$C497)/SUM($D487:F487)</f>
        <v>0.0788055655358255</v>
      </c>
      <c r="G509" s="21" t="n">
        <f aca="false">(G497-$C497)/SUM($D487:G487)</f>
        <v>0.0796471830467848</v>
      </c>
      <c r="K509" s="4" t="s">
        <v>586</v>
      </c>
    </row>
    <row r="512" customFormat="false" ht="17.15" hidden="false" customHeight="false" outlineLevel="0" collapsed="false">
      <c r="A512" s="1" t="s">
        <v>924</v>
      </c>
    </row>
    <row r="513" customFormat="false" ht="17.15" hidden="false" customHeight="false" outlineLevel="0" collapsed="false">
      <c r="A513" s="5" t="s">
        <v>21</v>
      </c>
      <c r="B513" s="5" t="s">
        <v>22</v>
      </c>
      <c r="C513" s="15" t="s">
        <v>424</v>
      </c>
      <c r="D513" s="15" t="s">
        <v>524</v>
      </c>
      <c r="E513" s="15" t="s">
        <v>525</v>
      </c>
      <c r="F513" s="15" t="s">
        <v>526</v>
      </c>
      <c r="G513" s="15" t="s">
        <v>527</v>
      </c>
      <c r="H513" s="15" t="s">
        <v>528</v>
      </c>
      <c r="I513" s="15" t="s">
        <v>529</v>
      </c>
      <c r="J513" s="15" t="s">
        <v>530</v>
      </c>
      <c r="K513" s="5" t="s">
        <v>382</v>
      </c>
    </row>
    <row r="514" customFormat="false" ht="17.15" hidden="false" customHeight="false" outlineLevel="0" collapsed="false">
      <c r="A514" s="6" t="s">
        <v>548</v>
      </c>
    </row>
    <row r="515" customFormat="false" ht="17.15" hidden="false" customHeight="false" outlineLevel="0" collapsed="false">
      <c r="A515" s="0" t="s">
        <v>549</v>
      </c>
      <c r="B515" s="4" t="s">
        <v>32</v>
      </c>
      <c r="D515" s="19" t="n">
        <f aca="false">units_26</f>
        <v>15.2</v>
      </c>
      <c r="E515" s="19" t="n">
        <f aca="false">units_27*1</f>
        <v>23.7</v>
      </c>
      <c r="F515" s="19" t="n">
        <f aca="false">units_28*um28_C*1</f>
        <v>15.9</v>
      </c>
      <c r="G515" s="19" t="n">
        <f aca="false">units_29*um29_C*1</f>
        <v>18.09</v>
      </c>
    </row>
    <row r="516" customFormat="false" ht="17.15" hidden="false" customHeight="false" outlineLevel="0" collapsed="false">
      <c r="A516" s="4" t="s">
        <v>497</v>
      </c>
      <c r="B516" s="0" t="s">
        <v>45</v>
      </c>
      <c r="D516" s="22" t="n">
        <f aca="false">ar_26</f>
        <v>1</v>
      </c>
      <c r="E516" s="22" t="n">
        <f aca="false">ar_27</f>
        <v>1.278156</v>
      </c>
      <c r="F516" s="22" t="n">
        <f aca="false">ar_28</f>
        <v>1.428615</v>
      </c>
      <c r="G516" s="22" t="n">
        <f aca="false">ar_29</f>
        <v>1.431796</v>
      </c>
    </row>
    <row r="517" customFormat="false" ht="17.15" hidden="false" customHeight="false" outlineLevel="0" collapsed="false">
      <c r="A517" s="4" t="s">
        <v>550</v>
      </c>
      <c r="B517" s="0" t="s">
        <v>45</v>
      </c>
      <c r="D517" s="19" t="n">
        <f aca="false">1</f>
        <v>1</v>
      </c>
      <c r="E517" s="19" t="n">
        <f aca="false">rel27_C</f>
        <v>1</v>
      </c>
      <c r="F517" s="19" t="n">
        <f aca="false">rel28_C</f>
        <v>0.95</v>
      </c>
      <c r="G517" s="19" t="n">
        <f aca="false">rel29_C</f>
        <v>0.92</v>
      </c>
    </row>
    <row r="518" customFormat="false" ht="17.15" hidden="false" customHeight="false" outlineLevel="0" collapsed="false">
      <c r="A518" s="4" t="s">
        <v>551</v>
      </c>
      <c r="B518" s="0" t="s">
        <v>502</v>
      </c>
      <c r="D518" s="23" t="n">
        <f aca="false">D519*1000/D515</f>
        <v>236.842105263158</v>
      </c>
      <c r="E518" s="23" t="n">
        <f aca="false">$D518*E516^el_lo</f>
        <v>254.937704914838</v>
      </c>
      <c r="F518" s="23" t="n">
        <f aca="false">$D518*F516^el_lo</f>
        <v>263.592758218181</v>
      </c>
      <c r="G518" s="23" t="n">
        <f aca="false">$D518*G516^el_lo</f>
        <v>263.7686983984</v>
      </c>
      <c r="K518" s="8" t="s">
        <v>552</v>
      </c>
    </row>
    <row r="519" customFormat="false" ht="17.15" hidden="false" customHeight="false" outlineLevel="0" collapsed="false">
      <c r="A519" s="0" t="s">
        <v>553</v>
      </c>
      <c r="B519" s="0" t="s">
        <v>120</v>
      </c>
      <c r="D519" s="22" t="n">
        <f aca="false">leap26-D520-D521</f>
        <v>3.6</v>
      </c>
      <c r="E519" s="22" t="n">
        <f aca="false">E515*E517*E518/1000</f>
        <v>6.04202360648165</v>
      </c>
      <c r="F519" s="22" t="n">
        <f aca="false">F515*F517*F518/1000</f>
        <v>3.98156861288562</v>
      </c>
      <c r="G519" s="22" t="n">
        <f aca="false">G515*G517*G518/1000</f>
        <v>4.38984969370489</v>
      </c>
      <c r="K519" s="8" t="s">
        <v>554</v>
      </c>
    </row>
    <row r="520" customFormat="false" ht="17.15" hidden="false" customHeight="false" outlineLevel="0" collapsed="false">
      <c r="A520" s="4" t="s">
        <v>555</v>
      </c>
      <c r="B520" s="0" t="s">
        <v>120</v>
      </c>
      <c r="D520" s="22" t="n">
        <f aca="false">fp26</f>
        <v>0.3</v>
      </c>
      <c r="E520" s="22" t="n">
        <f aca="false">fp27_C</f>
        <v>0.7</v>
      </c>
      <c r="F520" s="22" t="n">
        <f aca="false">E520*F515/E515*(1+fp_g)</f>
        <v>0.610506329113924</v>
      </c>
      <c r="G520" s="22" t="n">
        <f aca="false">F520*G515/F515*(1+fp_g)</f>
        <v>0.902973417721519</v>
      </c>
    </row>
    <row r="521" customFormat="false" ht="17.15" hidden="false" customHeight="false" outlineLevel="0" collapsed="false">
      <c r="A521" s="0" t="s">
        <v>556</v>
      </c>
      <c r="B521" s="0" t="s">
        <v>120</v>
      </c>
      <c r="D521" s="22" t="n">
        <f aca="false">cpo27*cpo_C_26/cpo_A_27</f>
        <v>0.1</v>
      </c>
      <c r="E521" s="22" t="n">
        <f aca="false">cpo27*cpo_C_27/cpo_A_27</f>
        <v>0.2</v>
      </c>
      <c r="F521" s="22" t="n">
        <f aca="false">cpo27*cpo_C_28/cpo_A_27*F515/E515</f>
        <v>0.20126582278481</v>
      </c>
      <c r="G521" s="22" t="n">
        <f aca="false">cpo27*cpo_C_29/cpo_A_27*G515/E515</f>
        <v>0.381645569620253</v>
      </c>
      <c r="K521" s="8" t="s">
        <v>557</v>
      </c>
    </row>
    <row r="522" customFormat="false" ht="17.15" hidden="false" customHeight="false" outlineLevel="0" collapsed="false">
      <c r="A522" s="0" t="s">
        <v>510</v>
      </c>
      <c r="B522" s="0" t="s">
        <v>120</v>
      </c>
      <c r="C522" s="22" t="n">
        <f aca="false">leap25</f>
        <v>1.6</v>
      </c>
      <c r="D522" s="22" t="n">
        <f aca="false">D519+D520+D521</f>
        <v>4</v>
      </c>
      <c r="E522" s="22" t="n">
        <f aca="false">E519+E520+E521</f>
        <v>6.94202360648165</v>
      </c>
      <c r="F522" s="22" t="n">
        <f aca="false">F519+F520+F521</f>
        <v>4.79334076478435</v>
      </c>
      <c r="G522" s="22" t="n">
        <f aca="false">G519+G520+G521</f>
        <v>5.67446868104666</v>
      </c>
    </row>
    <row r="523" customFormat="false" ht="17.15" hidden="false" customHeight="false" outlineLevel="0" collapsed="false">
      <c r="A523" s="4" t="s">
        <v>558</v>
      </c>
      <c r="B523" s="0" t="s">
        <v>114</v>
      </c>
      <c r="C523" s="19" t="n">
        <f aca="false">fx25</f>
        <v>31</v>
      </c>
      <c r="D523" s="19" t="n">
        <f aca="false">a26_leap/D522</f>
        <v>31.9</v>
      </c>
      <c r="E523" s="19" t="n">
        <f aca="false">fx</f>
        <v>32</v>
      </c>
      <c r="F523" s="19" t="n">
        <f aca="false">fx</f>
        <v>32</v>
      </c>
      <c r="G523" s="19" t="n">
        <f aca="false">fx</f>
        <v>32</v>
      </c>
      <c r="K523" s="8" t="s">
        <v>559</v>
      </c>
    </row>
    <row r="524" customFormat="false" ht="17.15" hidden="false" customHeight="false" outlineLevel="0" collapsed="false">
      <c r="A524" s="6" t="s">
        <v>560</v>
      </c>
    </row>
    <row r="525" customFormat="false" ht="17.15" hidden="false" customHeight="false" outlineLevel="0" collapsed="false">
      <c r="A525" s="0" t="s">
        <v>438</v>
      </c>
      <c r="B525" s="0" t="s">
        <v>234</v>
      </c>
      <c r="C525" s="30" t="n">
        <f aca="false">a25_leap</f>
        <v>49.6</v>
      </c>
      <c r="D525" s="30" t="n">
        <f aca="false">a26_leap</f>
        <v>127.6</v>
      </c>
      <c r="E525" s="30" t="n">
        <f aca="false">E522*E523</f>
        <v>222.144755407413</v>
      </c>
      <c r="F525" s="30" t="n">
        <f aca="false">F522*F523</f>
        <v>153.386904473099</v>
      </c>
      <c r="G525" s="30" t="n">
        <f aca="false">G522*G523</f>
        <v>181.582997793493</v>
      </c>
    </row>
    <row r="526" customFormat="false" ht="15" hidden="false" customHeight="false" outlineLevel="0" collapsed="false">
      <c r="A526" s="4" t="s">
        <v>561</v>
      </c>
      <c r="B526" s="0" t="s">
        <v>234</v>
      </c>
      <c r="C526" s="30" t="n">
        <f aca="false">a25_ms</f>
        <v>339.628</v>
      </c>
      <c r="D526" s="30" t="n">
        <f aca="false">a26_ms</f>
        <v>432.1302</v>
      </c>
      <c r="E526" s="30" t="n">
        <f aca="false">D526*(1+g_ms27)</f>
        <v>496.94973</v>
      </c>
      <c r="F526" s="30" t="n">
        <f aca="false">E526*(1+g_msL)</f>
        <v>531.7362111</v>
      </c>
      <c r="G526" s="30" t="n">
        <f aca="false">F526*(1+g_msL)</f>
        <v>568.957745877</v>
      </c>
    </row>
    <row r="527" customFormat="false" ht="17.15" hidden="false" customHeight="false" outlineLevel="0" collapsed="false">
      <c r="A527" s="4" t="s">
        <v>562</v>
      </c>
      <c r="B527" s="0" t="s">
        <v>234</v>
      </c>
      <c r="C527" s="30" t="n">
        <f aca="false">C525+C526</f>
        <v>389.228</v>
      </c>
      <c r="D527" s="30" t="n">
        <f aca="false">D525+D526</f>
        <v>559.7302</v>
      </c>
      <c r="E527" s="30" t="n">
        <f aca="false">E525+E526</f>
        <v>719.094485407413</v>
      </c>
      <c r="F527" s="30" t="n">
        <f aca="false">F525+F526</f>
        <v>685.123115573099</v>
      </c>
      <c r="G527" s="30" t="n">
        <f aca="false">G525+G526</f>
        <v>750.540743670493</v>
      </c>
    </row>
    <row r="528" customFormat="false" ht="17.15" hidden="false" customHeight="false" outlineLevel="0" collapsed="false">
      <c r="A528" s="0" t="s">
        <v>563</v>
      </c>
      <c r="B528" s="0" t="s">
        <v>234</v>
      </c>
      <c r="C528" s="30" t="n">
        <f aca="false">a25_ems</f>
        <v>259.079</v>
      </c>
      <c r="D528" s="30" t="n">
        <f aca="false">a26_ems</f>
        <v>314.602</v>
      </c>
      <c r="E528" s="30" t="n">
        <f aca="false">D528*(1+g_ems27)</f>
        <v>346.0622</v>
      </c>
      <c r="F528" s="30" t="n">
        <f aca="false">E528*(1+g_emsL)</f>
        <v>363.36531</v>
      </c>
      <c r="G528" s="30" t="n">
        <f aca="false">F528*(1+g_emsL)</f>
        <v>381.5335755</v>
      </c>
    </row>
    <row r="529" customFormat="false" ht="17.15" hidden="false" customHeight="false" outlineLevel="0" collapsed="false">
      <c r="A529" s="4" t="s">
        <v>564</v>
      </c>
      <c r="B529" s="0" t="s">
        <v>234</v>
      </c>
      <c r="C529" s="30" t="n">
        <f aca="false">a25_elim</f>
        <v>-2.91899999999998</v>
      </c>
      <c r="D529" s="30" t="n">
        <f aca="false">a26_elim</f>
        <v>-3.16484905982349</v>
      </c>
      <c r="E529" s="30" t="n">
        <f aca="false">$D529/($D527+$D528)*(E527+E528)</f>
        <v>-3.8555827343158</v>
      </c>
      <c r="F529" s="30" t="n">
        <f aca="false">$D529/($D527+$D528)*(F527+F528)</f>
        <v>-3.79524808523675</v>
      </c>
      <c r="G529" s="30" t="n">
        <f aca="false">$D529/($D527+$D528)*(G527+G528)</f>
        <v>-4.09780669713074</v>
      </c>
      <c r="K529" s="4" t="s">
        <v>565</v>
      </c>
    </row>
    <row r="530" customFormat="false" ht="17.15" hidden="false" customHeight="false" outlineLevel="0" collapsed="false">
      <c r="A530" s="4" t="s">
        <v>431</v>
      </c>
      <c r="B530" s="0" t="s">
        <v>234</v>
      </c>
      <c r="C530" s="30" t="n">
        <f aca="false">C527+C528+C529</f>
        <v>645.388</v>
      </c>
      <c r="D530" s="30" t="n">
        <f aca="false">D527+D528+D529</f>
        <v>871.167350940177</v>
      </c>
      <c r="E530" s="30" t="n">
        <f aca="false">E527+E528+E529</f>
        <v>1061.3011026731</v>
      </c>
      <c r="F530" s="30" t="n">
        <f aca="false">F527+F528+F529</f>
        <v>1044.69317748786</v>
      </c>
      <c r="G530" s="30" t="n">
        <f aca="false">G527+G528+G529</f>
        <v>1127.97651247336</v>
      </c>
      <c r="H530" s="31" t="n">
        <f aca="false">G530*(1+H531)</f>
        <v>1195.44483184333</v>
      </c>
      <c r="I530" s="31" t="n">
        <f aca="false">H530*(1+I531)</f>
        <v>1243.15120088533</v>
      </c>
      <c r="J530" s="31" t="n">
        <f aca="false">I530*(1+J531)</f>
        <v>1268.01422490304</v>
      </c>
      <c r="K530" s="8" t="s">
        <v>566</v>
      </c>
    </row>
    <row r="531" customFormat="false" ht="15" hidden="false" customHeight="false" outlineLevel="0" collapsed="false">
      <c r="A531" s="4" t="s">
        <v>567</v>
      </c>
      <c r="B531" s="0" t="s">
        <v>76</v>
      </c>
      <c r="D531" s="21" t="n">
        <f aca="false">D530/C530-1</f>
        <v>0.349835061916516</v>
      </c>
      <c r="E531" s="21" t="n">
        <f aca="false">E530/D530-1</f>
        <v>0.218251695874192</v>
      </c>
      <c r="F531" s="21" t="n">
        <f aca="false">F530/E530-1</f>
        <v>-0.0156486459341316</v>
      </c>
      <c r="G531" s="21" t="n">
        <f aca="false">G530/F530-1</f>
        <v>0.0797203779829105</v>
      </c>
      <c r="H531" s="26" t="n">
        <f aca="false">$G531+(fade_gC-$G531)*1/3</f>
        <v>0.0598135853219404</v>
      </c>
      <c r="I531" s="26" t="n">
        <f aca="false">$G531+(fade_gC-$G531)*2/3</f>
        <v>0.0399067926609702</v>
      </c>
      <c r="J531" s="26" t="n">
        <f aca="false">$G531+(fade_gC-$G531)*3/3</f>
        <v>0.02</v>
      </c>
    </row>
    <row r="532" customFormat="false" ht="17.15" hidden="false" customHeight="false" outlineLevel="0" collapsed="false">
      <c r="A532" s="0" t="s">
        <v>475</v>
      </c>
      <c r="B532" s="0" t="s">
        <v>76</v>
      </c>
      <c r="C532" s="21" t="n">
        <f aca="false">C525/C527</f>
        <v>0.127431736668482</v>
      </c>
      <c r="D532" s="21" t="n">
        <f aca="false">D525/D527</f>
        <v>0.227966974088588</v>
      </c>
      <c r="E532" s="21" t="n">
        <f aca="false">E525/E527</f>
        <v>0.308922902226894</v>
      </c>
      <c r="F532" s="21" t="n">
        <f aca="false">F525/F527</f>
        <v>0.223882249754181</v>
      </c>
      <c r="G532" s="21" t="n">
        <f aca="false">G525/G527</f>
        <v>0.241936229744794</v>
      </c>
    </row>
    <row r="533" customFormat="false" ht="15" hidden="false" customHeight="false" outlineLevel="0" collapsed="false">
      <c r="A533" s="4" t="s">
        <v>568</v>
      </c>
      <c r="B533" s="0" t="s">
        <v>76</v>
      </c>
      <c r="D533" s="21" t="n">
        <f aca="false">D527/C527-1</f>
        <v>0.438052247012034</v>
      </c>
      <c r="E533" s="21" t="n">
        <f aca="false">E527/D527-1</f>
        <v>0.284716253308135</v>
      </c>
      <c r="F533" s="21" t="n">
        <f aca="false">F527/E527-1</f>
        <v>-0.0472418722764458</v>
      </c>
      <c r="G533" s="21" t="n">
        <f aca="false">G527/F527-1</f>
        <v>0.0954830257663584</v>
      </c>
    </row>
    <row r="534" customFormat="false" ht="17.15" hidden="false" customHeight="false" outlineLevel="0" collapsed="false">
      <c r="A534" s="6" t="s">
        <v>569</v>
      </c>
    </row>
    <row r="535" customFormat="false" ht="17.15" hidden="false" customHeight="false" outlineLevel="0" collapsed="false">
      <c r="A535" s="4" t="s">
        <v>570</v>
      </c>
      <c r="B535" s="0" t="s">
        <v>120</v>
      </c>
      <c r="C535" s="19" t="n">
        <f aca="false">capex25</f>
        <v>5.5</v>
      </c>
      <c r="D535" s="19" t="n">
        <f aca="false">capex26</f>
        <v>11.5</v>
      </c>
      <c r="E535" s="19" t="n">
        <f aca="false">capex27</f>
        <v>13</v>
      </c>
      <c r="F535" s="19" t="n">
        <f aca="false">capi*F530/F523</f>
        <v>9.79399853894871</v>
      </c>
      <c r="G535" s="19" t="n">
        <f aca="false">capi*G530/G523</f>
        <v>10.5747798044378</v>
      </c>
      <c r="K535" s="8" t="s">
        <v>571</v>
      </c>
    </row>
    <row r="536" customFormat="false" ht="15" hidden="false" customHeight="false" outlineLevel="0" collapsed="false">
      <c r="A536" s="4" t="s">
        <v>572</v>
      </c>
      <c r="B536" s="0" t="s">
        <v>234</v>
      </c>
      <c r="C536" s="30" t="n">
        <f aca="false">C535*C523</f>
        <v>170.5</v>
      </c>
      <c r="D536" s="30" t="n">
        <f aca="false">D535*31.9</f>
        <v>366.85</v>
      </c>
      <c r="E536" s="30" t="n">
        <f aca="false">E535*E523</f>
        <v>416</v>
      </c>
      <c r="F536" s="30" t="n">
        <f aca="false">F535*F523</f>
        <v>313.407953246359</v>
      </c>
      <c r="G536" s="30" t="n">
        <f aca="false">G535*G523</f>
        <v>338.392953742009</v>
      </c>
    </row>
    <row r="537" customFormat="false" ht="17.15" hidden="false" customHeight="false" outlineLevel="0" collapsed="false">
      <c r="A537" s="4" t="s">
        <v>473</v>
      </c>
      <c r="B537" s="0" t="s">
        <v>76</v>
      </c>
      <c r="C537" s="21" t="n">
        <f aca="false">C536/C530</f>
        <v>0.264182166386732</v>
      </c>
      <c r="D537" s="21" t="n">
        <f aca="false">D536/D530</f>
        <v>0.421101639775745</v>
      </c>
      <c r="E537" s="21" t="n">
        <f aca="false">E536/E530</f>
        <v>0.391971702424714</v>
      </c>
      <c r="F537" s="21" t="n">
        <f aca="false">F536/F530</f>
        <v>0.3</v>
      </c>
      <c r="G537" s="21" t="n">
        <f aca="false">G536/G530</f>
        <v>0.3</v>
      </c>
    </row>
    <row r="538" customFormat="false" ht="17.15" hidden="false" customHeight="false" outlineLevel="0" collapsed="false">
      <c r="A538" s="4" t="s">
        <v>573</v>
      </c>
      <c r="B538" s="0" t="s">
        <v>234</v>
      </c>
      <c r="C538" s="30" t="n">
        <f aca="false">a25_da</f>
        <v>75.255</v>
      </c>
      <c r="D538" s="30" t="n">
        <f aca="false">a26_da</f>
        <v>97.124</v>
      </c>
      <c r="E538" s="30" t="n">
        <f aca="false">D538*(1-1/life)+D536/life</f>
        <v>130.83975</v>
      </c>
      <c r="F538" s="30" t="n">
        <f aca="false">E538*(1-1/life)+E536/life</f>
        <v>166.48478125</v>
      </c>
      <c r="G538" s="30" t="n">
        <f aca="false">F538*(1-1/life)+F536/life</f>
        <v>184.850177749545</v>
      </c>
      <c r="K538" s="4" t="s">
        <v>574</v>
      </c>
    </row>
    <row r="539" customFormat="false" ht="17.15" hidden="false" customHeight="false" outlineLevel="0" collapsed="false">
      <c r="A539" s="4" t="s">
        <v>575</v>
      </c>
      <c r="B539" s="0" t="s">
        <v>234</v>
      </c>
      <c r="C539" s="30" t="n">
        <f aca="false">a25_agp</f>
        <v>91.38</v>
      </c>
      <c r="D539" s="30" t="n">
        <f aca="false">a26_agp</f>
        <v>164.623388</v>
      </c>
      <c r="E539" s="30" t="n">
        <f aca="false">$D539+ft*(E527-$D527)-(E538-$D538)</f>
        <v>210.589780703706</v>
      </c>
      <c r="F539" s="30" t="n">
        <f aca="false">$D539+ft*(F527-$D527)-(F538-$D538)</f>
        <v>157.95906453655</v>
      </c>
      <c r="G539" s="30" t="n">
        <f aca="false">$D539+ft*(G527-$D527)-(G538-$D538)</f>
        <v>172.302482085702</v>
      </c>
      <c r="K539" s="4" t="s">
        <v>576</v>
      </c>
    </row>
    <row r="540" customFormat="false" ht="15" hidden="false" customHeight="false" outlineLevel="0" collapsed="false">
      <c r="A540" s="4" t="s">
        <v>447</v>
      </c>
      <c r="B540" s="0" t="s">
        <v>76</v>
      </c>
      <c r="C540" s="14" t="n">
        <f aca="false">C539/C527</f>
        <v>0.234772421305764</v>
      </c>
      <c r="D540" s="14" t="n">
        <f aca="false">D539/D527</f>
        <v>0.294112034690999</v>
      </c>
      <c r="E540" s="14" t="n">
        <f aca="false">E539/E527</f>
        <v>0.292854117194897</v>
      </c>
      <c r="F540" s="14" t="n">
        <f aca="false">F539/F527</f>
        <v>0.230555736547319</v>
      </c>
      <c r="G540" s="14" t="n">
        <f aca="false">G539/G527</f>
        <v>0.229571123938006</v>
      </c>
    </row>
    <row r="541" customFormat="false" ht="17.15" hidden="false" customHeight="false" outlineLevel="0" collapsed="false">
      <c r="A541" s="0" t="s">
        <v>449</v>
      </c>
      <c r="B541" s="0" t="s">
        <v>234</v>
      </c>
      <c r="C541" s="30" t="n">
        <f aca="false">a25_egp</f>
        <v>23.695</v>
      </c>
      <c r="D541" s="30" t="n">
        <f aca="false">a26_egp</f>
        <v>27.00552</v>
      </c>
      <c r="E541" s="30" t="n">
        <f aca="false">E528*ems_gm</f>
        <v>29.415287</v>
      </c>
      <c r="F541" s="30" t="n">
        <f aca="false">F528*ems_gm</f>
        <v>30.88605135</v>
      </c>
      <c r="G541" s="30" t="n">
        <f aca="false">G528*ems_gm</f>
        <v>32.4303539175</v>
      </c>
    </row>
    <row r="542" customFormat="false" ht="15" hidden="false" customHeight="false" outlineLevel="0" collapsed="false">
      <c r="A542" s="4" t="s">
        <v>577</v>
      </c>
      <c r="B542" s="0" t="s">
        <v>234</v>
      </c>
      <c r="C542" s="30" t="n">
        <f aca="false">a25_lgp</f>
        <v>-0.881999999999998</v>
      </c>
      <c r="D542" s="30" t="n">
        <f aca="false">a26_lgp</f>
        <v>-0.948662139013863</v>
      </c>
      <c r="E542" s="30" t="n">
        <f aca="false">$D542/$D529*E529</f>
        <v>-1.15570925966528</v>
      </c>
      <c r="F542" s="30" t="n">
        <f aca="false">$D542/$D529*F529</f>
        <v>-1.13762397465798</v>
      </c>
      <c r="G542" s="30" t="n">
        <f aca="false">$D542/$D529*G529</f>
        <v>-1.22831578792013</v>
      </c>
    </row>
    <row r="543" customFormat="false" ht="15" hidden="false" customHeight="false" outlineLevel="0" collapsed="false">
      <c r="A543" s="4" t="s">
        <v>451</v>
      </c>
      <c r="B543" s="0" t="s">
        <v>234</v>
      </c>
      <c r="C543" s="30" t="n">
        <f aca="false">C539+C541+C542</f>
        <v>114.193</v>
      </c>
      <c r="D543" s="30" t="n">
        <f aca="false">D539+D541+D542</f>
        <v>190.680245860986</v>
      </c>
      <c r="E543" s="30" t="n">
        <f aca="false">E539+E541+E542</f>
        <v>238.849358444041</v>
      </c>
      <c r="F543" s="30" t="n">
        <f aca="false">F539+F541+F542</f>
        <v>187.707491911892</v>
      </c>
      <c r="G543" s="30" t="n">
        <f aca="false">G539+G541+G542</f>
        <v>203.504520215282</v>
      </c>
    </row>
    <row r="544" customFormat="false" ht="15" hidden="false" customHeight="false" outlineLevel="0" collapsed="false">
      <c r="A544" s="4" t="s">
        <v>452</v>
      </c>
      <c r="B544" s="0" t="s">
        <v>76</v>
      </c>
      <c r="C544" s="14" t="n">
        <f aca="false">C543/C530</f>
        <v>0.176936974347214</v>
      </c>
      <c r="D544" s="14" t="n">
        <f aca="false">D543/D530</f>
        <v>0.218879008327391</v>
      </c>
      <c r="E544" s="14" t="n">
        <f aca="false">E543/E530</f>
        <v>0.225053340510484</v>
      </c>
      <c r="F544" s="14" t="n">
        <f aca="false">F543/F530</f>
        <v>0.179677149192517</v>
      </c>
      <c r="G544" s="14" t="n">
        <f aca="false">G543/G530</f>
        <v>0.180415565364077</v>
      </c>
    </row>
    <row r="545" customFormat="false" ht="15" hidden="false" customHeight="false" outlineLevel="0" collapsed="false">
      <c r="A545" s="4" t="s">
        <v>578</v>
      </c>
      <c r="B545" s="0" t="s">
        <v>234</v>
      </c>
      <c r="C545" s="30" t="n">
        <f aca="false">a25_opx</f>
        <v>63.437</v>
      </c>
      <c r="D545" s="30" t="n">
        <f aca="false">a26_opx</f>
        <v>79.658</v>
      </c>
      <c r="E545" s="30" t="n">
        <f aca="false">D545*(1+phi*E531)</f>
        <v>90.0892961539678</v>
      </c>
      <c r="F545" s="30" t="n">
        <f aca="false">E545*(1+phi*F531)</f>
        <v>89.2434308551867</v>
      </c>
      <c r="G545" s="30" t="n">
        <f aca="false">F545*(1+phi*G531)</f>
        <v>93.512142879347</v>
      </c>
    </row>
    <row r="546" customFormat="false" ht="15" hidden="false" customHeight="false" outlineLevel="0" collapsed="false">
      <c r="A546" s="4" t="s">
        <v>455</v>
      </c>
      <c r="B546" s="0" t="s">
        <v>234</v>
      </c>
      <c r="C546" s="30" t="n">
        <f aca="false">C543-C545</f>
        <v>50.756</v>
      </c>
      <c r="D546" s="30" t="n">
        <f aca="false">D543-D545</f>
        <v>111.022245860986</v>
      </c>
      <c r="E546" s="30" t="n">
        <f aca="false">E543-E545</f>
        <v>148.760062290073</v>
      </c>
      <c r="F546" s="30" t="n">
        <f aca="false">F543-F545</f>
        <v>98.4640610567051</v>
      </c>
      <c r="G546" s="30" t="n">
        <f aca="false">G543-G545</f>
        <v>109.992377335935</v>
      </c>
    </row>
    <row r="547" customFormat="false" ht="15" hidden="false" customHeight="false" outlineLevel="0" collapsed="false">
      <c r="A547" s="4" t="s">
        <v>537</v>
      </c>
      <c r="B547" s="0" t="s">
        <v>76</v>
      </c>
      <c r="C547" s="14" t="n">
        <f aca="false">C546/C530</f>
        <v>0.0786441644406156</v>
      </c>
      <c r="D547" s="14" t="n">
        <f aca="false">D546/D530</f>
        <v>0.127440779020437</v>
      </c>
      <c r="E547" s="14" t="n">
        <f aca="false">E546/E530</f>
        <v>0.140167631895785</v>
      </c>
      <c r="F547" s="14" t="n">
        <f aca="false">F546/F530</f>
        <v>0.0942516551065052</v>
      </c>
      <c r="G547" s="14" t="n">
        <f aca="false">G546/G530</f>
        <v>0.0975130032581527</v>
      </c>
    </row>
    <row r="548" customFormat="false" ht="15" hidden="false" customHeight="false" outlineLevel="0" collapsed="false">
      <c r="A548" s="4" t="s">
        <v>456</v>
      </c>
      <c r="B548" s="0" t="s">
        <v>234</v>
      </c>
      <c r="C548" s="30" t="n">
        <f aca="false">a25_nonop</f>
        <v>0.545</v>
      </c>
      <c r="D548" s="30" t="n">
        <f aca="false">a26_nonop</f>
        <v>4.302</v>
      </c>
      <c r="E548" s="30" t="n">
        <f aca="false">nonop_f</f>
        <v>-5</v>
      </c>
      <c r="F548" s="30" t="n">
        <f aca="false">nonop_f</f>
        <v>-5</v>
      </c>
      <c r="G548" s="30" t="n">
        <f aca="false">nonop_f</f>
        <v>-5</v>
      </c>
    </row>
    <row r="549" customFormat="false" ht="15" hidden="false" customHeight="false" outlineLevel="0" collapsed="false">
      <c r="A549" s="4" t="s">
        <v>459</v>
      </c>
      <c r="B549" s="0" t="s">
        <v>234</v>
      </c>
      <c r="C549" s="30" t="n">
        <f aca="false">C546+C548</f>
        <v>51.301</v>
      </c>
      <c r="D549" s="30" t="n">
        <f aca="false">D546+D548</f>
        <v>115.324245860986</v>
      </c>
      <c r="E549" s="30" t="n">
        <f aca="false">E546+E548</f>
        <v>143.760062290073</v>
      </c>
      <c r="F549" s="30" t="n">
        <f aca="false">F546+F548</f>
        <v>93.4640610567051</v>
      </c>
      <c r="G549" s="30" t="n">
        <f aca="false">G546+G548</f>
        <v>104.992377335935</v>
      </c>
    </row>
    <row r="550" customFormat="false" ht="15" hidden="false" customHeight="false" outlineLevel="0" collapsed="false">
      <c r="A550" s="4" t="s">
        <v>460</v>
      </c>
      <c r="B550" s="0" t="s">
        <v>234</v>
      </c>
      <c r="C550" s="30" t="n">
        <f aca="false">a25_tax</f>
        <v>9.461</v>
      </c>
      <c r="D550" s="30" t="n">
        <f aca="false">a26_tax</f>
        <v>19.2197317963676</v>
      </c>
      <c r="E550" s="30" t="n">
        <f aca="false">E549*tax</f>
        <v>24.4392105893125</v>
      </c>
      <c r="F550" s="30" t="n">
        <f aca="false">F549*tax</f>
        <v>15.8888903796399</v>
      </c>
      <c r="G550" s="30" t="n">
        <f aca="false">G549*tax</f>
        <v>17.8487041471089</v>
      </c>
    </row>
    <row r="551" customFormat="false" ht="15" hidden="false" customHeight="false" outlineLevel="0" collapsed="false">
      <c r="A551" s="4" t="s">
        <v>461</v>
      </c>
      <c r="B551" s="0" t="s">
        <v>234</v>
      </c>
      <c r="C551" s="30" t="n">
        <f aca="false">a25_nci</f>
        <v>1.182</v>
      </c>
      <c r="D551" s="30" t="n">
        <f aca="false">a26_nci</f>
        <v>2.543</v>
      </c>
      <c r="E551" s="30" t="n">
        <f aca="false">nci</f>
        <v>3</v>
      </c>
      <c r="F551" s="30" t="n">
        <f aca="false">nci</f>
        <v>3</v>
      </c>
      <c r="G551" s="30" t="n">
        <f aca="false">nci</f>
        <v>3</v>
      </c>
    </row>
    <row r="552" customFormat="false" ht="15" hidden="false" customHeight="false" outlineLevel="0" collapsed="false">
      <c r="A552" s="4" t="s">
        <v>462</v>
      </c>
      <c r="B552" s="0" t="s">
        <v>234</v>
      </c>
      <c r="C552" s="30" t="n">
        <f aca="false">C549-C550-C551</f>
        <v>40.658</v>
      </c>
      <c r="D552" s="30" t="n">
        <f aca="false">D549-D550-D551</f>
        <v>93.5615140646185</v>
      </c>
      <c r="E552" s="30" t="n">
        <f aca="false">E549-E550-E551</f>
        <v>116.320851700761</v>
      </c>
      <c r="F552" s="30" t="n">
        <f aca="false">F549-F550-F551</f>
        <v>74.5751706770652</v>
      </c>
      <c r="G552" s="30" t="n">
        <f aca="false">G549-G550-G551</f>
        <v>84.1436731888258</v>
      </c>
      <c r="H552" s="31" t="n">
        <f aca="false">H530*H556</f>
        <v>84.0146970826916</v>
      </c>
      <c r="I552" s="31" t="n">
        <f aca="false">I530*I556</f>
        <v>81.9995479906383</v>
      </c>
      <c r="J552" s="31" t="n">
        <f aca="false">J530*J556</f>
        <v>78.1642746376645</v>
      </c>
    </row>
    <row r="553" customFormat="false" ht="15" hidden="false" customHeight="false" outlineLevel="0" collapsed="false">
      <c r="A553" s="4" t="s">
        <v>579</v>
      </c>
      <c r="B553" s="4" t="s">
        <v>580</v>
      </c>
      <c r="C553" s="18" t="n">
        <f aca="false">a25_sh</f>
        <v>4339.16755602988</v>
      </c>
      <c r="D553" s="18" t="n">
        <f aca="false">a26_sh</f>
        <v>4392.90105184664</v>
      </c>
      <c r="E553" s="18" t="n">
        <f aca="false">D553*(1+sh_g)</f>
        <v>4414.86555710588</v>
      </c>
      <c r="F553" s="18" t="n">
        <f aca="false">E553*(1+sh_g)</f>
        <v>4436.9398848914</v>
      </c>
      <c r="G553" s="18" t="n">
        <f aca="false">F553*(1+sh_g)</f>
        <v>4459.12458431586</v>
      </c>
      <c r="H553" s="25" t="n">
        <f aca="false">G553*(1+sh_g)</f>
        <v>4481.42020723744</v>
      </c>
      <c r="I553" s="25" t="n">
        <f aca="false">H553*(1+sh_g)</f>
        <v>4503.82730827363</v>
      </c>
      <c r="J553" s="25" t="n">
        <f aca="false">I553*(1+sh_g)</f>
        <v>4526.34644481499</v>
      </c>
    </row>
    <row r="554" customFormat="false" ht="17.15" hidden="false" customHeight="false" outlineLevel="0" collapsed="false">
      <c r="A554" s="0" t="s">
        <v>465</v>
      </c>
      <c r="B554" s="0" t="s">
        <v>304</v>
      </c>
      <c r="C554" s="19" t="n">
        <f aca="false">a25_eps</f>
        <v>9.37</v>
      </c>
      <c r="D554" s="19" t="n">
        <f aca="false">a26_eps</f>
        <v>21.2828697294455</v>
      </c>
      <c r="E554" s="19" t="n">
        <f aca="false">E552/E553*1000</f>
        <v>26.3475410963622</v>
      </c>
      <c r="F554" s="19" t="n">
        <f aca="false">F552/F553*1000</f>
        <v>16.8077937974791</v>
      </c>
      <c r="G554" s="19" t="n">
        <f aca="false">G552/G553*1000</f>
        <v>18.8699982693432</v>
      </c>
      <c r="H554" s="28" t="n">
        <f aca="false">H552/H553*1000</f>
        <v>18.7473374951559</v>
      </c>
      <c r="I554" s="28" t="n">
        <f aca="false">I552/I553*1000</f>
        <v>18.2066367953326</v>
      </c>
      <c r="J554" s="28" t="n">
        <f aca="false">J552/J553*1000</f>
        <v>17.2687344176235</v>
      </c>
    </row>
    <row r="555" customFormat="false" ht="17.15" hidden="false" customHeight="false" outlineLevel="0" collapsed="false">
      <c r="A555" s="0" t="s">
        <v>581</v>
      </c>
      <c r="B555" s="0" t="s">
        <v>76</v>
      </c>
      <c r="D555" s="21" t="n">
        <f aca="false">D554/C554-1</f>
        <v>1.27138417603474</v>
      </c>
      <c r="E555" s="21" t="n">
        <f aca="false">E554/D554-1</f>
        <v>0.237969382479916</v>
      </c>
      <c r="F555" s="21" t="n">
        <f aca="false">F554/E554-1</f>
        <v>-0.362073533313523</v>
      </c>
      <c r="G555" s="21" t="n">
        <f aca="false">G554/F554-1</f>
        <v>0.122693346712368</v>
      </c>
      <c r="H555" s="26" t="n">
        <f aca="false">H554/G554-1</f>
        <v>-0.00650030659444045</v>
      </c>
      <c r="I555" s="26" t="n">
        <f aca="false">I554/H554-1</f>
        <v>-0.0288414661528867</v>
      </c>
      <c r="J555" s="26" t="n">
        <f aca="false">J554/I554-1</f>
        <v>-0.0515143125142986</v>
      </c>
    </row>
    <row r="556" customFormat="false" ht="17.15" hidden="false" customHeight="false" outlineLevel="0" collapsed="false">
      <c r="A556" s="4" t="s">
        <v>582</v>
      </c>
      <c r="B556" s="0" t="s">
        <v>76</v>
      </c>
      <c r="C556" s="14" t="n">
        <f aca="false">C552/C530</f>
        <v>0.0629977625862272</v>
      </c>
      <c r="D556" s="14" t="n">
        <f aca="false">D552/D530</f>
        <v>0.107397865592237</v>
      </c>
      <c r="E556" s="14" t="n">
        <f aca="false">E552/E530</f>
        <v>0.109602120838077</v>
      </c>
      <c r="F556" s="14" t="n">
        <f aca="false">F552/F530</f>
        <v>0.0713847589742986</v>
      </c>
      <c r="G556" s="14" t="n">
        <f aca="false">G552/G530</f>
        <v>0.0745970082340814</v>
      </c>
      <c r="H556" s="27" t="n">
        <f aca="false">$G556+(fade_mC-$G556)*1/3</f>
        <v>0.0702790248824314</v>
      </c>
      <c r="I556" s="27" t="n">
        <f aca="false">$G556+(fade_mC-$G556)*2/3</f>
        <v>0.0659610415307815</v>
      </c>
      <c r="J556" s="27" t="n">
        <f aca="false">$G556+(fade_mC-$G556)*3/3</f>
        <v>0.0616430581791315</v>
      </c>
    </row>
    <row r="557" customFormat="false" ht="17.15" hidden="false" customHeight="false" outlineLevel="0" collapsed="false">
      <c r="A557" s="4" t="s">
        <v>583</v>
      </c>
      <c r="B557" s="0" t="s">
        <v>234</v>
      </c>
      <c r="C557" s="30" t="n">
        <f aca="false">C552+C538-C536</f>
        <v>-54.587</v>
      </c>
      <c r="D557" s="30" t="n">
        <f aca="false">D552+D538-D536</f>
        <v>-176.164485935382</v>
      </c>
      <c r="E557" s="30" t="n">
        <f aca="false">E552+E538-E536</f>
        <v>-168.839398299239</v>
      </c>
      <c r="F557" s="30" t="n">
        <f aca="false">F552+F538-F536</f>
        <v>-72.3480013192936</v>
      </c>
      <c r="G557" s="30" t="n">
        <f aca="false">G552+G538-G536</f>
        <v>-69.3991028036382</v>
      </c>
      <c r="K557" s="4" t="s">
        <v>584</v>
      </c>
    </row>
    <row r="558" customFormat="false" ht="17.15" hidden="false" customHeight="false" outlineLevel="0" collapsed="false">
      <c r="A558" s="4" t="s">
        <v>585</v>
      </c>
      <c r="B558" s="0" t="s">
        <v>76</v>
      </c>
      <c r="D558" s="21" t="n">
        <f aca="false">(D546-$C546)/SUM($D536:D536)</f>
        <v>0.164280348537512</v>
      </c>
      <c r="E558" s="21" t="n">
        <f aca="false">(E546-$C546)/SUM($D536:E536)</f>
        <v>0.125188813042184</v>
      </c>
      <c r="F558" s="21" t="n">
        <f aca="false">(F546-$C546)/SUM($D536:F536)</f>
        <v>0.0435190102068831</v>
      </c>
      <c r="G558" s="21" t="n">
        <f aca="false">(G546-$C546)/SUM($D536:G536)</f>
        <v>0.0412897500342326</v>
      </c>
      <c r="K558" s="4" t="s">
        <v>586</v>
      </c>
    </row>
    <row r="561" customFormat="false" ht="17.15" hidden="false" customHeight="false" outlineLevel="0" collapsed="false">
      <c r="A561" s="1" t="s">
        <v>925</v>
      </c>
    </row>
    <row r="562" customFormat="false" ht="17.15" hidden="false" customHeight="false" outlineLevel="0" collapsed="false">
      <c r="A562" s="5" t="s">
        <v>21</v>
      </c>
      <c r="B562" s="5" t="s">
        <v>22</v>
      </c>
      <c r="C562" s="15" t="s">
        <v>424</v>
      </c>
      <c r="D562" s="15" t="s">
        <v>524</v>
      </c>
      <c r="E562" s="15" t="s">
        <v>525</v>
      </c>
      <c r="F562" s="15" t="s">
        <v>526</v>
      </c>
      <c r="G562" s="15" t="s">
        <v>527</v>
      </c>
      <c r="H562" s="15" t="s">
        <v>528</v>
      </c>
      <c r="I562" s="15" t="s">
        <v>529</v>
      </c>
      <c r="J562" s="15" t="s">
        <v>530</v>
      </c>
      <c r="K562" s="5" t="s">
        <v>382</v>
      </c>
    </row>
    <row r="563" customFormat="false" ht="17.15" hidden="false" customHeight="false" outlineLevel="0" collapsed="false">
      <c r="A563" s="6" t="s">
        <v>548</v>
      </c>
    </row>
    <row r="564" customFormat="false" ht="17.15" hidden="false" customHeight="false" outlineLevel="0" collapsed="false">
      <c r="A564" s="0" t="s">
        <v>549</v>
      </c>
      <c r="B564" s="4" t="s">
        <v>32</v>
      </c>
      <c r="D564" s="19" t="n">
        <f aca="false">units_26</f>
        <v>15.2</v>
      </c>
      <c r="E564" s="19" t="n">
        <f aca="false">units_27*1</f>
        <v>23.7</v>
      </c>
      <c r="F564" s="19" t="n">
        <f aca="false">units_28*um28_A*1</f>
        <v>26.5</v>
      </c>
      <c r="G564" s="19" t="n">
        <f aca="false">units_29*um29_A*1</f>
        <v>30.15</v>
      </c>
    </row>
    <row r="565" customFormat="false" ht="17.15" hidden="false" customHeight="false" outlineLevel="0" collapsed="false">
      <c r="A565" s="4" t="s">
        <v>497</v>
      </c>
      <c r="B565" s="0" t="s">
        <v>45</v>
      </c>
      <c r="D565" s="22" t="n">
        <f aca="false">ar_26</f>
        <v>1</v>
      </c>
      <c r="E565" s="22" t="n">
        <f aca="false">ar_27</f>
        <v>1.278156</v>
      </c>
      <c r="F565" s="22" t="n">
        <f aca="false">ar_28</f>
        <v>1.428615</v>
      </c>
      <c r="G565" s="22" t="n">
        <f aca="false">ar_29</f>
        <v>1.431796</v>
      </c>
    </row>
    <row r="566" customFormat="false" ht="17.15" hidden="false" customHeight="false" outlineLevel="0" collapsed="false">
      <c r="A566" s="4" t="s">
        <v>550</v>
      </c>
      <c r="B566" s="0" t="s">
        <v>45</v>
      </c>
      <c r="D566" s="19" t="n">
        <f aca="false">1</f>
        <v>1</v>
      </c>
      <c r="E566" s="19" t="n">
        <f aca="false">rel27_A</f>
        <v>1.1</v>
      </c>
      <c r="F566" s="19" t="n">
        <f aca="false">rel28_A</f>
        <v>1.15</v>
      </c>
      <c r="G566" s="19" t="n">
        <f aca="false">rel29_A</f>
        <v>1.2</v>
      </c>
    </row>
    <row r="567" customFormat="false" ht="17.15" hidden="false" customHeight="false" outlineLevel="0" collapsed="false">
      <c r="A567" s="4" t="s">
        <v>551</v>
      </c>
      <c r="B567" s="0" t="s">
        <v>502</v>
      </c>
      <c r="D567" s="23" t="n">
        <f aca="false">D568*1000/D564</f>
        <v>236.842105263158</v>
      </c>
      <c r="E567" s="23" t="n">
        <f aca="false">$D567*E565^el_hi</f>
        <v>302.721157894737</v>
      </c>
      <c r="F567" s="23" t="n">
        <f aca="false">$D567*F565^el_hi</f>
        <v>338.356184210526</v>
      </c>
      <c r="G567" s="23" t="n">
        <f aca="false">$D567*G565^el_hi</f>
        <v>339.109578947368</v>
      </c>
      <c r="K567" s="8" t="s">
        <v>552</v>
      </c>
    </row>
    <row r="568" customFormat="false" ht="17.15" hidden="false" customHeight="false" outlineLevel="0" collapsed="false">
      <c r="A568" s="0" t="s">
        <v>553</v>
      </c>
      <c r="B568" s="0" t="s">
        <v>120</v>
      </c>
      <c r="D568" s="22" t="n">
        <f aca="false">leap26-D569-D570</f>
        <v>3.6</v>
      </c>
      <c r="E568" s="22" t="n">
        <f aca="false">E564*E566*E567/1000</f>
        <v>7.89194058631579</v>
      </c>
      <c r="F568" s="22" t="n">
        <f aca="false">F564*F566*F567/1000</f>
        <v>10.3114047138158</v>
      </c>
      <c r="G568" s="22" t="n">
        <f aca="false">G564*G566*G567/1000</f>
        <v>12.2689845663158</v>
      </c>
      <c r="K568" s="8" t="s">
        <v>554</v>
      </c>
    </row>
    <row r="569" customFormat="false" ht="17.15" hidden="false" customHeight="false" outlineLevel="0" collapsed="false">
      <c r="A569" s="4" t="s">
        <v>555</v>
      </c>
      <c r="B569" s="0" t="s">
        <v>120</v>
      </c>
      <c r="D569" s="22" t="n">
        <f aca="false">fp26</f>
        <v>0.3</v>
      </c>
      <c r="E569" s="22" t="n">
        <f aca="false">fp27_A</f>
        <v>1.2</v>
      </c>
      <c r="F569" s="22" t="n">
        <f aca="false">E569*F564/E564*(1+fp_g)</f>
        <v>1.74430379746835</v>
      </c>
      <c r="G569" s="22" t="n">
        <f aca="false">F569*G564/F564*(1+fp_g)</f>
        <v>2.57992405063291</v>
      </c>
    </row>
    <row r="570" customFormat="false" ht="17.15" hidden="false" customHeight="false" outlineLevel="0" collapsed="false">
      <c r="A570" s="0" t="s">
        <v>556</v>
      </c>
      <c r="B570" s="0" t="s">
        <v>120</v>
      </c>
      <c r="D570" s="22" t="n">
        <f aca="false">cpo27*cpo_A_26/cpo_A_27</f>
        <v>0.1</v>
      </c>
      <c r="E570" s="22" t="n">
        <f aca="false">cpo27*cpo_A_27/cpo_A_27</f>
        <v>0.5</v>
      </c>
      <c r="F570" s="22" t="n">
        <f aca="false">cpo27*cpo_A_28/cpo_A_27*F564/E564</f>
        <v>1.11814345991561</v>
      </c>
      <c r="G570" s="22" t="n">
        <f aca="false">cpo27*cpo_A_29/cpo_A_27*G564/E564</f>
        <v>2.03544303797468</v>
      </c>
      <c r="K570" s="8" t="s">
        <v>557</v>
      </c>
    </row>
    <row r="571" customFormat="false" ht="17.15" hidden="false" customHeight="false" outlineLevel="0" collapsed="false">
      <c r="A571" s="0" t="s">
        <v>510</v>
      </c>
      <c r="B571" s="0" t="s">
        <v>120</v>
      </c>
      <c r="C571" s="22" t="n">
        <f aca="false">leap25</f>
        <v>1.6</v>
      </c>
      <c r="D571" s="22" t="n">
        <f aca="false">D568+D569+D570</f>
        <v>4</v>
      </c>
      <c r="E571" s="22" t="n">
        <f aca="false">E568+E569+E570</f>
        <v>9.59194058631579</v>
      </c>
      <c r="F571" s="22" t="n">
        <f aca="false">F568+F569+F570</f>
        <v>13.1738519711998</v>
      </c>
      <c r="G571" s="22" t="n">
        <f aca="false">G568+G569+G570</f>
        <v>16.8843516549234</v>
      </c>
    </row>
    <row r="572" customFormat="false" ht="17.15" hidden="false" customHeight="false" outlineLevel="0" collapsed="false">
      <c r="A572" s="4" t="s">
        <v>558</v>
      </c>
      <c r="B572" s="0" t="s">
        <v>114</v>
      </c>
      <c r="C572" s="19" t="n">
        <f aca="false">fx25</f>
        <v>31</v>
      </c>
      <c r="D572" s="19" t="n">
        <f aca="false">a26_leap/D571</f>
        <v>31.9</v>
      </c>
      <c r="E572" s="19" t="n">
        <f aca="false">fx</f>
        <v>32</v>
      </c>
      <c r="F572" s="19" t="n">
        <f aca="false">fx</f>
        <v>32</v>
      </c>
      <c r="G572" s="19" t="n">
        <f aca="false">fx</f>
        <v>32</v>
      </c>
      <c r="K572" s="8" t="s">
        <v>559</v>
      </c>
    </row>
    <row r="573" customFormat="false" ht="17.15" hidden="false" customHeight="false" outlineLevel="0" collapsed="false">
      <c r="A573" s="6" t="s">
        <v>560</v>
      </c>
    </row>
    <row r="574" customFormat="false" ht="17.15" hidden="false" customHeight="false" outlineLevel="0" collapsed="false">
      <c r="A574" s="0" t="s">
        <v>438</v>
      </c>
      <c r="B574" s="0" t="s">
        <v>234</v>
      </c>
      <c r="C574" s="30" t="n">
        <f aca="false">a25_leap</f>
        <v>49.6</v>
      </c>
      <c r="D574" s="30" t="n">
        <f aca="false">a26_leap</f>
        <v>127.6</v>
      </c>
      <c r="E574" s="30" t="n">
        <f aca="false">E571*E572</f>
        <v>306.942098762105</v>
      </c>
      <c r="F574" s="30" t="n">
        <f aca="false">F571*F572</f>
        <v>421.563263078392</v>
      </c>
      <c r="G574" s="30" t="n">
        <f aca="false">G571*G572</f>
        <v>540.299252957548</v>
      </c>
    </row>
    <row r="575" customFormat="false" ht="15" hidden="false" customHeight="false" outlineLevel="0" collapsed="false">
      <c r="A575" s="4" t="s">
        <v>561</v>
      </c>
      <c r="B575" s="0" t="s">
        <v>234</v>
      </c>
      <c r="C575" s="30" t="n">
        <f aca="false">a25_ms</f>
        <v>339.628</v>
      </c>
      <c r="D575" s="30" t="n">
        <f aca="false">a26_ms</f>
        <v>432.1302</v>
      </c>
      <c r="E575" s="30" t="n">
        <f aca="false">D575*(1+g_ms27)</f>
        <v>496.94973</v>
      </c>
      <c r="F575" s="30" t="n">
        <f aca="false">E575*(1+g_msL)</f>
        <v>531.7362111</v>
      </c>
      <c r="G575" s="30" t="n">
        <f aca="false">F575*(1+g_msL)</f>
        <v>568.957745877</v>
      </c>
    </row>
    <row r="576" customFormat="false" ht="17.15" hidden="false" customHeight="false" outlineLevel="0" collapsed="false">
      <c r="A576" s="4" t="s">
        <v>562</v>
      </c>
      <c r="B576" s="0" t="s">
        <v>234</v>
      </c>
      <c r="C576" s="30" t="n">
        <f aca="false">C574+C575</f>
        <v>389.228</v>
      </c>
      <c r="D576" s="30" t="n">
        <f aca="false">D574+D575</f>
        <v>559.7302</v>
      </c>
      <c r="E576" s="30" t="n">
        <f aca="false">E574+E575</f>
        <v>803.891828762105</v>
      </c>
      <c r="F576" s="30" t="n">
        <f aca="false">F574+F575</f>
        <v>953.299474178392</v>
      </c>
      <c r="G576" s="30" t="n">
        <f aca="false">G574+G575</f>
        <v>1109.25699883455</v>
      </c>
    </row>
    <row r="577" customFormat="false" ht="17.15" hidden="false" customHeight="false" outlineLevel="0" collapsed="false">
      <c r="A577" s="0" t="s">
        <v>563</v>
      </c>
      <c r="B577" s="0" t="s">
        <v>234</v>
      </c>
      <c r="C577" s="30" t="n">
        <f aca="false">a25_ems</f>
        <v>259.079</v>
      </c>
      <c r="D577" s="30" t="n">
        <f aca="false">a26_ems</f>
        <v>314.602</v>
      </c>
      <c r="E577" s="30" t="n">
        <f aca="false">D577*(1+g_ems27)</f>
        <v>346.0622</v>
      </c>
      <c r="F577" s="30" t="n">
        <f aca="false">E577*(1+g_emsL)</f>
        <v>363.36531</v>
      </c>
      <c r="G577" s="30" t="n">
        <f aca="false">F577*(1+g_emsL)</f>
        <v>381.5335755</v>
      </c>
    </row>
    <row r="578" customFormat="false" ht="17.15" hidden="false" customHeight="false" outlineLevel="0" collapsed="false">
      <c r="A578" s="4" t="s">
        <v>564</v>
      </c>
      <c r="B578" s="0" t="s">
        <v>234</v>
      </c>
      <c r="C578" s="30" t="n">
        <f aca="false">a25_elim</f>
        <v>-2.91899999999998</v>
      </c>
      <c r="D578" s="30" t="n">
        <f aca="false">a26_elim</f>
        <v>-3.16484905982349</v>
      </c>
      <c r="E578" s="30" t="n">
        <f aca="false">$D578/($D576+$D577)*(E576+E577)</f>
        <v>-4.16252647079449</v>
      </c>
      <c r="F578" s="30" t="n">
        <f aca="false">$D578/($D576+$D577)*(F576+F577)</f>
        <v>-4.76597488267009</v>
      </c>
      <c r="G578" s="30" t="n">
        <f aca="false">$D578/($D576+$D577)*(G576+G577)</f>
        <v>-5.39626374000227</v>
      </c>
      <c r="K578" s="4" t="s">
        <v>565</v>
      </c>
    </row>
    <row r="579" customFormat="false" ht="17.15" hidden="false" customHeight="false" outlineLevel="0" collapsed="false">
      <c r="A579" s="4" t="s">
        <v>431</v>
      </c>
      <c r="B579" s="0" t="s">
        <v>234</v>
      </c>
      <c r="C579" s="30" t="n">
        <f aca="false">C576+C577+C578</f>
        <v>645.388</v>
      </c>
      <c r="D579" s="30" t="n">
        <f aca="false">D576+D577+D578</f>
        <v>871.167350940177</v>
      </c>
      <c r="E579" s="30" t="n">
        <f aca="false">E576+E577+E578</f>
        <v>1145.79150229131</v>
      </c>
      <c r="F579" s="30" t="n">
        <f aca="false">F576+F577+F578</f>
        <v>1311.89880929572</v>
      </c>
      <c r="G579" s="30" t="n">
        <f aca="false">G576+G577+G578</f>
        <v>1485.39431059455</v>
      </c>
      <c r="H579" s="31" t="n">
        <f aca="false">G579*(1+H580)</f>
        <v>1646.06210962744</v>
      </c>
      <c r="I579" s="31" t="n">
        <f aca="false">H579*(1+I580)</f>
        <v>1784.46719534918</v>
      </c>
      <c r="J579" s="31" t="n">
        <f aca="false">I579*(1+J580)</f>
        <v>1891.53522707013</v>
      </c>
      <c r="K579" s="8" t="s">
        <v>566</v>
      </c>
    </row>
    <row r="580" customFormat="false" ht="15" hidden="false" customHeight="false" outlineLevel="0" collapsed="false">
      <c r="A580" s="4" t="s">
        <v>567</v>
      </c>
      <c r="B580" s="0" t="s">
        <v>76</v>
      </c>
      <c r="D580" s="21" t="n">
        <f aca="false">D579/C579-1</f>
        <v>0.349835061916516</v>
      </c>
      <c r="E580" s="21" t="n">
        <f aca="false">E579/D579-1</f>
        <v>0.315236964579487</v>
      </c>
      <c r="F580" s="21" t="n">
        <f aca="false">F579/E579-1</f>
        <v>0.144971669515995</v>
      </c>
      <c r="G580" s="21" t="n">
        <f aca="false">G579/F579-1</f>
        <v>0.132247624641083</v>
      </c>
      <c r="H580" s="26" t="n">
        <f aca="false">$G580+(fade_gA-$G580)*1/3</f>
        <v>0.108165083094055</v>
      </c>
      <c r="I580" s="26" t="n">
        <f aca="false">$G580+(fade_gA-$G580)*2/3</f>
        <v>0.0840825415470276</v>
      </c>
      <c r="J580" s="26" t="n">
        <f aca="false">$G580+(fade_gA-$G580)*3/3</f>
        <v>0.06</v>
      </c>
    </row>
    <row r="581" customFormat="false" ht="17.15" hidden="false" customHeight="false" outlineLevel="0" collapsed="false">
      <c r="A581" s="0" t="s">
        <v>475</v>
      </c>
      <c r="B581" s="0" t="s">
        <v>76</v>
      </c>
      <c r="C581" s="21" t="n">
        <f aca="false">C574/C576</f>
        <v>0.127431736668482</v>
      </c>
      <c r="D581" s="21" t="n">
        <f aca="false">D574/D576</f>
        <v>0.227966974088588</v>
      </c>
      <c r="E581" s="21" t="n">
        <f aca="false">E574/E576</f>
        <v>0.381820150149751</v>
      </c>
      <c r="F581" s="21" t="n">
        <f aca="false">F574/F576</f>
        <v>0.442214932974467</v>
      </c>
      <c r="G581" s="21" t="n">
        <f aca="false">G574/G576</f>
        <v>0.487082122109862</v>
      </c>
    </row>
    <row r="582" customFormat="false" ht="15" hidden="false" customHeight="false" outlineLevel="0" collapsed="false">
      <c r="A582" s="4" t="s">
        <v>568</v>
      </c>
      <c r="B582" s="0" t="s">
        <v>76</v>
      </c>
      <c r="D582" s="21" t="n">
        <f aca="false">D576/C576-1</f>
        <v>0.438052247012034</v>
      </c>
      <c r="E582" s="21" t="n">
        <f aca="false">E576/D576-1</f>
        <v>0.43621306972914</v>
      </c>
      <c r="F582" s="21" t="n">
        <f aca="false">F576/E576-1</f>
        <v>0.185855409982655</v>
      </c>
      <c r="G582" s="21" t="n">
        <f aca="false">G576/F576-1</f>
        <v>0.163597619510458</v>
      </c>
    </row>
    <row r="583" customFormat="false" ht="17.15" hidden="false" customHeight="false" outlineLevel="0" collapsed="false">
      <c r="A583" s="6" t="s">
        <v>569</v>
      </c>
    </row>
    <row r="584" customFormat="false" ht="17.15" hidden="false" customHeight="false" outlineLevel="0" collapsed="false">
      <c r="A584" s="4" t="s">
        <v>570</v>
      </c>
      <c r="B584" s="0" t="s">
        <v>120</v>
      </c>
      <c r="C584" s="19" t="n">
        <f aca="false">capex25</f>
        <v>5.5</v>
      </c>
      <c r="D584" s="19" t="n">
        <f aca="false">capex26</f>
        <v>11.5</v>
      </c>
      <c r="E584" s="19" t="n">
        <f aca="false">capex27</f>
        <v>13</v>
      </c>
      <c r="F584" s="19" t="n">
        <f aca="false">capi*F579/F572</f>
        <v>12.2990513371474</v>
      </c>
      <c r="G584" s="19" t="n">
        <f aca="false">capi*G579/G572</f>
        <v>13.9255716618239</v>
      </c>
      <c r="K584" s="8" t="s">
        <v>571</v>
      </c>
    </row>
    <row r="585" customFormat="false" ht="15" hidden="false" customHeight="false" outlineLevel="0" collapsed="false">
      <c r="A585" s="4" t="s">
        <v>572</v>
      </c>
      <c r="B585" s="0" t="s">
        <v>234</v>
      </c>
      <c r="C585" s="30" t="n">
        <f aca="false">C584*C572</f>
        <v>170.5</v>
      </c>
      <c r="D585" s="30" t="n">
        <f aca="false">D584*31.9</f>
        <v>366.85</v>
      </c>
      <c r="E585" s="30" t="n">
        <f aca="false">E584*E572</f>
        <v>416</v>
      </c>
      <c r="F585" s="30" t="n">
        <f aca="false">F584*F572</f>
        <v>393.569642788717</v>
      </c>
      <c r="G585" s="30" t="n">
        <f aca="false">G584*G572</f>
        <v>445.618293178364</v>
      </c>
    </row>
    <row r="586" customFormat="false" ht="17.15" hidden="false" customHeight="false" outlineLevel="0" collapsed="false">
      <c r="A586" s="4" t="s">
        <v>473</v>
      </c>
      <c r="B586" s="0" t="s">
        <v>76</v>
      </c>
      <c r="C586" s="21" t="n">
        <f aca="false">C585/C579</f>
        <v>0.264182166386732</v>
      </c>
      <c r="D586" s="21" t="n">
        <f aca="false">D585/D579</f>
        <v>0.421101639775745</v>
      </c>
      <c r="E586" s="21" t="n">
        <f aca="false">E585/E579</f>
        <v>0.363067800003839</v>
      </c>
      <c r="F586" s="21" t="n">
        <f aca="false">F585/F579</f>
        <v>0.3</v>
      </c>
      <c r="G586" s="21" t="n">
        <f aca="false">G585/G579</f>
        <v>0.3</v>
      </c>
    </row>
    <row r="587" customFormat="false" ht="17.15" hidden="false" customHeight="false" outlineLevel="0" collapsed="false">
      <c r="A587" s="4" t="s">
        <v>573</v>
      </c>
      <c r="B587" s="0" t="s">
        <v>234</v>
      </c>
      <c r="C587" s="30" t="n">
        <f aca="false">a25_da</f>
        <v>75.255</v>
      </c>
      <c r="D587" s="30" t="n">
        <f aca="false">a26_da</f>
        <v>97.124</v>
      </c>
      <c r="E587" s="30" t="n">
        <f aca="false">D587*(1-1/life)+D585/life</f>
        <v>130.83975</v>
      </c>
      <c r="F587" s="30" t="n">
        <f aca="false">E587*(1-1/life)+E585/life</f>
        <v>166.48478125</v>
      </c>
      <c r="G587" s="30" t="n">
        <f aca="false">F587*(1-1/life)+F585/life</f>
        <v>194.87038894234</v>
      </c>
      <c r="K587" s="4" t="s">
        <v>574</v>
      </c>
    </row>
    <row r="588" customFormat="false" ht="17.15" hidden="false" customHeight="false" outlineLevel="0" collapsed="false">
      <c r="A588" s="4" t="s">
        <v>575</v>
      </c>
      <c r="B588" s="0" t="s">
        <v>234</v>
      </c>
      <c r="C588" s="30" t="n">
        <f aca="false">a25_agp</f>
        <v>91.38</v>
      </c>
      <c r="D588" s="30" t="n">
        <f aca="false">a26_agp</f>
        <v>164.623388</v>
      </c>
      <c r="E588" s="30" t="n">
        <f aca="false">$D588+ft*(E576-$D576)-(E587-$D587)</f>
        <v>252.988452381053</v>
      </c>
      <c r="F588" s="30" t="n">
        <f aca="false">$D588+ft*(F576-$D576)-(F587-$D587)</f>
        <v>292.047243839196</v>
      </c>
      <c r="G588" s="30" t="n">
        <f aca="false">$D588+ft*(G576-$D576)-(G587-$D587)</f>
        <v>341.640398474935</v>
      </c>
      <c r="K588" s="4" t="s">
        <v>576</v>
      </c>
    </row>
    <row r="589" customFormat="false" ht="15" hidden="false" customHeight="false" outlineLevel="0" collapsed="false">
      <c r="A589" s="4" t="s">
        <v>447</v>
      </c>
      <c r="B589" s="0" t="s">
        <v>76</v>
      </c>
      <c r="C589" s="14" t="n">
        <f aca="false">C588/C576</f>
        <v>0.234772421305764</v>
      </c>
      <c r="D589" s="14" t="n">
        <f aca="false">D588/D576</f>
        <v>0.294112034690999</v>
      </c>
      <c r="E589" s="14" t="n">
        <f aca="false">E588/E576</f>
        <v>0.314704594983412</v>
      </c>
      <c r="F589" s="14" t="n">
        <f aca="false">F588/F576</f>
        <v>0.306354143424761</v>
      </c>
      <c r="G589" s="14" t="n">
        <f aca="false">G588/G576</f>
        <v>0.307990302368056</v>
      </c>
    </row>
    <row r="590" customFormat="false" ht="17.15" hidden="false" customHeight="false" outlineLevel="0" collapsed="false">
      <c r="A590" s="0" t="s">
        <v>449</v>
      </c>
      <c r="B590" s="0" t="s">
        <v>234</v>
      </c>
      <c r="C590" s="30" t="n">
        <f aca="false">a25_egp</f>
        <v>23.695</v>
      </c>
      <c r="D590" s="30" t="n">
        <f aca="false">a26_egp</f>
        <v>27.00552</v>
      </c>
      <c r="E590" s="30" t="n">
        <f aca="false">E577*ems_gm</f>
        <v>29.415287</v>
      </c>
      <c r="F590" s="30" t="n">
        <f aca="false">F577*ems_gm</f>
        <v>30.88605135</v>
      </c>
      <c r="G590" s="30" t="n">
        <f aca="false">G577*ems_gm</f>
        <v>32.4303539175</v>
      </c>
    </row>
    <row r="591" customFormat="false" ht="15" hidden="false" customHeight="false" outlineLevel="0" collapsed="false">
      <c r="A591" s="4" t="s">
        <v>577</v>
      </c>
      <c r="B591" s="0" t="s">
        <v>234</v>
      </c>
      <c r="C591" s="30" t="n">
        <f aca="false">a25_lgp</f>
        <v>-0.881999999999998</v>
      </c>
      <c r="D591" s="30" t="n">
        <f aca="false">a26_lgp</f>
        <v>-0.948662139013863</v>
      </c>
      <c r="E591" s="30" t="n">
        <f aca="false">$D591/$D578*E578</f>
        <v>-1.24771551212808</v>
      </c>
      <c r="F591" s="30" t="n">
        <f aca="false">$D591/$D578*F578</f>
        <v>-1.42859891300229</v>
      </c>
      <c r="G591" s="30" t="n">
        <f aca="false">$D591/$D578*G578</f>
        <v>-1.61752772581167</v>
      </c>
    </row>
    <row r="592" customFormat="false" ht="15" hidden="false" customHeight="false" outlineLevel="0" collapsed="false">
      <c r="A592" s="4" t="s">
        <v>451</v>
      </c>
      <c r="B592" s="0" t="s">
        <v>234</v>
      </c>
      <c r="C592" s="30" t="n">
        <f aca="false">C588+C590+C591</f>
        <v>114.193</v>
      </c>
      <c r="D592" s="30" t="n">
        <f aca="false">D588+D590+D591</f>
        <v>190.680245860986</v>
      </c>
      <c r="E592" s="30" t="n">
        <f aca="false">E588+E590+E591</f>
        <v>281.156023868925</v>
      </c>
      <c r="F592" s="30" t="n">
        <f aca="false">F588+F590+F591</f>
        <v>321.504696276194</v>
      </c>
      <c r="G592" s="30" t="n">
        <f aca="false">G588+G590+G591</f>
        <v>372.453224666623</v>
      </c>
    </row>
    <row r="593" customFormat="false" ht="15" hidden="false" customHeight="false" outlineLevel="0" collapsed="false">
      <c r="A593" s="4" t="s">
        <v>452</v>
      </c>
      <c r="B593" s="0" t="s">
        <v>76</v>
      </c>
      <c r="C593" s="14" t="n">
        <f aca="false">C592/C579</f>
        <v>0.176936974347214</v>
      </c>
      <c r="D593" s="14" t="n">
        <f aca="false">D592/D579</f>
        <v>0.218879008327391</v>
      </c>
      <c r="E593" s="14" t="n">
        <f aca="false">E592/E579</f>
        <v>0.24538148808634</v>
      </c>
      <c r="F593" s="14" t="n">
        <f aca="false">F592/F579</f>
        <v>0.24506821257715</v>
      </c>
      <c r="G593" s="14" t="n">
        <f aca="false">G592/G579</f>
        <v>0.250743672579131</v>
      </c>
    </row>
    <row r="594" customFormat="false" ht="15" hidden="false" customHeight="false" outlineLevel="0" collapsed="false">
      <c r="A594" s="4" t="s">
        <v>578</v>
      </c>
      <c r="B594" s="0" t="s">
        <v>234</v>
      </c>
      <c r="C594" s="30" t="n">
        <f aca="false">a25_opx</f>
        <v>63.437</v>
      </c>
      <c r="D594" s="30" t="n">
        <f aca="false">a26_opx</f>
        <v>79.658</v>
      </c>
      <c r="E594" s="30" t="n">
        <f aca="false">D594*(1+phi*E580)</f>
        <v>94.7246876746837</v>
      </c>
      <c r="F594" s="30" t="n">
        <f aca="false">E594*(1+phi*F580)</f>
        <v>102.964125344632</v>
      </c>
      <c r="G594" s="30" t="n">
        <f aca="false">F594*(1+phi*G580)</f>
        <v>111.134181944676</v>
      </c>
    </row>
    <row r="595" customFormat="false" ht="15" hidden="false" customHeight="false" outlineLevel="0" collapsed="false">
      <c r="A595" s="4" t="s">
        <v>455</v>
      </c>
      <c r="B595" s="0" t="s">
        <v>234</v>
      </c>
      <c r="C595" s="30" t="n">
        <f aca="false">C592-C594</f>
        <v>50.756</v>
      </c>
      <c r="D595" s="30" t="n">
        <f aca="false">D592-D594</f>
        <v>111.022245860986</v>
      </c>
      <c r="E595" s="30" t="n">
        <f aca="false">E592-E594</f>
        <v>186.431336194241</v>
      </c>
      <c r="F595" s="30" t="n">
        <f aca="false">F592-F594</f>
        <v>218.540570931562</v>
      </c>
      <c r="G595" s="30" t="n">
        <f aca="false">G592-G594</f>
        <v>261.319042721947</v>
      </c>
    </row>
    <row r="596" customFormat="false" ht="15" hidden="false" customHeight="false" outlineLevel="0" collapsed="false">
      <c r="A596" s="4" t="s">
        <v>537</v>
      </c>
      <c r="B596" s="0" t="s">
        <v>76</v>
      </c>
      <c r="C596" s="14" t="n">
        <f aca="false">C595/C579</f>
        <v>0.0786441644406156</v>
      </c>
      <c r="D596" s="14" t="n">
        <f aca="false">D595/D579</f>
        <v>0.127440779020437</v>
      </c>
      <c r="E596" s="14" t="n">
        <f aca="false">E595/E579</f>
        <v>0.162709651643796</v>
      </c>
      <c r="F596" s="14" t="n">
        <f aca="false">F595/F579</f>
        <v>0.166583405200957</v>
      </c>
      <c r="G596" s="14" t="n">
        <f aca="false">G595/G579</f>
        <v>0.1759257059611</v>
      </c>
    </row>
    <row r="597" customFormat="false" ht="15" hidden="false" customHeight="false" outlineLevel="0" collapsed="false">
      <c r="A597" s="4" t="s">
        <v>456</v>
      </c>
      <c r="B597" s="0" t="s">
        <v>234</v>
      </c>
      <c r="C597" s="30" t="n">
        <f aca="false">a25_nonop</f>
        <v>0.545</v>
      </c>
      <c r="D597" s="30" t="n">
        <f aca="false">a26_nonop</f>
        <v>4.302</v>
      </c>
      <c r="E597" s="30" t="n">
        <f aca="false">nonop_f</f>
        <v>-5</v>
      </c>
      <c r="F597" s="30" t="n">
        <f aca="false">nonop_f</f>
        <v>-5</v>
      </c>
      <c r="G597" s="30" t="n">
        <f aca="false">nonop_f</f>
        <v>-5</v>
      </c>
    </row>
    <row r="598" customFormat="false" ht="15" hidden="false" customHeight="false" outlineLevel="0" collapsed="false">
      <c r="A598" s="4" t="s">
        <v>459</v>
      </c>
      <c r="B598" s="0" t="s">
        <v>234</v>
      </c>
      <c r="C598" s="30" t="n">
        <f aca="false">C595+C597</f>
        <v>51.301</v>
      </c>
      <c r="D598" s="30" t="n">
        <f aca="false">D595+D597</f>
        <v>115.324245860986</v>
      </c>
      <c r="E598" s="30" t="n">
        <f aca="false">E595+E597</f>
        <v>181.431336194241</v>
      </c>
      <c r="F598" s="30" t="n">
        <f aca="false">F595+F597</f>
        <v>213.540570931562</v>
      </c>
      <c r="G598" s="30" t="n">
        <f aca="false">G595+G597</f>
        <v>256.319042721947</v>
      </c>
    </row>
    <row r="599" customFormat="false" ht="15" hidden="false" customHeight="false" outlineLevel="0" collapsed="false">
      <c r="A599" s="4" t="s">
        <v>460</v>
      </c>
      <c r="B599" s="0" t="s">
        <v>234</v>
      </c>
      <c r="C599" s="30" t="n">
        <f aca="false">a25_tax</f>
        <v>9.461</v>
      </c>
      <c r="D599" s="30" t="n">
        <f aca="false">a26_tax</f>
        <v>19.2197317963676</v>
      </c>
      <c r="E599" s="30" t="n">
        <f aca="false">E598*tax</f>
        <v>30.843327153021</v>
      </c>
      <c r="F599" s="30" t="n">
        <f aca="false">F598*tax</f>
        <v>36.3018970583656</v>
      </c>
      <c r="G599" s="30" t="n">
        <f aca="false">G598*tax</f>
        <v>43.5742372627309</v>
      </c>
    </row>
    <row r="600" customFormat="false" ht="15" hidden="false" customHeight="false" outlineLevel="0" collapsed="false">
      <c r="A600" s="4" t="s">
        <v>461</v>
      </c>
      <c r="B600" s="0" t="s">
        <v>234</v>
      </c>
      <c r="C600" s="30" t="n">
        <f aca="false">a25_nci</f>
        <v>1.182</v>
      </c>
      <c r="D600" s="30" t="n">
        <f aca="false">a26_nci</f>
        <v>2.543</v>
      </c>
      <c r="E600" s="30" t="n">
        <f aca="false">nci</f>
        <v>3</v>
      </c>
      <c r="F600" s="30" t="n">
        <f aca="false">nci</f>
        <v>3</v>
      </c>
      <c r="G600" s="30" t="n">
        <f aca="false">nci</f>
        <v>3</v>
      </c>
    </row>
    <row r="601" customFormat="false" ht="15" hidden="false" customHeight="false" outlineLevel="0" collapsed="false">
      <c r="A601" s="4" t="s">
        <v>462</v>
      </c>
      <c r="B601" s="0" t="s">
        <v>234</v>
      </c>
      <c r="C601" s="30" t="n">
        <f aca="false">C598-C599-C600</f>
        <v>40.658</v>
      </c>
      <c r="D601" s="30" t="n">
        <f aca="false">D598-D599-D600</f>
        <v>93.5615140646185</v>
      </c>
      <c r="E601" s="30" t="n">
        <f aca="false">E598-E599-E600</f>
        <v>147.58800904122</v>
      </c>
      <c r="F601" s="30" t="n">
        <f aca="false">F598-F599-F600</f>
        <v>174.238673873197</v>
      </c>
      <c r="G601" s="30" t="n">
        <f aca="false">G598-G599-G600</f>
        <v>209.744805459216</v>
      </c>
      <c r="H601" s="31" t="n">
        <f aca="false">H579*H605</f>
        <v>227.274776685308</v>
      </c>
      <c r="I601" s="31" t="n">
        <f aca="false">I579*I605</f>
        <v>240.793902960015</v>
      </c>
      <c r="J601" s="31" t="n">
        <f aca="false">J579*J605</f>
        <v>249.315379684377</v>
      </c>
    </row>
    <row r="602" customFormat="false" ht="15" hidden="false" customHeight="false" outlineLevel="0" collapsed="false">
      <c r="A602" s="4" t="s">
        <v>579</v>
      </c>
      <c r="B602" s="4" t="s">
        <v>580</v>
      </c>
      <c r="C602" s="18" t="n">
        <f aca="false">a25_sh</f>
        <v>4339.16755602988</v>
      </c>
      <c r="D602" s="18" t="n">
        <f aca="false">a26_sh</f>
        <v>4392.90105184664</v>
      </c>
      <c r="E602" s="18" t="n">
        <f aca="false">D602*(1+sh_g)</f>
        <v>4414.86555710588</v>
      </c>
      <c r="F602" s="18" t="n">
        <f aca="false">E602*(1+sh_g)</f>
        <v>4436.9398848914</v>
      </c>
      <c r="G602" s="18" t="n">
        <f aca="false">F602*(1+sh_g)</f>
        <v>4459.12458431586</v>
      </c>
      <c r="H602" s="25" t="n">
        <f aca="false">G602*(1+sh_g)</f>
        <v>4481.42020723744</v>
      </c>
      <c r="I602" s="25" t="n">
        <f aca="false">H602*(1+sh_g)</f>
        <v>4503.82730827363</v>
      </c>
      <c r="J602" s="25" t="n">
        <f aca="false">I602*(1+sh_g)</f>
        <v>4526.34644481499</v>
      </c>
    </row>
    <row r="603" customFormat="false" ht="17.15" hidden="false" customHeight="false" outlineLevel="0" collapsed="false">
      <c r="A603" s="0" t="s">
        <v>465</v>
      </c>
      <c r="B603" s="0" t="s">
        <v>304</v>
      </c>
      <c r="C603" s="19" t="n">
        <f aca="false">a25_eps</f>
        <v>9.37</v>
      </c>
      <c r="D603" s="19" t="n">
        <f aca="false">a26_eps</f>
        <v>21.2828697294455</v>
      </c>
      <c r="E603" s="19" t="n">
        <f aca="false">E601/E602*1000</f>
        <v>33.4297856032495</v>
      </c>
      <c r="F603" s="19" t="n">
        <f aca="false">F601/F602*1000</f>
        <v>39.2700100505106</v>
      </c>
      <c r="G603" s="19" t="n">
        <f aca="false">G601/G602*1000</f>
        <v>47.0372158241449</v>
      </c>
      <c r="H603" s="28" t="n">
        <f aca="false">H601/H602*1000</f>
        <v>50.7148997807129</v>
      </c>
      <c r="I603" s="28" t="n">
        <f aca="false">I601/I602*1000</f>
        <v>53.4642841473232</v>
      </c>
      <c r="J603" s="28" t="n">
        <f aca="false">J601/J602*1000</f>
        <v>55.0809317678218</v>
      </c>
    </row>
    <row r="604" customFormat="false" ht="17.15" hidden="false" customHeight="false" outlineLevel="0" collapsed="false">
      <c r="A604" s="0" t="s">
        <v>581</v>
      </c>
      <c r="B604" s="0" t="s">
        <v>76</v>
      </c>
      <c r="D604" s="21" t="n">
        <f aca="false">D603/C603-1</f>
        <v>1.27138417603474</v>
      </c>
      <c r="E604" s="21" t="n">
        <f aca="false">E603/D603-1</f>
        <v>0.570736748766465</v>
      </c>
      <c r="F604" s="21" t="n">
        <f aca="false">F603/E603-1</f>
        <v>0.174701223530832</v>
      </c>
      <c r="G604" s="21" t="n">
        <f aca="false">G603/F603-1</f>
        <v>0.197789757722087</v>
      </c>
      <c r="H604" s="26" t="n">
        <f aca="false">H603/G603-1</f>
        <v>0.0781866845673322</v>
      </c>
      <c r="I604" s="26" t="n">
        <f aca="false">I603/H603-1</f>
        <v>0.0542125564380185</v>
      </c>
      <c r="J604" s="26" t="n">
        <f aca="false">J603/I603-1</f>
        <v>0.0302378989316265</v>
      </c>
    </row>
    <row r="605" customFormat="false" ht="17.15" hidden="false" customHeight="false" outlineLevel="0" collapsed="false">
      <c r="A605" s="4" t="s">
        <v>582</v>
      </c>
      <c r="B605" s="0" t="s">
        <v>76</v>
      </c>
      <c r="C605" s="14" t="n">
        <f aca="false">C601/C579</f>
        <v>0.0629977625862272</v>
      </c>
      <c r="D605" s="14" t="n">
        <f aca="false">D601/D579</f>
        <v>0.107397865592237</v>
      </c>
      <c r="E605" s="14" t="n">
        <f aca="false">E601/E579</f>
        <v>0.128808783051785</v>
      </c>
      <c r="F605" s="14" t="n">
        <f aca="false">F601/F579</f>
        <v>0.132814110843453</v>
      </c>
      <c r="G605" s="14" t="n">
        <f aca="false">G601/G579</f>
        <v>0.141204799266575</v>
      </c>
      <c r="H605" s="27" t="n">
        <f aca="false">$G605+(fade_mA-$G605)*1/3</f>
        <v>0.138071811115771</v>
      </c>
      <c r="I605" s="27" t="n">
        <f aca="false">$G605+(fade_mA-$G605)*2/3</f>
        <v>0.134938822964968</v>
      </c>
      <c r="J605" s="27" t="n">
        <f aca="false">$G605+(fade_mA-$G605)*3/3</f>
        <v>0.131805834814164</v>
      </c>
    </row>
    <row r="606" customFormat="false" ht="17.15" hidden="false" customHeight="false" outlineLevel="0" collapsed="false">
      <c r="A606" s="4" t="s">
        <v>583</v>
      </c>
      <c r="B606" s="0" t="s">
        <v>234</v>
      </c>
      <c r="C606" s="30" t="n">
        <f aca="false">C601+C587-C585</f>
        <v>-54.587</v>
      </c>
      <c r="D606" s="30" t="n">
        <f aca="false">D601+D587-D585</f>
        <v>-176.164485935382</v>
      </c>
      <c r="E606" s="30" t="n">
        <f aca="false">E601+E587-E585</f>
        <v>-137.57224095878</v>
      </c>
      <c r="F606" s="30" t="n">
        <f aca="false">F601+F587-F585</f>
        <v>-52.8461876655202</v>
      </c>
      <c r="G606" s="30" t="n">
        <f aca="false">G601+G587-G585</f>
        <v>-41.0030987768085</v>
      </c>
      <c r="K606" s="4" t="s">
        <v>584</v>
      </c>
    </row>
    <row r="607" customFormat="false" ht="17.15" hidden="false" customHeight="false" outlineLevel="0" collapsed="false">
      <c r="A607" s="4" t="s">
        <v>585</v>
      </c>
      <c r="B607" s="0" t="s">
        <v>76</v>
      </c>
      <c r="D607" s="21" t="n">
        <f aca="false">(D595-$C595)/SUM($D585:D585)</f>
        <v>0.164280348537512</v>
      </c>
      <c r="E607" s="21" t="n">
        <f aca="false">(E595-$C595)/SUM($D585:E585)</f>
        <v>0.173309492488013</v>
      </c>
      <c r="F607" s="21" t="n">
        <f aca="false">(F595-$C595)/SUM($D585:F585)</f>
        <v>0.142623061388049</v>
      </c>
      <c r="G607" s="21" t="n">
        <f aca="false">(G595-$C595)/SUM($D585:G585)</f>
        <v>0.129813882926484</v>
      </c>
      <c r="K607" s="4" t="s">
        <v>586</v>
      </c>
    </row>
    <row r="610" customFormat="false" ht="17.15" hidden="false" customHeight="false" outlineLevel="0" collapsed="false">
      <c r="A610" s="1" t="s">
        <v>926</v>
      </c>
    </row>
    <row r="611" customFormat="false" ht="17.15" hidden="false" customHeight="false" outlineLevel="0" collapsed="false">
      <c r="A611" s="5" t="s">
        <v>21</v>
      </c>
      <c r="B611" s="5" t="s">
        <v>22</v>
      </c>
      <c r="C611" s="15" t="s">
        <v>424</v>
      </c>
      <c r="D611" s="15" t="s">
        <v>524</v>
      </c>
      <c r="E611" s="15" t="s">
        <v>525</v>
      </c>
      <c r="F611" s="15" t="s">
        <v>526</v>
      </c>
      <c r="G611" s="15" t="s">
        <v>527</v>
      </c>
      <c r="H611" s="15" t="s">
        <v>528</v>
      </c>
      <c r="I611" s="15" t="s">
        <v>529</v>
      </c>
      <c r="J611" s="15" t="s">
        <v>530</v>
      </c>
      <c r="K611" s="5" t="s">
        <v>382</v>
      </c>
    </row>
    <row r="612" customFormat="false" ht="17.15" hidden="false" customHeight="false" outlineLevel="0" collapsed="false">
      <c r="A612" s="6" t="s">
        <v>548</v>
      </c>
    </row>
    <row r="613" customFormat="false" ht="17.15" hidden="false" customHeight="false" outlineLevel="0" collapsed="false">
      <c r="A613" s="0" t="s">
        <v>549</v>
      </c>
      <c r="B613" s="4" t="s">
        <v>32</v>
      </c>
      <c r="D613" s="19" t="n">
        <f aca="false">units_26</f>
        <v>15.2</v>
      </c>
      <c r="E613" s="19" t="n">
        <f aca="false">units_27*1</f>
        <v>23.7</v>
      </c>
      <c r="F613" s="19" t="n">
        <f aca="false">units_28*um28_B*1</f>
        <v>21.2</v>
      </c>
      <c r="G613" s="19" t="n">
        <f aca="false">units_29*um29_B*1</f>
        <v>25.6275</v>
      </c>
    </row>
    <row r="614" customFormat="false" ht="17.15" hidden="false" customHeight="false" outlineLevel="0" collapsed="false">
      <c r="A614" s="4" t="s">
        <v>497</v>
      </c>
      <c r="B614" s="0" t="s">
        <v>45</v>
      </c>
      <c r="D614" s="22" t="n">
        <f aca="false">ar_26</f>
        <v>1</v>
      </c>
      <c r="E614" s="22" t="n">
        <f aca="false">ar_27</f>
        <v>1.278156</v>
      </c>
      <c r="F614" s="22" t="n">
        <f aca="false">ar_28</f>
        <v>1.428615</v>
      </c>
      <c r="G614" s="22" t="n">
        <f aca="false">ar_29</f>
        <v>1.431796</v>
      </c>
    </row>
    <row r="615" customFormat="false" ht="17.15" hidden="false" customHeight="false" outlineLevel="0" collapsed="false">
      <c r="A615" s="4" t="s">
        <v>550</v>
      </c>
      <c r="B615" s="0" t="s">
        <v>45</v>
      </c>
      <c r="D615" s="19" t="n">
        <f aca="false">1</f>
        <v>1</v>
      </c>
      <c r="E615" s="19" t="n">
        <f aca="false">rel27_B</f>
        <v>1.05</v>
      </c>
      <c r="F615" s="19" t="n">
        <f aca="false">rel28_B</f>
        <v>1.08</v>
      </c>
      <c r="G615" s="19" t="n">
        <f aca="false">rel29_B</f>
        <v>1.1</v>
      </c>
    </row>
    <row r="616" customFormat="false" ht="17.15" hidden="false" customHeight="false" outlineLevel="0" collapsed="false">
      <c r="A616" s="4" t="s">
        <v>551</v>
      </c>
      <c r="B616" s="0" t="s">
        <v>502</v>
      </c>
      <c r="D616" s="23" t="n">
        <f aca="false">D617*1000/D613</f>
        <v>236.842105263158</v>
      </c>
      <c r="E616" s="23" t="n">
        <f aca="false">$D616*E614^el_hi</f>
        <v>302.721157894737</v>
      </c>
      <c r="F616" s="23" t="n">
        <f aca="false">$D616*F614^el_hi</f>
        <v>338.356184210526</v>
      </c>
      <c r="G616" s="23" t="n">
        <f aca="false">$D616*G614^el_hi</f>
        <v>339.109578947368</v>
      </c>
      <c r="K616" s="8" t="s">
        <v>552</v>
      </c>
    </row>
    <row r="617" customFormat="false" ht="17.15" hidden="false" customHeight="false" outlineLevel="0" collapsed="false">
      <c r="A617" s="0" t="s">
        <v>553</v>
      </c>
      <c r="B617" s="0" t="s">
        <v>120</v>
      </c>
      <c r="D617" s="22" t="n">
        <f aca="false">leap26-D618-D619</f>
        <v>3.6</v>
      </c>
      <c r="E617" s="22" t="n">
        <f aca="false">E613*E615*E616/1000</f>
        <v>7.53321601421053</v>
      </c>
      <c r="F617" s="22" t="n">
        <f aca="false">F613*F615*F616/1000</f>
        <v>7.74700319368421</v>
      </c>
      <c r="G617" s="22" t="n">
        <f aca="false">G613*G615*G616/1000</f>
        <v>9.55958380792105</v>
      </c>
      <c r="K617" s="8" t="s">
        <v>554</v>
      </c>
    </row>
    <row r="618" customFormat="false" ht="17.15" hidden="false" customHeight="false" outlineLevel="0" collapsed="false">
      <c r="A618" s="4" t="s">
        <v>555</v>
      </c>
      <c r="B618" s="0" t="s">
        <v>120</v>
      </c>
      <c r="D618" s="22" t="n">
        <f aca="false">fp26</f>
        <v>0.3</v>
      </c>
      <c r="E618" s="22" t="n">
        <f aca="false">fp27_B</f>
        <v>1</v>
      </c>
      <c r="F618" s="22" t="n">
        <f aca="false">E618*F613/E613*(1+fp_g)</f>
        <v>1.16286919831224</v>
      </c>
      <c r="G618" s="22" t="n">
        <f aca="false">F618*G613/F613*(1+fp_g)</f>
        <v>1.82744620253165</v>
      </c>
    </row>
    <row r="619" customFormat="false" ht="17.15" hidden="false" customHeight="false" outlineLevel="0" collapsed="false">
      <c r="A619" s="0" t="s">
        <v>556</v>
      </c>
      <c r="B619" s="0" t="s">
        <v>120</v>
      </c>
      <c r="D619" s="22" t="n">
        <f aca="false">cpo27*cpo_B_26/cpo_A_27</f>
        <v>0.1</v>
      </c>
      <c r="E619" s="22" t="n">
        <f aca="false">cpo27*cpo_B_27/cpo_A_27</f>
        <v>0.3</v>
      </c>
      <c r="F619" s="22" t="n">
        <f aca="false">cpo27*cpo_B_28/cpo_A_27*F613/E613</f>
        <v>0.447257383966245</v>
      </c>
      <c r="G619" s="22" t="n">
        <f aca="false">cpo27*cpo_B_29/cpo_A_27*G613/E613</f>
        <v>0.86506329113924</v>
      </c>
      <c r="K619" s="8" t="s">
        <v>557</v>
      </c>
    </row>
    <row r="620" customFormat="false" ht="17.15" hidden="false" customHeight="false" outlineLevel="0" collapsed="false">
      <c r="A620" s="0" t="s">
        <v>510</v>
      </c>
      <c r="B620" s="0" t="s">
        <v>120</v>
      </c>
      <c r="C620" s="22" t="n">
        <f aca="false">leap25</f>
        <v>1.6</v>
      </c>
      <c r="D620" s="22" t="n">
        <f aca="false">D617+D618+D619</f>
        <v>4</v>
      </c>
      <c r="E620" s="22" t="n">
        <f aca="false">E617+E618+E619</f>
        <v>8.83321601421053</v>
      </c>
      <c r="F620" s="22" t="n">
        <f aca="false">F617+F618+F619</f>
        <v>9.35712977596269</v>
      </c>
      <c r="G620" s="22" t="n">
        <f aca="false">G617+G618+G619</f>
        <v>12.2520933015919</v>
      </c>
    </row>
    <row r="621" customFormat="false" ht="17.15" hidden="false" customHeight="false" outlineLevel="0" collapsed="false">
      <c r="A621" s="4" t="s">
        <v>558</v>
      </c>
      <c r="B621" s="0" t="s">
        <v>114</v>
      </c>
      <c r="C621" s="19" t="n">
        <f aca="false">fx25</f>
        <v>31</v>
      </c>
      <c r="D621" s="19" t="n">
        <f aca="false">a26_leap/D620</f>
        <v>31.9</v>
      </c>
      <c r="E621" s="19" t="n">
        <f aca="false">fx</f>
        <v>32</v>
      </c>
      <c r="F621" s="19" t="n">
        <f aca="false">fx</f>
        <v>32</v>
      </c>
      <c r="G621" s="19" t="n">
        <f aca="false">fx</f>
        <v>32</v>
      </c>
      <c r="K621" s="8" t="s">
        <v>559</v>
      </c>
    </row>
    <row r="622" customFormat="false" ht="17.15" hidden="false" customHeight="false" outlineLevel="0" collapsed="false">
      <c r="A622" s="6" t="s">
        <v>560</v>
      </c>
    </row>
    <row r="623" customFormat="false" ht="17.15" hidden="false" customHeight="false" outlineLevel="0" collapsed="false">
      <c r="A623" s="0" t="s">
        <v>438</v>
      </c>
      <c r="B623" s="0" t="s">
        <v>234</v>
      </c>
      <c r="C623" s="30" t="n">
        <f aca="false">a25_leap</f>
        <v>49.6</v>
      </c>
      <c r="D623" s="30" t="n">
        <f aca="false">a26_leap</f>
        <v>127.6</v>
      </c>
      <c r="E623" s="30" t="n">
        <f aca="false">E620*E621</f>
        <v>282.662912454737</v>
      </c>
      <c r="F623" s="30" t="n">
        <f aca="false">F620*F621</f>
        <v>299.428152830806</v>
      </c>
      <c r="G623" s="30" t="n">
        <f aca="false">G620*G621</f>
        <v>392.066985650942</v>
      </c>
    </row>
    <row r="624" customFormat="false" ht="15" hidden="false" customHeight="false" outlineLevel="0" collapsed="false">
      <c r="A624" s="4" t="s">
        <v>561</v>
      </c>
      <c r="B624" s="0" t="s">
        <v>234</v>
      </c>
      <c r="C624" s="30" t="n">
        <f aca="false">a25_ms</f>
        <v>339.628</v>
      </c>
      <c r="D624" s="30" t="n">
        <f aca="false">a26_ms</f>
        <v>432.1302</v>
      </c>
      <c r="E624" s="30" t="n">
        <f aca="false">D624*(1+g_ms27)</f>
        <v>496.94973</v>
      </c>
      <c r="F624" s="30" t="n">
        <f aca="false">E624*(1+g_msL)</f>
        <v>531.7362111</v>
      </c>
      <c r="G624" s="30" t="n">
        <f aca="false">F624*(1+g_msL)</f>
        <v>568.957745877</v>
      </c>
    </row>
    <row r="625" customFormat="false" ht="17.15" hidden="false" customHeight="false" outlineLevel="0" collapsed="false">
      <c r="A625" s="4" t="s">
        <v>562</v>
      </c>
      <c r="B625" s="0" t="s">
        <v>234</v>
      </c>
      <c r="C625" s="30" t="n">
        <f aca="false">C623+C624</f>
        <v>389.228</v>
      </c>
      <c r="D625" s="30" t="n">
        <f aca="false">D623+D624</f>
        <v>559.7302</v>
      </c>
      <c r="E625" s="30" t="n">
        <f aca="false">E623+E624</f>
        <v>779.612642454737</v>
      </c>
      <c r="F625" s="30" t="n">
        <f aca="false">F623+F624</f>
        <v>831.164363930806</v>
      </c>
      <c r="G625" s="30" t="n">
        <f aca="false">G623+G624</f>
        <v>961.024731527942</v>
      </c>
    </row>
    <row r="626" customFormat="false" ht="17.15" hidden="false" customHeight="false" outlineLevel="0" collapsed="false">
      <c r="A626" s="0" t="s">
        <v>563</v>
      </c>
      <c r="B626" s="0" t="s">
        <v>234</v>
      </c>
      <c r="C626" s="30" t="n">
        <f aca="false">a25_ems</f>
        <v>259.079</v>
      </c>
      <c r="D626" s="30" t="n">
        <f aca="false">a26_ems</f>
        <v>314.602</v>
      </c>
      <c r="E626" s="30" t="n">
        <f aca="false">D626*(1+g_ems27)</f>
        <v>346.0622</v>
      </c>
      <c r="F626" s="30" t="n">
        <f aca="false">E626*(1+g_emsL)</f>
        <v>363.36531</v>
      </c>
      <c r="G626" s="30" t="n">
        <f aca="false">F626*(1+g_emsL)</f>
        <v>381.5335755</v>
      </c>
    </row>
    <row r="627" customFormat="false" ht="17.15" hidden="false" customHeight="false" outlineLevel="0" collapsed="false">
      <c r="A627" s="4" t="s">
        <v>564</v>
      </c>
      <c r="B627" s="0" t="s">
        <v>234</v>
      </c>
      <c r="C627" s="30" t="n">
        <f aca="false">a25_elim</f>
        <v>-2.91899999999998</v>
      </c>
      <c r="D627" s="30" t="n">
        <f aca="false">a26_elim</f>
        <v>-3.16484905982349</v>
      </c>
      <c r="E627" s="30" t="n">
        <f aca="false">$D627/($D625+$D626)*(E625+E626)</f>
        <v>-4.07464230050069</v>
      </c>
      <c r="F627" s="30" t="n">
        <f aca="false">$D627/($D625+$D626)*(F625+F626)</f>
        <v>-4.3238784016775</v>
      </c>
      <c r="G627" s="30" t="n">
        <f aca="false">$D627/($D625+$D626)*(G625+G626)</f>
        <v>-4.8597025201126</v>
      </c>
      <c r="K627" s="4" t="s">
        <v>565</v>
      </c>
    </row>
    <row r="628" customFormat="false" ht="17.15" hidden="false" customHeight="false" outlineLevel="0" collapsed="false">
      <c r="A628" s="4" t="s">
        <v>431</v>
      </c>
      <c r="B628" s="0" t="s">
        <v>234</v>
      </c>
      <c r="C628" s="30" t="n">
        <f aca="false">C625+C626+C627</f>
        <v>645.388</v>
      </c>
      <c r="D628" s="30" t="n">
        <f aca="false">D625+D626+D627</f>
        <v>871.167350940177</v>
      </c>
      <c r="E628" s="30" t="n">
        <f aca="false">E625+E626+E627</f>
        <v>1121.60020015424</v>
      </c>
      <c r="F628" s="30" t="n">
        <f aca="false">F625+F626+F627</f>
        <v>1190.20579552913</v>
      </c>
      <c r="G628" s="30" t="n">
        <f aca="false">G625+G626+G627</f>
        <v>1337.69860450783</v>
      </c>
      <c r="H628" s="31" t="n">
        <f aca="false">G628*(1+H629)</f>
        <v>1466.04820491118</v>
      </c>
      <c r="I628" s="31" t="n">
        <f aca="false">H628*(1+I629)</f>
        <v>1565.70141748388</v>
      </c>
      <c r="J628" s="31" t="n">
        <f aca="false">I628*(1+J629)</f>
        <v>1628.32947418323</v>
      </c>
      <c r="K628" s="8" t="s">
        <v>566</v>
      </c>
    </row>
    <row r="629" customFormat="false" ht="15" hidden="false" customHeight="false" outlineLevel="0" collapsed="false">
      <c r="A629" s="4" t="s">
        <v>567</v>
      </c>
      <c r="B629" s="0" t="s">
        <v>76</v>
      </c>
      <c r="D629" s="21" t="n">
        <f aca="false">D628/C628-1</f>
        <v>0.349835061916516</v>
      </c>
      <c r="E629" s="21" t="n">
        <f aca="false">E628/D628-1</f>
        <v>0.287468129910733</v>
      </c>
      <c r="F629" s="21" t="n">
        <f aca="false">F628/E628-1</f>
        <v>0.0611676026497305</v>
      </c>
      <c r="G629" s="21" t="n">
        <f aca="false">G628/F628-1</f>
        <v>0.123922106187636</v>
      </c>
      <c r="H629" s="26" t="n">
        <f aca="false">$G629+(fade_gB-$G629)*1/3</f>
        <v>0.0959480707917574</v>
      </c>
      <c r="I629" s="26" t="n">
        <f aca="false">$G629+(fade_gB-$G629)*2/3</f>
        <v>0.0679740353958787</v>
      </c>
      <c r="J629" s="26" t="n">
        <f aca="false">$G629+(fade_gB-$G629)*3/3</f>
        <v>0.04</v>
      </c>
    </row>
    <row r="630" customFormat="false" ht="17.15" hidden="false" customHeight="false" outlineLevel="0" collapsed="false">
      <c r="A630" s="0" t="s">
        <v>475</v>
      </c>
      <c r="B630" s="0" t="s">
        <v>76</v>
      </c>
      <c r="C630" s="21" t="n">
        <f aca="false">C623/C625</f>
        <v>0.127431736668482</v>
      </c>
      <c r="D630" s="21" t="n">
        <f aca="false">D623/D625</f>
        <v>0.227966974088588</v>
      </c>
      <c r="E630" s="21" t="n">
        <f aca="false">E623/E625</f>
        <v>0.362568405207908</v>
      </c>
      <c r="F630" s="21" t="n">
        <f aca="false">F623/F625</f>
        <v>0.360251432598394</v>
      </c>
      <c r="G630" s="21" t="n">
        <f aca="false">G623/G625</f>
        <v>0.407967633702403</v>
      </c>
    </row>
    <row r="631" customFormat="false" ht="15" hidden="false" customHeight="false" outlineLevel="0" collapsed="false">
      <c r="A631" s="4" t="s">
        <v>568</v>
      </c>
      <c r="B631" s="0" t="s">
        <v>76</v>
      </c>
      <c r="D631" s="21" t="n">
        <f aca="false">D625/C625-1</f>
        <v>0.438052247012034</v>
      </c>
      <c r="E631" s="21" t="n">
        <f aca="false">E625/D625-1</f>
        <v>0.392836481674094</v>
      </c>
      <c r="F631" s="21" t="n">
        <f aca="false">F625/E625-1</f>
        <v>0.0661247889897609</v>
      </c>
      <c r="G631" s="21" t="n">
        <f aca="false">G625/F625-1</f>
        <v>0.156239094495089</v>
      </c>
    </row>
    <row r="632" customFormat="false" ht="17.15" hidden="false" customHeight="false" outlineLevel="0" collapsed="false">
      <c r="A632" s="6" t="s">
        <v>569</v>
      </c>
    </row>
    <row r="633" customFormat="false" ht="17.15" hidden="false" customHeight="false" outlineLevel="0" collapsed="false">
      <c r="A633" s="4" t="s">
        <v>570</v>
      </c>
      <c r="B633" s="0" t="s">
        <v>120</v>
      </c>
      <c r="C633" s="19" t="n">
        <f aca="false">capex25</f>
        <v>5.5</v>
      </c>
      <c r="D633" s="19" t="n">
        <f aca="false">capex26</f>
        <v>11.5</v>
      </c>
      <c r="E633" s="19" t="n">
        <f aca="false">capex27</f>
        <v>13</v>
      </c>
      <c r="F633" s="19" t="n">
        <f aca="false">capi*F628/F621</f>
        <v>11.1581793330856</v>
      </c>
      <c r="G633" s="19" t="n">
        <f aca="false">capi*G628/G621</f>
        <v>12.5409244172609</v>
      </c>
      <c r="K633" s="8" t="s">
        <v>571</v>
      </c>
    </row>
    <row r="634" customFormat="false" ht="15" hidden="false" customHeight="false" outlineLevel="0" collapsed="false">
      <c r="A634" s="4" t="s">
        <v>572</v>
      </c>
      <c r="B634" s="0" t="s">
        <v>234</v>
      </c>
      <c r="C634" s="30" t="n">
        <f aca="false">C633*C621</f>
        <v>170.5</v>
      </c>
      <c r="D634" s="30" t="n">
        <f aca="false">D633*31.9</f>
        <v>366.85</v>
      </c>
      <c r="E634" s="30" t="n">
        <f aca="false">E633*E621</f>
        <v>416</v>
      </c>
      <c r="F634" s="30" t="n">
        <f aca="false">F633*F621</f>
        <v>357.061738658739</v>
      </c>
      <c r="G634" s="30" t="n">
        <f aca="false">G633*G621</f>
        <v>401.309581352349</v>
      </c>
    </row>
    <row r="635" customFormat="false" ht="17.15" hidden="false" customHeight="false" outlineLevel="0" collapsed="false">
      <c r="A635" s="4" t="s">
        <v>473</v>
      </c>
      <c r="B635" s="0" t="s">
        <v>76</v>
      </c>
      <c r="C635" s="21" t="n">
        <f aca="false">C634/C628</f>
        <v>0.264182166386732</v>
      </c>
      <c r="D635" s="21" t="n">
        <f aca="false">D634/D628</f>
        <v>0.421101639775745</v>
      </c>
      <c r="E635" s="21" t="n">
        <f aca="false">E634/E628</f>
        <v>0.370898649931405</v>
      </c>
      <c r="F635" s="21" t="n">
        <f aca="false">F634/F628</f>
        <v>0.3</v>
      </c>
      <c r="G635" s="21" t="n">
        <f aca="false">G634/G628</f>
        <v>0.3</v>
      </c>
    </row>
    <row r="636" customFormat="false" ht="17.15" hidden="false" customHeight="false" outlineLevel="0" collapsed="false">
      <c r="A636" s="4" t="s">
        <v>573</v>
      </c>
      <c r="B636" s="0" t="s">
        <v>234</v>
      </c>
      <c r="C636" s="30" t="n">
        <f aca="false">a25_da</f>
        <v>75.255</v>
      </c>
      <c r="D636" s="30" t="n">
        <f aca="false">a26_da</f>
        <v>97.124</v>
      </c>
      <c r="E636" s="30" t="n">
        <f aca="false">D636*(1-1/life)+D634/life</f>
        <v>130.83975</v>
      </c>
      <c r="F636" s="30" t="n">
        <f aca="false">E636*(1-1/life)+E634/life</f>
        <v>166.48478125</v>
      </c>
      <c r="G636" s="30" t="n">
        <f aca="false">F636*(1-1/life)+F634/life</f>
        <v>190.306900926092</v>
      </c>
      <c r="K636" s="4" t="s">
        <v>574</v>
      </c>
    </row>
    <row r="637" customFormat="false" ht="17.15" hidden="false" customHeight="false" outlineLevel="0" collapsed="false">
      <c r="A637" s="4" t="s">
        <v>575</v>
      </c>
      <c r="B637" s="0" t="s">
        <v>234</v>
      </c>
      <c r="C637" s="30" t="n">
        <f aca="false">a25_agp</f>
        <v>91.38</v>
      </c>
      <c r="D637" s="30" t="n">
        <f aca="false">a26_agp</f>
        <v>164.623388</v>
      </c>
      <c r="E637" s="30" t="n">
        <f aca="false">$D637+ft*(E625-$D625)-(E636-$D636)</f>
        <v>240.848859227368</v>
      </c>
      <c r="F637" s="30" t="n">
        <f aca="false">$D637+ft*(F625-$D625)-(F636-$D636)</f>
        <v>230.979688715403</v>
      </c>
      <c r="G637" s="30" t="n">
        <f aca="false">$D637+ft*(G625-$D625)-(G636-$D636)</f>
        <v>272.087752837879</v>
      </c>
      <c r="K637" s="4" t="s">
        <v>576</v>
      </c>
    </row>
    <row r="638" customFormat="false" ht="15" hidden="false" customHeight="false" outlineLevel="0" collapsed="false">
      <c r="A638" s="4" t="s">
        <v>447</v>
      </c>
      <c r="B638" s="0" t="s">
        <v>76</v>
      </c>
      <c r="C638" s="14" t="n">
        <f aca="false">C637/C625</f>
        <v>0.234772421305764</v>
      </c>
      <c r="D638" s="14" t="n">
        <f aca="false">D637/D625</f>
        <v>0.294112034690999</v>
      </c>
      <c r="E638" s="14" t="n">
        <f aca="false">E637/E625</f>
        <v>0.308934009162572</v>
      </c>
      <c r="F638" s="14" t="n">
        <f aca="false">F637/F625</f>
        <v>0.277898931594031</v>
      </c>
      <c r="G638" s="14" t="n">
        <f aca="false">G637/G625</f>
        <v>0.283122529433019</v>
      </c>
    </row>
    <row r="639" customFormat="false" ht="17.15" hidden="false" customHeight="false" outlineLevel="0" collapsed="false">
      <c r="A639" s="0" t="s">
        <v>449</v>
      </c>
      <c r="B639" s="0" t="s">
        <v>234</v>
      </c>
      <c r="C639" s="30" t="n">
        <f aca="false">a25_egp</f>
        <v>23.695</v>
      </c>
      <c r="D639" s="30" t="n">
        <f aca="false">a26_egp</f>
        <v>27.00552</v>
      </c>
      <c r="E639" s="30" t="n">
        <f aca="false">E626*ems_gm</f>
        <v>29.415287</v>
      </c>
      <c r="F639" s="30" t="n">
        <f aca="false">F626*ems_gm</f>
        <v>30.88605135</v>
      </c>
      <c r="G639" s="30" t="n">
        <f aca="false">G626*ems_gm</f>
        <v>32.4303539175</v>
      </c>
    </row>
    <row r="640" customFormat="false" ht="15" hidden="false" customHeight="false" outlineLevel="0" collapsed="false">
      <c r="A640" s="4" t="s">
        <v>577</v>
      </c>
      <c r="B640" s="0" t="s">
        <v>234</v>
      </c>
      <c r="C640" s="30" t="n">
        <f aca="false">a25_lgp</f>
        <v>-0.881999999999998</v>
      </c>
      <c r="D640" s="30" t="n">
        <f aca="false">a26_lgp</f>
        <v>-0.948662139013863</v>
      </c>
      <c r="E640" s="30" t="n">
        <f aca="false">$D640/$D627*E627</f>
        <v>-1.22137227003329</v>
      </c>
      <c r="F640" s="30" t="n">
        <f aca="false">$D640/$D627*F627</f>
        <v>-1.29608068373409</v>
      </c>
      <c r="G640" s="30" t="n">
        <f aca="false">$D640/$D627*G627</f>
        <v>-1.45669373185153</v>
      </c>
    </row>
    <row r="641" customFormat="false" ht="15" hidden="false" customHeight="false" outlineLevel="0" collapsed="false">
      <c r="A641" s="4" t="s">
        <v>451</v>
      </c>
      <c r="B641" s="0" t="s">
        <v>234</v>
      </c>
      <c r="C641" s="30" t="n">
        <f aca="false">C637+C639+C640</f>
        <v>114.193</v>
      </c>
      <c r="D641" s="30" t="n">
        <f aca="false">D637+D639+D640</f>
        <v>190.680245860986</v>
      </c>
      <c r="E641" s="30" t="n">
        <f aca="false">E637+E639+E640</f>
        <v>269.042773957335</v>
      </c>
      <c r="F641" s="30" t="n">
        <f aca="false">F637+F639+F640</f>
        <v>260.569659381669</v>
      </c>
      <c r="G641" s="30" t="n">
        <f aca="false">G637+G639+G640</f>
        <v>303.061413023527</v>
      </c>
    </row>
    <row r="642" customFormat="false" ht="15" hidden="false" customHeight="false" outlineLevel="0" collapsed="false">
      <c r="A642" s="4" t="s">
        <v>452</v>
      </c>
      <c r="B642" s="0" t="s">
        <v>76</v>
      </c>
      <c r="C642" s="14" t="n">
        <f aca="false">C641/C628</f>
        <v>0.176936974347214</v>
      </c>
      <c r="D642" s="14" t="n">
        <f aca="false">D641/D628</f>
        <v>0.218879008327391</v>
      </c>
      <c r="E642" s="14" t="n">
        <f aca="false">E641/E628</f>
        <v>0.239874042390807</v>
      </c>
      <c r="F642" s="14" t="n">
        <f aca="false">F641/F628</f>
        <v>0.218928239435961</v>
      </c>
      <c r="G642" s="14" t="n">
        <f aca="false">G641/G628</f>
        <v>0.226554331448249</v>
      </c>
    </row>
    <row r="643" customFormat="false" ht="15" hidden="false" customHeight="false" outlineLevel="0" collapsed="false">
      <c r="A643" s="4" t="s">
        <v>578</v>
      </c>
      <c r="B643" s="0" t="s">
        <v>234</v>
      </c>
      <c r="C643" s="30" t="n">
        <f aca="false">a25_opx</f>
        <v>63.437</v>
      </c>
      <c r="D643" s="30" t="n">
        <f aca="false">a26_opx</f>
        <v>79.658</v>
      </c>
      <c r="E643" s="30" t="n">
        <f aca="false">D643*(1+phi*E629)</f>
        <v>93.3974817754575</v>
      </c>
      <c r="F643" s="30" t="n">
        <f aca="false">E643*(1+phi*F629)</f>
        <v>96.8252218076935</v>
      </c>
      <c r="G643" s="30" t="n">
        <f aca="false">F643*(1+phi*G629)</f>
        <v>104.02449305879</v>
      </c>
    </row>
    <row r="644" customFormat="false" ht="15" hidden="false" customHeight="false" outlineLevel="0" collapsed="false">
      <c r="A644" s="4" t="s">
        <v>455</v>
      </c>
      <c r="B644" s="0" t="s">
        <v>234</v>
      </c>
      <c r="C644" s="30" t="n">
        <f aca="false">C641-C643</f>
        <v>50.756</v>
      </c>
      <c r="D644" s="30" t="n">
        <f aca="false">D641-D643</f>
        <v>111.022245860986</v>
      </c>
      <c r="E644" s="30" t="n">
        <f aca="false">E641-E643</f>
        <v>175.645292181878</v>
      </c>
      <c r="F644" s="30" t="n">
        <f aca="false">F641-F643</f>
        <v>163.744437573976</v>
      </c>
      <c r="G644" s="30" t="n">
        <f aca="false">G641-G643</f>
        <v>199.036919964737</v>
      </c>
    </row>
    <row r="645" customFormat="false" ht="15" hidden="false" customHeight="false" outlineLevel="0" collapsed="false">
      <c r="A645" s="4" t="s">
        <v>537</v>
      </c>
      <c r="B645" s="0" t="s">
        <v>76</v>
      </c>
      <c r="C645" s="14" t="n">
        <f aca="false">C644/C628</f>
        <v>0.0786441644406156</v>
      </c>
      <c r="D645" s="14" t="n">
        <f aca="false">D644/D628</f>
        <v>0.127440779020437</v>
      </c>
      <c r="E645" s="14" t="n">
        <f aca="false">E644/E628</f>
        <v>0.156602408021792</v>
      </c>
      <c r="F645" s="14" t="n">
        <f aca="false">F644/F628</f>
        <v>0.137576575571269</v>
      </c>
      <c r="G645" s="14" t="n">
        <f aca="false">G644/G628</f>
        <v>0.14879055662764</v>
      </c>
    </row>
    <row r="646" customFormat="false" ht="15" hidden="false" customHeight="false" outlineLevel="0" collapsed="false">
      <c r="A646" s="4" t="s">
        <v>456</v>
      </c>
      <c r="B646" s="0" t="s">
        <v>234</v>
      </c>
      <c r="C646" s="30" t="n">
        <f aca="false">a25_nonop</f>
        <v>0.545</v>
      </c>
      <c r="D646" s="30" t="n">
        <f aca="false">a26_nonop</f>
        <v>4.302</v>
      </c>
      <c r="E646" s="30" t="n">
        <f aca="false">nonop_f</f>
        <v>-5</v>
      </c>
      <c r="F646" s="30" t="n">
        <f aca="false">nonop_f</f>
        <v>-5</v>
      </c>
      <c r="G646" s="30" t="n">
        <f aca="false">nonop_f</f>
        <v>-5</v>
      </c>
    </row>
    <row r="647" customFormat="false" ht="15" hidden="false" customHeight="false" outlineLevel="0" collapsed="false">
      <c r="A647" s="4" t="s">
        <v>459</v>
      </c>
      <c r="B647" s="0" t="s">
        <v>234</v>
      </c>
      <c r="C647" s="30" t="n">
        <f aca="false">C644+C646</f>
        <v>51.301</v>
      </c>
      <c r="D647" s="30" t="n">
        <f aca="false">D644+D646</f>
        <v>115.324245860986</v>
      </c>
      <c r="E647" s="30" t="n">
        <f aca="false">E644+E646</f>
        <v>170.645292181878</v>
      </c>
      <c r="F647" s="30" t="n">
        <f aca="false">F644+F646</f>
        <v>158.744437573976</v>
      </c>
      <c r="G647" s="30" t="n">
        <f aca="false">G644+G646</f>
        <v>194.036919964737</v>
      </c>
    </row>
    <row r="648" customFormat="false" ht="15" hidden="false" customHeight="false" outlineLevel="0" collapsed="false">
      <c r="A648" s="4" t="s">
        <v>460</v>
      </c>
      <c r="B648" s="0" t="s">
        <v>234</v>
      </c>
      <c r="C648" s="30" t="n">
        <f aca="false">a25_tax</f>
        <v>9.461</v>
      </c>
      <c r="D648" s="30" t="n">
        <f aca="false">a26_tax</f>
        <v>19.2197317963676</v>
      </c>
      <c r="E648" s="30" t="n">
        <f aca="false">E647*tax</f>
        <v>29.0096996709192</v>
      </c>
      <c r="F648" s="30" t="n">
        <f aca="false">F647*tax</f>
        <v>26.9865543875759</v>
      </c>
      <c r="G648" s="30" t="n">
        <f aca="false">G647*tax</f>
        <v>32.9862763940053</v>
      </c>
    </row>
    <row r="649" customFormat="false" ht="15" hidden="false" customHeight="false" outlineLevel="0" collapsed="false">
      <c r="A649" s="4" t="s">
        <v>461</v>
      </c>
      <c r="B649" s="0" t="s">
        <v>234</v>
      </c>
      <c r="C649" s="30" t="n">
        <f aca="false">a25_nci</f>
        <v>1.182</v>
      </c>
      <c r="D649" s="30" t="n">
        <f aca="false">a26_nci</f>
        <v>2.543</v>
      </c>
      <c r="E649" s="30" t="n">
        <f aca="false">nci</f>
        <v>3</v>
      </c>
      <c r="F649" s="30" t="n">
        <f aca="false">nci</f>
        <v>3</v>
      </c>
      <c r="G649" s="30" t="n">
        <f aca="false">nci</f>
        <v>3</v>
      </c>
    </row>
    <row r="650" customFormat="false" ht="15" hidden="false" customHeight="false" outlineLevel="0" collapsed="false">
      <c r="A650" s="4" t="s">
        <v>462</v>
      </c>
      <c r="B650" s="0" t="s">
        <v>234</v>
      </c>
      <c r="C650" s="30" t="n">
        <f aca="false">C647-C648-C649</f>
        <v>40.658</v>
      </c>
      <c r="D650" s="30" t="n">
        <f aca="false">D647-D648-D649</f>
        <v>93.5615140646185</v>
      </c>
      <c r="E650" s="30" t="n">
        <f aca="false">E647-E648-E649</f>
        <v>138.635592510959</v>
      </c>
      <c r="F650" s="30" t="n">
        <f aca="false">F647-F648-F649</f>
        <v>128.7578831864</v>
      </c>
      <c r="G650" s="30" t="n">
        <f aca="false">G647-G648-G649</f>
        <v>158.050643570732</v>
      </c>
      <c r="H650" s="31" t="n">
        <f aca="false">H628*H654</f>
        <v>163.497161862639</v>
      </c>
      <c r="I650" s="31" t="n">
        <f aca="false">I628*I654</f>
        <v>164.232006760536</v>
      </c>
      <c r="J650" s="31" t="n">
        <f aca="false">J628*J654</f>
        <v>160.00742138249</v>
      </c>
    </row>
    <row r="651" customFormat="false" ht="15" hidden="false" customHeight="false" outlineLevel="0" collapsed="false">
      <c r="A651" s="4" t="s">
        <v>579</v>
      </c>
      <c r="B651" s="4" t="s">
        <v>580</v>
      </c>
      <c r="C651" s="18" t="n">
        <f aca="false">a25_sh</f>
        <v>4339.16755602988</v>
      </c>
      <c r="D651" s="18" t="n">
        <f aca="false">a26_sh</f>
        <v>4392.90105184664</v>
      </c>
      <c r="E651" s="18" t="n">
        <f aca="false">D651*(1+sh_g)</f>
        <v>4414.86555710588</v>
      </c>
      <c r="F651" s="18" t="n">
        <f aca="false">E651*(1+sh_g)</f>
        <v>4436.9398848914</v>
      </c>
      <c r="G651" s="18" t="n">
        <f aca="false">F651*(1+sh_g)</f>
        <v>4459.12458431586</v>
      </c>
      <c r="H651" s="25" t="n">
        <f aca="false">G651*(1+sh_g)</f>
        <v>4481.42020723744</v>
      </c>
      <c r="I651" s="25" t="n">
        <f aca="false">H651*(1+sh_g)</f>
        <v>4503.82730827363</v>
      </c>
      <c r="J651" s="25" t="n">
        <f aca="false">I651*(1+sh_g)</f>
        <v>4526.34644481499</v>
      </c>
    </row>
    <row r="652" customFormat="false" ht="17.15" hidden="false" customHeight="false" outlineLevel="0" collapsed="false">
      <c r="A652" s="0" t="s">
        <v>465</v>
      </c>
      <c r="B652" s="0" t="s">
        <v>304</v>
      </c>
      <c r="C652" s="19" t="n">
        <f aca="false">a25_eps</f>
        <v>9.37</v>
      </c>
      <c r="D652" s="19" t="n">
        <f aca="false">a26_eps</f>
        <v>21.2828697294455</v>
      </c>
      <c r="E652" s="19" t="n">
        <f aca="false">E650/E651*1000</f>
        <v>31.4019964408248</v>
      </c>
      <c r="F652" s="19" t="n">
        <f aca="false">F650/F651*1000</f>
        <v>29.0195239346929</v>
      </c>
      <c r="G652" s="19" t="n">
        <f aca="false">G650/G651*1000</f>
        <v>35.444321095366</v>
      </c>
      <c r="H652" s="28" t="n">
        <f aca="false">H650/H651*1000</f>
        <v>36.4833365990971</v>
      </c>
      <c r="I652" s="28" t="n">
        <f aca="false">I650/I651*1000</f>
        <v>36.4649875582125</v>
      </c>
      <c r="J652" s="28" t="n">
        <f aca="false">J650/J651*1000</f>
        <v>35.3502374008028</v>
      </c>
    </row>
    <row r="653" customFormat="false" ht="17.15" hidden="false" customHeight="false" outlineLevel="0" collapsed="false">
      <c r="A653" s="0" t="s">
        <v>581</v>
      </c>
      <c r="B653" s="0" t="s">
        <v>76</v>
      </c>
      <c r="D653" s="21" t="n">
        <f aca="false">D652/C652-1</f>
        <v>1.27138417603474</v>
      </c>
      <c r="E653" s="21" t="n">
        <f aca="false">E652/D652-1</f>
        <v>0.475458753448982</v>
      </c>
      <c r="F653" s="21" t="n">
        <f aca="false">F652/E652-1</f>
        <v>-0.075870096687052</v>
      </c>
      <c r="G653" s="21" t="n">
        <f aca="false">G652/F652-1</f>
        <v>0.2213956774457</v>
      </c>
      <c r="H653" s="26" t="n">
        <f aca="false">H652/G652-1</f>
        <v>0.0293140190479462</v>
      </c>
      <c r="I653" s="26" t="n">
        <f aca="false">I652/H652-1</f>
        <v>-0.000502943058256156</v>
      </c>
      <c r="J653" s="26" t="n">
        <f aca="false">J652/I652-1</f>
        <v>-0.0305704247294784</v>
      </c>
    </row>
    <row r="654" customFormat="false" ht="17.15" hidden="false" customHeight="false" outlineLevel="0" collapsed="false">
      <c r="A654" s="4" t="s">
        <v>582</v>
      </c>
      <c r="B654" s="0" t="s">
        <v>76</v>
      </c>
      <c r="C654" s="14" t="n">
        <f aca="false">C650/C628</f>
        <v>0.0629977625862272</v>
      </c>
      <c r="D654" s="14" t="n">
        <f aca="false">D650/D628</f>
        <v>0.107397865592237</v>
      </c>
      <c r="E654" s="14" t="n">
        <f aca="false">E650/E628</f>
        <v>0.123605178112392</v>
      </c>
      <c r="F654" s="14" t="n">
        <f aca="false">F650/F628</f>
        <v>0.108181193260917</v>
      </c>
      <c r="G654" s="14" t="n">
        <f aca="false">G650/G628</f>
        <v>0.118151161284109</v>
      </c>
      <c r="H654" s="27" t="n">
        <f aca="false">$G654+(fade_mB-$G654)*1/3</f>
        <v>0.111522364213491</v>
      </c>
      <c r="I654" s="27" t="n">
        <f aca="false">$G654+(fade_mB-$G654)*2/3</f>
        <v>0.104893567142872</v>
      </c>
      <c r="J654" s="27" t="n">
        <f aca="false">$G654+(fade_mB-$G654)*3/3</f>
        <v>0.0982647700722541</v>
      </c>
    </row>
    <row r="655" customFormat="false" ht="17.15" hidden="false" customHeight="false" outlineLevel="0" collapsed="false">
      <c r="A655" s="4" t="s">
        <v>583</v>
      </c>
      <c r="B655" s="0" t="s">
        <v>234</v>
      </c>
      <c r="C655" s="30" t="n">
        <f aca="false">C650+C636-C634</f>
        <v>-54.587</v>
      </c>
      <c r="D655" s="30" t="n">
        <f aca="false">D650+D636-D634</f>
        <v>-176.164485935382</v>
      </c>
      <c r="E655" s="30" t="n">
        <f aca="false">E650+E636-E634</f>
        <v>-146.524657489042</v>
      </c>
      <c r="F655" s="30" t="n">
        <f aca="false">F650+F636-F634</f>
        <v>-61.8190742223389</v>
      </c>
      <c r="G655" s="30" t="n">
        <f aca="false">G650+G636-G634</f>
        <v>-52.9520368555248</v>
      </c>
      <c r="K655" s="4" t="s">
        <v>584</v>
      </c>
    </row>
    <row r="656" customFormat="false" ht="17.15" hidden="false" customHeight="false" outlineLevel="0" collapsed="false">
      <c r="A656" s="4" t="s">
        <v>585</v>
      </c>
      <c r="B656" s="0" t="s">
        <v>76</v>
      </c>
      <c r="D656" s="21" t="n">
        <f aca="false">(D644-$C644)/SUM($D634:D634)</f>
        <v>0.164280348537512</v>
      </c>
      <c r="E656" s="21" t="n">
        <f aca="false">(E644-$C644)/SUM($D634:E634)</f>
        <v>0.159531573330622</v>
      </c>
      <c r="F656" s="21" t="n">
        <f aca="false">(F644-$C644)/SUM($D634:F634)</f>
        <v>0.0991203386561506</v>
      </c>
      <c r="G656" s="21" t="n">
        <f aca="false">(G644-$C644)/SUM($D634:G634)</f>
        <v>0.0962100108786909</v>
      </c>
      <c r="K656" s="4" t="s">
        <v>586</v>
      </c>
    </row>
    <row r="659" customFormat="false" ht="17.15" hidden="false" customHeight="false" outlineLevel="0" collapsed="false">
      <c r="A659" s="1" t="s">
        <v>927</v>
      </c>
    </row>
    <row r="660" customFormat="false" ht="17.15" hidden="false" customHeight="false" outlineLevel="0" collapsed="false">
      <c r="A660" s="5" t="s">
        <v>21</v>
      </c>
      <c r="B660" s="5" t="s">
        <v>22</v>
      </c>
      <c r="C660" s="15" t="s">
        <v>424</v>
      </c>
      <c r="D660" s="15" t="s">
        <v>524</v>
      </c>
      <c r="E660" s="15" t="s">
        <v>525</v>
      </c>
      <c r="F660" s="15" t="s">
        <v>526</v>
      </c>
      <c r="G660" s="15" t="s">
        <v>527</v>
      </c>
      <c r="H660" s="15" t="s">
        <v>528</v>
      </c>
      <c r="I660" s="15" t="s">
        <v>529</v>
      </c>
      <c r="J660" s="15" t="s">
        <v>530</v>
      </c>
      <c r="K660" s="5" t="s">
        <v>382</v>
      </c>
    </row>
    <row r="661" customFormat="false" ht="17.15" hidden="false" customHeight="false" outlineLevel="0" collapsed="false">
      <c r="A661" s="6" t="s">
        <v>548</v>
      </c>
    </row>
    <row r="662" customFormat="false" ht="17.15" hidden="false" customHeight="false" outlineLevel="0" collapsed="false">
      <c r="A662" s="0" t="s">
        <v>549</v>
      </c>
      <c r="B662" s="4" t="s">
        <v>32</v>
      </c>
      <c r="D662" s="19" t="n">
        <f aca="false">units_26</f>
        <v>15.2</v>
      </c>
      <c r="E662" s="19" t="n">
        <f aca="false">units_27*1</f>
        <v>23.7</v>
      </c>
      <c r="F662" s="19" t="n">
        <f aca="false">units_28*um28_C*1</f>
        <v>15.9</v>
      </c>
      <c r="G662" s="19" t="n">
        <f aca="false">units_29*um29_C*1</f>
        <v>18.09</v>
      </c>
    </row>
    <row r="663" customFormat="false" ht="17.15" hidden="false" customHeight="false" outlineLevel="0" collapsed="false">
      <c r="A663" s="4" t="s">
        <v>497</v>
      </c>
      <c r="B663" s="0" t="s">
        <v>45</v>
      </c>
      <c r="D663" s="22" t="n">
        <f aca="false">ar_26</f>
        <v>1</v>
      </c>
      <c r="E663" s="22" t="n">
        <f aca="false">ar_27</f>
        <v>1.278156</v>
      </c>
      <c r="F663" s="22" t="n">
        <f aca="false">ar_28</f>
        <v>1.428615</v>
      </c>
      <c r="G663" s="22" t="n">
        <f aca="false">ar_29</f>
        <v>1.431796</v>
      </c>
    </row>
    <row r="664" customFormat="false" ht="17.15" hidden="false" customHeight="false" outlineLevel="0" collapsed="false">
      <c r="A664" s="4" t="s">
        <v>550</v>
      </c>
      <c r="B664" s="0" t="s">
        <v>45</v>
      </c>
      <c r="D664" s="19" t="n">
        <f aca="false">1</f>
        <v>1</v>
      </c>
      <c r="E664" s="19" t="n">
        <f aca="false">rel27_C</f>
        <v>1</v>
      </c>
      <c r="F664" s="19" t="n">
        <f aca="false">rel28_C</f>
        <v>0.95</v>
      </c>
      <c r="G664" s="19" t="n">
        <f aca="false">rel29_C</f>
        <v>0.92</v>
      </c>
    </row>
    <row r="665" customFormat="false" ht="17.15" hidden="false" customHeight="false" outlineLevel="0" collapsed="false">
      <c r="A665" s="4" t="s">
        <v>551</v>
      </c>
      <c r="B665" s="0" t="s">
        <v>502</v>
      </c>
      <c r="D665" s="23" t="n">
        <f aca="false">D666*1000/D662</f>
        <v>236.842105263158</v>
      </c>
      <c r="E665" s="23" t="n">
        <f aca="false">$D665*E663^el_hi</f>
        <v>302.721157894737</v>
      </c>
      <c r="F665" s="23" t="n">
        <f aca="false">$D665*F663^el_hi</f>
        <v>338.356184210526</v>
      </c>
      <c r="G665" s="23" t="n">
        <f aca="false">$D665*G663^el_hi</f>
        <v>339.109578947368</v>
      </c>
      <c r="K665" s="8" t="s">
        <v>552</v>
      </c>
    </row>
    <row r="666" customFormat="false" ht="17.15" hidden="false" customHeight="false" outlineLevel="0" collapsed="false">
      <c r="A666" s="0" t="s">
        <v>553</v>
      </c>
      <c r="B666" s="0" t="s">
        <v>120</v>
      </c>
      <c r="D666" s="22" t="n">
        <f aca="false">leap26-D667-D668</f>
        <v>3.6</v>
      </c>
      <c r="E666" s="22" t="n">
        <f aca="false">E662*E664*E665/1000</f>
        <v>7.17449144210526</v>
      </c>
      <c r="F666" s="22" t="n">
        <f aca="false">F662*F664*F665/1000</f>
        <v>5.1108701625</v>
      </c>
      <c r="G666" s="22" t="n">
        <f aca="false">G662*G664*G665/1000</f>
        <v>5.64373290050526</v>
      </c>
      <c r="K666" s="8" t="s">
        <v>554</v>
      </c>
    </row>
    <row r="667" customFormat="false" ht="17.15" hidden="false" customHeight="false" outlineLevel="0" collapsed="false">
      <c r="A667" s="4" t="s">
        <v>555</v>
      </c>
      <c r="B667" s="0" t="s">
        <v>120</v>
      </c>
      <c r="D667" s="22" t="n">
        <f aca="false">fp26</f>
        <v>0.3</v>
      </c>
      <c r="E667" s="22" t="n">
        <f aca="false">fp27_C</f>
        <v>0.7</v>
      </c>
      <c r="F667" s="22" t="n">
        <f aca="false">E667*F662/E662*(1+fp_g)</f>
        <v>0.610506329113924</v>
      </c>
      <c r="G667" s="22" t="n">
        <f aca="false">F667*G662/F662*(1+fp_g)</f>
        <v>0.902973417721519</v>
      </c>
    </row>
    <row r="668" customFormat="false" ht="17.15" hidden="false" customHeight="false" outlineLevel="0" collapsed="false">
      <c r="A668" s="0" t="s">
        <v>556</v>
      </c>
      <c r="B668" s="0" t="s">
        <v>120</v>
      </c>
      <c r="D668" s="22" t="n">
        <f aca="false">cpo27*cpo_C_26/cpo_A_27</f>
        <v>0.1</v>
      </c>
      <c r="E668" s="22" t="n">
        <f aca="false">cpo27*cpo_C_27/cpo_A_27</f>
        <v>0.2</v>
      </c>
      <c r="F668" s="22" t="n">
        <f aca="false">cpo27*cpo_C_28/cpo_A_27*F662/E662</f>
        <v>0.20126582278481</v>
      </c>
      <c r="G668" s="22" t="n">
        <f aca="false">cpo27*cpo_C_29/cpo_A_27*G662/E662</f>
        <v>0.381645569620253</v>
      </c>
      <c r="K668" s="8" t="s">
        <v>557</v>
      </c>
    </row>
    <row r="669" customFormat="false" ht="17.15" hidden="false" customHeight="false" outlineLevel="0" collapsed="false">
      <c r="A669" s="0" t="s">
        <v>510</v>
      </c>
      <c r="B669" s="0" t="s">
        <v>120</v>
      </c>
      <c r="C669" s="22" t="n">
        <f aca="false">leap25</f>
        <v>1.6</v>
      </c>
      <c r="D669" s="22" t="n">
        <f aca="false">D666+D667+D668</f>
        <v>4</v>
      </c>
      <c r="E669" s="22" t="n">
        <f aca="false">E666+E667+E668</f>
        <v>8.07449144210526</v>
      </c>
      <c r="F669" s="22" t="n">
        <f aca="false">F666+F667+F668</f>
        <v>5.92264231439873</v>
      </c>
      <c r="G669" s="22" t="n">
        <f aca="false">G666+G667+G668</f>
        <v>6.92835188784704</v>
      </c>
    </row>
    <row r="670" customFormat="false" ht="17.15" hidden="false" customHeight="false" outlineLevel="0" collapsed="false">
      <c r="A670" s="4" t="s">
        <v>558</v>
      </c>
      <c r="B670" s="0" t="s">
        <v>114</v>
      </c>
      <c r="C670" s="19" t="n">
        <f aca="false">fx25</f>
        <v>31</v>
      </c>
      <c r="D670" s="19" t="n">
        <f aca="false">a26_leap/D669</f>
        <v>31.9</v>
      </c>
      <c r="E670" s="19" t="n">
        <f aca="false">fx</f>
        <v>32</v>
      </c>
      <c r="F670" s="19" t="n">
        <f aca="false">fx</f>
        <v>32</v>
      </c>
      <c r="G670" s="19" t="n">
        <f aca="false">fx</f>
        <v>32</v>
      </c>
      <c r="K670" s="8" t="s">
        <v>559</v>
      </c>
    </row>
    <row r="671" customFormat="false" ht="17.15" hidden="false" customHeight="false" outlineLevel="0" collapsed="false">
      <c r="A671" s="6" t="s">
        <v>560</v>
      </c>
    </row>
    <row r="672" customFormat="false" ht="17.15" hidden="false" customHeight="false" outlineLevel="0" collapsed="false">
      <c r="A672" s="0" t="s">
        <v>438</v>
      </c>
      <c r="B672" s="0" t="s">
        <v>234</v>
      </c>
      <c r="C672" s="30" t="n">
        <f aca="false">a25_leap</f>
        <v>49.6</v>
      </c>
      <c r="D672" s="30" t="n">
        <f aca="false">a26_leap</f>
        <v>127.6</v>
      </c>
      <c r="E672" s="30" t="n">
        <f aca="false">E669*E670</f>
        <v>258.383726147368</v>
      </c>
      <c r="F672" s="30" t="n">
        <f aca="false">F669*F670</f>
        <v>189.52455406076</v>
      </c>
      <c r="G672" s="30" t="n">
        <f aca="false">G669*G670</f>
        <v>221.707260411105</v>
      </c>
    </row>
    <row r="673" customFormat="false" ht="15" hidden="false" customHeight="false" outlineLevel="0" collapsed="false">
      <c r="A673" s="4" t="s">
        <v>561</v>
      </c>
      <c r="B673" s="0" t="s">
        <v>234</v>
      </c>
      <c r="C673" s="30" t="n">
        <f aca="false">a25_ms</f>
        <v>339.628</v>
      </c>
      <c r="D673" s="30" t="n">
        <f aca="false">a26_ms</f>
        <v>432.1302</v>
      </c>
      <c r="E673" s="30" t="n">
        <f aca="false">D673*(1+g_ms27)</f>
        <v>496.94973</v>
      </c>
      <c r="F673" s="30" t="n">
        <f aca="false">E673*(1+g_msL)</f>
        <v>531.7362111</v>
      </c>
      <c r="G673" s="30" t="n">
        <f aca="false">F673*(1+g_msL)</f>
        <v>568.957745877</v>
      </c>
    </row>
    <row r="674" customFormat="false" ht="17.15" hidden="false" customHeight="false" outlineLevel="0" collapsed="false">
      <c r="A674" s="4" t="s">
        <v>562</v>
      </c>
      <c r="B674" s="0" t="s">
        <v>234</v>
      </c>
      <c r="C674" s="30" t="n">
        <f aca="false">C672+C673</f>
        <v>389.228</v>
      </c>
      <c r="D674" s="30" t="n">
        <f aca="false">D672+D673</f>
        <v>559.7302</v>
      </c>
      <c r="E674" s="30" t="n">
        <f aca="false">E672+E673</f>
        <v>755.333456147369</v>
      </c>
      <c r="F674" s="30" t="n">
        <f aca="false">F672+F673</f>
        <v>721.26076516076</v>
      </c>
      <c r="G674" s="30" t="n">
        <f aca="false">G672+G673</f>
        <v>790.665006288105</v>
      </c>
    </row>
    <row r="675" customFormat="false" ht="17.15" hidden="false" customHeight="false" outlineLevel="0" collapsed="false">
      <c r="A675" s="0" t="s">
        <v>563</v>
      </c>
      <c r="B675" s="0" t="s">
        <v>234</v>
      </c>
      <c r="C675" s="30" t="n">
        <f aca="false">a25_ems</f>
        <v>259.079</v>
      </c>
      <c r="D675" s="30" t="n">
        <f aca="false">a26_ems</f>
        <v>314.602</v>
      </c>
      <c r="E675" s="30" t="n">
        <f aca="false">D675*(1+g_ems27)</f>
        <v>346.0622</v>
      </c>
      <c r="F675" s="30" t="n">
        <f aca="false">E675*(1+g_emsL)</f>
        <v>363.36531</v>
      </c>
      <c r="G675" s="30" t="n">
        <f aca="false">F675*(1+g_emsL)</f>
        <v>381.5335755</v>
      </c>
    </row>
    <row r="676" customFormat="false" ht="17.15" hidden="false" customHeight="false" outlineLevel="0" collapsed="false">
      <c r="A676" s="4" t="s">
        <v>564</v>
      </c>
      <c r="B676" s="0" t="s">
        <v>234</v>
      </c>
      <c r="C676" s="30" t="n">
        <f aca="false">a25_elim</f>
        <v>-2.91899999999998</v>
      </c>
      <c r="D676" s="30" t="n">
        <f aca="false">a26_elim</f>
        <v>-3.16484905982349</v>
      </c>
      <c r="E676" s="30" t="n">
        <f aca="false">$D676/($D674+$D675)*(E674+E675)</f>
        <v>-3.98675813020688</v>
      </c>
      <c r="F676" s="30" t="n">
        <f aca="false">$D676/($D674+$D675)*(F674+F675)</f>
        <v>-3.92605672561593</v>
      </c>
      <c r="G676" s="30" t="n">
        <f aca="false">$D676/($D674+$D675)*(G674+G675)</f>
        <v>-4.24304581199058</v>
      </c>
      <c r="K676" s="4" t="s">
        <v>565</v>
      </c>
    </row>
    <row r="677" customFormat="false" ht="17.15" hidden="false" customHeight="false" outlineLevel="0" collapsed="false">
      <c r="A677" s="4" t="s">
        <v>431</v>
      </c>
      <c r="B677" s="0" t="s">
        <v>234</v>
      </c>
      <c r="C677" s="30" t="n">
        <f aca="false">C674+C675+C676</f>
        <v>645.388</v>
      </c>
      <c r="D677" s="30" t="n">
        <f aca="false">D674+D675+D676</f>
        <v>871.167350940177</v>
      </c>
      <c r="E677" s="30" t="n">
        <f aca="false">E674+E675+E676</f>
        <v>1097.40889801716</v>
      </c>
      <c r="F677" s="30" t="n">
        <f aca="false">F674+F675+F676</f>
        <v>1080.70001843514</v>
      </c>
      <c r="G677" s="30" t="n">
        <f aca="false">G674+G675+G676</f>
        <v>1167.95553597611</v>
      </c>
      <c r="H677" s="31" t="n">
        <f aca="false">G677*(1+H678)</f>
        <v>1238.60891403064</v>
      </c>
      <c r="I677" s="31" t="n">
        <f aca="false">H677*(1+I678)</f>
        <v>1288.45871697216</v>
      </c>
      <c r="J677" s="31" t="n">
        <f aca="false">I677*(1+J678)</f>
        <v>1314.22789131161</v>
      </c>
      <c r="K677" s="8" t="s">
        <v>566</v>
      </c>
    </row>
    <row r="678" customFormat="false" ht="15" hidden="false" customHeight="false" outlineLevel="0" collapsed="false">
      <c r="A678" s="4" t="s">
        <v>567</v>
      </c>
      <c r="B678" s="0" t="s">
        <v>76</v>
      </c>
      <c r="D678" s="21" t="n">
        <f aca="false">D677/C677-1</f>
        <v>0.349835061916516</v>
      </c>
      <c r="E678" s="21" t="n">
        <f aca="false">E677/D677-1</f>
        <v>0.259699295241978</v>
      </c>
      <c r="F678" s="21" t="n">
        <f aca="false">F677/E677-1</f>
        <v>-0.01522575551575</v>
      </c>
      <c r="G678" s="21" t="n">
        <f aca="false">G677/F677-1</f>
        <v>0.0807398131327111</v>
      </c>
      <c r="H678" s="26" t="n">
        <f aca="false">$G678+(fade_gC-$G678)*1/3</f>
        <v>0.0604932087551407</v>
      </c>
      <c r="I678" s="26" t="n">
        <f aca="false">$G678+(fade_gC-$G678)*2/3</f>
        <v>0.0402466043775704</v>
      </c>
      <c r="J678" s="26" t="n">
        <f aca="false">$G678+(fade_gC-$G678)*3/3</f>
        <v>0.02</v>
      </c>
    </row>
    <row r="679" customFormat="false" ht="17.15" hidden="false" customHeight="false" outlineLevel="0" collapsed="false">
      <c r="A679" s="0" t="s">
        <v>475</v>
      </c>
      <c r="B679" s="0" t="s">
        <v>76</v>
      </c>
      <c r="C679" s="21" t="n">
        <f aca="false">C672/C674</f>
        <v>0.127431736668482</v>
      </c>
      <c r="D679" s="21" t="n">
        <f aca="false">D672/D674</f>
        <v>0.227966974088588</v>
      </c>
      <c r="E679" s="21" t="n">
        <f aca="false">E672/E674</f>
        <v>0.342079016948717</v>
      </c>
      <c r="F679" s="21" t="n">
        <f aca="false">F672/F674</f>
        <v>0.262768423315688</v>
      </c>
      <c r="G679" s="21" t="n">
        <f aca="false">G672/G674</f>
        <v>0.280406061540453</v>
      </c>
    </row>
    <row r="680" customFormat="false" ht="15" hidden="false" customHeight="false" outlineLevel="0" collapsed="false">
      <c r="A680" s="4" t="s">
        <v>568</v>
      </c>
      <c r="B680" s="0" t="s">
        <v>76</v>
      </c>
      <c r="D680" s="21" t="n">
        <f aca="false">D674/C674-1</f>
        <v>0.438052247012034</v>
      </c>
      <c r="E680" s="21" t="n">
        <f aca="false">E674/D674-1</f>
        <v>0.349459893619048</v>
      </c>
      <c r="F680" s="21" t="n">
        <f aca="false">F674/E674-1</f>
        <v>-0.0451094688171223</v>
      </c>
      <c r="G680" s="21" t="n">
        <f aca="false">G674/F674-1</f>
        <v>0.0962262810897199</v>
      </c>
    </row>
    <row r="681" customFormat="false" ht="17.15" hidden="false" customHeight="false" outlineLevel="0" collapsed="false">
      <c r="A681" s="6" t="s">
        <v>569</v>
      </c>
    </row>
    <row r="682" customFormat="false" ht="17.15" hidden="false" customHeight="false" outlineLevel="0" collapsed="false">
      <c r="A682" s="4" t="s">
        <v>570</v>
      </c>
      <c r="B682" s="0" t="s">
        <v>120</v>
      </c>
      <c r="C682" s="19" t="n">
        <f aca="false">capex25</f>
        <v>5.5</v>
      </c>
      <c r="D682" s="19" t="n">
        <f aca="false">capex26</f>
        <v>11.5</v>
      </c>
      <c r="E682" s="19" t="n">
        <f aca="false">capex27</f>
        <v>13</v>
      </c>
      <c r="F682" s="19" t="n">
        <f aca="false">capi*F677/F670</f>
        <v>10.1315626728295</v>
      </c>
      <c r="G682" s="19" t="n">
        <f aca="false">capi*G677/G670</f>
        <v>10.9495831497761</v>
      </c>
      <c r="K682" s="8" t="s">
        <v>571</v>
      </c>
    </row>
    <row r="683" customFormat="false" ht="15" hidden="false" customHeight="false" outlineLevel="0" collapsed="false">
      <c r="A683" s="4" t="s">
        <v>572</v>
      </c>
      <c r="B683" s="0" t="s">
        <v>234</v>
      </c>
      <c r="C683" s="30" t="n">
        <f aca="false">C682*C670</f>
        <v>170.5</v>
      </c>
      <c r="D683" s="30" t="n">
        <f aca="false">D682*31.9</f>
        <v>366.85</v>
      </c>
      <c r="E683" s="30" t="n">
        <f aca="false">E682*E670</f>
        <v>416</v>
      </c>
      <c r="F683" s="30" t="n">
        <f aca="false">F682*F670</f>
        <v>324.210005530543</v>
      </c>
      <c r="G683" s="30" t="n">
        <f aca="false">G682*G670</f>
        <v>350.386660792834</v>
      </c>
    </row>
    <row r="684" customFormat="false" ht="17.15" hidden="false" customHeight="false" outlineLevel="0" collapsed="false">
      <c r="A684" s="4" t="s">
        <v>473</v>
      </c>
      <c r="B684" s="0" t="s">
        <v>76</v>
      </c>
      <c r="C684" s="21" t="n">
        <f aca="false">C683/C677</f>
        <v>0.264182166386732</v>
      </c>
      <c r="D684" s="21" t="n">
        <f aca="false">D683/D677</f>
        <v>0.421101639775745</v>
      </c>
      <c r="E684" s="21" t="n">
        <f aca="false">E683/E677</f>
        <v>0.379074746661563</v>
      </c>
      <c r="F684" s="21" t="n">
        <f aca="false">F683/F677</f>
        <v>0.3</v>
      </c>
      <c r="G684" s="21" t="n">
        <f aca="false">G683/G677</f>
        <v>0.3</v>
      </c>
    </row>
    <row r="685" customFormat="false" ht="17.15" hidden="false" customHeight="false" outlineLevel="0" collapsed="false">
      <c r="A685" s="4" t="s">
        <v>573</v>
      </c>
      <c r="B685" s="0" t="s">
        <v>234</v>
      </c>
      <c r="C685" s="30" t="n">
        <f aca="false">a25_da</f>
        <v>75.255</v>
      </c>
      <c r="D685" s="30" t="n">
        <f aca="false">a26_da</f>
        <v>97.124</v>
      </c>
      <c r="E685" s="30" t="n">
        <f aca="false">D685*(1-1/life)+D683/life</f>
        <v>130.83975</v>
      </c>
      <c r="F685" s="30" t="n">
        <f aca="false">E685*(1-1/life)+E683/life</f>
        <v>166.48478125</v>
      </c>
      <c r="G685" s="30" t="n">
        <f aca="false">F685*(1-1/life)+F683/life</f>
        <v>186.200434285068</v>
      </c>
      <c r="K685" s="4" t="s">
        <v>574</v>
      </c>
    </row>
    <row r="686" customFormat="false" ht="17.15" hidden="false" customHeight="false" outlineLevel="0" collapsed="false">
      <c r="A686" s="4" t="s">
        <v>575</v>
      </c>
      <c r="B686" s="0" t="s">
        <v>234</v>
      </c>
      <c r="C686" s="30" t="n">
        <f aca="false">a25_agp</f>
        <v>91.38</v>
      </c>
      <c r="D686" s="30" t="n">
        <f aca="false">a26_agp</f>
        <v>164.623388</v>
      </c>
      <c r="E686" s="30" t="n">
        <f aca="false">$D686+ft*(E674-$D674)-(E685-$D685)</f>
        <v>228.709266073684</v>
      </c>
      <c r="F686" s="30" t="n">
        <f aca="false">$D686+ft*(F674-$D674)-(F685-$D685)</f>
        <v>176.02788933038</v>
      </c>
      <c r="G686" s="30" t="n">
        <f aca="false">$D686+ft*(G674-$D674)-(G685-$D685)</f>
        <v>191.014356858985</v>
      </c>
      <c r="K686" s="4" t="s">
        <v>576</v>
      </c>
    </row>
    <row r="687" customFormat="false" ht="15" hidden="false" customHeight="false" outlineLevel="0" collapsed="false">
      <c r="A687" s="4" t="s">
        <v>447</v>
      </c>
      <c r="B687" s="0" t="s">
        <v>76</v>
      </c>
      <c r="C687" s="14" t="n">
        <f aca="false">C686/C674</f>
        <v>0.234772421305764</v>
      </c>
      <c r="D687" s="14" t="n">
        <f aca="false">D686/D674</f>
        <v>0.294112034690999</v>
      </c>
      <c r="E687" s="14" t="n">
        <f aca="false">E686/E674</f>
        <v>0.302792447775625</v>
      </c>
      <c r="F687" s="14" t="n">
        <f aca="false">F686/F674</f>
        <v>0.244055822572223</v>
      </c>
      <c r="G687" s="14" t="n">
        <f aca="false">G686/G674</f>
        <v>0.241586962038108</v>
      </c>
    </row>
    <row r="688" customFormat="false" ht="17.15" hidden="false" customHeight="false" outlineLevel="0" collapsed="false">
      <c r="A688" s="0" t="s">
        <v>449</v>
      </c>
      <c r="B688" s="0" t="s">
        <v>234</v>
      </c>
      <c r="C688" s="30" t="n">
        <f aca="false">a25_egp</f>
        <v>23.695</v>
      </c>
      <c r="D688" s="30" t="n">
        <f aca="false">a26_egp</f>
        <v>27.00552</v>
      </c>
      <c r="E688" s="30" t="n">
        <f aca="false">E675*ems_gm</f>
        <v>29.415287</v>
      </c>
      <c r="F688" s="30" t="n">
        <f aca="false">F675*ems_gm</f>
        <v>30.88605135</v>
      </c>
      <c r="G688" s="30" t="n">
        <f aca="false">G675*ems_gm</f>
        <v>32.4303539175</v>
      </c>
    </row>
    <row r="689" customFormat="false" ht="15" hidden="false" customHeight="false" outlineLevel="0" collapsed="false">
      <c r="A689" s="4" t="s">
        <v>577</v>
      </c>
      <c r="B689" s="0" t="s">
        <v>234</v>
      </c>
      <c r="C689" s="30" t="n">
        <f aca="false">a25_lgp</f>
        <v>-0.881999999999998</v>
      </c>
      <c r="D689" s="30" t="n">
        <f aca="false">a26_lgp</f>
        <v>-0.948662139013863</v>
      </c>
      <c r="E689" s="30" t="n">
        <f aca="false">$D689/$D676*E676</f>
        <v>-1.19502902793851</v>
      </c>
      <c r="F689" s="30" t="n">
        <f aca="false">$D689/$D676*F676</f>
        <v>-1.17683380812489</v>
      </c>
      <c r="G689" s="30" t="n">
        <f aca="false">$D689/$D676*G676</f>
        <v>-1.27185114988116</v>
      </c>
    </row>
    <row r="690" customFormat="false" ht="15" hidden="false" customHeight="false" outlineLevel="0" collapsed="false">
      <c r="A690" s="4" t="s">
        <v>451</v>
      </c>
      <c r="B690" s="0" t="s">
        <v>234</v>
      </c>
      <c r="C690" s="30" t="n">
        <f aca="false">C686+C688+C689</f>
        <v>114.193</v>
      </c>
      <c r="D690" s="30" t="n">
        <f aca="false">D686+D688+D689</f>
        <v>190.680245860986</v>
      </c>
      <c r="E690" s="30" t="n">
        <f aca="false">E686+E688+E689</f>
        <v>256.929524045746</v>
      </c>
      <c r="F690" s="30" t="n">
        <f aca="false">F686+F688+F689</f>
        <v>205.737106872255</v>
      </c>
      <c r="G690" s="30" t="n">
        <f aca="false">G686+G688+G689</f>
        <v>222.172859626604</v>
      </c>
    </row>
    <row r="691" customFormat="false" ht="15" hidden="false" customHeight="false" outlineLevel="0" collapsed="false">
      <c r="A691" s="4" t="s">
        <v>452</v>
      </c>
      <c r="B691" s="0" t="s">
        <v>76</v>
      </c>
      <c r="C691" s="14" t="n">
        <f aca="false">C690/C677</f>
        <v>0.176936974347214</v>
      </c>
      <c r="D691" s="14" t="n">
        <f aca="false">D690/D677</f>
        <v>0.218879008327391</v>
      </c>
      <c r="E691" s="14" t="n">
        <f aca="false">E690/E677</f>
        <v>0.2341237842248</v>
      </c>
      <c r="F691" s="14" t="n">
        <f aca="false">F690/F677</f>
        <v>0.190373927419898</v>
      </c>
      <c r="G691" s="14" t="n">
        <f aca="false">G690/G677</f>
        <v>0.190223730941027</v>
      </c>
    </row>
    <row r="692" customFormat="false" ht="15" hidden="false" customHeight="false" outlineLevel="0" collapsed="false">
      <c r="A692" s="4" t="s">
        <v>578</v>
      </c>
      <c r="B692" s="0" t="s">
        <v>234</v>
      </c>
      <c r="C692" s="30" t="n">
        <f aca="false">a25_opx</f>
        <v>63.437</v>
      </c>
      <c r="D692" s="30" t="n">
        <f aca="false">a26_opx</f>
        <v>79.658</v>
      </c>
      <c r="E692" s="30" t="n">
        <f aca="false">D692*(1+phi*E678)</f>
        <v>92.0702758762313</v>
      </c>
      <c r="F692" s="30" t="n">
        <f aca="false">E692*(1+phi*F678)</f>
        <v>91.2291721697758</v>
      </c>
      <c r="G692" s="30" t="n">
        <f aca="false">F692*(1+phi*G678)</f>
        <v>95.6486679577196</v>
      </c>
    </row>
    <row r="693" customFormat="false" ht="15" hidden="false" customHeight="false" outlineLevel="0" collapsed="false">
      <c r="A693" s="4" t="s">
        <v>455</v>
      </c>
      <c r="B693" s="0" t="s">
        <v>234</v>
      </c>
      <c r="C693" s="30" t="n">
        <f aca="false">C690-C692</f>
        <v>50.756</v>
      </c>
      <c r="D693" s="30" t="n">
        <f aca="false">D690-D692</f>
        <v>111.022245860986</v>
      </c>
      <c r="E693" s="30" t="n">
        <f aca="false">E690-E692</f>
        <v>164.859248169514</v>
      </c>
      <c r="F693" s="30" t="n">
        <f aca="false">F690-F692</f>
        <v>114.507934702479</v>
      </c>
      <c r="G693" s="30" t="n">
        <f aca="false">G690-G692</f>
        <v>126.524191668884</v>
      </c>
    </row>
    <row r="694" customFormat="false" ht="15" hidden="false" customHeight="false" outlineLevel="0" collapsed="false">
      <c r="A694" s="4" t="s">
        <v>537</v>
      </c>
      <c r="B694" s="0" t="s">
        <v>76</v>
      </c>
      <c r="C694" s="14" t="n">
        <f aca="false">C693/C677</f>
        <v>0.0786441644406156</v>
      </c>
      <c r="D694" s="14" t="n">
        <f aca="false">D693/D677</f>
        <v>0.127440779020437</v>
      </c>
      <c r="E694" s="14" t="n">
        <f aca="false">E693/E677</f>
        <v>0.150225908016044</v>
      </c>
      <c r="F694" s="14" t="n">
        <f aca="false">F693/F677</f>
        <v>0.105957187701622</v>
      </c>
      <c r="G694" s="14" t="n">
        <f aca="false">G693/G677</f>
        <v>0.108329630513838</v>
      </c>
    </row>
    <row r="695" customFormat="false" ht="15" hidden="false" customHeight="false" outlineLevel="0" collapsed="false">
      <c r="A695" s="4" t="s">
        <v>456</v>
      </c>
      <c r="B695" s="0" t="s">
        <v>234</v>
      </c>
      <c r="C695" s="30" t="n">
        <f aca="false">a25_nonop</f>
        <v>0.545</v>
      </c>
      <c r="D695" s="30" t="n">
        <f aca="false">a26_nonop</f>
        <v>4.302</v>
      </c>
      <c r="E695" s="30" t="n">
        <f aca="false">nonop_f</f>
        <v>-5</v>
      </c>
      <c r="F695" s="30" t="n">
        <f aca="false">nonop_f</f>
        <v>-5</v>
      </c>
      <c r="G695" s="30" t="n">
        <f aca="false">nonop_f</f>
        <v>-5</v>
      </c>
    </row>
    <row r="696" customFormat="false" ht="15" hidden="false" customHeight="false" outlineLevel="0" collapsed="false">
      <c r="A696" s="4" t="s">
        <v>459</v>
      </c>
      <c r="B696" s="0" t="s">
        <v>234</v>
      </c>
      <c r="C696" s="30" t="n">
        <f aca="false">C693+C695</f>
        <v>51.301</v>
      </c>
      <c r="D696" s="30" t="n">
        <f aca="false">D693+D695</f>
        <v>115.324245860986</v>
      </c>
      <c r="E696" s="30" t="n">
        <f aca="false">E693+E695</f>
        <v>159.859248169514</v>
      </c>
      <c r="F696" s="30" t="n">
        <f aca="false">F693+F695</f>
        <v>109.507934702479</v>
      </c>
      <c r="G696" s="30" t="n">
        <f aca="false">G693+G695</f>
        <v>121.524191668884</v>
      </c>
    </row>
    <row r="697" customFormat="false" ht="15" hidden="false" customHeight="false" outlineLevel="0" collapsed="false">
      <c r="A697" s="4" t="s">
        <v>460</v>
      </c>
      <c r="B697" s="0" t="s">
        <v>234</v>
      </c>
      <c r="C697" s="30" t="n">
        <f aca="false">a25_tax</f>
        <v>9.461</v>
      </c>
      <c r="D697" s="30" t="n">
        <f aca="false">a26_tax</f>
        <v>19.2197317963676</v>
      </c>
      <c r="E697" s="30" t="n">
        <f aca="false">E696*tax</f>
        <v>27.1760721888175</v>
      </c>
      <c r="F697" s="30" t="n">
        <f aca="false">F696*tax</f>
        <v>18.6163488994214</v>
      </c>
      <c r="G697" s="30" t="n">
        <f aca="false">G696*tax</f>
        <v>20.6591125837103</v>
      </c>
    </row>
    <row r="698" customFormat="false" ht="15" hidden="false" customHeight="false" outlineLevel="0" collapsed="false">
      <c r="A698" s="4" t="s">
        <v>461</v>
      </c>
      <c r="B698" s="0" t="s">
        <v>234</v>
      </c>
      <c r="C698" s="30" t="n">
        <f aca="false">a25_nci</f>
        <v>1.182</v>
      </c>
      <c r="D698" s="30" t="n">
        <f aca="false">a26_nci</f>
        <v>2.543</v>
      </c>
      <c r="E698" s="30" t="n">
        <f aca="false">nci</f>
        <v>3</v>
      </c>
      <c r="F698" s="30" t="n">
        <f aca="false">nci</f>
        <v>3</v>
      </c>
      <c r="G698" s="30" t="n">
        <f aca="false">nci</f>
        <v>3</v>
      </c>
    </row>
    <row r="699" customFormat="false" ht="15" hidden="false" customHeight="false" outlineLevel="0" collapsed="false">
      <c r="A699" s="4" t="s">
        <v>462</v>
      </c>
      <c r="B699" s="0" t="s">
        <v>234</v>
      </c>
      <c r="C699" s="30" t="n">
        <f aca="false">C696-C697-C698</f>
        <v>40.658</v>
      </c>
      <c r="D699" s="30" t="n">
        <f aca="false">D696-D697-D698</f>
        <v>93.5615140646185</v>
      </c>
      <c r="E699" s="30" t="n">
        <f aca="false">E696-E697-E698</f>
        <v>129.683175980697</v>
      </c>
      <c r="F699" s="30" t="n">
        <f aca="false">F696-F697-F698</f>
        <v>87.8915858030576</v>
      </c>
      <c r="G699" s="30" t="n">
        <f aca="false">G696-G697-G698</f>
        <v>97.8650790851737</v>
      </c>
      <c r="H699" s="31" t="n">
        <f aca="false">H677*H703</f>
        <v>94.6407149456682</v>
      </c>
      <c r="I699" s="31" t="n">
        <f aca="false">I677*I703</f>
        <v>88.9371090049106</v>
      </c>
      <c r="J699" s="31" t="n">
        <f aca="false">J677*J703</f>
        <v>81.0130263647587</v>
      </c>
    </row>
    <row r="700" customFormat="false" ht="15" hidden="false" customHeight="false" outlineLevel="0" collapsed="false">
      <c r="A700" s="4" t="s">
        <v>579</v>
      </c>
      <c r="B700" s="4" t="s">
        <v>580</v>
      </c>
      <c r="C700" s="18" t="n">
        <f aca="false">a25_sh</f>
        <v>4339.16755602988</v>
      </c>
      <c r="D700" s="18" t="n">
        <f aca="false">a26_sh</f>
        <v>4392.90105184664</v>
      </c>
      <c r="E700" s="18" t="n">
        <f aca="false">D700*(1+sh_g)</f>
        <v>4414.86555710588</v>
      </c>
      <c r="F700" s="18" t="n">
        <f aca="false">E700*(1+sh_g)</f>
        <v>4436.9398848914</v>
      </c>
      <c r="G700" s="18" t="n">
        <f aca="false">F700*(1+sh_g)</f>
        <v>4459.12458431586</v>
      </c>
      <c r="H700" s="25" t="n">
        <f aca="false">G700*(1+sh_g)</f>
        <v>4481.42020723744</v>
      </c>
      <c r="I700" s="25" t="n">
        <f aca="false">H700*(1+sh_g)</f>
        <v>4503.82730827363</v>
      </c>
      <c r="J700" s="25" t="n">
        <f aca="false">I700*(1+sh_g)</f>
        <v>4526.34644481499</v>
      </c>
    </row>
    <row r="701" customFormat="false" ht="17.15" hidden="false" customHeight="false" outlineLevel="0" collapsed="false">
      <c r="A701" s="0" t="s">
        <v>465</v>
      </c>
      <c r="B701" s="0" t="s">
        <v>304</v>
      </c>
      <c r="C701" s="19" t="n">
        <f aca="false">a25_eps</f>
        <v>9.37</v>
      </c>
      <c r="D701" s="19" t="n">
        <f aca="false">a26_eps</f>
        <v>21.2828697294455</v>
      </c>
      <c r="E701" s="19" t="n">
        <f aca="false">E699/E700*1000</f>
        <v>29.3742072784</v>
      </c>
      <c r="F701" s="19" t="n">
        <f aca="false">F699/F700*1000</f>
        <v>19.8090549079433</v>
      </c>
      <c r="G701" s="19" t="n">
        <f aca="false">G699/G700*1000</f>
        <v>21.9471506648179</v>
      </c>
      <c r="H701" s="28" t="n">
        <f aca="false">H699/H700*1000</f>
        <v>21.1184648100673</v>
      </c>
      <c r="I701" s="28" t="n">
        <f aca="false">I699/I700*1000</f>
        <v>19.7470069159915</v>
      </c>
      <c r="J701" s="28" t="n">
        <f aca="false">J699/J700*1000</f>
        <v>17.8981055366543</v>
      </c>
    </row>
    <row r="702" customFormat="false" ht="17.15" hidden="false" customHeight="false" outlineLevel="0" collapsed="false">
      <c r="A702" s="0" t="s">
        <v>581</v>
      </c>
      <c r="B702" s="0" t="s">
        <v>76</v>
      </c>
      <c r="D702" s="21" t="n">
        <f aca="false">D701/C701-1</f>
        <v>1.27138417603474</v>
      </c>
      <c r="E702" s="21" t="n">
        <f aca="false">E701/D701-1</f>
        <v>0.380180758131498</v>
      </c>
      <c r="F702" s="21" t="n">
        <f aca="false">F701/E701-1</f>
        <v>-0.325630995921048</v>
      </c>
      <c r="G702" s="21" t="n">
        <f aca="false">G701/F701-1</f>
        <v>0.107935273379307</v>
      </c>
      <c r="H702" s="26" t="n">
        <f aca="false">H701/G701-1</f>
        <v>-0.0377582433094178</v>
      </c>
      <c r="I702" s="26" t="n">
        <f aca="false">I701/H701-1</f>
        <v>-0.0649411738215938</v>
      </c>
      <c r="J702" s="26" t="n">
        <f aca="false">J701/I701-1</f>
        <v>-0.0936294491212191</v>
      </c>
    </row>
    <row r="703" customFormat="false" ht="17.15" hidden="false" customHeight="false" outlineLevel="0" collapsed="false">
      <c r="A703" s="4" t="s">
        <v>582</v>
      </c>
      <c r="B703" s="0" t="s">
        <v>76</v>
      </c>
      <c r="C703" s="14" t="n">
        <f aca="false">C699/C677</f>
        <v>0.0629977625862272</v>
      </c>
      <c r="D703" s="14" t="n">
        <f aca="false">D699/D677</f>
        <v>0.107397865592237</v>
      </c>
      <c r="E703" s="14" t="n">
        <f aca="false">E699/E677</f>
        <v>0.118172156445071</v>
      </c>
      <c r="F703" s="14" t="n">
        <f aca="false">F699/F677</f>
        <v>0.0813283837362424</v>
      </c>
      <c r="G703" s="14" t="n">
        <f aca="false">G699/G677</f>
        <v>0.0837917849358737</v>
      </c>
      <c r="H703" s="27" t="n">
        <f aca="false">$G703+(fade_mC-$G703)*1/3</f>
        <v>0.0764088760169597</v>
      </c>
      <c r="I703" s="27" t="n">
        <f aca="false">$G703+(fade_mC-$G703)*2/3</f>
        <v>0.0690259670980456</v>
      </c>
      <c r="J703" s="27" t="n">
        <f aca="false">$G703+(fade_mC-$G703)*3/3</f>
        <v>0.0616430581791315</v>
      </c>
    </row>
    <row r="704" customFormat="false" ht="17.15" hidden="false" customHeight="false" outlineLevel="0" collapsed="false">
      <c r="A704" s="4" t="s">
        <v>583</v>
      </c>
      <c r="B704" s="0" t="s">
        <v>234</v>
      </c>
      <c r="C704" s="30" t="n">
        <f aca="false">C699+C685-C683</f>
        <v>-54.587</v>
      </c>
      <c r="D704" s="30" t="n">
        <f aca="false">D699+D685-D683</f>
        <v>-176.164485935382</v>
      </c>
      <c r="E704" s="30" t="n">
        <f aca="false">E699+E685-E683</f>
        <v>-155.477074019303</v>
      </c>
      <c r="F704" s="30" t="n">
        <f aca="false">F699+F685-F683</f>
        <v>-69.8336384774855</v>
      </c>
      <c r="G704" s="30" t="n">
        <f aca="false">G699+G685-G683</f>
        <v>-66.3211474225928</v>
      </c>
      <c r="K704" s="4" t="s">
        <v>584</v>
      </c>
    </row>
    <row r="705" customFormat="false" ht="17.15" hidden="false" customHeight="false" outlineLevel="0" collapsed="false">
      <c r="A705" s="4" t="s">
        <v>585</v>
      </c>
      <c r="B705" s="0" t="s">
        <v>76</v>
      </c>
      <c r="D705" s="21" t="n">
        <f aca="false">(D693-$C693)/SUM($D683:D683)</f>
        <v>0.164280348537512</v>
      </c>
      <c r="E705" s="21" t="n">
        <f aca="false">(E693-$C693)/SUM($D683:E683)</f>
        <v>0.145753654173232</v>
      </c>
      <c r="F705" s="21" t="n">
        <f aca="false">(F693-$C693)/SUM($D683:F683)</f>
        <v>0.0575867020613096</v>
      </c>
      <c r="G705" s="21" t="n">
        <f aca="false">(G693-$C693)/SUM($D683:G683)</f>
        <v>0.0519869395015465</v>
      </c>
      <c r="K705" s="4" t="s">
        <v>586</v>
      </c>
    </row>
    <row r="708" customFormat="false" ht="17.15" hidden="false" customHeight="false" outlineLevel="0" collapsed="false">
      <c r="A708" s="1" t="s">
        <v>928</v>
      </c>
    </row>
    <row r="709" customFormat="false" ht="17.15" hidden="false" customHeight="false" outlineLevel="0" collapsed="false">
      <c r="A709" s="5" t="s">
        <v>21</v>
      </c>
      <c r="B709" s="5" t="s">
        <v>22</v>
      </c>
      <c r="C709" s="15" t="s">
        <v>424</v>
      </c>
      <c r="D709" s="15" t="s">
        <v>524</v>
      </c>
      <c r="E709" s="15" t="s">
        <v>525</v>
      </c>
      <c r="F709" s="15" t="s">
        <v>526</v>
      </c>
      <c r="G709" s="15" t="s">
        <v>527</v>
      </c>
      <c r="H709" s="15" t="s">
        <v>528</v>
      </c>
      <c r="I709" s="15" t="s">
        <v>529</v>
      </c>
      <c r="J709" s="15" t="s">
        <v>530</v>
      </c>
      <c r="K709" s="5" t="s">
        <v>382</v>
      </c>
    </row>
    <row r="710" customFormat="false" ht="17.15" hidden="false" customHeight="false" outlineLevel="0" collapsed="false">
      <c r="A710" s="6" t="s">
        <v>548</v>
      </c>
    </row>
    <row r="711" customFormat="false" ht="17.15" hidden="false" customHeight="false" outlineLevel="0" collapsed="false">
      <c r="A711" s="0" t="s">
        <v>549</v>
      </c>
      <c r="B711" s="4" t="s">
        <v>32</v>
      </c>
      <c r="D711" s="19" t="n">
        <f aca="false">units_26</f>
        <v>15.2</v>
      </c>
      <c r="E711" s="19" t="n">
        <f aca="false">units_27*1</f>
        <v>23.7</v>
      </c>
      <c r="F711" s="19" t="n">
        <f aca="false">units_28*um28_A*1</f>
        <v>26.5</v>
      </c>
      <c r="G711" s="19" t="n">
        <f aca="false">units_29*um29_A*1</f>
        <v>30.15</v>
      </c>
    </row>
    <row r="712" customFormat="false" ht="17.15" hidden="false" customHeight="false" outlineLevel="0" collapsed="false">
      <c r="A712" s="4" t="s">
        <v>497</v>
      </c>
      <c r="B712" s="0" t="s">
        <v>45</v>
      </c>
      <c r="D712" s="22" t="n">
        <f aca="false">ar_26</f>
        <v>1</v>
      </c>
      <c r="E712" s="22" t="n">
        <f aca="false">ar_27</f>
        <v>1.278156</v>
      </c>
      <c r="F712" s="22" t="n">
        <f aca="false">ar_28</f>
        <v>1.428615</v>
      </c>
      <c r="G712" s="22" t="n">
        <f aca="false">ar_29</f>
        <v>1.431796</v>
      </c>
    </row>
    <row r="713" customFormat="false" ht="17.15" hidden="false" customHeight="false" outlineLevel="0" collapsed="false">
      <c r="A713" s="4" t="s">
        <v>550</v>
      </c>
      <c r="B713" s="0" t="s">
        <v>45</v>
      </c>
      <c r="D713" s="19" t="n">
        <f aca="false">1</f>
        <v>1</v>
      </c>
      <c r="E713" s="19" t="n">
        <f aca="false">rel27_A</f>
        <v>1.1</v>
      </c>
      <c r="F713" s="19" t="n">
        <f aca="false">rel28_A</f>
        <v>1.15</v>
      </c>
      <c r="G713" s="19" t="n">
        <f aca="false">rel29_A</f>
        <v>1.2</v>
      </c>
    </row>
    <row r="714" customFormat="false" ht="17.15" hidden="false" customHeight="false" outlineLevel="0" collapsed="false">
      <c r="A714" s="4" t="s">
        <v>551</v>
      </c>
      <c r="B714" s="0" t="s">
        <v>502</v>
      </c>
      <c r="D714" s="23" t="n">
        <f aca="false">D715*1000/D711</f>
        <v>236.842105263158</v>
      </c>
      <c r="E714" s="23" t="n">
        <f aca="false">$D714*E712^el</f>
        <v>267.763172119488</v>
      </c>
      <c r="F714" s="23" t="n">
        <f aca="false">$D714*F712^el</f>
        <v>283.084777049615</v>
      </c>
      <c r="G714" s="23" t="n">
        <f aca="false">$D714*G712^el</f>
        <v>283.399764630809</v>
      </c>
      <c r="K714" s="8" t="s">
        <v>552</v>
      </c>
    </row>
    <row r="715" customFormat="false" ht="17.15" hidden="false" customHeight="false" outlineLevel="0" collapsed="false">
      <c r="A715" s="0" t="s">
        <v>553</v>
      </c>
      <c r="B715" s="0" t="s">
        <v>120</v>
      </c>
      <c r="D715" s="22" t="n">
        <f aca="false">leap26-D716-D717</f>
        <v>3.6</v>
      </c>
      <c r="E715" s="22" t="n">
        <f aca="false">E711*E713*E714/1000</f>
        <v>6.98058589715504</v>
      </c>
      <c r="F715" s="22" t="n">
        <f aca="false">F711*F713*F714/1000</f>
        <v>8.627008580587</v>
      </c>
      <c r="G715" s="22" t="n">
        <f aca="false">G711*G713*G714/1000</f>
        <v>10.2534034843427</v>
      </c>
      <c r="K715" s="8" t="s">
        <v>554</v>
      </c>
    </row>
    <row r="716" customFormat="false" ht="17.15" hidden="false" customHeight="false" outlineLevel="0" collapsed="false">
      <c r="A716" s="4" t="s">
        <v>555</v>
      </c>
      <c r="B716" s="0" t="s">
        <v>120</v>
      </c>
      <c r="D716" s="22" t="n">
        <f aca="false">fp26</f>
        <v>0.3</v>
      </c>
      <c r="E716" s="22" t="n">
        <f aca="false">fp27_A</f>
        <v>1.2</v>
      </c>
      <c r="F716" s="22" t="n">
        <f aca="false">E716*F711/E711*(1+fp_g_lo)</f>
        <v>1.47594936708861</v>
      </c>
      <c r="G716" s="22" t="n">
        <f aca="false">F716*G711/F711*(1+fp_g_lo)</f>
        <v>1.84716455696203</v>
      </c>
    </row>
    <row r="717" customFormat="false" ht="17.15" hidden="false" customHeight="false" outlineLevel="0" collapsed="false">
      <c r="A717" s="0" t="s">
        <v>556</v>
      </c>
      <c r="B717" s="0" t="s">
        <v>120</v>
      </c>
      <c r="D717" s="22" t="n">
        <f aca="false">cpo27*cpo_A_26/cpo_A_27</f>
        <v>0.1</v>
      </c>
      <c r="E717" s="22" t="n">
        <f aca="false">cpo27*cpo_A_27/cpo_A_27</f>
        <v>0.5</v>
      </c>
      <c r="F717" s="22" t="n">
        <f aca="false">cpo27*cpo_A_28/cpo_A_27*F711/E711</f>
        <v>1.11814345991561</v>
      </c>
      <c r="G717" s="22" t="n">
        <f aca="false">cpo27*cpo_A_29/cpo_A_27*G711/E711</f>
        <v>2.03544303797468</v>
      </c>
      <c r="K717" s="8" t="s">
        <v>557</v>
      </c>
    </row>
    <row r="718" customFormat="false" ht="17.15" hidden="false" customHeight="false" outlineLevel="0" collapsed="false">
      <c r="A718" s="0" t="s">
        <v>510</v>
      </c>
      <c r="B718" s="0" t="s">
        <v>120</v>
      </c>
      <c r="C718" s="22" t="n">
        <f aca="false">leap25</f>
        <v>1.6</v>
      </c>
      <c r="D718" s="22" t="n">
        <f aca="false">D715+D716+D717</f>
        <v>4</v>
      </c>
      <c r="E718" s="22" t="n">
        <f aca="false">E715+E716+E717</f>
        <v>8.68058589715504</v>
      </c>
      <c r="F718" s="22" t="n">
        <f aca="false">F715+F716+F717</f>
        <v>11.2211014075912</v>
      </c>
      <c r="G718" s="22" t="n">
        <f aca="false">G715+G716+G717</f>
        <v>14.1360110792794</v>
      </c>
    </row>
    <row r="719" customFormat="false" ht="17.15" hidden="false" customHeight="false" outlineLevel="0" collapsed="false">
      <c r="A719" s="4" t="s">
        <v>558</v>
      </c>
      <c r="B719" s="0" t="s">
        <v>114</v>
      </c>
      <c r="C719" s="19" t="n">
        <f aca="false">fx25</f>
        <v>31</v>
      </c>
      <c r="D719" s="19" t="n">
        <f aca="false">a26_leap/D718</f>
        <v>31.9</v>
      </c>
      <c r="E719" s="19" t="n">
        <f aca="false">fx</f>
        <v>32</v>
      </c>
      <c r="F719" s="19" t="n">
        <f aca="false">fx</f>
        <v>32</v>
      </c>
      <c r="G719" s="19" t="n">
        <f aca="false">fx</f>
        <v>32</v>
      </c>
      <c r="K719" s="8" t="s">
        <v>559</v>
      </c>
    </row>
    <row r="720" customFormat="false" ht="17.15" hidden="false" customHeight="false" outlineLevel="0" collapsed="false">
      <c r="A720" s="6" t="s">
        <v>560</v>
      </c>
    </row>
    <row r="721" customFormat="false" ht="17.15" hidden="false" customHeight="false" outlineLevel="0" collapsed="false">
      <c r="A721" s="0" t="s">
        <v>438</v>
      </c>
      <c r="B721" s="0" t="s">
        <v>234</v>
      </c>
      <c r="C721" s="30" t="n">
        <f aca="false">a25_leap</f>
        <v>49.6</v>
      </c>
      <c r="D721" s="30" t="n">
        <f aca="false">a26_leap</f>
        <v>127.6</v>
      </c>
      <c r="E721" s="30" t="n">
        <f aca="false">E718*E719</f>
        <v>277.778748708961</v>
      </c>
      <c r="F721" s="30" t="n">
        <f aca="false">F718*F719</f>
        <v>359.075245042919</v>
      </c>
      <c r="G721" s="30" t="n">
        <f aca="false">G718*G719</f>
        <v>452.35235453694</v>
      </c>
    </row>
    <row r="722" customFormat="false" ht="15" hidden="false" customHeight="false" outlineLevel="0" collapsed="false">
      <c r="A722" s="4" t="s">
        <v>561</v>
      </c>
      <c r="B722" s="0" t="s">
        <v>234</v>
      </c>
      <c r="C722" s="30" t="n">
        <f aca="false">a25_ms</f>
        <v>339.628</v>
      </c>
      <c r="D722" s="30" t="n">
        <f aca="false">a26_ms</f>
        <v>432.1302</v>
      </c>
      <c r="E722" s="30" t="n">
        <f aca="false">D722*(1+g_ms27)</f>
        <v>496.94973</v>
      </c>
      <c r="F722" s="30" t="n">
        <f aca="false">E722*(1+g_msL)</f>
        <v>531.7362111</v>
      </c>
      <c r="G722" s="30" t="n">
        <f aca="false">F722*(1+g_msL)</f>
        <v>568.957745877</v>
      </c>
    </row>
    <row r="723" customFormat="false" ht="17.15" hidden="false" customHeight="false" outlineLevel="0" collapsed="false">
      <c r="A723" s="4" t="s">
        <v>562</v>
      </c>
      <c r="B723" s="0" t="s">
        <v>234</v>
      </c>
      <c r="C723" s="30" t="n">
        <f aca="false">C721+C722</f>
        <v>389.228</v>
      </c>
      <c r="D723" s="30" t="n">
        <f aca="false">D721+D722</f>
        <v>559.7302</v>
      </c>
      <c r="E723" s="30" t="n">
        <f aca="false">E721+E722</f>
        <v>774.728478708961</v>
      </c>
      <c r="F723" s="30" t="n">
        <f aca="false">F721+F722</f>
        <v>890.811456142919</v>
      </c>
      <c r="G723" s="30" t="n">
        <f aca="false">G721+G722</f>
        <v>1021.31010041394</v>
      </c>
    </row>
    <row r="724" customFormat="false" ht="17.15" hidden="false" customHeight="false" outlineLevel="0" collapsed="false">
      <c r="A724" s="0" t="s">
        <v>563</v>
      </c>
      <c r="B724" s="0" t="s">
        <v>234</v>
      </c>
      <c r="C724" s="30" t="n">
        <f aca="false">a25_ems</f>
        <v>259.079</v>
      </c>
      <c r="D724" s="30" t="n">
        <f aca="false">a26_ems</f>
        <v>314.602</v>
      </c>
      <c r="E724" s="30" t="n">
        <f aca="false">D724*(1+g_ems27)</f>
        <v>346.0622</v>
      </c>
      <c r="F724" s="30" t="n">
        <f aca="false">E724*(1+g_emsL)</f>
        <v>363.36531</v>
      </c>
      <c r="G724" s="30" t="n">
        <f aca="false">F724*(1+g_emsL)</f>
        <v>381.5335755</v>
      </c>
    </row>
    <row r="725" customFormat="false" ht="17.15" hidden="false" customHeight="false" outlineLevel="0" collapsed="false">
      <c r="A725" s="4" t="s">
        <v>564</v>
      </c>
      <c r="B725" s="0" t="s">
        <v>234</v>
      </c>
      <c r="C725" s="30" t="n">
        <f aca="false">a25_elim</f>
        <v>-2.91899999999998</v>
      </c>
      <c r="D725" s="30" t="n">
        <f aca="false">a26_elim</f>
        <v>-3.16484905982349</v>
      </c>
      <c r="E725" s="30" t="n">
        <f aca="false">$D725/($D723+$D724)*(E723+E724)</f>
        <v>-4.05696293213379</v>
      </c>
      <c r="F725" s="30" t="n">
        <f aca="false">$D725/($D723+$D724)*(F723+F724)</f>
        <v>-4.53978494579049</v>
      </c>
      <c r="G725" s="30" t="n">
        <f aca="false">$D725/($D723+$D724)*(G723+G724)</f>
        <v>-5.07791945532322</v>
      </c>
      <c r="K725" s="4" t="s">
        <v>565</v>
      </c>
    </row>
    <row r="726" customFormat="false" ht="17.15" hidden="false" customHeight="false" outlineLevel="0" collapsed="false">
      <c r="A726" s="4" t="s">
        <v>431</v>
      </c>
      <c r="B726" s="0" t="s">
        <v>234</v>
      </c>
      <c r="C726" s="30" t="n">
        <f aca="false">C723+C724+C725</f>
        <v>645.388</v>
      </c>
      <c r="D726" s="30" t="n">
        <f aca="false">D723+D724+D725</f>
        <v>871.167350940177</v>
      </c>
      <c r="E726" s="30" t="n">
        <f aca="false">E723+E724+E725</f>
        <v>1116.73371577683</v>
      </c>
      <c r="F726" s="30" t="n">
        <f aca="false">F723+F724+F725</f>
        <v>1249.63698119713</v>
      </c>
      <c r="G726" s="30" t="n">
        <f aca="false">G723+G724+G725</f>
        <v>1397.76575645862</v>
      </c>
      <c r="H726" s="31" t="n">
        <f aca="false">G726*(1+H727)</f>
        <v>1536.17945948874</v>
      </c>
      <c r="I726" s="31" t="n">
        <f aca="false">H726*(1+I727)</f>
        <v>1658.32490073444</v>
      </c>
      <c r="J726" s="31" t="n">
        <f aca="false">I726*(1+J727)</f>
        <v>1757.82439477851</v>
      </c>
      <c r="K726" s="8" t="s">
        <v>566</v>
      </c>
    </row>
    <row r="727" customFormat="false" ht="15" hidden="false" customHeight="false" outlineLevel="0" collapsed="false">
      <c r="A727" s="4" t="s">
        <v>567</v>
      </c>
      <c r="B727" s="0" t="s">
        <v>76</v>
      </c>
      <c r="D727" s="21" t="n">
        <f aca="false">D726/C726-1</f>
        <v>0.349835061916516</v>
      </c>
      <c r="E727" s="21" t="n">
        <f aca="false">E726/D726-1</f>
        <v>0.281881965126026</v>
      </c>
      <c r="F727" s="21" t="n">
        <f aca="false">F726/E726-1</f>
        <v>0.119010703753894</v>
      </c>
      <c r="G727" s="21" t="n">
        <f aca="false">G726/F726-1</f>
        <v>0.118537445266371</v>
      </c>
      <c r="H727" s="26" t="n">
        <f aca="false">$G727+(fade_gA-$G727)*1/3</f>
        <v>0.0990249635109142</v>
      </c>
      <c r="I727" s="26" t="n">
        <f aca="false">$G727+(fade_gA-$G727)*2/3</f>
        <v>0.0795124817554571</v>
      </c>
      <c r="J727" s="26" t="n">
        <f aca="false">$G727+(fade_gA-$G727)*3/3</f>
        <v>0.06</v>
      </c>
    </row>
    <row r="728" customFormat="false" ht="17.15" hidden="false" customHeight="false" outlineLevel="0" collapsed="false">
      <c r="A728" s="0" t="s">
        <v>475</v>
      </c>
      <c r="B728" s="0" t="s">
        <v>76</v>
      </c>
      <c r="C728" s="21" t="n">
        <f aca="false">C721/C723</f>
        <v>0.127431736668482</v>
      </c>
      <c r="D728" s="21" t="n">
        <f aca="false">D721/D723</f>
        <v>0.227966974088588</v>
      </c>
      <c r="E728" s="21" t="n">
        <f aca="false">E721/E723</f>
        <v>0.35854980982739</v>
      </c>
      <c r="F728" s="21" t="n">
        <f aca="false">F721/F723</f>
        <v>0.403087816806557</v>
      </c>
      <c r="G728" s="21" t="n">
        <f aca="false">G721/G723</f>
        <v>0.442913816629837</v>
      </c>
    </row>
    <row r="729" customFormat="false" ht="15" hidden="false" customHeight="false" outlineLevel="0" collapsed="false">
      <c r="A729" s="4" t="s">
        <v>568</v>
      </c>
      <c r="B729" s="0" t="s">
        <v>76</v>
      </c>
      <c r="D729" s="21" t="n">
        <f aca="false">D723/C723-1</f>
        <v>0.438052247012034</v>
      </c>
      <c r="E729" s="21" t="n">
        <f aca="false">E723/D723-1</f>
        <v>0.384110556673485</v>
      </c>
      <c r="F729" s="21" t="n">
        <f aca="false">F723/E723-1</f>
        <v>0.149836982406279</v>
      </c>
      <c r="G729" s="21" t="n">
        <f aca="false">G723/F723-1</f>
        <v>0.146494124397614</v>
      </c>
    </row>
    <row r="730" customFormat="false" ht="17.15" hidden="false" customHeight="false" outlineLevel="0" collapsed="false">
      <c r="A730" s="6" t="s">
        <v>569</v>
      </c>
    </row>
    <row r="731" customFormat="false" ht="17.15" hidden="false" customHeight="false" outlineLevel="0" collapsed="false">
      <c r="A731" s="4" t="s">
        <v>570</v>
      </c>
      <c r="B731" s="0" t="s">
        <v>120</v>
      </c>
      <c r="C731" s="19" t="n">
        <f aca="false">capex25</f>
        <v>5.5</v>
      </c>
      <c r="D731" s="19" t="n">
        <f aca="false">capex26</f>
        <v>11.5</v>
      </c>
      <c r="E731" s="19" t="n">
        <f aca="false">capex27</f>
        <v>13</v>
      </c>
      <c r="F731" s="19" t="n">
        <f aca="false">capi*F726/F719</f>
        <v>11.7153466987231</v>
      </c>
      <c r="G731" s="19" t="n">
        <f aca="false">capi*G726/G719</f>
        <v>13.1040539667995</v>
      </c>
      <c r="K731" s="8" t="s">
        <v>571</v>
      </c>
    </row>
    <row r="732" customFormat="false" ht="15" hidden="false" customHeight="false" outlineLevel="0" collapsed="false">
      <c r="A732" s="4" t="s">
        <v>572</v>
      </c>
      <c r="B732" s="0" t="s">
        <v>234</v>
      </c>
      <c r="C732" s="30" t="n">
        <f aca="false">C731*C719</f>
        <v>170.5</v>
      </c>
      <c r="D732" s="30" t="n">
        <f aca="false">D731*31.9</f>
        <v>366.85</v>
      </c>
      <c r="E732" s="30" t="n">
        <f aca="false">E731*E719</f>
        <v>416</v>
      </c>
      <c r="F732" s="30" t="n">
        <f aca="false">F731*F719</f>
        <v>374.891094359139</v>
      </c>
      <c r="G732" s="30" t="n">
        <f aca="false">G731*G719</f>
        <v>419.329726937585</v>
      </c>
    </row>
    <row r="733" customFormat="false" ht="17.15" hidden="false" customHeight="false" outlineLevel="0" collapsed="false">
      <c r="A733" s="4" t="s">
        <v>473</v>
      </c>
      <c r="B733" s="0" t="s">
        <v>76</v>
      </c>
      <c r="C733" s="21" t="n">
        <f aca="false">C732/C726</f>
        <v>0.264182166386732</v>
      </c>
      <c r="D733" s="21" t="n">
        <f aca="false">D732/D726</f>
        <v>0.421101639775745</v>
      </c>
      <c r="E733" s="21" t="n">
        <f aca="false">E732/E726</f>
        <v>0.372514946153139</v>
      </c>
      <c r="F733" s="21" t="n">
        <f aca="false">F732/F726</f>
        <v>0.3</v>
      </c>
      <c r="G733" s="21" t="n">
        <f aca="false">G732/G726</f>
        <v>0.3</v>
      </c>
    </row>
    <row r="734" customFormat="false" ht="17.15" hidden="false" customHeight="false" outlineLevel="0" collapsed="false">
      <c r="A734" s="4" t="s">
        <v>573</v>
      </c>
      <c r="B734" s="0" t="s">
        <v>234</v>
      </c>
      <c r="C734" s="30" t="n">
        <f aca="false">a25_da</f>
        <v>75.255</v>
      </c>
      <c r="D734" s="30" t="n">
        <f aca="false">a26_da</f>
        <v>97.124</v>
      </c>
      <c r="E734" s="30" t="n">
        <f aca="false">D734*(1-1/life)+D732/life</f>
        <v>130.83975</v>
      </c>
      <c r="F734" s="30" t="n">
        <f aca="false">E734*(1-1/life)+E732/life</f>
        <v>166.48478125</v>
      </c>
      <c r="G734" s="30" t="n">
        <f aca="false">F734*(1-1/life)+F732/life</f>
        <v>192.535570388642</v>
      </c>
      <c r="K734" s="4" t="s">
        <v>574</v>
      </c>
    </row>
    <row r="735" customFormat="false" ht="17.15" hidden="false" customHeight="false" outlineLevel="0" collapsed="false">
      <c r="A735" s="4" t="s">
        <v>575</v>
      </c>
      <c r="B735" s="0" t="s">
        <v>234</v>
      </c>
      <c r="C735" s="30" t="n">
        <f aca="false">a25_agp</f>
        <v>91.38</v>
      </c>
      <c r="D735" s="30" t="n">
        <f aca="false">a26_agp</f>
        <v>164.623388</v>
      </c>
      <c r="E735" s="30" t="n">
        <f aca="false">$D735+ft*(E723-$D723)-(E734-$D734)</f>
        <v>238.406777354481</v>
      </c>
      <c r="F735" s="30" t="n">
        <f aca="false">$D735+ft*(F723-$D723)-(F734-$D734)</f>
        <v>260.80323482146</v>
      </c>
      <c r="G735" s="30" t="n">
        <f aca="false">$D735+ft*(G723-$D723)-(G734-$D734)</f>
        <v>300.001767818328</v>
      </c>
      <c r="K735" s="4" t="s">
        <v>576</v>
      </c>
    </row>
    <row r="736" customFormat="false" ht="15" hidden="false" customHeight="false" outlineLevel="0" collapsed="false">
      <c r="A736" s="4" t="s">
        <v>447</v>
      </c>
      <c r="B736" s="0" t="s">
        <v>76</v>
      </c>
      <c r="C736" s="14" t="n">
        <f aca="false">C735/C723</f>
        <v>0.234772421305764</v>
      </c>
      <c r="D736" s="14" t="n">
        <f aca="false">D735/D723</f>
        <v>0.294112034690999</v>
      </c>
      <c r="E736" s="14" t="n">
        <f aca="false">E735/E723</f>
        <v>0.307729461232368</v>
      </c>
      <c r="F736" s="14" t="n">
        <f aca="false">F735/F723</f>
        <v>0.29277040952156</v>
      </c>
      <c r="G736" s="14" t="n">
        <f aca="false">G735/G723</f>
        <v>0.29374209429314</v>
      </c>
    </row>
    <row r="737" customFormat="false" ht="17.15" hidden="false" customHeight="false" outlineLevel="0" collapsed="false">
      <c r="A737" s="0" t="s">
        <v>449</v>
      </c>
      <c r="B737" s="0" t="s">
        <v>234</v>
      </c>
      <c r="C737" s="30" t="n">
        <f aca="false">a25_egp</f>
        <v>23.695</v>
      </c>
      <c r="D737" s="30" t="n">
        <f aca="false">a26_egp</f>
        <v>27.00552</v>
      </c>
      <c r="E737" s="30" t="n">
        <f aca="false">E724*ems_gm</f>
        <v>29.415287</v>
      </c>
      <c r="F737" s="30" t="n">
        <f aca="false">F724*ems_gm</f>
        <v>30.88605135</v>
      </c>
      <c r="G737" s="30" t="n">
        <f aca="false">G724*ems_gm</f>
        <v>32.4303539175</v>
      </c>
    </row>
    <row r="738" customFormat="false" ht="15" hidden="false" customHeight="false" outlineLevel="0" collapsed="false">
      <c r="A738" s="4" t="s">
        <v>577</v>
      </c>
      <c r="B738" s="0" t="s">
        <v>234</v>
      </c>
      <c r="C738" s="30" t="n">
        <f aca="false">a25_lgp</f>
        <v>-0.881999999999998</v>
      </c>
      <c r="D738" s="30" t="n">
        <f aca="false">a26_lgp</f>
        <v>-0.948662139013863</v>
      </c>
      <c r="E738" s="30" t="n">
        <f aca="false">$D738/$D725*E725</f>
        <v>-1.21607288699975</v>
      </c>
      <c r="F738" s="30" t="n">
        <f aca="false">$D738/$D725*F725</f>
        <v>-1.36079857709762</v>
      </c>
      <c r="G738" s="30" t="n">
        <f aca="false">$D738/$D725*G725</f>
        <v>-1.52210416394888</v>
      </c>
    </row>
    <row r="739" customFormat="false" ht="15" hidden="false" customHeight="false" outlineLevel="0" collapsed="false">
      <c r="A739" s="4" t="s">
        <v>451</v>
      </c>
      <c r="B739" s="0" t="s">
        <v>234</v>
      </c>
      <c r="C739" s="30" t="n">
        <f aca="false">C735+C737+C738</f>
        <v>114.193</v>
      </c>
      <c r="D739" s="30" t="n">
        <f aca="false">D735+D737+D738</f>
        <v>190.680245860986</v>
      </c>
      <c r="E739" s="30" t="n">
        <f aca="false">E735+E737+E738</f>
        <v>266.605991467481</v>
      </c>
      <c r="F739" s="30" t="n">
        <f aca="false">F735+F737+F738</f>
        <v>290.328487594362</v>
      </c>
      <c r="G739" s="30" t="n">
        <f aca="false">G735+G737+G738</f>
        <v>330.910017571879</v>
      </c>
    </row>
    <row r="740" customFormat="false" ht="15" hidden="false" customHeight="false" outlineLevel="0" collapsed="false">
      <c r="A740" s="4" t="s">
        <v>452</v>
      </c>
      <c r="B740" s="0" t="s">
        <v>76</v>
      </c>
      <c r="C740" s="14" t="n">
        <f aca="false">C739/C726</f>
        <v>0.176936974347214</v>
      </c>
      <c r="D740" s="14" t="n">
        <f aca="false">D739/D726</f>
        <v>0.218879008327391</v>
      </c>
      <c r="E740" s="14" t="n">
        <f aca="false">E739/E726</f>
        <v>0.238737299412531</v>
      </c>
      <c r="F740" s="14" t="n">
        <f aca="false">F739/F726</f>
        <v>0.232330262278436</v>
      </c>
      <c r="G740" s="14" t="n">
        <f aca="false">G739/G726</f>
        <v>0.236742112219342</v>
      </c>
    </row>
    <row r="741" customFormat="false" ht="15" hidden="false" customHeight="false" outlineLevel="0" collapsed="false">
      <c r="A741" s="4" t="s">
        <v>578</v>
      </c>
      <c r="B741" s="0" t="s">
        <v>234</v>
      </c>
      <c r="C741" s="30" t="n">
        <f aca="false">a25_opx</f>
        <v>63.437</v>
      </c>
      <c r="D741" s="30" t="n">
        <f aca="false">a26_opx</f>
        <v>79.658</v>
      </c>
      <c r="E741" s="30" t="n">
        <f aca="false">D741*(1+phi*E727)</f>
        <v>93.1304921468054</v>
      </c>
      <c r="F741" s="30" t="n">
        <f aca="false">E741*(1+phi*F727)</f>
        <v>99.780607393608</v>
      </c>
      <c r="G741" s="30" t="n">
        <f aca="false">F741*(1+phi*G727)</f>
        <v>106.877250366147</v>
      </c>
    </row>
    <row r="742" customFormat="false" ht="15" hidden="false" customHeight="false" outlineLevel="0" collapsed="false">
      <c r="A742" s="4" t="s">
        <v>455</v>
      </c>
      <c r="B742" s="0" t="s">
        <v>234</v>
      </c>
      <c r="C742" s="30" t="n">
        <f aca="false">C739-C741</f>
        <v>50.756</v>
      </c>
      <c r="D742" s="30" t="n">
        <f aca="false">D739-D741</f>
        <v>111.022245860986</v>
      </c>
      <c r="E742" s="30" t="n">
        <f aca="false">E739-E741</f>
        <v>173.475499320676</v>
      </c>
      <c r="F742" s="30" t="n">
        <f aca="false">F739-F741</f>
        <v>190.547880200754</v>
      </c>
      <c r="G742" s="30" t="n">
        <f aca="false">G739-G741</f>
        <v>224.032767205732</v>
      </c>
    </row>
    <row r="743" customFormat="false" ht="15" hidden="false" customHeight="false" outlineLevel="0" collapsed="false">
      <c r="A743" s="4" t="s">
        <v>537</v>
      </c>
      <c r="B743" s="0" t="s">
        <v>76</v>
      </c>
      <c r="C743" s="14" t="n">
        <f aca="false">C742/C726</f>
        <v>0.0786441644406156</v>
      </c>
      <c r="D743" s="14" t="n">
        <f aca="false">D742/D726</f>
        <v>0.127440779020437</v>
      </c>
      <c r="E743" s="14" t="n">
        <f aca="false">E742/E726</f>
        <v>0.155341866077717</v>
      </c>
      <c r="F743" s="14" t="n">
        <f aca="false">F742/F726</f>
        <v>0.152482587397672</v>
      </c>
      <c r="G743" s="14" t="n">
        <f aca="false">G742/G726</f>
        <v>0.160279192826516</v>
      </c>
    </row>
    <row r="744" customFormat="false" ht="15" hidden="false" customHeight="false" outlineLevel="0" collapsed="false">
      <c r="A744" s="4" t="s">
        <v>456</v>
      </c>
      <c r="B744" s="0" t="s">
        <v>234</v>
      </c>
      <c r="C744" s="30" t="n">
        <f aca="false">a25_nonop</f>
        <v>0.545</v>
      </c>
      <c r="D744" s="30" t="n">
        <f aca="false">a26_nonop</f>
        <v>4.302</v>
      </c>
      <c r="E744" s="30" t="n">
        <f aca="false">nonop_f</f>
        <v>-5</v>
      </c>
      <c r="F744" s="30" t="n">
        <f aca="false">nonop_f</f>
        <v>-5</v>
      </c>
      <c r="G744" s="30" t="n">
        <f aca="false">nonop_f</f>
        <v>-5</v>
      </c>
    </row>
    <row r="745" customFormat="false" ht="15" hidden="false" customHeight="false" outlineLevel="0" collapsed="false">
      <c r="A745" s="4" t="s">
        <v>459</v>
      </c>
      <c r="B745" s="0" t="s">
        <v>234</v>
      </c>
      <c r="C745" s="30" t="n">
        <f aca="false">C742+C744</f>
        <v>51.301</v>
      </c>
      <c r="D745" s="30" t="n">
        <f aca="false">D742+D744</f>
        <v>115.324245860986</v>
      </c>
      <c r="E745" s="30" t="n">
        <f aca="false">E742+E744</f>
        <v>168.475499320676</v>
      </c>
      <c r="F745" s="30" t="n">
        <f aca="false">F742+F744</f>
        <v>185.547880200754</v>
      </c>
      <c r="G745" s="30" t="n">
        <f aca="false">G742+G744</f>
        <v>219.032767205732</v>
      </c>
    </row>
    <row r="746" customFormat="false" ht="15" hidden="false" customHeight="false" outlineLevel="0" collapsed="false">
      <c r="A746" s="4" t="s">
        <v>460</v>
      </c>
      <c r="B746" s="0" t="s">
        <v>234</v>
      </c>
      <c r="C746" s="30" t="n">
        <f aca="false">a25_tax</f>
        <v>9.461</v>
      </c>
      <c r="D746" s="30" t="n">
        <f aca="false">a26_tax</f>
        <v>19.2197317963676</v>
      </c>
      <c r="E746" s="30" t="n">
        <f aca="false">E745*tax</f>
        <v>28.6408348845149</v>
      </c>
      <c r="F746" s="30" t="n">
        <f aca="false">F745*tax</f>
        <v>31.5431396341282</v>
      </c>
      <c r="G746" s="30" t="n">
        <f aca="false">G745*tax</f>
        <v>37.2355704249744</v>
      </c>
    </row>
    <row r="747" customFormat="false" ht="15" hidden="false" customHeight="false" outlineLevel="0" collapsed="false">
      <c r="A747" s="4" t="s">
        <v>461</v>
      </c>
      <c r="B747" s="0" t="s">
        <v>234</v>
      </c>
      <c r="C747" s="30" t="n">
        <f aca="false">a25_nci</f>
        <v>1.182</v>
      </c>
      <c r="D747" s="30" t="n">
        <f aca="false">a26_nci</f>
        <v>2.543</v>
      </c>
      <c r="E747" s="30" t="n">
        <f aca="false">nci</f>
        <v>3</v>
      </c>
      <c r="F747" s="30" t="n">
        <f aca="false">nci</f>
        <v>3</v>
      </c>
      <c r="G747" s="30" t="n">
        <f aca="false">nci</f>
        <v>3</v>
      </c>
    </row>
    <row r="748" customFormat="false" ht="15" hidden="false" customHeight="false" outlineLevel="0" collapsed="false">
      <c r="A748" s="4" t="s">
        <v>462</v>
      </c>
      <c r="B748" s="0" t="s">
        <v>234</v>
      </c>
      <c r="C748" s="30" t="n">
        <f aca="false">C745-C746-C747</f>
        <v>40.658</v>
      </c>
      <c r="D748" s="30" t="n">
        <f aca="false">D745-D746-D747</f>
        <v>93.5615140646185</v>
      </c>
      <c r="E748" s="30" t="n">
        <f aca="false">E745-E746-E747</f>
        <v>136.834664436161</v>
      </c>
      <c r="F748" s="30" t="n">
        <f aca="false">F745-F746-F747</f>
        <v>151.004740566626</v>
      </c>
      <c r="G748" s="30" t="n">
        <f aca="false">G745-G746-G747</f>
        <v>178.797196780757</v>
      </c>
      <c r="H748" s="31" t="n">
        <f aca="false">H726*H752</f>
        <v>198.494193805978</v>
      </c>
      <c r="I748" s="31" t="n">
        <f aca="false">I726*I752</f>
        <v>216.426928851979</v>
      </c>
      <c r="J748" s="31" t="n">
        <f aca="false">J726*J752</f>
        <v>231.691511810484</v>
      </c>
    </row>
    <row r="749" customFormat="false" ht="15" hidden="false" customHeight="false" outlineLevel="0" collapsed="false">
      <c r="A749" s="4" t="s">
        <v>579</v>
      </c>
      <c r="B749" s="4" t="s">
        <v>580</v>
      </c>
      <c r="C749" s="18" t="n">
        <f aca="false">a25_sh</f>
        <v>4339.16755602988</v>
      </c>
      <c r="D749" s="18" t="n">
        <f aca="false">a26_sh</f>
        <v>4392.90105184664</v>
      </c>
      <c r="E749" s="18" t="n">
        <f aca="false">D749*(1+sh_g)</f>
        <v>4414.86555710588</v>
      </c>
      <c r="F749" s="18" t="n">
        <f aca="false">E749*(1+sh_g)</f>
        <v>4436.9398848914</v>
      </c>
      <c r="G749" s="18" t="n">
        <f aca="false">F749*(1+sh_g)</f>
        <v>4459.12458431586</v>
      </c>
      <c r="H749" s="25" t="n">
        <f aca="false">G749*(1+sh_g)</f>
        <v>4481.42020723744</v>
      </c>
      <c r="I749" s="25" t="n">
        <f aca="false">H749*(1+sh_g)</f>
        <v>4503.82730827363</v>
      </c>
      <c r="J749" s="25" t="n">
        <f aca="false">I749*(1+sh_g)</f>
        <v>4526.34644481499</v>
      </c>
    </row>
    <row r="750" customFormat="false" ht="17.15" hidden="false" customHeight="false" outlineLevel="0" collapsed="false">
      <c r="A750" s="0" t="s">
        <v>465</v>
      </c>
      <c r="B750" s="0" t="s">
        <v>304</v>
      </c>
      <c r="C750" s="19" t="n">
        <f aca="false">a25_eps</f>
        <v>9.37</v>
      </c>
      <c r="D750" s="19" t="n">
        <f aca="false">a26_eps</f>
        <v>21.2828697294455</v>
      </c>
      <c r="E750" s="19" t="n">
        <f aca="false">E748/E749*1000</f>
        <v>30.9940727902621</v>
      </c>
      <c r="F750" s="19" t="n">
        <f aca="false">F748/F749*1000</f>
        <v>34.0335331296294</v>
      </c>
      <c r="G750" s="19" t="n">
        <f aca="false">G748/G749*1000</f>
        <v>40.0969278610521</v>
      </c>
      <c r="H750" s="28" t="n">
        <f aca="false">H748/H749*1000</f>
        <v>44.2926984364047</v>
      </c>
      <c r="I750" s="28" t="n">
        <f aca="false">I748/I749*1000</f>
        <v>48.0540025267839</v>
      </c>
      <c r="J750" s="28" t="n">
        <f aca="false">J748/J749*1000</f>
        <v>51.1873129101486</v>
      </c>
    </row>
    <row r="751" customFormat="false" ht="17.15" hidden="false" customHeight="false" outlineLevel="0" collapsed="false">
      <c r="A751" s="0" t="s">
        <v>581</v>
      </c>
      <c r="B751" s="0" t="s">
        <v>76</v>
      </c>
      <c r="D751" s="21" t="n">
        <f aca="false">D750/C750-1</f>
        <v>1.27138417603474</v>
      </c>
      <c r="E751" s="21" t="n">
        <f aca="false">E750/D750-1</f>
        <v>0.456291993714591</v>
      </c>
      <c r="F751" s="21" t="n">
        <f aca="false">F750/E750-1</f>
        <v>0.098065857944369</v>
      </c>
      <c r="G751" s="21" t="n">
        <f aca="false">G750/F750-1</f>
        <v>0.178159426126227</v>
      </c>
      <c r="H751" s="26" t="n">
        <f aca="false">H750/G750-1</f>
        <v>0.104640699404507</v>
      </c>
      <c r="I751" s="26" t="n">
        <f aca="false">I750/H750-1</f>
        <v>0.0849192806751138</v>
      </c>
      <c r="J751" s="26" t="n">
        <f aca="false">J750/I750-1</f>
        <v>0.0652039417864974</v>
      </c>
    </row>
    <row r="752" customFormat="false" ht="17.15" hidden="false" customHeight="false" outlineLevel="0" collapsed="false">
      <c r="A752" s="4" t="s">
        <v>582</v>
      </c>
      <c r="B752" s="0" t="s">
        <v>76</v>
      </c>
      <c r="C752" s="14" t="n">
        <f aca="false">C748/C726</f>
        <v>0.0629977625862272</v>
      </c>
      <c r="D752" s="14" t="n">
        <f aca="false">D748/D726</f>
        <v>0.107397865592237</v>
      </c>
      <c r="E752" s="14" t="n">
        <f aca="false">E748/E726</f>
        <v>0.122531148207498</v>
      </c>
      <c r="F752" s="14" t="n">
        <f aca="false">F748/F726</f>
        <v>0.120838885883456</v>
      </c>
      <c r="G752" s="14" t="n">
        <f aca="false">G748/G726</f>
        <v>0.127916423731655</v>
      </c>
      <c r="H752" s="27" t="n">
        <f aca="false">$G752+(fade_mA-$G752)*1/3</f>
        <v>0.129212894092491</v>
      </c>
      <c r="I752" s="27" t="n">
        <f aca="false">$G752+(fade_mA-$G752)*2/3</f>
        <v>0.130509364453327</v>
      </c>
      <c r="J752" s="27" t="n">
        <f aca="false">$G752+(fade_mA-$G752)*3/3</f>
        <v>0.131805834814164</v>
      </c>
    </row>
    <row r="753" customFormat="false" ht="17.15" hidden="false" customHeight="false" outlineLevel="0" collapsed="false">
      <c r="A753" s="4" t="s">
        <v>583</v>
      </c>
      <c r="B753" s="0" t="s">
        <v>234</v>
      </c>
      <c r="C753" s="30" t="n">
        <f aca="false">C748+C734-C732</f>
        <v>-54.587</v>
      </c>
      <c r="D753" s="30" t="n">
        <f aca="false">D748+D734-D732</f>
        <v>-176.164485935382</v>
      </c>
      <c r="E753" s="30" t="n">
        <f aca="false">E748+E734-E732</f>
        <v>-148.325585563839</v>
      </c>
      <c r="F753" s="30" t="n">
        <f aca="false">F748+F734-F732</f>
        <v>-57.4015725425129</v>
      </c>
      <c r="G753" s="30" t="n">
        <f aca="false">G748+G734-G732</f>
        <v>-47.9969597681855</v>
      </c>
      <c r="K753" s="4" t="s">
        <v>584</v>
      </c>
    </row>
    <row r="754" customFormat="false" ht="17.15" hidden="false" customHeight="false" outlineLevel="0" collapsed="false">
      <c r="A754" s="4" t="s">
        <v>585</v>
      </c>
      <c r="B754" s="0" t="s">
        <v>76</v>
      </c>
      <c r="D754" s="21" t="n">
        <f aca="false">(D742-$C742)/SUM($D732:D732)</f>
        <v>0.164280348537512</v>
      </c>
      <c r="E754" s="21" t="n">
        <f aca="false">(E742-$C742)/SUM($D732:E732)</f>
        <v>0.156759914824903</v>
      </c>
      <c r="F754" s="21" t="n">
        <f aca="false">(F742-$C742)/SUM($D732:F732)</f>
        <v>0.12074537293516</v>
      </c>
      <c r="G754" s="21" t="n">
        <f aca="false">(G742-$C742)/SUM($D732:G732)</f>
        <v>0.109872533855681</v>
      </c>
      <c r="K754" s="4" t="s">
        <v>586</v>
      </c>
    </row>
    <row r="757" customFormat="false" ht="17.15" hidden="false" customHeight="false" outlineLevel="0" collapsed="false">
      <c r="A757" s="1" t="s">
        <v>929</v>
      </c>
    </row>
    <row r="758" customFormat="false" ht="17.15" hidden="false" customHeight="false" outlineLevel="0" collapsed="false">
      <c r="A758" s="5" t="s">
        <v>21</v>
      </c>
      <c r="B758" s="5" t="s">
        <v>22</v>
      </c>
      <c r="C758" s="15" t="s">
        <v>424</v>
      </c>
      <c r="D758" s="15" t="s">
        <v>524</v>
      </c>
      <c r="E758" s="15" t="s">
        <v>525</v>
      </c>
      <c r="F758" s="15" t="s">
        <v>526</v>
      </c>
      <c r="G758" s="15" t="s">
        <v>527</v>
      </c>
      <c r="H758" s="15" t="s">
        <v>528</v>
      </c>
      <c r="I758" s="15" t="s">
        <v>529</v>
      </c>
      <c r="J758" s="15" t="s">
        <v>530</v>
      </c>
      <c r="K758" s="5" t="s">
        <v>382</v>
      </c>
    </row>
    <row r="759" customFormat="false" ht="17.15" hidden="false" customHeight="false" outlineLevel="0" collapsed="false">
      <c r="A759" s="6" t="s">
        <v>548</v>
      </c>
    </row>
    <row r="760" customFormat="false" ht="17.15" hidden="false" customHeight="false" outlineLevel="0" collapsed="false">
      <c r="A760" s="0" t="s">
        <v>549</v>
      </c>
      <c r="B760" s="4" t="s">
        <v>32</v>
      </c>
      <c r="D760" s="19" t="n">
        <f aca="false">units_26</f>
        <v>15.2</v>
      </c>
      <c r="E760" s="19" t="n">
        <f aca="false">units_27*1</f>
        <v>23.7</v>
      </c>
      <c r="F760" s="19" t="n">
        <f aca="false">units_28*um28_B*1</f>
        <v>21.2</v>
      </c>
      <c r="G760" s="19" t="n">
        <f aca="false">units_29*um29_B*1</f>
        <v>25.6275</v>
      </c>
    </row>
    <row r="761" customFormat="false" ht="17.15" hidden="false" customHeight="false" outlineLevel="0" collapsed="false">
      <c r="A761" s="4" t="s">
        <v>497</v>
      </c>
      <c r="B761" s="0" t="s">
        <v>45</v>
      </c>
      <c r="D761" s="22" t="n">
        <f aca="false">ar_26</f>
        <v>1</v>
      </c>
      <c r="E761" s="22" t="n">
        <f aca="false">ar_27</f>
        <v>1.278156</v>
      </c>
      <c r="F761" s="22" t="n">
        <f aca="false">ar_28</f>
        <v>1.428615</v>
      </c>
      <c r="G761" s="22" t="n">
        <f aca="false">ar_29</f>
        <v>1.431796</v>
      </c>
    </row>
    <row r="762" customFormat="false" ht="17.15" hidden="false" customHeight="false" outlineLevel="0" collapsed="false">
      <c r="A762" s="4" t="s">
        <v>550</v>
      </c>
      <c r="B762" s="0" t="s">
        <v>45</v>
      </c>
      <c r="D762" s="19" t="n">
        <f aca="false">1</f>
        <v>1</v>
      </c>
      <c r="E762" s="19" t="n">
        <f aca="false">rel27_B</f>
        <v>1.05</v>
      </c>
      <c r="F762" s="19" t="n">
        <f aca="false">rel28_B</f>
        <v>1.08</v>
      </c>
      <c r="G762" s="19" t="n">
        <f aca="false">rel29_B</f>
        <v>1.1</v>
      </c>
    </row>
    <row r="763" customFormat="false" ht="17.15" hidden="false" customHeight="false" outlineLevel="0" collapsed="false">
      <c r="A763" s="4" t="s">
        <v>551</v>
      </c>
      <c r="B763" s="0" t="s">
        <v>502</v>
      </c>
      <c r="D763" s="23" t="n">
        <f aca="false">D764*1000/D760</f>
        <v>236.842105263158</v>
      </c>
      <c r="E763" s="23" t="n">
        <f aca="false">$D763*E761^el</f>
        <v>267.763172119488</v>
      </c>
      <c r="F763" s="23" t="n">
        <f aca="false">$D763*F761^el</f>
        <v>283.084777049615</v>
      </c>
      <c r="G763" s="23" t="n">
        <f aca="false">$D763*G761^el</f>
        <v>283.399764630809</v>
      </c>
      <c r="K763" s="8" t="s">
        <v>552</v>
      </c>
    </row>
    <row r="764" customFormat="false" ht="17.15" hidden="false" customHeight="false" outlineLevel="0" collapsed="false">
      <c r="A764" s="0" t="s">
        <v>553</v>
      </c>
      <c r="B764" s="0" t="s">
        <v>120</v>
      </c>
      <c r="D764" s="22" t="n">
        <f aca="false">leap26-D765-D766</f>
        <v>3.6</v>
      </c>
      <c r="E764" s="22" t="n">
        <f aca="false">E760*E762*E763/1000</f>
        <v>6.66328653819345</v>
      </c>
      <c r="F764" s="22" t="n">
        <f aca="false">F760*F762*F763/1000</f>
        <v>6.48150905532798</v>
      </c>
      <c r="G764" s="22" t="n">
        <f aca="false">G760*G762*G763/1000</f>
        <v>7.98911021488366</v>
      </c>
      <c r="K764" s="8" t="s">
        <v>554</v>
      </c>
    </row>
    <row r="765" customFormat="false" ht="17.15" hidden="false" customHeight="false" outlineLevel="0" collapsed="false">
      <c r="A765" s="4" t="s">
        <v>555</v>
      </c>
      <c r="B765" s="0" t="s">
        <v>120</v>
      </c>
      <c r="D765" s="22" t="n">
        <f aca="false">fp26</f>
        <v>0.3</v>
      </c>
      <c r="E765" s="22" t="n">
        <f aca="false">fp27_B</f>
        <v>1</v>
      </c>
      <c r="F765" s="22" t="n">
        <f aca="false">E765*F760/E760*(1+fp_g_lo)</f>
        <v>0.983966244725739</v>
      </c>
      <c r="G765" s="22" t="n">
        <f aca="false">F765*G760/F760*(1+fp_g_lo)</f>
        <v>1.3084082278481</v>
      </c>
    </row>
    <row r="766" customFormat="false" ht="17.15" hidden="false" customHeight="false" outlineLevel="0" collapsed="false">
      <c r="A766" s="0" t="s">
        <v>556</v>
      </c>
      <c r="B766" s="0" t="s">
        <v>120</v>
      </c>
      <c r="D766" s="22" t="n">
        <f aca="false">cpo27*cpo_B_26/cpo_A_27</f>
        <v>0.1</v>
      </c>
      <c r="E766" s="22" t="n">
        <f aca="false">cpo27*cpo_B_27/cpo_A_27</f>
        <v>0.3</v>
      </c>
      <c r="F766" s="22" t="n">
        <f aca="false">cpo27*cpo_B_28/cpo_A_27*F760/E760</f>
        <v>0.447257383966245</v>
      </c>
      <c r="G766" s="22" t="n">
        <f aca="false">cpo27*cpo_B_29/cpo_A_27*G760/E760</f>
        <v>0.86506329113924</v>
      </c>
      <c r="K766" s="8" t="s">
        <v>557</v>
      </c>
    </row>
    <row r="767" customFormat="false" ht="17.15" hidden="false" customHeight="false" outlineLevel="0" collapsed="false">
      <c r="A767" s="0" t="s">
        <v>510</v>
      </c>
      <c r="B767" s="0" t="s">
        <v>120</v>
      </c>
      <c r="C767" s="22" t="n">
        <f aca="false">leap25</f>
        <v>1.6</v>
      </c>
      <c r="D767" s="22" t="n">
        <f aca="false">D764+D765+D766</f>
        <v>4</v>
      </c>
      <c r="E767" s="22" t="n">
        <f aca="false">E764+E765+E766</f>
        <v>7.96328653819345</v>
      </c>
      <c r="F767" s="22" t="n">
        <f aca="false">F764+F765+F766</f>
        <v>7.91273268401996</v>
      </c>
      <c r="G767" s="22" t="n">
        <f aca="false">G764+G765+G766</f>
        <v>10.162581733871</v>
      </c>
    </row>
    <row r="768" customFormat="false" ht="17.15" hidden="false" customHeight="false" outlineLevel="0" collapsed="false">
      <c r="A768" s="4" t="s">
        <v>558</v>
      </c>
      <c r="B768" s="0" t="s">
        <v>114</v>
      </c>
      <c r="C768" s="19" t="n">
        <f aca="false">fx25</f>
        <v>31</v>
      </c>
      <c r="D768" s="19" t="n">
        <f aca="false">a26_leap/D767</f>
        <v>31.9</v>
      </c>
      <c r="E768" s="19" t="n">
        <f aca="false">fx</f>
        <v>32</v>
      </c>
      <c r="F768" s="19" t="n">
        <f aca="false">fx</f>
        <v>32</v>
      </c>
      <c r="G768" s="19" t="n">
        <f aca="false">fx</f>
        <v>32</v>
      </c>
      <c r="K768" s="8" t="s">
        <v>559</v>
      </c>
    </row>
    <row r="769" customFormat="false" ht="17.15" hidden="false" customHeight="false" outlineLevel="0" collapsed="false">
      <c r="A769" s="6" t="s">
        <v>560</v>
      </c>
    </row>
    <row r="770" customFormat="false" ht="17.15" hidden="false" customHeight="false" outlineLevel="0" collapsed="false">
      <c r="A770" s="0" t="s">
        <v>438</v>
      </c>
      <c r="B770" s="0" t="s">
        <v>234</v>
      </c>
      <c r="C770" s="30" t="n">
        <f aca="false">a25_leap</f>
        <v>49.6</v>
      </c>
      <c r="D770" s="30" t="n">
        <f aca="false">a26_leap</f>
        <v>127.6</v>
      </c>
      <c r="E770" s="30" t="n">
        <f aca="false">E767*E768</f>
        <v>254.82516922219</v>
      </c>
      <c r="F770" s="30" t="n">
        <f aca="false">F767*F768</f>
        <v>253.207445888639</v>
      </c>
      <c r="G770" s="30" t="n">
        <f aca="false">G767*G768</f>
        <v>325.202615483872</v>
      </c>
    </row>
    <row r="771" customFormat="false" ht="15" hidden="false" customHeight="false" outlineLevel="0" collapsed="false">
      <c r="A771" s="4" t="s">
        <v>561</v>
      </c>
      <c r="B771" s="0" t="s">
        <v>234</v>
      </c>
      <c r="C771" s="30" t="n">
        <f aca="false">a25_ms</f>
        <v>339.628</v>
      </c>
      <c r="D771" s="30" t="n">
        <f aca="false">a26_ms</f>
        <v>432.1302</v>
      </c>
      <c r="E771" s="30" t="n">
        <f aca="false">D771*(1+g_ms27)</f>
        <v>496.94973</v>
      </c>
      <c r="F771" s="30" t="n">
        <f aca="false">E771*(1+g_msL)</f>
        <v>531.7362111</v>
      </c>
      <c r="G771" s="30" t="n">
        <f aca="false">F771*(1+g_msL)</f>
        <v>568.957745877</v>
      </c>
    </row>
    <row r="772" customFormat="false" ht="17.15" hidden="false" customHeight="false" outlineLevel="0" collapsed="false">
      <c r="A772" s="4" t="s">
        <v>562</v>
      </c>
      <c r="B772" s="0" t="s">
        <v>234</v>
      </c>
      <c r="C772" s="30" t="n">
        <f aca="false">C770+C771</f>
        <v>389.228</v>
      </c>
      <c r="D772" s="30" t="n">
        <f aca="false">D770+D771</f>
        <v>559.7302</v>
      </c>
      <c r="E772" s="30" t="n">
        <f aca="false">E770+E771</f>
        <v>751.77489922219</v>
      </c>
      <c r="F772" s="30" t="n">
        <f aca="false">F770+F771</f>
        <v>784.943656988639</v>
      </c>
      <c r="G772" s="30" t="n">
        <f aca="false">G770+G771</f>
        <v>894.160361360872</v>
      </c>
    </row>
    <row r="773" customFormat="false" ht="17.15" hidden="false" customHeight="false" outlineLevel="0" collapsed="false">
      <c r="A773" s="0" t="s">
        <v>563</v>
      </c>
      <c r="B773" s="0" t="s">
        <v>234</v>
      </c>
      <c r="C773" s="30" t="n">
        <f aca="false">a25_ems</f>
        <v>259.079</v>
      </c>
      <c r="D773" s="30" t="n">
        <f aca="false">a26_ems</f>
        <v>314.602</v>
      </c>
      <c r="E773" s="30" t="n">
        <f aca="false">D773*(1+g_ems27)</f>
        <v>346.0622</v>
      </c>
      <c r="F773" s="30" t="n">
        <f aca="false">E773*(1+g_emsL)</f>
        <v>363.36531</v>
      </c>
      <c r="G773" s="30" t="n">
        <f aca="false">F773*(1+g_emsL)</f>
        <v>381.5335755</v>
      </c>
    </row>
    <row r="774" customFormat="false" ht="17.15" hidden="false" customHeight="false" outlineLevel="0" collapsed="false">
      <c r="A774" s="4" t="s">
        <v>564</v>
      </c>
      <c r="B774" s="0" t="s">
        <v>234</v>
      </c>
      <c r="C774" s="30" t="n">
        <f aca="false">a25_elim</f>
        <v>-2.91899999999998</v>
      </c>
      <c r="D774" s="30" t="n">
        <f aca="false">a26_elim</f>
        <v>-3.16484905982349</v>
      </c>
      <c r="E774" s="30" t="n">
        <f aca="false">$D774/($D772+$D773)*(E772+E773)</f>
        <v>-3.97387710450638</v>
      </c>
      <c r="F774" s="30" t="n">
        <f aca="false">$D774/($D772+$D773)*(F772+F773)</f>
        <v>-4.15657178651418</v>
      </c>
      <c r="G774" s="30" t="n">
        <f aca="false">$D774/($D772+$D773)*(G772+G773)</f>
        <v>-4.61767135729034</v>
      </c>
      <c r="K774" s="4" t="s">
        <v>565</v>
      </c>
    </row>
    <row r="775" customFormat="false" ht="17.15" hidden="false" customHeight="false" outlineLevel="0" collapsed="false">
      <c r="A775" s="4" t="s">
        <v>431</v>
      </c>
      <c r="B775" s="0" t="s">
        <v>234</v>
      </c>
      <c r="C775" s="30" t="n">
        <f aca="false">C772+C773+C774</f>
        <v>645.388</v>
      </c>
      <c r="D775" s="30" t="n">
        <f aca="false">D772+D773+D774</f>
        <v>871.167350940177</v>
      </c>
      <c r="E775" s="30" t="n">
        <f aca="false">E772+E773+E774</f>
        <v>1093.86322211768</v>
      </c>
      <c r="F775" s="30" t="n">
        <f aca="false">F772+F773+F774</f>
        <v>1144.15239520212</v>
      </c>
      <c r="G775" s="30" t="n">
        <f aca="false">G772+G773+G774</f>
        <v>1271.07626550358</v>
      </c>
      <c r="H775" s="31" t="n">
        <f aca="false">G775*(1+H776)</f>
        <v>1382.02653106712</v>
      </c>
      <c r="I775" s="31" t="n">
        <f aca="false">H775*(1+I776)</f>
        <v>1469.98453232308</v>
      </c>
      <c r="J775" s="31" t="n">
        <f aca="false">I775*(1+J776)</f>
        <v>1528.783913616</v>
      </c>
      <c r="K775" s="8" t="s">
        <v>566</v>
      </c>
    </row>
    <row r="776" customFormat="false" ht="15" hidden="false" customHeight="false" outlineLevel="0" collapsed="false">
      <c r="A776" s="4" t="s">
        <v>567</v>
      </c>
      <c r="B776" s="0" t="s">
        <v>76</v>
      </c>
      <c r="D776" s="21" t="n">
        <f aca="false">D775/C775-1</f>
        <v>0.349835061916516</v>
      </c>
      <c r="E776" s="21" t="n">
        <f aca="false">E775/D775-1</f>
        <v>0.255629266796065</v>
      </c>
      <c r="F776" s="21" t="n">
        <f aca="false">F775/E775-1</f>
        <v>0.0459739134359802</v>
      </c>
      <c r="G776" s="21" t="n">
        <f aca="false">G775/F775-1</f>
        <v>0.110932661447634</v>
      </c>
      <c r="H776" s="26" t="n">
        <f aca="false">$G776+(fade_gB-$G776)*1/3</f>
        <v>0.0872884409650894</v>
      </c>
      <c r="I776" s="26" t="n">
        <f aca="false">$G776+(fade_gB-$G776)*2/3</f>
        <v>0.0636442204825447</v>
      </c>
      <c r="J776" s="26" t="n">
        <f aca="false">$G776+(fade_gB-$G776)*3/3</f>
        <v>0.04</v>
      </c>
    </row>
    <row r="777" customFormat="false" ht="17.15" hidden="false" customHeight="false" outlineLevel="0" collapsed="false">
      <c r="A777" s="0" t="s">
        <v>475</v>
      </c>
      <c r="B777" s="0" t="s">
        <v>76</v>
      </c>
      <c r="C777" s="21" t="n">
        <f aca="false">C770/C772</f>
        <v>0.127431736668482</v>
      </c>
      <c r="D777" s="21" t="n">
        <f aca="false">D770/D772</f>
        <v>0.227966974088588</v>
      </c>
      <c r="E777" s="21" t="n">
        <f aca="false">E770/E772</f>
        <v>0.338964721335922</v>
      </c>
      <c r="F777" s="21" t="n">
        <f aca="false">F770/F772</f>
        <v>0.322580408968517</v>
      </c>
      <c r="G777" s="21" t="n">
        <f aca="false">G770/G772</f>
        <v>0.363696076830031</v>
      </c>
    </row>
    <row r="778" customFormat="false" ht="15" hidden="false" customHeight="false" outlineLevel="0" collapsed="false">
      <c r="A778" s="4" t="s">
        <v>568</v>
      </c>
      <c r="B778" s="0" t="s">
        <v>76</v>
      </c>
      <c r="D778" s="21" t="n">
        <f aca="false">D772/C772-1</f>
        <v>0.438052247012034</v>
      </c>
      <c r="E778" s="21" t="n">
        <f aca="false">E772/D772-1</f>
        <v>0.343102264666424</v>
      </c>
      <c r="F778" s="21" t="n">
        <f aca="false">F772/E772-1</f>
        <v>0.0441205975362651</v>
      </c>
      <c r="G778" s="21" t="n">
        <f aca="false">G772/F772-1</f>
        <v>0.139139546386339</v>
      </c>
    </row>
    <row r="779" customFormat="false" ht="17.15" hidden="false" customHeight="false" outlineLevel="0" collapsed="false">
      <c r="A779" s="6" t="s">
        <v>569</v>
      </c>
    </row>
    <row r="780" customFormat="false" ht="17.15" hidden="false" customHeight="false" outlineLevel="0" collapsed="false">
      <c r="A780" s="4" t="s">
        <v>570</v>
      </c>
      <c r="B780" s="0" t="s">
        <v>120</v>
      </c>
      <c r="C780" s="19" t="n">
        <f aca="false">capex25</f>
        <v>5.5</v>
      </c>
      <c r="D780" s="19" t="n">
        <f aca="false">capex26</f>
        <v>11.5</v>
      </c>
      <c r="E780" s="19" t="n">
        <f aca="false">capex27</f>
        <v>13</v>
      </c>
      <c r="F780" s="19" t="n">
        <f aca="false">capi*F775/F768</f>
        <v>10.7264287050199</v>
      </c>
      <c r="G780" s="19" t="n">
        <f aca="false">capi*G775/G768</f>
        <v>11.9163399890961</v>
      </c>
      <c r="K780" s="8" t="s">
        <v>571</v>
      </c>
    </row>
    <row r="781" customFormat="false" ht="15" hidden="false" customHeight="false" outlineLevel="0" collapsed="false">
      <c r="A781" s="4" t="s">
        <v>572</v>
      </c>
      <c r="B781" s="0" t="s">
        <v>234</v>
      </c>
      <c r="C781" s="30" t="n">
        <f aca="false">C780*C768</f>
        <v>170.5</v>
      </c>
      <c r="D781" s="30" t="n">
        <f aca="false">D780*31.9</f>
        <v>366.85</v>
      </c>
      <c r="E781" s="30" t="n">
        <f aca="false">E780*E768</f>
        <v>416</v>
      </c>
      <c r="F781" s="30" t="n">
        <f aca="false">F780*F768</f>
        <v>343.245718560637</v>
      </c>
      <c r="G781" s="30" t="n">
        <f aca="false">G780*G768</f>
        <v>381.322879651075</v>
      </c>
    </row>
    <row r="782" customFormat="false" ht="17.15" hidden="false" customHeight="false" outlineLevel="0" collapsed="false">
      <c r="A782" s="4" t="s">
        <v>473</v>
      </c>
      <c r="B782" s="0" t="s">
        <v>76</v>
      </c>
      <c r="C782" s="21" t="n">
        <f aca="false">C781/C775</f>
        <v>0.264182166386732</v>
      </c>
      <c r="D782" s="21" t="n">
        <f aca="false">D781/D775</f>
        <v>0.421101639775745</v>
      </c>
      <c r="E782" s="21" t="n">
        <f aca="false">E781/E775</f>
        <v>0.380303489127861</v>
      </c>
      <c r="F782" s="21" t="n">
        <f aca="false">F781/F775</f>
        <v>0.3</v>
      </c>
      <c r="G782" s="21" t="n">
        <f aca="false">G781/G775</f>
        <v>0.3</v>
      </c>
    </row>
    <row r="783" customFormat="false" ht="17.15" hidden="false" customHeight="false" outlineLevel="0" collapsed="false">
      <c r="A783" s="4" t="s">
        <v>573</v>
      </c>
      <c r="B783" s="0" t="s">
        <v>234</v>
      </c>
      <c r="C783" s="30" t="n">
        <f aca="false">a25_da</f>
        <v>75.255</v>
      </c>
      <c r="D783" s="30" t="n">
        <f aca="false">a26_da</f>
        <v>97.124</v>
      </c>
      <c r="E783" s="30" t="n">
        <f aca="false">D783*(1-1/life)+D781/life</f>
        <v>130.83975</v>
      </c>
      <c r="F783" s="30" t="n">
        <f aca="false">E783*(1-1/life)+E781/life</f>
        <v>166.48478125</v>
      </c>
      <c r="G783" s="30" t="n">
        <f aca="false">F783*(1-1/life)+F781/life</f>
        <v>188.57989841383</v>
      </c>
      <c r="K783" s="4" t="s">
        <v>574</v>
      </c>
    </row>
    <row r="784" customFormat="false" ht="17.15" hidden="false" customHeight="false" outlineLevel="0" collapsed="false">
      <c r="A784" s="4" t="s">
        <v>575</v>
      </c>
      <c r="B784" s="0" t="s">
        <v>234</v>
      </c>
      <c r="C784" s="30" t="n">
        <f aca="false">a25_agp</f>
        <v>91.38</v>
      </c>
      <c r="D784" s="30" t="n">
        <f aca="false">a26_agp</f>
        <v>164.623388</v>
      </c>
      <c r="E784" s="30" t="n">
        <f aca="false">$D784+ft*(E772-$D772)-(E783-$D783)</f>
        <v>226.929987611095</v>
      </c>
      <c r="F784" s="30" t="n">
        <f aca="false">$D784+ft*(F772-$D772)-(F783-$D783)</f>
        <v>207.869335244319</v>
      </c>
      <c r="G784" s="30" t="n">
        <f aca="false">$D784+ft*(G772-$D772)-(G783-$D783)</f>
        <v>240.382570266606</v>
      </c>
      <c r="K784" s="4" t="s">
        <v>576</v>
      </c>
    </row>
    <row r="785" customFormat="false" ht="15" hidden="false" customHeight="false" outlineLevel="0" collapsed="false">
      <c r="A785" s="4" t="s">
        <v>447</v>
      </c>
      <c r="B785" s="0" t="s">
        <v>76</v>
      </c>
      <c r="C785" s="14" t="n">
        <f aca="false">C784/C772</f>
        <v>0.234772421305764</v>
      </c>
      <c r="D785" s="14" t="n">
        <f aca="false">D784/D772</f>
        <v>0.294112034690999</v>
      </c>
      <c r="E785" s="14" t="n">
        <f aca="false">E784/E772</f>
        <v>0.301858957842147</v>
      </c>
      <c r="F785" s="14" t="n">
        <f aca="false">F784/F772</f>
        <v>0.264820708331844</v>
      </c>
      <c r="G785" s="14" t="n">
        <f aca="false">G784/G772</f>
        <v>0.268836084279955</v>
      </c>
    </row>
    <row r="786" customFormat="false" ht="17.15" hidden="false" customHeight="false" outlineLevel="0" collapsed="false">
      <c r="A786" s="0" t="s">
        <v>449</v>
      </c>
      <c r="B786" s="0" t="s">
        <v>234</v>
      </c>
      <c r="C786" s="30" t="n">
        <f aca="false">a25_egp</f>
        <v>23.695</v>
      </c>
      <c r="D786" s="30" t="n">
        <f aca="false">a26_egp</f>
        <v>27.00552</v>
      </c>
      <c r="E786" s="30" t="n">
        <f aca="false">E773*ems_gm</f>
        <v>29.415287</v>
      </c>
      <c r="F786" s="30" t="n">
        <f aca="false">F773*ems_gm</f>
        <v>30.88605135</v>
      </c>
      <c r="G786" s="30" t="n">
        <f aca="false">G773*ems_gm</f>
        <v>32.4303539175</v>
      </c>
    </row>
    <row r="787" customFormat="false" ht="15" hidden="false" customHeight="false" outlineLevel="0" collapsed="false">
      <c r="A787" s="4" t="s">
        <v>577</v>
      </c>
      <c r="B787" s="0" t="s">
        <v>234</v>
      </c>
      <c r="C787" s="30" t="n">
        <f aca="false">a25_lgp</f>
        <v>-0.881999999999998</v>
      </c>
      <c r="D787" s="30" t="n">
        <f aca="false">a26_lgp</f>
        <v>-0.948662139013863</v>
      </c>
      <c r="E787" s="30" t="n">
        <f aca="false">$D787/$D774*E774</f>
        <v>-1.19116794604716</v>
      </c>
      <c r="F787" s="30" t="n">
        <f aca="false">$D787/$D774*F774</f>
        <v>-1.24593059808645</v>
      </c>
      <c r="G787" s="30" t="n">
        <f aca="false">$D787/$D774*G774</f>
        <v>-1.38414499531122</v>
      </c>
    </row>
    <row r="788" customFormat="false" ht="15" hidden="false" customHeight="false" outlineLevel="0" collapsed="false">
      <c r="A788" s="4" t="s">
        <v>451</v>
      </c>
      <c r="B788" s="0" t="s">
        <v>234</v>
      </c>
      <c r="C788" s="30" t="n">
        <f aca="false">C784+C786+C787</f>
        <v>114.193</v>
      </c>
      <c r="D788" s="30" t="n">
        <f aca="false">D784+D786+D787</f>
        <v>190.680245860986</v>
      </c>
      <c r="E788" s="30" t="n">
        <f aca="false">E784+E786+E787</f>
        <v>255.154106665048</v>
      </c>
      <c r="F788" s="30" t="n">
        <f aca="false">F784+F786+F787</f>
        <v>237.509455996233</v>
      </c>
      <c r="G788" s="30" t="n">
        <f aca="false">G784+G786+G787</f>
        <v>271.428779188795</v>
      </c>
    </row>
    <row r="789" customFormat="false" ht="15" hidden="false" customHeight="false" outlineLevel="0" collapsed="false">
      <c r="A789" s="4" t="s">
        <v>452</v>
      </c>
      <c r="B789" s="0" t="s">
        <v>76</v>
      </c>
      <c r="C789" s="14" t="n">
        <f aca="false">C788/C775</f>
        <v>0.176936974347214</v>
      </c>
      <c r="D789" s="14" t="n">
        <f aca="false">D788/D775</f>
        <v>0.218879008327391</v>
      </c>
      <c r="E789" s="14" t="n">
        <f aca="false">E788/E775</f>
        <v>0.233259608245241</v>
      </c>
      <c r="F789" s="14" t="n">
        <f aca="false">F788/F775</f>
        <v>0.207585507832875</v>
      </c>
      <c r="G789" s="14" t="n">
        <f aca="false">G788/G775</f>
        <v>0.213542480931511</v>
      </c>
    </row>
    <row r="790" customFormat="false" ht="15" hidden="false" customHeight="false" outlineLevel="0" collapsed="false">
      <c r="A790" s="4" t="s">
        <v>578</v>
      </c>
      <c r="B790" s="0" t="s">
        <v>234</v>
      </c>
      <c r="C790" s="30" t="n">
        <f aca="false">a25_opx</f>
        <v>63.437</v>
      </c>
      <c r="D790" s="30" t="n">
        <f aca="false">a26_opx</f>
        <v>79.658</v>
      </c>
      <c r="E790" s="30" t="n">
        <f aca="false">D790*(1+phi*E776)</f>
        <v>91.8757496806646</v>
      </c>
      <c r="F790" s="30" t="n">
        <f aca="false">E790*(1+phi*F776)</f>
        <v>94.4100823382753</v>
      </c>
      <c r="G790" s="30" t="n">
        <f aca="false">F790*(1+phi*G776)</f>
        <v>100.69397935904</v>
      </c>
    </row>
    <row r="791" customFormat="false" ht="15" hidden="false" customHeight="false" outlineLevel="0" collapsed="false">
      <c r="A791" s="4" t="s">
        <v>455</v>
      </c>
      <c r="B791" s="0" t="s">
        <v>234</v>
      </c>
      <c r="C791" s="30" t="n">
        <f aca="false">C788-C790</f>
        <v>50.756</v>
      </c>
      <c r="D791" s="30" t="n">
        <f aca="false">D788-D790</f>
        <v>111.022245860986</v>
      </c>
      <c r="E791" s="30" t="n">
        <f aca="false">E788-E790</f>
        <v>163.278356984383</v>
      </c>
      <c r="F791" s="30" t="n">
        <f aca="false">F788-F790</f>
        <v>143.099373657958</v>
      </c>
      <c r="G791" s="30" t="n">
        <f aca="false">G788-G790</f>
        <v>170.734799829755</v>
      </c>
    </row>
    <row r="792" customFormat="false" ht="15" hidden="false" customHeight="false" outlineLevel="0" collapsed="false">
      <c r="A792" s="4" t="s">
        <v>537</v>
      </c>
      <c r="B792" s="0" t="s">
        <v>76</v>
      </c>
      <c r="C792" s="14" t="n">
        <f aca="false">C791/C775</f>
        <v>0.0786441644406156</v>
      </c>
      <c r="D792" s="14" t="n">
        <f aca="false">D791/D775</f>
        <v>0.127440779020437</v>
      </c>
      <c r="E792" s="14" t="n">
        <f aca="false">E791/E775</f>
        <v>0.149267617452465</v>
      </c>
      <c r="F792" s="14" t="n">
        <f aca="false">F791/F775</f>
        <v>0.125070204159891</v>
      </c>
      <c r="G792" s="14" t="n">
        <f aca="false">G791/G775</f>
        <v>0.134323017794776</v>
      </c>
    </row>
    <row r="793" customFormat="false" ht="15" hidden="false" customHeight="false" outlineLevel="0" collapsed="false">
      <c r="A793" s="4" t="s">
        <v>456</v>
      </c>
      <c r="B793" s="0" t="s">
        <v>234</v>
      </c>
      <c r="C793" s="30" t="n">
        <f aca="false">a25_nonop</f>
        <v>0.545</v>
      </c>
      <c r="D793" s="30" t="n">
        <f aca="false">a26_nonop</f>
        <v>4.302</v>
      </c>
      <c r="E793" s="30" t="n">
        <f aca="false">nonop_f</f>
        <v>-5</v>
      </c>
      <c r="F793" s="30" t="n">
        <f aca="false">nonop_f</f>
        <v>-5</v>
      </c>
      <c r="G793" s="30" t="n">
        <f aca="false">nonop_f</f>
        <v>-5</v>
      </c>
    </row>
    <row r="794" customFormat="false" ht="15" hidden="false" customHeight="false" outlineLevel="0" collapsed="false">
      <c r="A794" s="4" t="s">
        <v>459</v>
      </c>
      <c r="B794" s="0" t="s">
        <v>234</v>
      </c>
      <c r="C794" s="30" t="n">
        <f aca="false">C791+C793</f>
        <v>51.301</v>
      </c>
      <c r="D794" s="30" t="n">
        <f aca="false">D791+D793</f>
        <v>115.324245860986</v>
      </c>
      <c r="E794" s="30" t="n">
        <f aca="false">E791+E793</f>
        <v>158.278356984383</v>
      </c>
      <c r="F794" s="30" t="n">
        <f aca="false">F791+F793</f>
        <v>138.099373657958</v>
      </c>
      <c r="G794" s="30" t="n">
        <f aca="false">G791+G793</f>
        <v>165.734799829755</v>
      </c>
    </row>
    <row r="795" customFormat="false" ht="15" hidden="false" customHeight="false" outlineLevel="0" collapsed="false">
      <c r="A795" s="4" t="s">
        <v>460</v>
      </c>
      <c r="B795" s="0" t="s">
        <v>234</v>
      </c>
      <c r="C795" s="30" t="n">
        <f aca="false">a25_tax</f>
        <v>9.461</v>
      </c>
      <c r="D795" s="30" t="n">
        <f aca="false">a26_tax</f>
        <v>19.2197317963676</v>
      </c>
      <c r="E795" s="30" t="n">
        <f aca="false">E794*tax</f>
        <v>26.9073206873452</v>
      </c>
      <c r="F795" s="30" t="n">
        <f aca="false">F794*tax</f>
        <v>23.4768935218528</v>
      </c>
      <c r="G795" s="30" t="n">
        <f aca="false">G794*tax</f>
        <v>28.1749159710583</v>
      </c>
    </row>
    <row r="796" customFormat="false" ht="15" hidden="false" customHeight="false" outlineLevel="0" collapsed="false">
      <c r="A796" s="4" t="s">
        <v>461</v>
      </c>
      <c r="B796" s="0" t="s">
        <v>234</v>
      </c>
      <c r="C796" s="30" t="n">
        <f aca="false">a25_nci</f>
        <v>1.182</v>
      </c>
      <c r="D796" s="30" t="n">
        <f aca="false">a26_nci</f>
        <v>2.543</v>
      </c>
      <c r="E796" s="30" t="n">
        <f aca="false">nci</f>
        <v>3</v>
      </c>
      <c r="F796" s="30" t="n">
        <f aca="false">nci</f>
        <v>3</v>
      </c>
      <c r="G796" s="30" t="n">
        <f aca="false">nci</f>
        <v>3</v>
      </c>
    </row>
    <row r="797" customFormat="false" ht="15" hidden="false" customHeight="false" outlineLevel="0" collapsed="false">
      <c r="A797" s="4" t="s">
        <v>462</v>
      </c>
      <c r="B797" s="0" t="s">
        <v>234</v>
      </c>
      <c r="C797" s="30" t="n">
        <f aca="false">C794-C795-C796</f>
        <v>40.658</v>
      </c>
      <c r="D797" s="30" t="n">
        <f aca="false">D794-D795-D796</f>
        <v>93.5615140646185</v>
      </c>
      <c r="E797" s="30" t="n">
        <f aca="false">E794-E795-E796</f>
        <v>128.371036297038</v>
      </c>
      <c r="F797" s="30" t="n">
        <f aca="false">F794-F795-F796</f>
        <v>111.622480136105</v>
      </c>
      <c r="G797" s="30" t="n">
        <f aca="false">G794-G795-G796</f>
        <v>134.559883858696</v>
      </c>
      <c r="H797" s="31" t="n">
        <f aca="false">H775*H801</f>
        <v>142.805110661132</v>
      </c>
      <c r="I797" s="31" t="n">
        <f aca="false">I775*I801</f>
        <v>148.17076134429</v>
      </c>
      <c r="J797" s="31" t="n">
        <f aca="false">J775*J801</f>
        <v>150.225599761637</v>
      </c>
    </row>
    <row r="798" customFormat="false" ht="15" hidden="false" customHeight="false" outlineLevel="0" collapsed="false">
      <c r="A798" s="4" t="s">
        <v>579</v>
      </c>
      <c r="B798" s="4" t="s">
        <v>580</v>
      </c>
      <c r="C798" s="18" t="n">
        <f aca="false">a25_sh</f>
        <v>4339.16755602988</v>
      </c>
      <c r="D798" s="18" t="n">
        <f aca="false">a26_sh</f>
        <v>4392.90105184664</v>
      </c>
      <c r="E798" s="18" t="n">
        <f aca="false">D798*(1+sh_g)</f>
        <v>4414.86555710588</v>
      </c>
      <c r="F798" s="18" t="n">
        <f aca="false">E798*(1+sh_g)</f>
        <v>4436.9398848914</v>
      </c>
      <c r="G798" s="18" t="n">
        <f aca="false">F798*(1+sh_g)</f>
        <v>4459.12458431586</v>
      </c>
      <c r="H798" s="25" t="n">
        <f aca="false">G798*(1+sh_g)</f>
        <v>4481.42020723744</v>
      </c>
      <c r="I798" s="25" t="n">
        <f aca="false">H798*(1+sh_g)</f>
        <v>4503.82730827363</v>
      </c>
      <c r="J798" s="25" t="n">
        <f aca="false">I798*(1+sh_g)</f>
        <v>4526.34644481499</v>
      </c>
    </row>
    <row r="799" customFormat="false" ht="17.15" hidden="false" customHeight="false" outlineLevel="0" collapsed="false">
      <c r="A799" s="0" t="s">
        <v>465</v>
      </c>
      <c r="B799" s="0" t="s">
        <v>304</v>
      </c>
      <c r="C799" s="19" t="n">
        <f aca="false">a25_eps</f>
        <v>9.37</v>
      </c>
      <c r="D799" s="19" t="n">
        <f aca="false">a26_eps</f>
        <v>21.2828697294455</v>
      </c>
      <c r="E799" s="19" t="n">
        <f aca="false">E797/E798*1000</f>
        <v>29.0769978466096</v>
      </c>
      <c r="F799" s="19" t="n">
        <f aca="false">F797/F798*1000</f>
        <v>25.1575371837243</v>
      </c>
      <c r="G799" s="19" t="n">
        <f aca="false">G797/G798*1000</f>
        <v>30.1763005976522</v>
      </c>
      <c r="H799" s="28" t="n">
        <f aca="false">H797/H798*1000</f>
        <v>31.8660389022443</v>
      </c>
      <c r="I799" s="28" t="n">
        <f aca="false">I797/I798*1000</f>
        <v>32.8988549521198</v>
      </c>
      <c r="J799" s="28" t="n">
        <f aca="false">J797/J798*1000</f>
        <v>33.1891519116313</v>
      </c>
    </row>
    <row r="800" customFormat="false" ht="17.15" hidden="false" customHeight="false" outlineLevel="0" collapsed="false">
      <c r="A800" s="0" t="s">
        <v>581</v>
      </c>
      <c r="B800" s="0" t="s">
        <v>76</v>
      </c>
      <c r="D800" s="21" t="n">
        <f aca="false">D799/C799-1</f>
        <v>1.27138417603474</v>
      </c>
      <c r="E800" s="21" t="n">
        <f aca="false">E799/D799-1</f>
        <v>0.366216032717646</v>
      </c>
      <c r="F800" s="21" t="n">
        <f aca="false">F799/E799-1</f>
        <v>-0.134795919563694</v>
      </c>
      <c r="G800" s="21" t="n">
        <f aca="false">G799/F799-1</f>
        <v>0.199493431224056</v>
      </c>
      <c r="H800" s="26" t="n">
        <f aca="false">H799/G799-1</f>
        <v>0.0559955419029583</v>
      </c>
      <c r="I800" s="26" t="n">
        <f aca="false">I799/H799-1</f>
        <v>0.032411183989447</v>
      </c>
      <c r="J800" s="26" t="n">
        <f aca="false">J799/I799-1</f>
        <v>0.00882392289743805</v>
      </c>
    </row>
    <row r="801" customFormat="false" ht="17.15" hidden="false" customHeight="false" outlineLevel="0" collapsed="false">
      <c r="A801" s="4" t="s">
        <v>582</v>
      </c>
      <c r="B801" s="0" t="s">
        <v>76</v>
      </c>
      <c r="C801" s="14" t="n">
        <f aca="false">C797/C775</f>
        <v>0.0629977625862272</v>
      </c>
      <c r="D801" s="14" t="n">
        <f aca="false">D797/D775</f>
        <v>0.107397865592237</v>
      </c>
      <c r="E801" s="14" t="n">
        <f aca="false">E797/E775</f>
        <v>0.117355656266161</v>
      </c>
      <c r="F801" s="14" t="n">
        <f aca="false">F797/F775</f>
        <v>0.097559101920497</v>
      </c>
      <c r="G801" s="14" t="n">
        <f aca="false">G797/G775</f>
        <v>0.105862950564485</v>
      </c>
      <c r="H801" s="27" t="n">
        <f aca="false">$G801+(fade_mB-$G801)*1/3</f>
        <v>0.103330223733742</v>
      </c>
      <c r="I801" s="27" t="n">
        <f aca="false">$G801+(fade_mB-$G801)*2/3</f>
        <v>0.100797496902998</v>
      </c>
      <c r="J801" s="27" t="n">
        <f aca="false">$G801+(fade_mB-$G801)*3/3</f>
        <v>0.0982647700722541</v>
      </c>
    </row>
    <row r="802" customFormat="false" ht="17.15" hidden="false" customHeight="false" outlineLevel="0" collapsed="false">
      <c r="A802" s="4" t="s">
        <v>583</v>
      </c>
      <c r="B802" s="0" t="s">
        <v>234</v>
      </c>
      <c r="C802" s="30" t="n">
        <f aca="false">C797+C783-C781</f>
        <v>-54.587</v>
      </c>
      <c r="D802" s="30" t="n">
        <f aca="false">D797+D783-D781</f>
        <v>-176.164485935382</v>
      </c>
      <c r="E802" s="30" t="n">
        <f aca="false">E797+E783-E781</f>
        <v>-156.789213702962</v>
      </c>
      <c r="F802" s="30" t="n">
        <f aca="false">F797+F783-F781</f>
        <v>-65.1384571745326</v>
      </c>
      <c r="G802" s="30" t="n">
        <f aca="false">G797+G783-G781</f>
        <v>-58.1830973785484</v>
      </c>
      <c r="K802" s="4" t="s">
        <v>584</v>
      </c>
    </row>
    <row r="803" customFormat="false" ht="17.15" hidden="false" customHeight="false" outlineLevel="0" collapsed="false">
      <c r="A803" s="4" t="s">
        <v>585</v>
      </c>
      <c r="B803" s="0" t="s">
        <v>76</v>
      </c>
      <c r="D803" s="21" t="n">
        <f aca="false">(D791-$C791)/SUM($D781:D781)</f>
        <v>0.164280348537512</v>
      </c>
      <c r="E803" s="21" t="n">
        <f aca="false">(E791-$C791)/SUM($D781:E781)</f>
        <v>0.143734249197654</v>
      </c>
      <c r="F803" s="21" t="n">
        <f aca="false">(F791-$C791)/SUM($D781:F781)</f>
        <v>0.0820031300500724</v>
      </c>
      <c r="G803" s="21" t="n">
        <f aca="false">(G791-$C791)/SUM($D781:G781)</f>
        <v>0.079592224729142</v>
      </c>
      <c r="K803" s="4" t="s">
        <v>586</v>
      </c>
    </row>
    <row r="806" customFormat="false" ht="17.15" hidden="false" customHeight="false" outlineLevel="0" collapsed="false">
      <c r="A806" s="1" t="s">
        <v>930</v>
      </c>
    </row>
    <row r="807" customFormat="false" ht="17.15" hidden="false" customHeight="false" outlineLevel="0" collapsed="false">
      <c r="A807" s="5" t="s">
        <v>21</v>
      </c>
      <c r="B807" s="5" t="s">
        <v>22</v>
      </c>
      <c r="C807" s="15" t="s">
        <v>424</v>
      </c>
      <c r="D807" s="15" t="s">
        <v>524</v>
      </c>
      <c r="E807" s="15" t="s">
        <v>525</v>
      </c>
      <c r="F807" s="15" t="s">
        <v>526</v>
      </c>
      <c r="G807" s="15" t="s">
        <v>527</v>
      </c>
      <c r="H807" s="15" t="s">
        <v>528</v>
      </c>
      <c r="I807" s="15" t="s">
        <v>529</v>
      </c>
      <c r="J807" s="15" t="s">
        <v>530</v>
      </c>
      <c r="K807" s="5" t="s">
        <v>382</v>
      </c>
    </row>
    <row r="808" customFormat="false" ht="17.15" hidden="false" customHeight="false" outlineLevel="0" collapsed="false">
      <c r="A808" s="6" t="s">
        <v>548</v>
      </c>
    </row>
    <row r="809" customFormat="false" ht="17.15" hidden="false" customHeight="false" outlineLevel="0" collapsed="false">
      <c r="A809" s="0" t="s">
        <v>549</v>
      </c>
      <c r="B809" s="4" t="s">
        <v>32</v>
      </c>
      <c r="D809" s="19" t="n">
        <f aca="false">units_26</f>
        <v>15.2</v>
      </c>
      <c r="E809" s="19" t="n">
        <f aca="false">units_27*1</f>
        <v>23.7</v>
      </c>
      <c r="F809" s="19" t="n">
        <f aca="false">units_28*um28_C*1</f>
        <v>15.9</v>
      </c>
      <c r="G809" s="19" t="n">
        <f aca="false">units_29*um29_C*1</f>
        <v>18.09</v>
      </c>
    </row>
    <row r="810" customFormat="false" ht="17.15" hidden="false" customHeight="false" outlineLevel="0" collapsed="false">
      <c r="A810" s="4" t="s">
        <v>497</v>
      </c>
      <c r="B810" s="0" t="s">
        <v>45</v>
      </c>
      <c r="D810" s="22" t="n">
        <f aca="false">ar_26</f>
        <v>1</v>
      </c>
      <c r="E810" s="22" t="n">
        <f aca="false">ar_27</f>
        <v>1.278156</v>
      </c>
      <c r="F810" s="22" t="n">
        <f aca="false">ar_28</f>
        <v>1.428615</v>
      </c>
      <c r="G810" s="22" t="n">
        <f aca="false">ar_29</f>
        <v>1.431796</v>
      </c>
    </row>
    <row r="811" customFormat="false" ht="17.15" hidden="false" customHeight="false" outlineLevel="0" collapsed="false">
      <c r="A811" s="4" t="s">
        <v>550</v>
      </c>
      <c r="B811" s="0" t="s">
        <v>45</v>
      </c>
      <c r="D811" s="19" t="n">
        <f aca="false">1</f>
        <v>1</v>
      </c>
      <c r="E811" s="19" t="n">
        <f aca="false">rel27_C</f>
        <v>1</v>
      </c>
      <c r="F811" s="19" t="n">
        <f aca="false">rel28_C</f>
        <v>0.95</v>
      </c>
      <c r="G811" s="19" t="n">
        <f aca="false">rel29_C</f>
        <v>0.92</v>
      </c>
    </row>
    <row r="812" customFormat="false" ht="17.15" hidden="false" customHeight="false" outlineLevel="0" collapsed="false">
      <c r="A812" s="4" t="s">
        <v>551</v>
      </c>
      <c r="B812" s="0" t="s">
        <v>502</v>
      </c>
      <c r="D812" s="23" t="n">
        <f aca="false">D813*1000/D809</f>
        <v>236.842105263158</v>
      </c>
      <c r="E812" s="23" t="n">
        <f aca="false">$D812*E810^el</f>
        <v>267.763172119488</v>
      </c>
      <c r="F812" s="23" t="n">
        <f aca="false">$D812*F810^el</f>
        <v>283.084777049615</v>
      </c>
      <c r="G812" s="23" t="n">
        <f aca="false">$D812*G810^el</f>
        <v>283.399764630809</v>
      </c>
      <c r="K812" s="8" t="s">
        <v>552</v>
      </c>
    </row>
    <row r="813" customFormat="false" ht="17.15" hidden="false" customHeight="false" outlineLevel="0" collapsed="false">
      <c r="A813" s="0" t="s">
        <v>553</v>
      </c>
      <c r="B813" s="0" t="s">
        <v>120</v>
      </c>
      <c r="D813" s="22" t="n">
        <f aca="false">leap26-D814-D815</f>
        <v>3.6</v>
      </c>
      <c r="E813" s="22" t="n">
        <f aca="false">E809*E811*E812/1000</f>
        <v>6.34598717923185</v>
      </c>
      <c r="F813" s="22" t="n">
        <f aca="false">F809*F811*F812/1000</f>
        <v>4.27599555733443</v>
      </c>
      <c r="G813" s="22" t="n">
        <f aca="false">G809*G811*G812/1000</f>
        <v>4.71656560279762</v>
      </c>
      <c r="K813" s="8" t="s">
        <v>554</v>
      </c>
    </row>
    <row r="814" customFormat="false" ht="17.15" hidden="false" customHeight="false" outlineLevel="0" collapsed="false">
      <c r="A814" s="4" t="s">
        <v>555</v>
      </c>
      <c r="B814" s="0" t="s">
        <v>120</v>
      </c>
      <c r="D814" s="22" t="n">
        <f aca="false">fp26</f>
        <v>0.3</v>
      </c>
      <c r="E814" s="22" t="n">
        <f aca="false">fp27_C</f>
        <v>0.7</v>
      </c>
      <c r="F814" s="22" t="n">
        <f aca="false">E814*F809/E809*(1+fp_g_lo)</f>
        <v>0.516582278481013</v>
      </c>
      <c r="G814" s="22" t="n">
        <f aca="false">F814*G809/F809*(1+fp_g_lo)</f>
        <v>0.646507594936709</v>
      </c>
    </row>
    <row r="815" customFormat="false" ht="17.15" hidden="false" customHeight="false" outlineLevel="0" collapsed="false">
      <c r="A815" s="0" t="s">
        <v>556</v>
      </c>
      <c r="B815" s="0" t="s">
        <v>120</v>
      </c>
      <c r="D815" s="22" t="n">
        <f aca="false">cpo27*cpo_C_26/cpo_A_27</f>
        <v>0.1</v>
      </c>
      <c r="E815" s="22" t="n">
        <f aca="false">cpo27*cpo_C_27/cpo_A_27</f>
        <v>0.2</v>
      </c>
      <c r="F815" s="22" t="n">
        <f aca="false">cpo27*cpo_C_28/cpo_A_27*F809/E809</f>
        <v>0.20126582278481</v>
      </c>
      <c r="G815" s="22" t="n">
        <f aca="false">cpo27*cpo_C_29/cpo_A_27*G809/E809</f>
        <v>0.381645569620253</v>
      </c>
      <c r="K815" s="8" t="s">
        <v>557</v>
      </c>
    </row>
    <row r="816" customFormat="false" ht="17.15" hidden="false" customHeight="false" outlineLevel="0" collapsed="false">
      <c r="A816" s="0" t="s">
        <v>510</v>
      </c>
      <c r="B816" s="0" t="s">
        <v>120</v>
      </c>
      <c r="C816" s="22" t="n">
        <f aca="false">leap25</f>
        <v>1.6</v>
      </c>
      <c r="D816" s="22" t="n">
        <f aca="false">D813+D814+D815</f>
        <v>4</v>
      </c>
      <c r="E816" s="22" t="n">
        <f aca="false">E813+E814+E815</f>
        <v>7.24598717923186</v>
      </c>
      <c r="F816" s="22" t="n">
        <f aca="false">F813+F814+F815</f>
        <v>4.99384365860025</v>
      </c>
      <c r="G816" s="22" t="n">
        <f aca="false">G813+G814+G815</f>
        <v>5.74471876735459</v>
      </c>
    </row>
    <row r="817" customFormat="false" ht="17.15" hidden="false" customHeight="false" outlineLevel="0" collapsed="false">
      <c r="A817" s="4" t="s">
        <v>558</v>
      </c>
      <c r="B817" s="0" t="s">
        <v>114</v>
      </c>
      <c r="C817" s="19" t="n">
        <f aca="false">fx25</f>
        <v>31</v>
      </c>
      <c r="D817" s="19" t="n">
        <f aca="false">a26_leap/D816</f>
        <v>31.9</v>
      </c>
      <c r="E817" s="19" t="n">
        <f aca="false">fx</f>
        <v>32</v>
      </c>
      <c r="F817" s="19" t="n">
        <f aca="false">fx</f>
        <v>32</v>
      </c>
      <c r="G817" s="19" t="n">
        <f aca="false">fx</f>
        <v>32</v>
      </c>
      <c r="K817" s="8" t="s">
        <v>559</v>
      </c>
    </row>
    <row r="818" customFormat="false" ht="17.15" hidden="false" customHeight="false" outlineLevel="0" collapsed="false">
      <c r="A818" s="6" t="s">
        <v>560</v>
      </c>
    </row>
    <row r="819" customFormat="false" ht="17.15" hidden="false" customHeight="false" outlineLevel="0" collapsed="false">
      <c r="A819" s="0" t="s">
        <v>438</v>
      </c>
      <c r="B819" s="0" t="s">
        <v>234</v>
      </c>
      <c r="C819" s="30" t="n">
        <f aca="false">a25_leap</f>
        <v>49.6</v>
      </c>
      <c r="D819" s="30" t="n">
        <f aca="false">a26_leap</f>
        <v>127.6</v>
      </c>
      <c r="E819" s="30" t="n">
        <f aca="false">E816*E817</f>
        <v>231.871589735419</v>
      </c>
      <c r="F819" s="30" t="n">
        <f aca="false">F816*F817</f>
        <v>159.802997075208</v>
      </c>
      <c r="G819" s="30" t="n">
        <f aca="false">G816*G817</f>
        <v>183.831000555347</v>
      </c>
    </row>
    <row r="820" customFormat="false" ht="15" hidden="false" customHeight="false" outlineLevel="0" collapsed="false">
      <c r="A820" s="4" t="s">
        <v>561</v>
      </c>
      <c r="B820" s="0" t="s">
        <v>234</v>
      </c>
      <c r="C820" s="30" t="n">
        <f aca="false">a25_ms</f>
        <v>339.628</v>
      </c>
      <c r="D820" s="30" t="n">
        <f aca="false">a26_ms</f>
        <v>432.1302</v>
      </c>
      <c r="E820" s="30" t="n">
        <f aca="false">D820*(1+g_ms27)</f>
        <v>496.94973</v>
      </c>
      <c r="F820" s="30" t="n">
        <f aca="false">E820*(1+g_msL)</f>
        <v>531.7362111</v>
      </c>
      <c r="G820" s="30" t="n">
        <f aca="false">F820*(1+g_msL)</f>
        <v>568.957745877</v>
      </c>
    </row>
    <row r="821" customFormat="false" ht="17.15" hidden="false" customHeight="false" outlineLevel="0" collapsed="false">
      <c r="A821" s="4" t="s">
        <v>562</v>
      </c>
      <c r="B821" s="0" t="s">
        <v>234</v>
      </c>
      <c r="C821" s="30" t="n">
        <f aca="false">C819+C820</f>
        <v>389.228</v>
      </c>
      <c r="D821" s="30" t="n">
        <f aca="false">D819+D820</f>
        <v>559.7302</v>
      </c>
      <c r="E821" s="30" t="n">
        <f aca="false">E819+E820</f>
        <v>728.821319735419</v>
      </c>
      <c r="F821" s="30" t="n">
        <f aca="false">F819+F820</f>
        <v>691.539208175208</v>
      </c>
      <c r="G821" s="30" t="n">
        <f aca="false">G819+G820</f>
        <v>752.788746432347</v>
      </c>
    </row>
    <row r="822" customFormat="false" ht="17.15" hidden="false" customHeight="false" outlineLevel="0" collapsed="false">
      <c r="A822" s="0" t="s">
        <v>563</v>
      </c>
      <c r="B822" s="0" t="s">
        <v>234</v>
      </c>
      <c r="C822" s="30" t="n">
        <f aca="false">a25_ems</f>
        <v>259.079</v>
      </c>
      <c r="D822" s="30" t="n">
        <f aca="false">a26_ems</f>
        <v>314.602</v>
      </c>
      <c r="E822" s="30" t="n">
        <f aca="false">D822*(1+g_ems27)</f>
        <v>346.0622</v>
      </c>
      <c r="F822" s="30" t="n">
        <f aca="false">E822*(1+g_emsL)</f>
        <v>363.36531</v>
      </c>
      <c r="G822" s="30" t="n">
        <f aca="false">F822*(1+g_emsL)</f>
        <v>381.5335755</v>
      </c>
    </row>
    <row r="823" customFormat="false" ht="17.15" hidden="false" customHeight="false" outlineLevel="0" collapsed="false">
      <c r="A823" s="4" t="s">
        <v>564</v>
      </c>
      <c r="B823" s="0" t="s">
        <v>234</v>
      </c>
      <c r="C823" s="30" t="n">
        <f aca="false">a25_elim</f>
        <v>-2.91899999999998</v>
      </c>
      <c r="D823" s="30" t="n">
        <f aca="false">a26_elim</f>
        <v>-3.16484905982349</v>
      </c>
      <c r="E823" s="30" t="n">
        <f aca="false">$D823/($D821+$D822)*(E821+E822)</f>
        <v>-3.89079127687897</v>
      </c>
      <c r="F823" s="30" t="n">
        <f aca="false">$D823/($D821+$D822)*(F821+F822)</f>
        <v>-3.81847262693786</v>
      </c>
      <c r="G823" s="30" t="n">
        <f aca="false">$D823/($D821+$D822)*(G821+G822)</f>
        <v>-4.10594386676412</v>
      </c>
      <c r="K823" s="4" t="s">
        <v>565</v>
      </c>
    </row>
    <row r="824" customFormat="false" ht="17.15" hidden="false" customHeight="false" outlineLevel="0" collapsed="false">
      <c r="A824" s="4" t="s">
        <v>431</v>
      </c>
      <c r="B824" s="0" t="s">
        <v>234</v>
      </c>
      <c r="C824" s="30" t="n">
        <f aca="false">C821+C822+C823</f>
        <v>645.388</v>
      </c>
      <c r="D824" s="30" t="n">
        <f aca="false">D821+D822+D823</f>
        <v>871.167350940177</v>
      </c>
      <c r="E824" s="30" t="n">
        <f aca="false">E821+E822+E823</f>
        <v>1070.99272845854</v>
      </c>
      <c r="F824" s="30" t="n">
        <f aca="false">F821+F822+F823</f>
        <v>1051.08604554827</v>
      </c>
      <c r="G824" s="30" t="n">
        <f aca="false">G821+G822+G823</f>
        <v>1130.21637806558</v>
      </c>
      <c r="H824" s="31" t="n">
        <f aca="false">G824*(1+H825)</f>
        <v>1194.47622616986</v>
      </c>
      <c r="I824" s="31" t="n">
        <f aca="false">H824*(1+I825)</f>
        <v>1240.37769899933</v>
      </c>
      <c r="J824" s="31" t="n">
        <f aca="false">I824*(1+J825)</f>
        <v>1265.18525297932</v>
      </c>
      <c r="K824" s="8" t="s">
        <v>566</v>
      </c>
    </row>
    <row r="825" customFormat="false" ht="15" hidden="false" customHeight="false" outlineLevel="0" collapsed="false">
      <c r="A825" s="4" t="s">
        <v>567</v>
      </c>
      <c r="B825" s="0" t="s">
        <v>76</v>
      </c>
      <c r="D825" s="21" t="n">
        <f aca="false">D824/C824-1</f>
        <v>0.349835061916516</v>
      </c>
      <c r="E825" s="21" t="n">
        <f aca="false">E824/D824-1</f>
        <v>0.229376568466104</v>
      </c>
      <c r="F825" s="21" t="n">
        <f aca="false">F824/E824-1</f>
        <v>-0.0185871317155641</v>
      </c>
      <c r="G825" s="21" t="n">
        <f aca="false">G824/F824-1</f>
        <v>0.0752843526488227</v>
      </c>
      <c r="H825" s="26" t="n">
        <f aca="false">$G825+(fade_gC-$G825)*1/3</f>
        <v>0.0568562350992151</v>
      </c>
      <c r="I825" s="26" t="n">
        <f aca="false">$G825+(fade_gC-$G825)*2/3</f>
        <v>0.0384281175496076</v>
      </c>
      <c r="J825" s="26" t="n">
        <f aca="false">$G825+(fade_gC-$G825)*3/3</f>
        <v>0.02</v>
      </c>
    </row>
    <row r="826" customFormat="false" ht="17.15" hidden="false" customHeight="false" outlineLevel="0" collapsed="false">
      <c r="A826" s="0" t="s">
        <v>475</v>
      </c>
      <c r="B826" s="0" t="s">
        <v>76</v>
      </c>
      <c r="C826" s="21" t="n">
        <f aca="false">C819/C821</f>
        <v>0.127431736668482</v>
      </c>
      <c r="D826" s="21" t="n">
        <f aca="false">D819/D821</f>
        <v>0.227966974088588</v>
      </c>
      <c r="E826" s="21" t="n">
        <f aca="false">E819/E821</f>
        <v>0.31814600294568</v>
      </c>
      <c r="F826" s="21" t="n">
        <f aca="false">F819/F821</f>
        <v>0.231083061070227</v>
      </c>
      <c r="G826" s="21" t="n">
        <f aca="false">G819/G821</f>
        <v>0.244199984958021</v>
      </c>
    </row>
    <row r="827" customFormat="false" ht="15" hidden="false" customHeight="false" outlineLevel="0" collapsed="false">
      <c r="A827" s="4" t="s">
        <v>568</v>
      </c>
      <c r="B827" s="0" t="s">
        <v>76</v>
      </c>
      <c r="D827" s="21" t="n">
        <f aca="false">D821/C821-1</f>
        <v>0.438052247012034</v>
      </c>
      <c r="E827" s="21" t="n">
        <f aca="false">E821/D821-1</f>
        <v>0.302093972659362</v>
      </c>
      <c r="F827" s="21" t="n">
        <f aca="false">F821/E821-1</f>
        <v>-0.051153980475963</v>
      </c>
      <c r="G827" s="21" t="n">
        <f aca="false">G821/F821-1</f>
        <v>0.0885698707073461</v>
      </c>
    </row>
    <row r="828" customFormat="false" ht="17.15" hidden="false" customHeight="false" outlineLevel="0" collapsed="false">
      <c r="A828" s="6" t="s">
        <v>569</v>
      </c>
    </row>
    <row r="829" customFormat="false" ht="17.15" hidden="false" customHeight="false" outlineLevel="0" collapsed="false">
      <c r="A829" s="4" t="s">
        <v>570</v>
      </c>
      <c r="B829" s="0" t="s">
        <v>120</v>
      </c>
      <c r="C829" s="19" t="n">
        <f aca="false">capex25</f>
        <v>5.5</v>
      </c>
      <c r="D829" s="19" t="n">
        <f aca="false">capex26</f>
        <v>11.5</v>
      </c>
      <c r="E829" s="19" t="n">
        <f aca="false">capex27</f>
        <v>13</v>
      </c>
      <c r="F829" s="19" t="n">
        <f aca="false">capi*F824/F817</f>
        <v>9.85393167701503</v>
      </c>
      <c r="G829" s="19" t="n">
        <f aca="false">capi*G824/G817</f>
        <v>10.5957785443648</v>
      </c>
      <c r="K829" s="8" t="s">
        <v>571</v>
      </c>
    </row>
    <row r="830" customFormat="false" ht="15" hidden="false" customHeight="false" outlineLevel="0" collapsed="false">
      <c r="A830" s="4" t="s">
        <v>572</v>
      </c>
      <c r="B830" s="0" t="s">
        <v>234</v>
      </c>
      <c r="C830" s="30" t="n">
        <f aca="false">C829*C817</f>
        <v>170.5</v>
      </c>
      <c r="D830" s="30" t="n">
        <f aca="false">D829*31.9</f>
        <v>366.85</v>
      </c>
      <c r="E830" s="30" t="n">
        <f aca="false">E829*E817</f>
        <v>416</v>
      </c>
      <c r="F830" s="30" t="n">
        <f aca="false">F829*F817</f>
        <v>315.325813664481</v>
      </c>
      <c r="G830" s="30" t="n">
        <f aca="false">G829*G817</f>
        <v>339.064913419675</v>
      </c>
    </row>
    <row r="831" customFormat="false" ht="17.15" hidden="false" customHeight="false" outlineLevel="0" collapsed="false">
      <c r="A831" s="4" t="s">
        <v>473</v>
      </c>
      <c r="B831" s="0" t="s">
        <v>76</v>
      </c>
      <c r="C831" s="21" t="n">
        <f aca="false">C830/C824</f>
        <v>0.264182166386732</v>
      </c>
      <c r="D831" s="21" t="n">
        <f aca="false">D830/D824</f>
        <v>0.421101639775745</v>
      </c>
      <c r="E831" s="21" t="n">
        <f aca="false">E830/E824</f>
        <v>0.388424672685445</v>
      </c>
      <c r="F831" s="21" t="n">
        <f aca="false">F830/F824</f>
        <v>0.3</v>
      </c>
      <c r="G831" s="21" t="n">
        <f aca="false">G830/G824</f>
        <v>0.3</v>
      </c>
    </row>
    <row r="832" customFormat="false" ht="17.15" hidden="false" customHeight="false" outlineLevel="0" collapsed="false">
      <c r="A832" s="4" t="s">
        <v>573</v>
      </c>
      <c r="B832" s="0" t="s">
        <v>234</v>
      </c>
      <c r="C832" s="30" t="n">
        <f aca="false">a25_da</f>
        <v>75.255</v>
      </c>
      <c r="D832" s="30" t="n">
        <f aca="false">a26_da</f>
        <v>97.124</v>
      </c>
      <c r="E832" s="30" t="n">
        <f aca="false">D832*(1-1/life)+D830/life</f>
        <v>130.83975</v>
      </c>
      <c r="F832" s="30" t="n">
        <f aca="false">E832*(1-1/life)+E830/life</f>
        <v>166.48478125</v>
      </c>
      <c r="G832" s="30" t="n">
        <f aca="false">F832*(1-1/life)+F830/life</f>
        <v>185.08991030181</v>
      </c>
      <c r="K832" s="4" t="s">
        <v>574</v>
      </c>
    </row>
    <row r="833" customFormat="false" ht="17.15" hidden="false" customHeight="false" outlineLevel="0" collapsed="false">
      <c r="A833" s="4" t="s">
        <v>575</v>
      </c>
      <c r="B833" s="0" t="s">
        <v>234</v>
      </c>
      <c r="C833" s="30" t="n">
        <f aca="false">a25_agp</f>
        <v>91.38</v>
      </c>
      <c r="D833" s="30" t="n">
        <f aca="false">a26_agp</f>
        <v>164.623388</v>
      </c>
      <c r="E833" s="30" t="n">
        <f aca="false">$D833+ft*(E821-$D821)-(E832-$D832)</f>
        <v>215.45319786771</v>
      </c>
      <c r="F833" s="30" t="n">
        <f aca="false">$D833+ft*(F821-$D821)-(F832-$D832)</f>
        <v>161.167110837604</v>
      </c>
      <c r="G833" s="30" t="n">
        <f aca="false">$D833+ft*(G821-$D821)-(G832-$D832)</f>
        <v>173.186750914363</v>
      </c>
      <c r="K833" s="4" t="s">
        <v>576</v>
      </c>
    </row>
    <row r="834" customFormat="false" ht="15" hidden="false" customHeight="false" outlineLevel="0" collapsed="false">
      <c r="A834" s="4" t="s">
        <v>447</v>
      </c>
      <c r="B834" s="0" t="s">
        <v>76</v>
      </c>
      <c r="C834" s="14" t="n">
        <f aca="false">C833/C821</f>
        <v>0.234772421305764</v>
      </c>
      <c r="D834" s="14" t="n">
        <f aca="false">D833/D821</f>
        <v>0.294112034690999</v>
      </c>
      <c r="E834" s="14" t="n">
        <f aca="false">E833/E821</f>
        <v>0.295618681882035</v>
      </c>
      <c r="F834" s="14" t="n">
        <f aca="false">F833/F821</f>
        <v>0.233055637239835</v>
      </c>
      <c r="G834" s="14" t="n">
        <f aca="false">G833/G821</f>
        <v>0.230060228364383</v>
      </c>
    </row>
    <row r="835" customFormat="false" ht="17.15" hidden="false" customHeight="false" outlineLevel="0" collapsed="false">
      <c r="A835" s="0" t="s">
        <v>449</v>
      </c>
      <c r="B835" s="0" t="s">
        <v>234</v>
      </c>
      <c r="C835" s="30" t="n">
        <f aca="false">a25_egp</f>
        <v>23.695</v>
      </c>
      <c r="D835" s="30" t="n">
        <f aca="false">a26_egp</f>
        <v>27.00552</v>
      </c>
      <c r="E835" s="30" t="n">
        <f aca="false">E822*ems_gm</f>
        <v>29.415287</v>
      </c>
      <c r="F835" s="30" t="n">
        <f aca="false">F822*ems_gm</f>
        <v>30.88605135</v>
      </c>
      <c r="G835" s="30" t="n">
        <f aca="false">G822*ems_gm</f>
        <v>32.4303539175</v>
      </c>
    </row>
    <row r="836" customFormat="false" ht="15" hidden="false" customHeight="false" outlineLevel="0" collapsed="false">
      <c r="A836" s="4" t="s">
        <v>577</v>
      </c>
      <c r="B836" s="0" t="s">
        <v>234</v>
      </c>
      <c r="C836" s="30" t="n">
        <f aca="false">a25_lgp</f>
        <v>-0.881999999999998</v>
      </c>
      <c r="D836" s="30" t="n">
        <f aca="false">a26_lgp</f>
        <v>-0.948662139013863</v>
      </c>
      <c r="E836" s="30" t="n">
        <f aca="false">$D836/$D823*E823</f>
        <v>-1.16626300509458</v>
      </c>
      <c r="F836" s="30" t="n">
        <f aca="false">$D836/$D823*F823</f>
        <v>-1.14458552100389</v>
      </c>
      <c r="G836" s="30" t="n">
        <f aca="false">$D836/$D823*G823</f>
        <v>-1.23075490100389</v>
      </c>
    </row>
    <row r="837" customFormat="false" ht="15" hidden="false" customHeight="false" outlineLevel="0" collapsed="false">
      <c r="A837" s="4" t="s">
        <v>451</v>
      </c>
      <c r="B837" s="0" t="s">
        <v>234</v>
      </c>
      <c r="C837" s="30" t="n">
        <f aca="false">C833+C835+C836</f>
        <v>114.193</v>
      </c>
      <c r="D837" s="30" t="n">
        <f aca="false">D833+D835+D836</f>
        <v>190.680245860986</v>
      </c>
      <c r="E837" s="30" t="n">
        <f aca="false">E833+E835+E836</f>
        <v>243.702221862615</v>
      </c>
      <c r="F837" s="30" t="n">
        <f aca="false">F833+F835+F836</f>
        <v>190.9085766666</v>
      </c>
      <c r="G837" s="30" t="n">
        <f aca="false">G833+G835+G836</f>
        <v>204.386349930859</v>
      </c>
    </row>
    <row r="838" customFormat="false" ht="15" hidden="false" customHeight="false" outlineLevel="0" collapsed="false">
      <c r="A838" s="4" t="s">
        <v>452</v>
      </c>
      <c r="B838" s="0" t="s">
        <v>76</v>
      </c>
      <c r="C838" s="14" t="n">
        <f aca="false">C837/C824</f>
        <v>0.176936974347214</v>
      </c>
      <c r="D838" s="14" t="n">
        <f aca="false">D837/D824</f>
        <v>0.218879008327391</v>
      </c>
      <c r="E838" s="14" t="n">
        <f aca="false">E837/E824</f>
        <v>0.227547970576207</v>
      </c>
      <c r="F838" s="14" t="n">
        <f aca="false">F837/F824</f>
        <v>0.181629827049048</v>
      </c>
      <c r="G838" s="14" t="n">
        <f aca="false">G837/G824</f>
        <v>0.180838248230552</v>
      </c>
    </row>
    <row r="839" customFormat="false" ht="15" hidden="false" customHeight="false" outlineLevel="0" collapsed="false">
      <c r="A839" s="4" t="s">
        <v>578</v>
      </c>
      <c r="B839" s="0" t="s">
        <v>234</v>
      </c>
      <c r="C839" s="30" t="n">
        <f aca="false">a25_opx</f>
        <v>63.437</v>
      </c>
      <c r="D839" s="30" t="n">
        <f aca="false">a26_opx</f>
        <v>79.658</v>
      </c>
      <c r="E839" s="30" t="n">
        <f aca="false">D839*(1+phi*E825)</f>
        <v>90.6210072145237</v>
      </c>
      <c r="F839" s="30" t="n">
        <f aca="false">E839*(1+phi*F825)</f>
        <v>89.6103764561477</v>
      </c>
      <c r="G839" s="30" t="n">
        <f aca="false">F839*(1+phi*G825)</f>
        <v>93.6581319654187</v>
      </c>
    </row>
    <row r="840" customFormat="false" ht="15" hidden="false" customHeight="false" outlineLevel="0" collapsed="false">
      <c r="A840" s="4" t="s">
        <v>455</v>
      </c>
      <c r="B840" s="0" t="s">
        <v>234</v>
      </c>
      <c r="C840" s="30" t="n">
        <f aca="false">C837-C839</f>
        <v>50.756</v>
      </c>
      <c r="D840" s="30" t="n">
        <f aca="false">D837-D839</f>
        <v>111.022245860986</v>
      </c>
      <c r="E840" s="30" t="n">
        <f aca="false">E837-E839</f>
        <v>153.081214648091</v>
      </c>
      <c r="F840" s="30" t="n">
        <f aca="false">F837-F839</f>
        <v>101.298200210452</v>
      </c>
      <c r="G840" s="30" t="n">
        <f aca="false">G837-G839</f>
        <v>110.728217965441</v>
      </c>
    </row>
    <row r="841" customFormat="false" ht="15" hidden="false" customHeight="false" outlineLevel="0" collapsed="false">
      <c r="A841" s="4" t="s">
        <v>537</v>
      </c>
      <c r="B841" s="0" t="s">
        <v>76</v>
      </c>
      <c r="C841" s="14" t="n">
        <f aca="false">C840/C824</f>
        <v>0.0786441644406156</v>
      </c>
      <c r="D841" s="14" t="n">
        <f aca="false">D840/D824</f>
        <v>0.127440779020437</v>
      </c>
      <c r="E841" s="14" t="n">
        <f aca="false">E840/E824</f>
        <v>0.142933943975902</v>
      </c>
      <c r="F841" s="14" t="n">
        <f aca="false">F840/F824</f>
        <v>0.0963747931384752</v>
      </c>
      <c r="G841" s="14" t="n">
        <f aca="false">G840/G824</f>
        <v>0.0979708134781741</v>
      </c>
    </row>
    <row r="842" customFormat="false" ht="15" hidden="false" customHeight="false" outlineLevel="0" collapsed="false">
      <c r="A842" s="4" t="s">
        <v>456</v>
      </c>
      <c r="B842" s="0" t="s">
        <v>234</v>
      </c>
      <c r="C842" s="30" t="n">
        <f aca="false">a25_nonop</f>
        <v>0.545</v>
      </c>
      <c r="D842" s="30" t="n">
        <f aca="false">a26_nonop</f>
        <v>4.302</v>
      </c>
      <c r="E842" s="30" t="n">
        <f aca="false">nonop_f</f>
        <v>-5</v>
      </c>
      <c r="F842" s="30" t="n">
        <f aca="false">nonop_f</f>
        <v>-5</v>
      </c>
      <c r="G842" s="30" t="n">
        <f aca="false">nonop_f</f>
        <v>-5</v>
      </c>
    </row>
    <row r="843" customFormat="false" ht="15" hidden="false" customHeight="false" outlineLevel="0" collapsed="false">
      <c r="A843" s="4" t="s">
        <v>459</v>
      </c>
      <c r="B843" s="0" t="s">
        <v>234</v>
      </c>
      <c r="C843" s="30" t="n">
        <f aca="false">C840+C842</f>
        <v>51.301</v>
      </c>
      <c r="D843" s="30" t="n">
        <f aca="false">D840+D842</f>
        <v>115.324245860986</v>
      </c>
      <c r="E843" s="30" t="n">
        <f aca="false">E840+E842</f>
        <v>148.081214648091</v>
      </c>
      <c r="F843" s="30" t="n">
        <f aca="false">F840+F842</f>
        <v>96.2982002104525</v>
      </c>
      <c r="G843" s="30" t="n">
        <f aca="false">G840+G842</f>
        <v>105.728217965441</v>
      </c>
    </row>
    <row r="844" customFormat="false" ht="15" hidden="false" customHeight="false" outlineLevel="0" collapsed="false">
      <c r="A844" s="4" t="s">
        <v>460</v>
      </c>
      <c r="B844" s="0" t="s">
        <v>234</v>
      </c>
      <c r="C844" s="30" t="n">
        <f aca="false">a25_tax</f>
        <v>9.461</v>
      </c>
      <c r="D844" s="30" t="n">
        <f aca="false">a26_tax</f>
        <v>19.2197317963676</v>
      </c>
      <c r="E844" s="30" t="n">
        <f aca="false">E843*tax</f>
        <v>25.1738064901755</v>
      </c>
      <c r="F844" s="30" t="n">
        <f aca="false">F843*tax</f>
        <v>16.3706940357769</v>
      </c>
      <c r="G844" s="30" t="n">
        <f aca="false">G843*tax</f>
        <v>17.9737970541249</v>
      </c>
    </row>
    <row r="845" customFormat="false" ht="15" hidden="false" customHeight="false" outlineLevel="0" collapsed="false">
      <c r="A845" s="4" t="s">
        <v>461</v>
      </c>
      <c r="B845" s="0" t="s">
        <v>234</v>
      </c>
      <c r="C845" s="30" t="n">
        <f aca="false">a25_nci</f>
        <v>1.182</v>
      </c>
      <c r="D845" s="30" t="n">
        <f aca="false">a26_nci</f>
        <v>2.543</v>
      </c>
      <c r="E845" s="30" t="n">
        <f aca="false">nci</f>
        <v>3</v>
      </c>
      <c r="F845" s="30" t="n">
        <f aca="false">nci</f>
        <v>3</v>
      </c>
      <c r="G845" s="30" t="n">
        <f aca="false">nci</f>
        <v>3</v>
      </c>
    </row>
    <row r="846" customFormat="false" ht="15" hidden="false" customHeight="false" outlineLevel="0" collapsed="false">
      <c r="A846" s="4" t="s">
        <v>462</v>
      </c>
      <c r="B846" s="0" t="s">
        <v>234</v>
      </c>
      <c r="C846" s="30" t="n">
        <f aca="false">C843-C844-C845</f>
        <v>40.658</v>
      </c>
      <c r="D846" s="30" t="n">
        <f aca="false">D843-D844-D845</f>
        <v>93.5615140646185</v>
      </c>
      <c r="E846" s="30" t="n">
        <f aca="false">E843-E844-E845</f>
        <v>119.907408157916</v>
      </c>
      <c r="F846" s="30" t="n">
        <f aca="false">F843-F844-F845</f>
        <v>76.9275061746756</v>
      </c>
      <c r="G846" s="30" t="n">
        <f aca="false">G843-G844-G845</f>
        <v>84.7544209113158</v>
      </c>
      <c r="H846" s="31" t="n">
        <f aca="false">H824*H850</f>
        <v>84.2592146293577</v>
      </c>
      <c r="I846" s="31" t="n">
        <f aca="false">I824*I850</f>
        <v>81.9789061486427</v>
      </c>
      <c r="J846" s="31" t="n">
        <f aca="false">J824*J850</f>
        <v>77.9898881567833</v>
      </c>
    </row>
    <row r="847" customFormat="false" ht="15" hidden="false" customHeight="false" outlineLevel="0" collapsed="false">
      <c r="A847" s="4" t="s">
        <v>579</v>
      </c>
      <c r="B847" s="4" t="s">
        <v>580</v>
      </c>
      <c r="C847" s="18" t="n">
        <f aca="false">a25_sh</f>
        <v>4339.16755602988</v>
      </c>
      <c r="D847" s="18" t="n">
        <f aca="false">a26_sh</f>
        <v>4392.90105184664</v>
      </c>
      <c r="E847" s="18" t="n">
        <f aca="false">D847*(1+sh_g)</f>
        <v>4414.86555710588</v>
      </c>
      <c r="F847" s="18" t="n">
        <f aca="false">E847*(1+sh_g)</f>
        <v>4436.9398848914</v>
      </c>
      <c r="G847" s="18" t="n">
        <f aca="false">F847*(1+sh_g)</f>
        <v>4459.12458431586</v>
      </c>
      <c r="H847" s="25" t="n">
        <f aca="false">G847*(1+sh_g)</f>
        <v>4481.42020723744</v>
      </c>
      <c r="I847" s="25" t="n">
        <f aca="false">H847*(1+sh_g)</f>
        <v>4503.82730827363</v>
      </c>
      <c r="J847" s="25" t="n">
        <f aca="false">I847*(1+sh_g)</f>
        <v>4526.34644481499</v>
      </c>
    </row>
    <row r="848" customFormat="false" ht="17.15" hidden="false" customHeight="false" outlineLevel="0" collapsed="false">
      <c r="A848" s="0" t="s">
        <v>465</v>
      </c>
      <c r="B848" s="0" t="s">
        <v>304</v>
      </c>
      <c r="C848" s="19" t="n">
        <f aca="false">a25_eps</f>
        <v>9.37</v>
      </c>
      <c r="D848" s="19" t="n">
        <f aca="false">a26_eps</f>
        <v>21.2828697294455</v>
      </c>
      <c r="E848" s="19" t="n">
        <f aca="false">E846/E847*1000</f>
        <v>27.159922902957</v>
      </c>
      <c r="F848" s="19" t="n">
        <f aca="false">F846/F847*1000</f>
        <v>17.3379644913892</v>
      </c>
      <c r="G848" s="19" t="n">
        <f aca="false">G846/G847*1000</f>
        <v>19.0069641044396</v>
      </c>
      <c r="H848" s="28" t="n">
        <f aca="false">H846/H847*1000</f>
        <v>18.8019000077877</v>
      </c>
      <c r="I848" s="28" t="n">
        <f aca="false">I846/I847*1000</f>
        <v>18.2020536173857</v>
      </c>
      <c r="J848" s="28" t="n">
        <f aca="false">J846/J847*1000</f>
        <v>17.2302074327788</v>
      </c>
    </row>
    <row r="849" customFormat="false" ht="17.15" hidden="false" customHeight="false" outlineLevel="0" collapsed="false">
      <c r="A849" s="0" t="s">
        <v>581</v>
      </c>
      <c r="B849" s="0" t="s">
        <v>76</v>
      </c>
      <c r="D849" s="21" t="n">
        <f aca="false">D848/C848-1</f>
        <v>1.27138417603474</v>
      </c>
      <c r="E849" s="21" t="n">
        <f aca="false">E848/D848-1</f>
        <v>0.276140071720703</v>
      </c>
      <c r="F849" s="21" t="n">
        <f aca="false">F848/E848-1</f>
        <v>-0.361634252301153</v>
      </c>
      <c r="G849" s="21" t="n">
        <f aca="false">G848/F848-1</f>
        <v>0.0962627195296972</v>
      </c>
      <c r="H849" s="26" t="n">
        <f aca="false">H848/G848-1</f>
        <v>-0.0107888927198002</v>
      </c>
      <c r="I849" s="26" t="n">
        <f aca="false">I848/H848-1</f>
        <v>-0.0319034985907559</v>
      </c>
      <c r="J849" s="26" t="n">
        <f aca="false">J848/I848-1</f>
        <v>-0.0533921174519929</v>
      </c>
    </row>
    <row r="850" customFormat="false" ht="17.15" hidden="false" customHeight="false" outlineLevel="0" collapsed="false">
      <c r="A850" s="4" t="s">
        <v>582</v>
      </c>
      <c r="B850" s="0" t="s">
        <v>76</v>
      </c>
      <c r="C850" s="14" t="n">
        <f aca="false">C846/C824</f>
        <v>0.0629977625862272</v>
      </c>
      <c r="D850" s="14" t="n">
        <f aca="false">D846/D824</f>
        <v>0.107397865592237</v>
      </c>
      <c r="E850" s="14" t="n">
        <f aca="false">E846/E824</f>
        <v>0.111959124438218</v>
      </c>
      <c r="F850" s="14" t="n">
        <f aca="false">F846/F824</f>
        <v>0.0731885905064494</v>
      </c>
      <c r="G850" s="14" t="n">
        <f aca="false">G846/G824</f>
        <v>0.074989552935321</v>
      </c>
      <c r="H850" s="27" t="n">
        <f aca="false">$G850+(fade_mC-$G850)*1/3</f>
        <v>0.0705407213499245</v>
      </c>
      <c r="I850" s="27" t="n">
        <f aca="false">$G850+(fade_mC-$G850)*2/3</f>
        <v>0.066091889764528</v>
      </c>
      <c r="J850" s="27" t="n">
        <f aca="false">$G850+(fade_mC-$G850)*3/3</f>
        <v>0.0616430581791315</v>
      </c>
    </row>
    <row r="851" customFormat="false" ht="17.15" hidden="false" customHeight="false" outlineLevel="0" collapsed="false">
      <c r="A851" s="4" t="s">
        <v>583</v>
      </c>
      <c r="B851" s="0" t="s">
        <v>234</v>
      </c>
      <c r="C851" s="30" t="n">
        <f aca="false">C846+C832-C830</f>
        <v>-54.587</v>
      </c>
      <c r="D851" s="30" t="n">
        <f aca="false">D846+D832-D830</f>
        <v>-176.164485935382</v>
      </c>
      <c r="E851" s="30" t="n">
        <f aca="false">E846+E832-E830</f>
        <v>-165.252841842084</v>
      </c>
      <c r="F851" s="30" t="n">
        <f aca="false">F846+F832-F830</f>
        <v>-71.9135262398056</v>
      </c>
      <c r="G851" s="30" t="n">
        <f aca="false">G846+G832-G830</f>
        <v>-69.2205822065489</v>
      </c>
      <c r="K851" s="4" t="s">
        <v>584</v>
      </c>
    </row>
    <row r="852" customFormat="false" ht="17.15" hidden="false" customHeight="false" outlineLevel="0" collapsed="false">
      <c r="A852" s="4" t="s">
        <v>585</v>
      </c>
      <c r="B852" s="0" t="s">
        <v>76</v>
      </c>
      <c r="D852" s="21" t="n">
        <f aca="false">(D840-$C840)/SUM($D830:D830)</f>
        <v>0.164280348537512</v>
      </c>
      <c r="E852" s="21" t="n">
        <f aca="false">(E840-$C840)/SUM($D830:E830)</f>
        <v>0.130708583570405</v>
      </c>
      <c r="F852" s="21" t="n">
        <f aca="false">(F840-$C840)/SUM($D830:F830)</f>
        <v>0.0460237783254388</v>
      </c>
      <c r="G852" s="21" t="n">
        <f aca="false">(G840-$C840)/SUM($D830:G830)</f>
        <v>0.0417273299004761</v>
      </c>
      <c r="K852" s="4" t="s">
        <v>586</v>
      </c>
    </row>
    <row r="855" customFormat="false" ht="17.15" hidden="false" customHeight="false" outlineLevel="0" collapsed="false">
      <c r="A855" s="1" t="s">
        <v>931</v>
      </c>
    </row>
    <row r="856" customFormat="false" ht="17.15" hidden="false" customHeight="false" outlineLevel="0" collapsed="false">
      <c r="A856" s="5" t="s">
        <v>21</v>
      </c>
      <c r="B856" s="5" t="s">
        <v>22</v>
      </c>
      <c r="C856" s="15" t="s">
        <v>424</v>
      </c>
      <c r="D856" s="15" t="s">
        <v>524</v>
      </c>
      <c r="E856" s="15" t="s">
        <v>525</v>
      </c>
      <c r="F856" s="15" t="s">
        <v>526</v>
      </c>
      <c r="G856" s="15" t="s">
        <v>527</v>
      </c>
      <c r="H856" s="15" t="s">
        <v>528</v>
      </c>
      <c r="I856" s="15" t="s">
        <v>529</v>
      </c>
      <c r="J856" s="15" t="s">
        <v>530</v>
      </c>
      <c r="K856" s="5" t="s">
        <v>382</v>
      </c>
    </row>
    <row r="857" customFormat="false" ht="17.15" hidden="false" customHeight="false" outlineLevel="0" collapsed="false">
      <c r="A857" s="6" t="s">
        <v>548</v>
      </c>
    </row>
    <row r="858" customFormat="false" ht="17.15" hidden="false" customHeight="false" outlineLevel="0" collapsed="false">
      <c r="A858" s="0" t="s">
        <v>549</v>
      </c>
      <c r="B858" s="4" t="s">
        <v>32</v>
      </c>
      <c r="D858" s="19" t="n">
        <f aca="false">units_26</f>
        <v>15.2</v>
      </c>
      <c r="E858" s="19" t="n">
        <f aca="false">units_27*1</f>
        <v>23.7</v>
      </c>
      <c r="F858" s="19" t="n">
        <f aca="false">units_28*um28_A*1</f>
        <v>26.5</v>
      </c>
      <c r="G858" s="19" t="n">
        <f aca="false">units_29*um29_A*1</f>
        <v>30.15</v>
      </c>
    </row>
    <row r="859" customFormat="false" ht="17.15" hidden="false" customHeight="false" outlineLevel="0" collapsed="false">
      <c r="A859" s="4" t="s">
        <v>497</v>
      </c>
      <c r="B859" s="0" t="s">
        <v>45</v>
      </c>
      <c r="D859" s="22" t="n">
        <f aca="false">ar_26</f>
        <v>1</v>
      </c>
      <c r="E859" s="22" t="n">
        <f aca="false">ar_27</f>
        <v>1.278156</v>
      </c>
      <c r="F859" s="22" t="n">
        <f aca="false">ar_28</f>
        <v>1.428615</v>
      </c>
      <c r="G859" s="22" t="n">
        <f aca="false">ar_29</f>
        <v>1.431796</v>
      </c>
    </row>
    <row r="860" customFormat="false" ht="17.15" hidden="false" customHeight="false" outlineLevel="0" collapsed="false">
      <c r="A860" s="4" t="s">
        <v>550</v>
      </c>
      <c r="B860" s="0" t="s">
        <v>45</v>
      </c>
      <c r="D860" s="19" t="n">
        <f aca="false">1</f>
        <v>1</v>
      </c>
      <c r="E860" s="19" t="n">
        <f aca="false">rel27_A</f>
        <v>1.1</v>
      </c>
      <c r="F860" s="19" t="n">
        <f aca="false">rel28_A</f>
        <v>1.15</v>
      </c>
      <c r="G860" s="19" t="n">
        <f aca="false">rel29_A</f>
        <v>1.2</v>
      </c>
    </row>
    <row r="861" customFormat="false" ht="17.15" hidden="false" customHeight="false" outlineLevel="0" collapsed="false">
      <c r="A861" s="4" t="s">
        <v>551</v>
      </c>
      <c r="B861" s="0" t="s">
        <v>502</v>
      </c>
      <c r="D861" s="23" t="n">
        <f aca="false">D862*1000/D858</f>
        <v>236.842105263158</v>
      </c>
      <c r="E861" s="23" t="n">
        <f aca="false">$D861*E859^el</f>
        <v>267.763172119488</v>
      </c>
      <c r="F861" s="23" t="n">
        <f aca="false">$D861*F859^el</f>
        <v>283.084777049615</v>
      </c>
      <c r="G861" s="23" t="n">
        <f aca="false">$D861*G859^el</f>
        <v>283.399764630809</v>
      </c>
      <c r="K861" s="8" t="s">
        <v>552</v>
      </c>
    </row>
    <row r="862" customFormat="false" ht="17.15" hidden="false" customHeight="false" outlineLevel="0" collapsed="false">
      <c r="A862" s="0" t="s">
        <v>553</v>
      </c>
      <c r="B862" s="0" t="s">
        <v>120</v>
      </c>
      <c r="D862" s="22" t="n">
        <f aca="false">leap26-D863-D864</f>
        <v>3.6</v>
      </c>
      <c r="E862" s="22" t="n">
        <f aca="false">E858*E860*E861/1000</f>
        <v>6.98058589715504</v>
      </c>
      <c r="F862" s="22" t="n">
        <f aca="false">F858*F860*F861/1000</f>
        <v>8.627008580587</v>
      </c>
      <c r="G862" s="22" t="n">
        <f aca="false">G858*G860*G861/1000</f>
        <v>10.2534034843427</v>
      </c>
      <c r="K862" s="8" t="s">
        <v>554</v>
      </c>
    </row>
    <row r="863" customFormat="false" ht="17.15" hidden="false" customHeight="false" outlineLevel="0" collapsed="false">
      <c r="A863" s="4" t="s">
        <v>555</v>
      </c>
      <c r="B863" s="0" t="s">
        <v>120</v>
      </c>
      <c r="D863" s="22" t="n">
        <f aca="false">fp26</f>
        <v>0.3</v>
      </c>
      <c r="E863" s="22" t="n">
        <f aca="false">fp27_A</f>
        <v>1.2</v>
      </c>
      <c r="F863" s="22" t="n">
        <f aca="false">E863*F858/E858*(1+fp_g_hi)</f>
        <v>2.0126582278481</v>
      </c>
      <c r="G863" s="22" t="n">
        <f aca="false">F863*G858/F858*(1+fp_g_hi)</f>
        <v>3.43481012658228</v>
      </c>
    </row>
    <row r="864" customFormat="false" ht="17.15" hidden="false" customHeight="false" outlineLevel="0" collapsed="false">
      <c r="A864" s="0" t="s">
        <v>556</v>
      </c>
      <c r="B864" s="0" t="s">
        <v>120</v>
      </c>
      <c r="D864" s="22" t="n">
        <f aca="false">cpo27*cpo_A_26/cpo_A_27</f>
        <v>0.1</v>
      </c>
      <c r="E864" s="22" t="n">
        <f aca="false">cpo27*cpo_A_27/cpo_A_27</f>
        <v>0.5</v>
      </c>
      <c r="F864" s="22" t="n">
        <f aca="false">cpo27*cpo_A_28/cpo_A_27*F858/E858</f>
        <v>1.11814345991561</v>
      </c>
      <c r="G864" s="22" t="n">
        <f aca="false">cpo27*cpo_A_29/cpo_A_27*G858/E858</f>
        <v>2.03544303797468</v>
      </c>
      <c r="K864" s="8" t="s">
        <v>557</v>
      </c>
    </row>
    <row r="865" customFormat="false" ht="17.15" hidden="false" customHeight="false" outlineLevel="0" collapsed="false">
      <c r="A865" s="0" t="s">
        <v>510</v>
      </c>
      <c r="B865" s="0" t="s">
        <v>120</v>
      </c>
      <c r="C865" s="22" t="n">
        <f aca="false">leap25</f>
        <v>1.6</v>
      </c>
      <c r="D865" s="22" t="n">
        <f aca="false">D862+D863+D864</f>
        <v>4</v>
      </c>
      <c r="E865" s="22" t="n">
        <f aca="false">E862+E863+E864</f>
        <v>8.68058589715504</v>
      </c>
      <c r="F865" s="22" t="n">
        <f aca="false">F862+F863+F864</f>
        <v>11.7578102683507</v>
      </c>
      <c r="G865" s="22" t="n">
        <f aca="false">G862+G863+G864</f>
        <v>15.7236566488996</v>
      </c>
    </row>
    <row r="866" customFormat="false" ht="17.15" hidden="false" customHeight="false" outlineLevel="0" collapsed="false">
      <c r="A866" s="4" t="s">
        <v>558</v>
      </c>
      <c r="B866" s="0" t="s">
        <v>114</v>
      </c>
      <c r="C866" s="19" t="n">
        <f aca="false">fx25</f>
        <v>31</v>
      </c>
      <c r="D866" s="19" t="n">
        <f aca="false">a26_leap/D865</f>
        <v>31.9</v>
      </c>
      <c r="E866" s="19" t="n">
        <f aca="false">fx</f>
        <v>32</v>
      </c>
      <c r="F866" s="19" t="n">
        <f aca="false">fx</f>
        <v>32</v>
      </c>
      <c r="G866" s="19" t="n">
        <f aca="false">fx</f>
        <v>32</v>
      </c>
      <c r="K866" s="8" t="s">
        <v>559</v>
      </c>
    </row>
    <row r="867" customFormat="false" ht="17.15" hidden="false" customHeight="false" outlineLevel="0" collapsed="false">
      <c r="A867" s="6" t="s">
        <v>560</v>
      </c>
    </row>
    <row r="868" customFormat="false" ht="17.15" hidden="false" customHeight="false" outlineLevel="0" collapsed="false">
      <c r="A868" s="0" t="s">
        <v>438</v>
      </c>
      <c r="B868" s="0" t="s">
        <v>234</v>
      </c>
      <c r="C868" s="30" t="n">
        <f aca="false">a25_leap</f>
        <v>49.6</v>
      </c>
      <c r="D868" s="30" t="n">
        <f aca="false">a26_leap</f>
        <v>127.6</v>
      </c>
      <c r="E868" s="30" t="n">
        <f aca="false">E865*E866</f>
        <v>277.778748708961</v>
      </c>
      <c r="F868" s="30" t="n">
        <f aca="false">F865*F866</f>
        <v>376.249928587223</v>
      </c>
      <c r="G868" s="30" t="n">
        <f aca="false">G865*G866</f>
        <v>503.157012764788</v>
      </c>
    </row>
    <row r="869" customFormat="false" ht="15" hidden="false" customHeight="false" outlineLevel="0" collapsed="false">
      <c r="A869" s="4" t="s">
        <v>561</v>
      </c>
      <c r="B869" s="0" t="s">
        <v>234</v>
      </c>
      <c r="C869" s="30" t="n">
        <f aca="false">a25_ms</f>
        <v>339.628</v>
      </c>
      <c r="D869" s="30" t="n">
        <f aca="false">a26_ms</f>
        <v>432.1302</v>
      </c>
      <c r="E869" s="30" t="n">
        <f aca="false">D869*(1+g_ms27)</f>
        <v>496.94973</v>
      </c>
      <c r="F869" s="30" t="n">
        <f aca="false">E869*(1+g_msL)</f>
        <v>531.7362111</v>
      </c>
      <c r="G869" s="30" t="n">
        <f aca="false">F869*(1+g_msL)</f>
        <v>568.957745877</v>
      </c>
    </row>
    <row r="870" customFormat="false" ht="17.15" hidden="false" customHeight="false" outlineLevel="0" collapsed="false">
      <c r="A870" s="4" t="s">
        <v>562</v>
      </c>
      <c r="B870" s="0" t="s">
        <v>234</v>
      </c>
      <c r="C870" s="30" t="n">
        <f aca="false">C868+C869</f>
        <v>389.228</v>
      </c>
      <c r="D870" s="30" t="n">
        <f aca="false">D868+D869</f>
        <v>559.7302</v>
      </c>
      <c r="E870" s="30" t="n">
        <f aca="false">E868+E869</f>
        <v>774.728478708961</v>
      </c>
      <c r="F870" s="30" t="n">
        <f aca="false">F868+F869</f>
        <v>907.986139687223</v>
      </c>
      <c r="G870" s="30" t="n">
        <f aca="false">G868+G869</f>
        <v>1072.11475864179</v>
      </c>
    </row>
    <row r="871" customFormat="false" ht="17.15" hidden="false" customHeight="false" outlineLevel="0" collapsed="false">
      <c r="A871" s="0" t="s">
        <v>563</v>
      </c>
      <c r="B871" s="0" t="s">
        <v>234</v>
      </c>
      <c r="C871" s="30" t="n">
        <f aca="false">a25_ems</f>
        <v>259.079</v>
      </c>
      <c r="D871" s="30" t="n">
        <f aca="false">a26_ems</f>
        <v>314.602</v>
      </c>
      <c r="E871" s="30" t="n">
        <f aca="false">D871*(1+g_ems27)</f>
        <v>346.0622</v>
      </c>
      <c r="F871" s="30" t="n">
        <f aca="false">E871*(1+g_emsL)</f>
        <v>363.36531</v>
      </c>
      <c r="G871" s="30" t="n">
        <f aca="false">F871*(1+g_emsL)</f>
        <v>381.5335755</v>
      </c>
    </row>
    <row r="872" customFormat="false" ht="17.15" hidden="false" customHeight="false" outlineLevel="0" collapsed="false">
      <c r="A872" s="4" t="s">
        <v>564</v>
      </c>
      <c r="B872" s="0" t="s">
        <v>234</v>
      </c>
      <c r="C872" s="30" t="n">
        <f aca="false">a25_elim</f>
        <v>-2.91899999999998</v>
      </c>
      <c r="D872" s="30" t="n">
        <f aca="false">a26_elim</f>
        <v>-3.16484905982349</v>
      </c>
      <c r="E872" s="30" t="n">
        <f aca="false">$D872/($D870+$D871)*(E870+E871)</f>
        <v>-4.05696293213379</v>
      </c>
      <c r="F872" s="30" t="n">
        <f aca="false">$D872/($D870+$D871)*(F870+F871)</f>
        <v>-4.60195271345129</v>
      </c>
      <c r="G872" s="30" t="n">
        <f aca="false">$D872/($D870+$D871)*(G870+G871)</f>
        <v>-5.26181874992436</v>
      </c>
      <c r="K872" s="4" t="s">
        <v>565</v>
      </c>
    </row>
    <row r="873" customFormat="false" ht="17.15" hidden="false" customHeight="false" outlineLevel="0" collapsed="false">
      <c r="A873" s="4" t="s">
        <v>431</v>
      </c>
      <c r="B873" s="0" t="s">
        <v>234</v>
      </c>
      <c r="C873" s="30" t="n">
        <f aca="false">C870+C871+C872</f>
        <v>645.388</v>
      </c>
      <c r="D873" s="30" t="n">
        <f aca="false">D870+D871+D872</f>
        <v>871.167350940177</v>
      </c>
      <c r="E873" s="30" t="n">
        <f aca="false">E870+E871+E872</f>
        <v>1116.73371577683</v>
      </c>
      <c r="F873" s="30" t="n">
        <f aca="false">F870+F871+F872</f>
        <v>1266.74949697377</v>
      </c>
      <c r="G873" s="30" t="n">
        <f aca="false">G870+G871+G872</f>
        <v>1448.38651539186</v>
      </c>
      <c r="H873" s="31" t="n">
        <f aca="false">G873*(1+H874)</f>
        <v>1615.80866982551</v>
      </c>
      <c r="I873" s="31" t="n">
        <f aca="false">H873*(1+I874)</f>
        <v>1757.67035302176</v>
      </c>
      <c r="J873" s="31" t="n">
        <f aca="false">I873*(1+J874)</f>
        <v>1863.13057420306</v>
      </c>
      <c r="K873" s="8" t="s">
        <v>566</v>
      </c>
    </row>
    <row r="874" customFormat="false" ht="15" hidden="false" customHeight="false" outlineLevel="0" collapsed="false">
      <c r="A874" s="4" t="s">
        <v>567</v>
      </c>
      <c r="B874" s="0" t="s">
        <v>76</v>
      </c>
      <c r="D874" s="21" t="n">
        <f aca="false">D873/C873-1</f>
        <v>0.349835061916516</v>
      </c>
      <c r="E874" s="21" t="n">
        <f aca="false">E873/D873-1</f>
        <v>0.281881965126026</v>
      </c>
      <c r="F874" s="21" t="n">
        <f aca="false">F873/E873-1</f>
        <v>0.134334424650723</v>
      </c>
      <c r="G874" s="21" t="n">
        <f aca="false">G873/F873-1</f>
        <v>0.143388269623961</v>
      </c>
      <c r="H874" s="26" t="n">
        <f aca="false">$G874+(fade_gA-$G874)*1/3</f>
        <v>0.115592179749307</v>
      </c>
      <c r="I874" s="26" t="n">
        <f aca="false">$G874+(fade_gA-$G874)*2/3</f>
        <v>0.0877960898746537</v>
      </c>
      <c r="J874" s="26" t="n">
        <f aca="false">$G874+(fade_gA-$G874)*3/3</f>
        <v>0.06</v>
      </c>
    </row>
    <row r="875" customFormat="false" ht="17.15" hidden="false" customHeight="false" outlineLevel="0" collapsed="false">
      <c r="A875" s="0" t="s">
        <v>475</v>
      </c>
      <c r="B875" s="0" t="s">
        <v>76</v>
      </c>
      <c r="C875" s="21" t="n">
        <f aca="false">C868/C870</f>
        <v>0.127431736668482</v>
      </c>
      <c r="D875" s="21" t="n">
        <f aca="false">D868/D870</f>
        <v>0.227966974088588</v>
      </c>
      <c r="E875" s="21" t="n">
        <f aca="false">E868/E870</f>
        <v>0.35854980982739</v>
      </c>
      <c r="F875" s="21" t="n">
        <f aca="false">F868/F870</f>
        <v>0.414378493395098</v>
      </c>
      <c r="G875" s="21" t="n">
        <f aca="false">G868/G870</f>
        <v>0.469312644667082</v>
      </c>
    </row>
    <row r="876" customFormat="false" ht="15" hidden="false" customHeight="false" outlineLevel="0" collapsed="false">
      <c r="A876" s="4" t="s">
        <v>568</v>
      </c>
      <c r="B876" s="0" t="s">
        <v>76</v>
      </c>
      <c r="D876" s="21" t="n">
        <f aca="false">D870/C870-1</f>
        <v>0.438052247012034</v>
      </c>
      <c r="E876" s="21" t="n">
        <f aca="false">E870/D870-1</f>
        <v>0.384110556673485</v>
      </c>
      <c r="F876" s="21" t="n">
        <f aca="false">F870/E870-1</f>
        <v>0.172005631186203</v>
      </c>
      <c r="G876" s="21" t="n">
        <f aca="false">G870/F870-1</f>
        <v>0.180761150176921</v>
      </c>
    </row>
    <row r="877" customFormat="false" ht="17.15" hidden="false" customHeight="false" outlineLevel="0" collapsed="false">
      <c r="A877" s="6" t="s">
        <v>569</v>
      </c>
    </row>
    <row r="878" customFormat="false" ht="17.15" hidden="false" customHeight="false" outlineLevel="0" collapsed="false">
      <c r="A878" s="4" t="s">
        <v>570</v>
      </c>
      <c r="B878" s="0" t="s">
        <v>120</v>
      </c>
      <c r="C878" s="19" t="n">
        <f aca="false">capex25</f>
        <v>5.5</v>
      </c>
      <c r="D878" s="19" t="n">
        <f aca="false">capex26</f>
        <v>11.5</v>
      </c>
      <c r="E878" s="19" t="n">
        <f aca="false">capex27</f>
        <v>13</v>
      </c>
      <c r="F878" s="19" t="n">
        <f aca="false">capi*F873/F866</f>
        <v>11.8757765341291</v>
      </c>
      <c r="G878" s="19" t="n">
        <f aca="false">capi*G873/G866</f>
        <v>13.5786235817987</v>
      </c>
      <c r="K878" s="8" t="s">
        <v>571</v>
      </c>
    </row>
    <row r="879" customFormat="false" ht="15" hidden="false" customHeight="false" outlineLevel="0" collapsed="false">
      <c r="A879" s="4" t="s">
        <v>572</v>
      </c>
      <c r="B879" s="0" t="s">
        <v>234</v>
      </c>
      <c r="C879" s="30" t="n">
        <f aca="false">C878*C866</f>
        <v>170.5</v>
      </c>
      <c r="D879" s="30" t="n">
        <f aca="false">D878*31.9</f>
        <v>366.85</v>
      </c>
      <c r="E879" s="30" t="n">
        <f aca="false">E878*E866</f>
        <v>416</v>
      </c>
      <c r="F879" s="30" t="n">
        <f aca="false">F878*F866</f>
        <v>380.024849092132</v>
      </c>
      <c r="G879" s="30" t="n">
        <f aca="false">G878*G866</f>
        <v>434.515954617559</v>
      </c>
    </row>
    <row r="880" customFormat="false" ht="17.15" hidden="false" customHeight="false" outlineLevel="0" collapsed="false">
      <c r="A880" s="4" t="s">
        <v>473</v>
      </c>
      <c r="B880" s="0" t="s">
        <v>76</v>
      </c>
      <c r="C880" s="21" t="n">
        <f aca="false">C879/C873</f>
        <v>0.264182166386732</v>
      </c>
      <c r="D880" s="21" t="n">
        <f aca="false">D879/D873</f>
        <v>0.421101639775745</v>
      </c>
      <c r="E880" s="21" t="n">
        <f aca="false">E879/E873</f>
        <v>0.372514946153139</v>
      </c>
      <c r="F880" s="21" t="n">
        <f aca="false">F879/F873</f>
        <v>0.3</v>
      </c>
      <c r="G880" s="21" t="n">
        <f aca="false">G879/G873</f>
        <v>0.3</v>
      </c>
    </row>
    <row r="881" customFormat="false" ht="17.15" hidden="false" customHeight="false" outlineLevel="0" collapsed="false">
      <c r="A881" s="4" t="s">
        <v>573</v>
      </c>
      <c r="B881" s="0" t="s">
        <v>234</v>
      </c>
      <c r="C881" s="30" t="n">
        <f aca="false">a25_da</f>
        <v>75.255</v>
      </c>
      <c r="D881" s="30" t="n">
        <f aca="false">a26_da</f>
        <v>97.124</v>
      </c>
      <c r="E881" s="30" t="n">
        <f aca="false">D881*(1-1/life)+D879/life</f>
        <v>130.83975</v>
      </c>
      <c r="F881" s="30" t="n">
        <f aca="false">E881*(1-1/life)+E879/life</f>
        <v>166.48478125</v>
      </c>
      <c r="G881" s="30" t="n">
        <f aca="false">F881*(1-1/life)+F879/life</f>
        <v>193.177289730266</v>
      </c>
      <c r="K881" s="4" t="s">
        <v>574</v>
      </c>
    </row>
    <row r="882" customFormat="false" ht="17.15" hidden="false" customHeight="false" outlineLevel="0" collapsed="false">
      <c r="A882" s="4" t="s">
        <v>575</v>
      </c>
      <c r="B882" s="0" t="s">
        <v>234</v>
      </c>
      <c r="C882" s="30" t="n">
        <f aca="false">a25_agp</f>
        <v>91.38</v>
      </c>
      <c r="D882" s="30" t="n">
        <f aca="false">a26_agp</f>
        <v>164.623388</v>
      </c>
      <c r="E882" s="30" t="n">
        <f aca="false">$D882+ft*(E870-$D870)-(E881-$D881)</f>
        <v>238.406777354481</v>
      </c>
      <c r="F882" s="30" t="n">
        <f aca="false">$D882+ft*(F870-$D870)-(F881-$D881)</f>
        <v>269.390576593612</v>
      </c>
      <c r="G882" s="30" t="n">
        <f aca="false">$D882+ft*(G870-$D870)-(G881-$D881)</f>
        <v>324.762377590628</v>
      </c>
      <c r="K882" s="4" t="s">
        <v>576</v>
      </c>
    </row>
    <row r="883" customFormat="false" ht="15" hidden="false" customHeight="false" outlineLevel="0" collapsed="false">
      <c r="A883" s="4" t="s">
        <v>447</v>
      </c>
      <c r="B883" s="0" t="s">
        <v>76</v>
      </c>
      <c r="C883" s="14" t="n">
        <f aca="false">C882/C870</f>
        <v>0.234772421305764</v>
      </c>
      <c r="D883" s="14" t="n">
        <f aca="false">D882/D870</f>
        <v>0.294112034690999</v>
      </c>
      <c r="E883" s="14" t="n">
        <f aca="false">E882/E870</f>
        <v>0.307729461232368</v>
      </c>
      <c r="F883" s="14" t="n">
        <f aca="false">F882/F870</f>
        <v>0.296690185916725</v>
      </c>
      <c r="G883" s="14" t="n">
        <f aca="false">G882/G870</f>
        <v>0.302917551477469</v>
      </c>
    </row>
    <row r="884" customFormat="false" ht="17.15" hidden="false" customHeight="false" outlineLevel="0" collapsed="false">
      <c r="A884" s="0" t="s">
        <v>449</v>
      </c>
      <c r="B884" s="0" t="s">
        <v>234</v>
      </c>
      <c r="C884" s="30" t="n">
        <f aca="false">a25_egp</f>
        <v>23.695</v>
      </c>
      <c r="D884" s="30" t="n">
        <f aca="false">a26_egp</f>
        <v>27.00552</v>
      </c>
      <c r="E884" s="30" t="n">
        <f aca="false">E871*ems_gm</f>
        <v>29.415287</v>
      </c>
      <c r="F884" s="30" t="n">
        <f aca="false">F871*ems_gm</f>
        <v>30.88605135</v>
      </c>
      <c r="G884" s="30" t="n">
        <f aca="false">G871*ems_gm</f>
        <v>32.4303539175</v>
      </c>
    </row>
    <row r="885" customFormat="false" ht="15" hidden="false" customHeight="false" outlineLevel="0" collapsed="false">
      <c r="A885" s="4" t="s">
        <v>577</v>
      </c>
      <c r="B885" s="0" t="s">
        <v>234</v>
      </c>
      <c r="C885" s="30" t="n">
        <f aca="false">a25_lgp</f>
        <v>-0.881999999999998</v>
      </c>
      <c r="D885" s="30" t="n">
        <f aca="false">a26_lgp</f>
        <v>-0.948662139013863</v>
      </c>
      <c r="E885" s="30" t="n">
        <f aca="false">$D885/$D872*E872</f>
        <v>-1.21607288699975</v>
      </c>
      <c r="F885" s="30" t="n">
        <f aca="false">$D885/$D872*F872</f>
        <v>-1.3794333386082</v>
      </c>
      <c r="G885" s="30" t="n">
        <f aca="false">$D885/$D872*G872</f>
        <v>-1.57722789809284</v>
      </c>
    </row>
    <row r="886" customFormat="false" ht="15" hidden="false" customHeight="false" outlineLevel="0" collapsed="false">
      <c r="A886" s="4" t="s">
        <v>451</v>
      </c>
      <c r="B886" s="0" t="s">
        <v>234</v>
      </c>
      <c r="C886" s="30" t="n">
        <f aca="false">C882+C884+C885</f>
        <v>114.193</v>
      </c>
      <c r="D886" s="30" t="n">
        <f aca="false">D882+D884+D885</f>
        <v>190.680245860986</v>
      </c>
      <c r="E886" s="30" t="n">
        <f aca="false">E882+E884+E885</f>
        <v>266.605991467481</v>
      </c>
      <c r="F886" s="30" t="n">
        <f aca="false">F882+F884+F885</f>
        <v>298.897194605003</v>
      </c>
      <c r="G886" s="30" t="n">
        <f aca="false">G882+G884+G885</f>
        <v>355.615503610035</v>
      </c>
    </row>
    <row r="887" customFormat="false" ht="15" hidden="false" customHeight="false" outlineLevel="0" collapsed="false">
      <c r="A887" s="4" t="s">
        <v>452</v>
      </c>
      <c r="B887" s="0" t="s">
        <v>76</v>
      </c>
      <c r="C887" s="14" t="n">
        <f aca="false">C886/C873</f>
        <v>0.176936974347214</v>
      </c>
      <c r="D887" s="14" t="n">
        <f aca="false">D886/D873</f>
        <v>0.218879008327391</v>
      </c>
      <c r="E887" s="14" t="n">
        <f aca="false">E886/E873</f>
        <v>0.238737299412531</v>
      </c>
      <c r="F887" s="14" t="n">
        <f aca="false">F886/F873</f>
        <v>0.235956039705609</v>
      </c>
      <c r="G887" s="14" t="n">
        <f aca="false">G886/G873</f>
        <v>0.245525279219976</v>
      </c>
    </row>
    <row r="888" customFormat="false" ht="15" hidden="false" customHeight="false" outlineLevel="0" collapsed="false">
      <c r="A888" s="4" t="s">
        <v>578</v>
      </c>
      <c r="B888" s="0" t="s">
        <v>234</v>
      </c>
      <c r="C888" s="30" t="n">
        <f aca="false">a25_opx</f>
        <v>63.437</v>
      </c>
      <c r="D888" s="30" t="n">
        <f aca="false">a26_opx</f>
        <v>79.658</v>
      </c>
      <c r="E888" s="30" t="n">
        <f aca="false">D888*(1+phi*E874)</f>
        <v>93.1304921468054</v>
      </c>
      <c r="F888" s="30" t="n">
        <f aca="false">E888*(1+phi*F874)</f>
        <v>100.636870794793</v>
      </c>
      <c r="G888" s="30" t="n">
        <f aca="false">F888*(1+phi*G874)</f>
        <v>109.294958852975</v>
      </c>
    </row>
    <row r="889" customFormat="false" ht="15" hidden="false" customHeight="false" outlineLevel="0" collapsed="false">
      <c r="A889" s="4" t="s">
        <v>455</v>
      </c>
      <c r="B889" s="0" t="s">
        <v>234</v>
      </c>
      <c r="C889" s="30" t="n">
        <f aca="false">C886-C888</f>
        <v>50.756</v>
      </c>
      <c r="D889" s="30" t="n">
        <f aca="false">D886-D888</f>
        <v>111.022245860986</v>
      </c>
      <c r="E889" s="30" t="n">
        <f aca="false">E886-E888</f>
        <v>173.475499320676</v>
      </c>
      <c r="F889" s="30" t="n">
        <f aca="false">F886-F888</f>
        <v>198.26032381021</v>
      </c>
      <c r="G889" s="30" t="n">
        <f aca="false">G886-G888</f>
        <v>246.32054475706</v>
      </c>
    </row>
    <row r="890" customFormat="false" ht="15" hidden="false" customHeight="false" outlineLevel="0" collapsed="false">
      <c r="A890" s="4" t="s">
        <v>537</v>
      </c>
      <c r="B890" s="0" t="s">
        <v>76</v>
      </c>
      <c r="C890" s="14" t="n">
        <f aca="false">C889/C873</f>
        <v>0.0786441644406156</v>
      </c>
      <c r="D890" s="14" t="n">
        <f aca="false">D889/D873</f>
        <v>0.127440779020437</v>
      </c>
      <c r="E890" s="14" t="n">
        <f aca="false">E889/E873</f>
        <v>0.155341866077717</v>
      </c>
      <c r="F890" s="14" t="n">
        <f aca="false">F889/F873</f>
        <v>0.15651107364467</v>
      </c>
      <c r="G890" s="14" t="n">
        <f aca="false">G889/G873</f>
        <v>0.170065477784718</v>
      </c>
    </row>
    <row r="891" customFormat="false" ht="15" hidden="false" customHeight="false" outlineLevel="0" collapsed="false">
      <c r="A891" s="4" t="s">
        <v>456</v>
      </c>
      <c r="B891" s="0" t="s">
        <v>234</v>
      </c>
      <c r="C891" s="30" t="n">
        <f aca="false">a25_nonop</f>
        <v>0.545</v>
      </c>
      <c r="D891" s="30" t="n">
        <f aca="false">a26_nonop</f>
        <v>4.302</v>
      </c>
      <c r="E891" s="30" t="n">
        <f aca="false">nonop_f</f>
        <v>-5</v>
      </c>
      <c r="F891" s="30" t="n">
        <f aca="false">nonop_f</f>
        <v>-5</v>
      </c>
      <c r="G891" s="30" t="n">
        <f aca="false">nonop_f</f>
        <v>-5</v>
      </c>
    </row>
    <row r="892" customFormat="false" ht="15" hidden="false" customHeight="false" outlineLevel="0" collapsed="false">
      <c r="A892" s="4" t="s">
        <v>459</v>
      </c>
      <c r="B892" s="0" t="s">
        <v>234</v>
      </c>
      <c r="C892" s="30" t="n">
        <f aca="false">C889+C891</f>
        <v>51.301</v>
      </c>
      <c r="D892" s="30" t="n">
        <f aca="false">D889+D891</f>
        <v>115.324245860986</v>
      </c>
      <c r="E892" s="30" t="n">
        <f aca="false">E889+E891</f>
        <v>168.475499320676</v>
      </c>
      <c r="F892" s="30" t="n">
        <f aca="false">F889+F891</f>
        <v>193.26032381021</v>
      </c>
      <c r="G892" s="30" t="n">
        <f aca="false">G889+G891</f>
        <v>241.32054475706</v>
      </c>
    </row>
    <row r="893" customFormat="false" ht="15" hidden="false" customHeight="false" outlineLevel="0" collapsed="false">
      <c r="A893" s="4" t="s">
        <v>460</v>
      </c>
      <c r="B893" s="0" t="s">
        <v>234</v>
      </c>
      <c r="C893" s="30" t="n">
        <f aca="false">a25_tax</f>
        <v>9.461</v>
      </c>
      <c r="D893" s="30" t="n">
        <f aca="false">a26_tax</f>
        <v>19.2197317963676</v>
      </c>
      <c r="E893" s="30" t="n">
        <f aca="false">E892*tax</f>
        <v>28.6408348845149</v>
      </c>
      <c r="F893" s="30" t="n">
        <f aca="false">F892*tax</f>
        <v>32.8542550477357</v>
      </c>
      <c r="G893" s="30" t="n">
        <f aca="false">G892*tax</f>
        <v>41.0244926087002</v>
      </c>
    </row>
    <row r="894" customFormat="false" ht="15" hidden="false" customHeight="false" outlineLevel="0" collapsed="false">
      <c r="A894" s="4" t="s">
        <v>461</v>
      </c>
      <c r="B894" s="0" t="s">
        <v>234</v>
      </c>
      <c r="C894" s="30" t="n">
        <f aca="false">a25_nci</f>
        <v>1.182</v>
      </c>
      <c r="D894" s="30" t="n">
        <f aca="false">a26_nci</f>
        <v>2.543</v>
      </c>
      <c r="E894" s="30" t="n">
        <f aca="false">nci</f>
        <v>3</v>
      </c>
      <c r="F894" s="30" t="n">
        <f aca="false">nci</f>
        <v>3</v>
      </c>
      <c r="G894" s="30" t="n">
        <f aca="false">nci</f>
        <v>3</v>
      </c>
    </row>
    <row r="895" customFormat="false" ht="15" hidden="false" customHeight="false" outlineLevel="0" collapsed="false">
      <c r="A895" s="4" t="s">
        <v>462</v>
      </c>
      <c r="B895" s="0" t="s">
        <v>234</v>
      </c>
      <c r="C895" s="30" t="n">
        <f aca="false">C892-C893-C894</f>
        <v>40.658</v>
      </c>
      <c r="D895" s="30" t="n">
        <f aca="false">D892-D893-D894</f>
        <v>93.5615140646185</v>
      </c>
      <c r="E895" s="30" t="n">
        <f aca="false">E892-E893-E894</f>
        <v>136.834664436161</v>
      </c>
      <c r="F895" s="30" t="n">
        <f aca="false">F892-F893-F894</f>
        <v>157.406068762474</v>
      </c>
      <c r="G895" s="30" t="n">
        <f aca="false">G892-G893-G894</f>
        <v>197.29605214836</v>
      </c>
      <c r="H895" s="31" t="n">
        <f aca="false">H873*H899</f>
        <v>217.725625456853</v>
      </c>
      <c r="I895" s="31" t="n">
        <f aca="false">I873*I899</f>
        <v>234.256146122808</v>
      </c>
      <c r="J895" s="31" t="n">
        <f aca="false">J873*J899</f>
        <v>245.571480700627</v>
      </c>
    </row>
    <row r="896" customFormat="false" ht="15" hidden="false" customHeight="false" outlineLevel="0" collapsed="false">
      <c r="A896" s="4" t="s">
        <v>579</v>
      </c>
      <c r="B896" s="4" t="s">
        <v>580</v>
      </c>
      <c r="C896" s="18" t="n">
        <f aca="false">a25_sh</f>
        <v>4339.16755602988</v>
      </c>
      <c r="D896" s="18" t="n">
        <f aca="false">a26_sh</f>
        <v>4392.90105184664</v>
      </c>
      <c r="E896" s="18" t="n">
        <f aca="false">D896*(1+sh_g)</f>
        <v>4414.86555710588</v>
      </c>
      <c r="F896" s="18" t="n">
        <f aca="false">E896*(1+sh_g)</f>
        <v>4436.9398848914</v>
      </c>
      <c r="G896" s="18" t="n">
        <f aca="false">F896*(1+sh_g)</f>
        <v>4459.12458431586</v>
      </c>
      <c r="H896" s="25" t="n">
        <f aca="false">G896*(1+sh_g)</f>
        <v>4481.42020723744</v>
      </c>
      <c r="I896" s="25" t="n">
        <f aca="false">H896*(1+sh_g)</f>
        <v>4503.82730827363</v>
      </c>
      <c r="J896" s="25" t="n">
        <f aca="false">I896*(1+sh_g)</f>
        <v>4526.34644481499</v>
      </c>
    </row>
    <row r="897" customFormat="false" ht="17.15" hidden="false" customHeight="false" outlineLevel="0" collapsed="false">
      <c r="A897" s="0" t="s">
        <v>465</v>
      </c>
      <c r="B897" s="0" t="s">
        <v>304</v>
      </c>
      <c r="C897" s="19" t="n">
        <f aca="false">a25_eps</f>
        <v>9.37</v>
      </c>
      <c r="D897" s="19" t="n">
        <f aca="false">a26_eps</f>
        <v>21.2828697294455</v>
      </c>
      <c r="E897" s="19" t="n">
        <f aca="false">E895/E896*1000</f>
        <v>30.9940727902621</v>
      </c>
      <c r="F897" s="19" t="n">
        <f aca="false">F895/F896*1000</f>
        <v>35.4762680690065</v>
      </c>
      <c r="G897" s="19" t="n">
        <f aca="false">G895/G896*1000</f>
        <v>44.245467561573</v>
      </c>
      <c r="H897" s="28" t="n">
        <f aca="false">H895/H896*1000</f>
        <v>48.5840683061206</v>
      </c>
      <c r="I897" s="28" t="n">
        <f aca="false">I895/I896*1000</f>
        <v>52.0126838994192</v>
      </c>
      <c r="J897" s="28" t="n">
        <f aca="false">J895/J896*1000</f>
        <v>54.2537968965971</v>
      </c>
    </row>
    <row r="898" customFormat="false" ht="17.15" hidden="false" customHeight="false" outlineLevel="0" collapsed="false">
      <c r="A898" s="0" t="s">
        <v>581</v>
      </c>
      <c r="B898" s="0" t="s">
        <v>76</v>
      </c>
      <c r="D898" s="21" t="n">
        <f aca="false">D897/C897-1</f>
        <v>1.27138417603474</v>
      </c>
      <c r="E898" s="21" t="n">
        <f aca="false">E897/D897-1</f>
        <v>0.456291993714591</v>
      </c>
      <c r="F898" s="21" t="n">
        <f aca="false">F897/E897-1</f>
        <v>0.144614594831584</v>
      </c>
      <c r="G898" s="21" t="n">
        <f aca="false">G897/F897-1</f>
        <v>0.247184948414221</v>
      </c>
      <c r="H898" s="26" t="n">
        <f aca="false">H897/G897-1</f>
        <v>0.0980575182872676</v>
      </c>
      <c r="I898" s="26" t="n">
        <f aca="false">I897/H897-1</f>
        <v>0.0705707799457109</v>
      </c>
      <c r="J898" s="26" t="n">
        <f aca="false">J897/I897-1</f>
        <v>0.0430878168392861</v>
      </c>
    </row>
    <row r="899" customFormat="false" ht="17.15" hidden="false" customHeight="false" outlineLevel="0" collapsed="false">
      <c r="A899" s="4" t="s">
        <v>582</v>
      </c>
      <c r="B899" s="0" t="s">
        <v>76</v>
      </c>
      <c r="C899" s="14" t="n">
        <f aca="false">C895/C873</f>
        <v>0.0629977625862272</v>
      </c>
      <c r="D899" s="14" t="n">
        <f aca="false">D895/D873</f>
        <v>0.107397865592237</v>
      </c>
      <c r="E899" s="14" t="n">
        <f aca="false">E895/E873</f>
        <v>0.122531148207498</v>
      </c>
      <c r="F899" s="14" t="n">
        <f aca="false">F895/F873</f>
        <v>0.124259823381429</v>
      </c>
      <c r="G899" s="14" t="n">
        <f aca="false">G895/G873</f>
        <v>0.136217818967323</v>
      </c>
      <c r="H899" s="27" t="n">
        <f aca="false">$G899+(fade_mA-$G899)*1/3</f>
        <v>0.134747157582936</v>
      </c>
      <c r="I899" s="27" t="n">
        <f aca="false">$G899+(fade_mA-$G899)*2/3</f>
        <v>0.13327649619855</v>
      </c>
      <c r="J899" s="27" t="n">
        <f aca="false">$G899+(fade_mA-$G899)*3/3</f>
        <v>0.131805834814164</v>
      </c>
    </row>
    <row r="900" customFormat="false" ht="17.15" hidden="false" customHeight="false" outlineLevel="0" collapsed="false">
      <c r="A900" s="4" t="s">
        <v>583</v>
      </c>
      <c r="B900" s="0" t="s">
        <v>234</v>
      </c>
      <c r="C900" s="30" t="n">
        <f aca="false">C895+C881-C879</f>
        <v>-54.587</v>
      </c>
      <c r="D900" s="30" t="n">
        <f aca="false">D895+D881-D879</f>
        <v>-176.164485935382</v>
      </c>
      <c r="E900" s="30" t="n">
        <f aca="false">E895+E881-E879</f>
        <v>-148.325585563839</v>
      </c>
      <c r="F900" s="30" t="n">
        <f aca="false">F895+F881-F879</f>
        <v>-56.1339990796572</v>
      </c>
      <c r="G900" s="30" t="n">
        <f aca="false">G895+G881-G879</f>
        <v>-44.0426127389328</v>
      </c>
      <c r="K900" s="4" t="s">
        <v>584</v>
      </c>
    </row>
    <row r="901" customFormat="false" ht="17.15" hidden="false" customHeight="false" outlineLevel="0" collapsed="false">
      <c r="A901" s="4" t="s">
        <v>585</v>
      </c>
      <c r="B901" s="0" t="s">
        <v>76</v>
      </c>
      <c r="D901" s="21" t="n">
        <f aca="false">(D889-$C889)/SUM($D879:D879)</f>
        <v>0.164280348537512</v>
      </c>
      <c r="E901" s="21" t="n">
        <f aca="false">(E889-$C889)/SUM($D879:E879)</f>
        <v>0.156759914824903</v>
      </c>
      <c r="F901" s="21" t="n">
        <f aca="false">(F889-$C889)/SUM($D879:F879)</f>
        <v>0.126844538709706</v>
      </c>
      <c r="G901" s="21" t="n">
        <f aca="false">(G889-$C889)/SUM($D879:G879)</f>
        <v>0.122427488816695</v>
      </c>
      <c r="K901" s="4" t="s">
        <v>586</v>
      </c>
    </row>
    <row r="904" customFormat="false" ht="17.15" hidden="false" customHeight="false" outlineLevel="0" collapsed="false">
      <c r="A904" s="1" t="s">
        <v>932</v>
      </c>
    </row>
    <row r="905" customFormat="false" ht="17.15" hidden="false" customHeight="false" outlineLevel="0" collapsed="false">
      <c r="A905" s="5" t="s">
        <v>21</v>
      </c>
      <c r="B905" s="5" t="s">
        <v>22</v>
      </c>
      <c r="C905" s="15" t="s">
        <v>424</v>
      </c>
      <c r="D905" s="15" t="s">
        <v>524</v>
      </c>
      <c r="E905" s="15" t="s">
        <v>525</v>
      </c>
      <c r="F905" s="15" t="s">
        <v>526</v>
      </c>
      <c r="G905" s="15" t="s">
        <v>527</v>
      </c>
      <c r="H905" s="15" t="s">
        <v>528</v>
      </c>
      <c r="I905" s="15" t="s">
        <v>529</v>
      </c>
      <c r="J905" s="15" t="s">
        <v>530</v>
      </c>
      <c r="K905" s="5" t="s">
        <v>382</v>
      </c>
    </row>
    <row r="906" customFormat="false" ht="17.15" hidden="false" customHeight="false" outlineLevel="0" collapsed="false">
      <c r="A906" s="6" t="s">
        <v>548</v>
      </c>
    </row>
    <row r="907" customFormat="false" ht="17.15" hidden="false" customHeight="false" outlineLevel="0" collapsed="false">
      <c r="A907" s="0" t="s">
        <v>549</v>
      </c>
      <c r="B907" s="4" t="s">
        <v>32</v>
      </c>
      <c r="D907" s="19" t="n">
        <f aca="false">units_26</f>
        <v>15.2</v>
      </c>
      <c r="E907" s="19" t="n">
        <f aca="false">units_27*1</f>
        <v>23.7</v>
      </c>
      <c r="F907" s="19" t="n">
        <f aca="false">units_28*um28_B*1</f>
        <v>21.2</v>
      </c>
      <c r="G907" s="19" t="n">
        <f aca="false">units_29*um29_B*1</f>
        <v>25.6275</v>
      </c>
    </row>
    <row r="908" customFormat="false" ht="17.15" hidden="false" customHeight="false" outlineLevel="0" collapsed="false">
      <c r="A908" s="4" t="s">
        <v>497</v>
      </c>
      <c r="B908" s="0" t="s">
        <v>45</v>
      </c>
      <c r="D908" s="22" t="n">
        <f aca="false">ar_26</f>
        <v>1</v>
      </c>
      <c r="E908" s="22" t="n">
        <f aca="false">ar_27</f>
        <v>1.278156</v>
      </c>
      <c r="F908" s="22" t="n">
        <f aca="false">ar_28</f>
        <v>1.428615</v>
      </c>
      <c r="G908" s="22" t="n">
        <f aca="false">ar_29</f>
        <v>1.431796</v>
      </c>
    </row>
    <row r="909" customFormat="false" ht="17.15" hidden="false" customHeight="false" outlineLevel="0" collapsed="false">
      <c r="A909" s="4" t="s">
        <v>550</v>
      </c>
      <c r="B909" s="0" t="s">
        <v>45</v>
      </c>
      <c r="D909" s="19" t="n">
        <f aca="false">1</f>
        <v>1</v>
      </c>
      <c r="E909" s="19" t="n">
        <f aca="false">rel27_B</f>
        <v>1.05</v>
      </c>
      <c r="F909" s="19" t="n">
        <f aca="false">rel28_B</f>
        <v>1.08</v>
      </c>
      <c r="G909" s="19" t="n">
        <f aca="false">rel29_B</f>
        <v>1.1</v>
      </c>
    </row>
    <row r="910" customFormat="false" ht="17.15" hidden="false" customHeight="false" outlineLevel="0" collapsed="false">
      <c r="A910" s="4" t="s">
        <v>551</v>
      </c>
      <c r="B910" s="0" t="s">
        <v>502</v>
      </c>
      <c r="D910" s="23" t="n">
        <f aca="false">D911*1000/D907</f>
        <v>236.842105263158</v>
      </c>
      <c r="E910" s="23" t="n">
        <f aca="false">$D910*E908^el</f>
        <v>267.763172119488</v>
      </c>
      <c r="F910" s="23" t="n">
        <f aca="false">$D910*F908^el</f>
        <v>283.084777049615</v>
      </c>
      <c r="G910" s="23" t="n">
        <f aca="false">$D910*G908^el</f>
        <v>283.399764630809</v>
      </c>
      <c r="K910" s="8" t="s">
        <v>552</v>
      </c>
    </row>
    <row r="911" customFormat="false" ht="17.15" hidden="false" customHeight="false" outlineLevel="0" collapsed="false">
      <c r="A911" s="0" t="s">
        <v>553</v>
      </c>
      <c r="B911" s="0" t="s">
        <v>120</v>
      </c>
      <c r="D911" s="22" t="n">
        <f aca="false">leap26-D912-D913</f>
        <v>3.6</v>
      </c>
      <c r="E911" s="22" t="n">
        <f aca="false">E907*E909*E910/1000</f>
        <v>6.66328653819345</v>
      </c>
      <c r="F911" s="22" t="n">
        <f aca="false">F907*F909*F910/1000</f>
        <v>6.48150905532798</v>
      </c>
      <c r="G911" s="22" t="n">
        <f aca="false">G907*G909*G910/1000</f>
        <v>7.98911021488366</v>
      </c>
      <c r="K911" s="8" t="s">
        <v>554</v>
      </c>
    </row>
    <row r="912" customFormat="false" ht="17.15" hidden="false" customHeight="false" outlineLevel="0" collapsed="false">
      <c r="A912" s="4" t="s">
        <v>555</v>
      </c>
      <c r="B912" s="0" t="s">
        <v>120</v>
      </c>
      <c r="D912" s="22" t="n">
        <f aca="false">fp26</f>
        <v>0.3</v>
      </c>
      <c r="E912" s="22" t="n">
        <f aca="false">fp27_B</f>
        <v>1</v>
      </c>
      <c r="F912" s="22" t="n">
        <f aca="false">E912*F907/E907*(1+fp_g_hi)</f>
        <v>1.34177215189873</v>
      </c>
      <c r="G912" s="22" t="n">
        <f aca="false">F912*G907/F907*(1+fp_g_hi)</f>
        <v>2.43299050632911</v>
      </c>
    </row>
    <row r="913" customFormat="false" ht="17.15" hidden="false" customHeight="false" outlineLevel="0" collapsed="false">
      <c r="A913" s="0" t="s">
        <v>556</v>
      </c>
      <c r="B913" s="0" t="s">
        <v>120</v>
      </c>
      <c r="D913" s="22" t="n">
        <f aca="false">cpo27*cpo_B_26/cpo_A_27</f>
        <v>0.1</v>
      </c>
      <c r="E913" s="22" t="n">
        <f aca="false">cpo27*cpo_B_27/cpo_A_27</f>
        <v>0.3</v>
      </c>
      <c r="F913" s="22" t="n">
        <f aca="false">cpo27*cpo_B_28/cpo_A_27*F907/E907</f>
        <v>0.447257383966245</v>
      </c>
      <c r="G913" s="22" t="n">
        <f aca="false">cpo27*cpo_B_29/cpo_A_27*G907/E907</f>
        <v>0.86506329113924</v>
      </c>
      <c r="K913" s="8" t="s">
        <v>557</v>
      </c>
    </row>
    <row r="914" customFormat="false" ht="17.15" hidden="false" customHeight="false" outlineLevel="0" collapsed="false">
      <c r="A914" s="0" t="s">
        <v>510</v>
      </c>
      <c r="B914" s="0" t="s">
        <v>120</v>
      </c>
      <c r="C914" s="22" t="n">
        <f aca="false">leap25</f>
        <v>1.6</v>
      </c>
      <c r="D914" s="22" t="n">
        <f aca="false">D911+D912+D913</f>
        <v>4</v>
      </c>
      <c r="E914" s="22" t="n">
        <f aca="false">E911+E912+E913</f>
        <v>7.96328653819345</v>
      </c>
      <c r="F914" s="22" t="n">
        <f aca="false">F911+F912+F913</f>
        <v>8.27053859119295</v>
      </c>
      <c r="G914" s="22" t="n">
        <f aca="false">G911+G912+G913</f>
        <v>11.287164012352</v>
      </c>
    </row>
    <row r="915" customFormat="false" ht="17.15" hidden="false" customHeight="false" outlineLevel="0" collapsed="false">
      <c r="A915" s="4" t="s">
        <v>558</v>
      </c>
      <c r="B915" s="0" t="s">
        <v>114</v>
      </c>
      <c r="C915" s="19" t="n">
        <f aca="false">fx25</f>
        <v>31</v>
      </c>
      <c r="D915" s="19" t="n">
        <f aca="false">a26_leap/D914</f>
        <v>31.9</v>
      </c>
      <c r="E915" s="19" t="n">
        <f aca="false">fx</f>
        <v>32</v>
      </c>
      <c r="F915" s="19" t="n">
        <f aca="false">fx</f>
        <v>32</v>
      </c>
      <c r="G915" s="19" t="n">
        <f aca="false">fx</f>
        <v>32</v>
      </c>
      <c r="K915" s="8" t="s">
        <v>559</v>
      </c>
    </row>
    <row r="916" customFormat="false" ht="17.15" hidden="false" customHeight="false" outlineLevel="0" collapsed="false">
      <c r="A916" s="6" t="s">
        <v>560</v>
      </c>
    </row>
    <row r="917" customFormat="false" ht="17.15" hidden="false" customHeight="false" outlineLevel="0" collapsed="false">
      <c r="A917" s="0" t="s">
        <v>438</v>
      </c>
      <c r="B917" s="0" t="s">
        <v>234</v>
      </c>
      <c r="C917" s="30" t="n">
        <f aca="false">a25_leap</f>
        <v>49.6</v>
      </c>
      <c r="D917" s="30" t="n">
        <f aca="false">a26_leap</f>
        <v>127.6</v>
      </c>
      <c r="E917" s="30" t="n">
        <f aca="false">E914*E915</f>
        <v>254.82516922219</v>
      </c>
      <c r="F917" s="30" t="n">
        <f aca="false">F914*F915</f>
        <v>264.657234918175</v>
      </c>
      <c r="G917" s="30" t="n">
        <f aca="false">G914*G915</f>
        <v>361.189248395264</v>
      </c>
    </row>
    <row r="918" customFormat="false" ht="15" hidden="false" customHeight="false" outlineLevel="0" collapsed="false">
      <c r="A918" s="4" t="s">
        <v>561</v>
      </c>
      <c r="B918" s="0" t="s">
        <v>234</v>
      </c>
      <c r="C918" s="30" t="n">
        <f aca="false">a25_ms</f>
        <v>339.628</v>
      </c>
      <c r="D918" s="30" t="n">
        <f aca="false">a26_ms</f>
        <v>432.1302</v>
      </c>
      <c r="E918" s="30" t="n">
        <f aca="false">D918*(1+g_ms27)</f>
        <v>496.94973</v>
      </c>
      <c r="F918" s="30" t="n">
        <f aca="false">E918*(1+g_msL)</f>
        <v>531.7362111</v>
      </c>
      <c r="G918" s="30" t="n">
        <f aca="false">F918*(1+g_msL)</f>
        <v>568.957745877</v>
      </c>
    </row>
    <row r="919" customFormat="false" ht="17.15" hidden="false" customHeight="false" outlineLevel="0" collapsed="false">
      <c r="A919" s="4" t="s">
        <v>562</v>
      </c>
      <c r="B919" s="0" t="s">
        <v>234</v>
      </c>
      <c r="C919" s="30" t="n">
        <f aca="false">C917+C918</f>
        <v>389.228</v>
      </c>
      <c r="D919" s="30" t="n">
        <f aca="false">D917+D918</f>
        <v>559.7302</v>
      </c>
      <c r="E919" s="30" t="n">
        <f aca="false">E917+E918</f>
        <v>751.77489922219</v>
      </c>
      <c r="F919" s="30" t="n">
        <f aca="false">F917+F918</f>
        <v>796.393446018175</v>
      </c>
      <c r="G919" s="30" t="n">
        <f aca="false">G917+G918</f>
        <v>930.146994272265</v>
      </c>
    </row>
    <row r="920" customFormat="false" ht="17.15" hidden="false" customHeight="false" outlineLevel="0" collapsed="false">
      <c r="A920" s="0" t="s">
        <v>563</v>
      </c>
      <c r="B920" s="0" t="s">
        <v>234</v>
      </c>
      <c r="C920" s="30" t="n">
        <f aca="false">a25_ems</f>
        <v>259.079</v>
      </c>
      <c r="D920" s="30" t="n">
        <f aca="false">a26_ems</f>
        <v>314.602</v>
      </c>
      <c r="E920" s="30" t="n">
        <f aca="false">D920*(1+g_ems27)</f>
        <v>346.0622</v>
      </c>
      <c r="F920" s="30" t="n">
        <f aca="false">E920*(1+g_emsL)</f>
        <v>363.36531</v>
      </c>
      <c r="G920" s="30" t="n">
        <f aca="false">F920*(1+g_emsL)</f>
        <v>381.5335755</v>
      </c>
    </row>
    <row r="921" customFormat="false" ht="17.15" hidden="false" customHeight="false" outlineLevel="0" collapsed="false">
      <c r="A921" s="4" t="s">
        <v>564</v>
      </c>
      <c r="B921" s="0" t="s">
        <v>234</v>
      </c>
      <c r="C921" s="30" t="n">
        <f aca="false">a25_elim</f>
        <v>-2.91899999999998</v>
      </c>
      <c r="D921" s="30" t="n">
        <f aca="false">a26_elim</f>
        <v>-3.16484905982349</v>
      </c>
      <c r="E921" s="30" t="n">
        <f aca="false">$D921/($D919+$D920)*(E919+E920)</f>
        <v>-3.97387710450638</v>
      </c>
      <c r="F921" s="30" t="n">
        <f aca="false">$D921/($D919+$D920)*(F919+F920)</f>
        <v>-4.19801696495471</v>
      </c>
      <c r="G921" s="30" t="n">
        <f aca="false">$D921/($D919+$D920)*(G919+G920)</f>
        <v>-4.74793335763282</v>
      </c>
      <c r="K921" s="4" t="s">
        <v>565</v>
      </c>
    </row>
    <row r="922" customFormat="false" ht="17.15" hidden="false" customHeight="false" outlineLevel="0" collapsed="false">
      <c r="A922" s="4" t="s">
        <v>431</v>
      </c>
      <c r="B922" s="0" t="s">
        <v>234</v>
      </c>
      <c r="C922" s="30" t="n">
        <f aca="false">C919+C920+C921</f>
        <v>645.388</v>
      </c>
      <c r="D922" s="30" t="n">
        <f aca="false">D919+D920+D921</f>
        <v>871.167350940177</v>
      </c>
      <c r="E922" s="30" t="n">
        <f aca="false">E919+E920+E921</f>
        <v>1093.86322211768</v>
      </c>
      <c r="F922" s="30" t="n">
        <f aca="false">F919+F920+F921</f>
        <v>1155.56073905322</v>
      </c>
      <c r="G922" s="30" t="n">
        <f aca="false">G919+G920+G921</f>
        <v>1306.93263641463</v>
      </c>
      <c r="H922" s="31" t="n">
        <f aca="false">G922*(1+H923)</f>
        <v>1438.49224267646</v>
      </c>
      <c r="I922" s="31" t="n">
        <f aca="false">H922*(1+I923)</f>
        <v>1539.66347524664</v>
      </c>
      <c r="J922" s="31" t="n">
        <f aca="false">I922*(1+J923)</f>
        <v>1601.2500142565</v>
      </c>
      <c r="K922" s="8" t="s">
        <v>566</v>
      </c>
    </row>
    <row r="923" customFormat="false" ht="15" hidden="false" customHeight="false" outlineLevel="0" collapsed="false">
      <c r="A923" s="4" t="s">
        <v>567</v>
      </c>
      <c r="B923" s="0" t="s">
        <v>76</v>
      </c>
      <c r="D923" s="21" t="n">
        <f aca="false">D922/C922-1</f>
        <v>0.349835061916516</v>
      </c>
      <c r="E923" s="21" t="n">
        <f aca="false">E922/D922-1</f>
        <v>0.255629266796065</v>
      </c>
      <c r="F923" s="21" t="n">
        <f aca="false">F922/E922-1</f>
        <v>0.056403319618052</v>
      </c>
      <c r="G923" s="21" t="n">
        <f aca="false">G922/F922-1</f>
        <v>0.130994323574401</v>
      </c>
      <c r="H923" s="26" t="n">
        <f aca="false">$G923+(fade_gB-$G923)*1/3</f>
        <v>0.100662882382934</v>
      </c>
      <c r="I923" s="26" t="n">
        <f aca="false">$G923+(fade_gB-$G923)*2/3</f>
        <v>0.0703314411914671</v>
      </c>
      <c r="J923" s="26" t="n">
        <f aca="false">$G923+(fade_gB-$G923)*3/3</f>
        <v>0.04</v>
      </c>
    </row>
    <row r="924" customFormat="false" ht="17.15" hidden="false" customHeight="false" outlineLevel="0" collapsed="false">
      <c r="A924" s="0" t="s">
        <v>475</v>
      </c>
      <c r="B924" s="0" t="s">
        <v>76</v>
      </c>
      <c r="C924" s="21" t="n">
        <f aca="false">C917/C919</f>
        <v>0.127431736668482</v>
      </c>
      <c r="D924" s="21" t="n">
        <f aca="false">D917/D919</f>
        <v>0.227966974088588</v>
      </c>
      <c r="E924" s="21" t="n">
        <f aca="false">E917/E919</f>
        <v>0.338964721335922</v>
      </c>
      <c r="F924" s="21" t="n">
        <f aca="false">F917/F919</f>
        <v>0.332319704841135</v>
      </c>
      <c r="G924" s="21" t="n">
        <f aca="false">G917/G919</f>
        <v>0.388314159610712</v>
      </c>
    </row>
    <row r="925" customFormat="false" ht="15" hidden="false" customHeight="false" outlineLevel="0" collapsed="false">
      <c r="A925" s="4" t="s">
        <v>568</v>
      </c>
      <c r="B925" s="0" t="s">
        <v>76</v>
      </c>
      <c r="D925" s="21" t="n">
        <f aca="false">D919/C919-1</f>
        <v>0.438052247012034</v>
      </c>
      <c r="E925" s="21" t="n">
        <f aca="false">E919/D919-1</f>
        <v>0.343102264666424</v>
      </c>
      <c r="F925" s="21" t="n">
        <f aca="false">F919/E919-1</f>
        <v>0.0593509398121008</v>
      </c>
      <c r="G925" s="21" t="n">
        <f aca="false">G919/F919-1</f>
        <v>0.167949082106129</v>
      </c>
    </row>
    <row r="926" customFormat="false" ht="17.15" hidden="false" customHeight="false" outlineLevel="0" collapsed="false">
      <c r="A926" s="6" t="s">
        <v>569</v>
      </c>
    </row>
    <row r="927" customFormat="false" ht="17.15" hidden="false" customHeight="false" outlineLevel="0" collapsed="false">
      <c r="A927" s="4" t="s">
        <v>570</v>
      </c>
      <c r="B927" s="0" t="s">
        <v>120</v>
      </c>
      <c r="C927" s="19" t="n">
        <f aca="false">capex25</f>
        <v>5.5</v>
      </c>
      <c r="D927" s="19" t="n">
        <f aca="false">capex26</f>
        <v>11.5</v>
      </c>
      <c r="E927" s="19" t="n">
        <f aca="false">capex27</f>
        <v>13</v>
      </c>
      <c r="F927" s="19" t="n">
        <f aca="false">capi*F922/F915</f>
        <v>10.8333819286239</v>
      </c>
      <c r="G927" s="19" t="n">
        <f aca="false">capi*G922/G915</f>
        <v>12.2524934663872</v>
      </c>
      <c r="K927" s="8" t="s">
        <v>571</v>
      </c>
    </row>
    <row r="928" customFormat="false" ht="15" hidden="false" customHeight="false" outlineLevel="0" collapsed="false">
      <c r="A928" s="4" t="s">
        <v>572</v>
      </c>
      <c r="B928" s="0" t="s">
        <v>234</v>
      </c>
      <c r="C928" s="30" t="n">
        <f aca="false">C927*C915</f>
        <v>170.5</v>
      </c>
      <c r="D928" s="30" t="n">
        <f aca="false">D927*31.9</f>
        <v>366.85</v>
      </c>
      <c r="E928" s="30" t="n">
        <f aca="false">E927*E915</f>
        <v>416</v>
      </c>
      <c r="F928" s="30" t="n">
        <f aca="false">F927*F915</f>
        <v>346.668221715966</v>
      </c>
      <c r="G928" s="30" t="n">
        <f aca="false">G927*G915</f>
        <v>392.07979092439</v>
      </c>
    </row>
    <row r="929" customFormat="false" ht="17.15" hidden="false" customHeight="false" outlineLevel="0" collapsed="false">
      <c r="A929" s="4" t="s">
        <v>473</v>
      </c>
      <c r="B929" s="0" t="s">
        <v>76</v>
      </c>
      <c r="C929" s="21" t="n">
        <f aca="false">C928/C922</f>
        <v>0.264182166386732</v>
      </c>
      <c r="D929" s="21" t="n">
        <f aca="false">D928/D922</f>
        <v>0.421101639775745</v>
      </c>
      <c r="E929" s="21" t="n">
        <f aca="false">E928/E922</f>
        <v>0.380303489127861</v>
      </c>
      <c r="F929" s="21" t="n">
        <f aca="false">F928/F922</f>
        <v>0.3</v>
      </c>
      <c r="G929" s="21" t="n">
        <f aca="false">G928/G922</f>
        <v>0.3</v>
      </c>
    </row>
    <row r="930" customFormat="false" ht="17.15" hidden="false" customHeight="false" outlineLevel="0" collapsed="false">
      <c r="A930" s="4" t="s">
        <v>573</v>
      </c>
      <c r="B930" s="0" t="s">
        <v>234</v>
      </c>
      <c r="C930" s="30" t="n">
        <f aca="false">a25_da</f>
        <v>75.255</v>
      </c>
      <c r="D930" s="30" t="n">
        <f aca="false">a26_da</f>
        <v>97.124</v>
      </c>
      <c r="E930" s="30" t="n">
        <f aca="false">D930*(1-1/life)+D928/life</f>
        <v>130.83975</v>
      </c>
      <c r="F930" s="30" t="n">
        <f aca="false">E930*(1-1/life)+E928/life</f>
        <v>166.48478125</v>
      </c>
      <c r="G930" s="30" t="n">
        <f aca="false">F930*(1-1/life)+F928/life</f>
        <v>189.007711308246</v>
      </c>
      <c r="K930" s="4" t="s">
        <v>574</v>
      </c>
    </row>
    <row r="931" customFormat="false" ht="17.15" hidden="false" customHeight="false" outlineLevel="0" collapsed="false">
      <c r="A931" s="4" t="s">
        <v>575</v>
      </c>
      <c r="B931" s="0" t="s">
        <v>234</v>
      </c>
      <c r="C931" s="30" t="n">
        <f aca="false">a25_agp</f>
        <v>91.38</v>
      </c>
      <c r="D931" s="30" t="n">
        <f aca="false">a26_agp</f>
        <v>164.623388</v>
      </c>
      <c r="E931" s="30" t="n">
        <f aca="false">$D931+ft*(E919-$D919)-(E930-$D930)</f>
        <v>226.929987611095</v>
      </c>
      <c r="F931" s="30" t="n">
        <f aca="false">$D931+ft*(F919-$D919)-(F930-$D930)</f>
        <v>213.594229759087</v>
      </c>
      <c r="G931" s="30" t="n">
        <f aca="false">$D931+ft*(G919-$D919)-(G930-$D930)</f>
        <v>257.948073827887</v>
      </c>
      <c r="K931" s="4" t="s">
        <v>576</v>
      </c>
    </row>
    <row r="932" customFormat="false" ht="15" hidden="false" customHeight="false" outlineLevel="0" collapsed="false">
      <c r="A932" s="4" t="s">
        <v>447</v>
      </c>
      <c r="B932" s="0" t="s">
        <v>76</v>
      </c>
      <c r="C932" s="14" t="n">
        <f aca="false">C931/C919</f>
        <v>0.234772421305764</v>
      </c>
      <c r="D932" s="14" t="n">
        <f aca="false">D931/D919</f>
        <v>0.294112034690999</v>
      </c>
      <c r="E932" s="14" t="n">
        <f aca="false">E931/E919</f>
        <v>0.301858957842147</v>
      </c>
      <c r="F932" s="14" t="n">
        <f aca="false">F931/F919</f>
        <v>0.268201892955072</v>
      </c>
      <c r="G932" s="14" t="n">
        <f aca="false">G931/G919</f>
        <v>0.277319687550785</v>
      </c>
    </row>
    <row r="933" customFormat="false" ht="17.15" hidden="false" customHeight="false" outlineLevel="0" collapsed="false">
      <c r="A933" s="0" t="s">
        <v>449</v>
      </c>
      <c r="B933" s="0" t="s">
        <v>234</v>
      </c>
      <c r="C933" s="30" t="n">
        <f aca="false">a25_egp</f>
        <v>23.695</v>
      </c>
      <c r="D933" s="30" t="n">
        <f aca="false">a26_egp</f>
        <v>27.00552</v>
      </c>
      <c r="E933" s="30" t="n">
        <f aca="false">E920*ems_gm</f>
        <v>29.415287</v>
      </c>
      <c r="F933" s="30" t="n">
        <f aca="false">F920*ems_gm</f>
        <v>30.88605135</v>
      </c>
      <c r="G933" s="30" t="n">
        <f aca="false">G920*ems_gm</f>
        <v>32.4303539175</v>
      </c>
    </row>
    <row r="934" customFormat="false" ht="15" hidden="false" customHeight="false" outlineLevel="0" collapsed="false">
      <c r="A934" s="4" t="s">
        <v>577</v>
      </c>
      <c r="B934" s="0" t="s">
        <v>234</v>
      </c>
      <c r="C934" s="30" t="n">
        <f aca="false">a25_lgp</f>
        <v>-0.881999999999998</v>
      </c>
      <c r="D934" s="30" t="n">
        <f aca="false">a26_lgp</f>
        <v>-0.948662139013863</v>
      </c>
      <c r="E934" s="30" t="n">
        <f aca="false">$D934/$D921*E921</f>
        <v>-1.19116794604716</v>
      </c>
      <c r="F934" s="30" t="n">
        <f aca="false">$D934/$D921*F921</f>
        <v>-1.25835377242684</v>
      </c>
      <c r="G934" s="30" t="n">
        <f aca="false">$D934/$D921*G921</f>
        <v>-1.42319097366319</v>
      </c>
    </row>
    <row r="935" customFormat="false" ht="15" hidden="false" customHeight="false" outlineLevel="0" collapsed="false">
      <c r="A935" s="4" t="s">
        <v>451</v>
      </c>
      <c r="B935" s="0" t="s">
        <v>234</v>
      </c>
      <c r="C935" s="30" t="n">
        <f aca="false">C931+C933+C934</f>
        <v>114.193</v>
      </c>
      <c r="D935" s="30" t="n">
        <f aca="false">D931+D933+D934</f>
        <v>190.680245860986</v>
      </c>
      <c r="E935" s="30" t="n">
        <f aca="false">E931+E933+E934</f>
        <v>255.154106665048</v>
      </c>
      <c r="F935" s="30" t="n">
        <f aca="false">F931+F933+F934</f>
        <v>243.221927336661</v>
      </c>
      <c r="G935" s="30" t="n">
        <f aca="false">G931+G933+G934</f>
        <v>288.955236771723</v>
      </c>
    </row>
    <row r="936" customFormat="false" ht="15" hidden="false" customHeight="false" outlineLevel="0" collapsed="false">
      <c r="A936" s="4" t="s">
        <v>452</v>
      </c>
      <c r="B936" s="0" t="s">
        <v>76</v>
      </c>
      <c r="C936" s="14" t="n">
        <f aca="false">C935/C922</f>
        <v>0.176936974347214</v>
      </c>
      <c r="D936" s="14" t="n">
        <f aca="false">D935/D922</f>
        <v>0.218879008327391</v>
      </c>
      <c r="E936" s="14" t="n">
        <f aca="false">E935/E922</f>
        <v>0.233259608245241</v>
      </c>
      <c r="F936" s="14" t="n">
        <f aca="false">F935/F922</f>
        <v>0.210479569889107</v>
      </c>
      <c r="G936" s="14" t="n">
        <f aca="false">G935/G922</f>
        <v>0.221094208470015</v>
      </c>
    </row>
    <row r="937" customFormat="false" ht="15" hidden="false" customHeight="false" outlineLevel="0" collapsed="false">
      <c r="A937" s="4" t="s">
        <v>578</v>
      </c>
      <c r="B937" s="0" t="s">
        <v>234</v>
      </c>
      <c r="C937" s="30" t="n">
        <f aca="false">a25_opx</f>
        <v>63.437</v>
      </c>
      <c r="D937" s="30" t="n">
        <f aca="false">a26_opx</f>
        <v>79.658</v>
      </c>
      <c r="E937" s="30" t="n">
        <f aca="false">D937*(1+phi*E923)</f>
        <v>91.8757496806646</v>
      </c>
      <c r="F937" s="30" t="n">
        <f aca="false">E937*(1+phi*F923)</f>
        <v>94.9850080452966</v>
      </c>
      <c r="G937" s="30" t="n">
        <f aca="false">F937*(1+phi*G923)</f>
        <v>102.450506172458</v>
      </c>
    </row>
    <row r="938" customFormat="false" ht="15" hidden="false" customHeight="false" outlineLevel="0" collapsed="false">
      <c r="A938" s="4" t="s">
        <v>455</v>
      </c>
      <c r="B938" s="0" t="s">
        <v>234</v>
      </c>
      <c r="C938" s="30" t="n">
        <f aca="false">C935-C937</f>
        <v>50.756</v>
      </c>
      <c r="D938" s="30" t="n">
        <f aca="false">D935-D937</f>
        <v>111.022245860986</v>
      </c>
      <c r="E938" s="30" t="n">
        <f aca="false">E935-E937</f>
        <v>163.278356984383</v>
      </c>
      <c r="F938" s="30" t="n">
        <f aca="false">F935-F937</f>
        <v>148.236919291364</v>
      </c>
      <c r="G938" s="30" t="n">
        <f aca="false">G935-G937</f>
        <v>186.504730599265</v>
      </c>
    </row>
    <row r="939" customFormat="false" ht="15" hidden="false" customHeight="false" outlineLevel="0" collapsed="false">
      <c r="A939" s="4" t="s">
        <v>537</v>
      </c>
      <c r="B939" s="0" t="s">
        <v>76</v>
      </c>
      <c r="C939" s="14" t="n">
        <f aca="false">C938/C922</f>
        <v>0.0786441644406156</v>
      </c>
      <c r="D939" s="14" t="n">
        <f aca="false">D938/D922</f>
        <v>0.127440779020437</v>
      </c>
      <c r="E939" s="14" t="n">
        <f aca="false">E938/E922</f>
        <v>0.149267617452465</v>
      </c>
      <c r="F939" s="14" t="n">
        <f aca="false">F938/F922</f>
        <v>0.128281373952544</v>
      </c>
      <c r="G939" s="14" t="n">
        <f aca="false">G938/G922</f>
        <v>0.142704165006478</v>
      </c>
    </row>
    <row r="940" customFormat="false" ht="15" hidden="false" customHeight="false" outlineLevel="0" collapsed="false">
      <c r="A940" s="4" t="s">
        <v>456</v>
      </c>
      <c r="B940" s="0" t="s">
        <v>234</v>
      </c>
      <c r="C940" s="30" t="n">
        <f aca="false">a25_nonop</f>
        <v>0.545</v>
      </c>
      <c r="D940" s="30" t="n">
        <f aca="false">a26_nonop</f>
        <v>4.302</v>
      </c>
      <c r="E940" s="30" t="n">
        <f aca="false">nonop_f</f>
        <v>-5</v>
      </c>
      <c r="F940" s="30" t="n">
        <f aca="false">nonop_f</f>
        <v>-5</v>
      </c>
      <c r="G940" s="30" t="n">
        <f aca="false">nonop_f</f>
        <v>-5</v>
      </c>
    </row>
    <row r="941" customFormat="false" ht="15" hidden="false" customHeight="false" outlineLevel="0" collapsed="false">
      <c r="A941" s="4" t="s">
        <v>459</v>
      </c>
      <c r="B941" s="0" t="s">
        <v>234</v>
      </c>
      <c r="C941" s="30" t="n">
        <f aca="false">C938+C940</f>
        <v>51.301</v>
      </c>
      <c r="D941" s="30" t="n">
        <f aca="false">D938+D940</f>
        <v>115.324245860986</v>
      </c>
      <c r="E941" s="30" t="n">
        <f aca="false">E938+E940</f>
        <v>158.278356984383</v>
      </c>
      <c r="F941" s="30" t="n">
        <f aca="false">F938+F940</f>
        <v>143.236919291364</v>
      </c>
      <c r="G941" s="30" t="n">
        <f aca="false">G938+G940</f>
        <v>181.504730599265</v>
      </c>
    </row>
    <row r="942" customFormat="false" ht="15" hidden="false" customHeight="false" outlineLevel="0" collapsed="false">
      <c r="A942" s="4" t="s">
        <v>460</v>
      </c>
      <c r="B942" s="0" t="s">
        <v>234</v>
      </c>
      <c r="C942" s="30" t="n">
        <f aca="false">a25_tax</f>
        <v>9.461</v>
      </c>
      <c r="D942" s="30" t="n">
        <f aca="false">a26_tax</f>
        <v>19.2197317963676</v>
      </c>
      <c r="E942" s="30" t="n">
        <f aca="false">E941*tax</f>
        <v>26.9073206873452</v>
      </c>
      <c r="F942" s="30" t="n">
        <f aca="false">F941*tax</f>
        <v>24.3502762795319</v>
      </c>
      <c r="G942" s="30" t="n">
        <f aca="false">G941*tax</f>
        <v>30.8558042018751</v>
      </c>
    </row>
    <row r="943" customFormat="false" ht="15" hidden="false" customHeight="false" outlineLevel="0" collapsed="false">
      <c r="A943" s="4" t="s">
        <v>461</v>
      </c>
      <c r="B943" s="0" t="s">
        <v>234</v>
      </c>
      <c r="C943" s="30" t="n">
        <f aca="false">a25_nci</f>
        <v>1.182</v>
      </c>
      <c r="D943" s="30" t="n">
        <f aca="false">a26_nci</f>
        <v>2.543</v>
      </c>
      <c r="E943" s="30" t="n">
        <f aca="false">nci</f>
        <v>3</v>
      </c>
      <c r="F943" s="30" t="n">
        <f aca="false">nci</f>
        <v>3</v>
      </c>
      <c r="G943" s="30" t="n">
        <f aca="false">nci</f>
        <v>3</v>
      </c>
    </row>
    <row r="944" customFormat="false" ht="15" hidden="false" customHeight="false" outlineLevel="0" collapsed="false">
      <c r="A944" s="4" t="s">
        <v>462</v>
      </c>
      <c r="B944" s="0" t="s">
        <v>234</v>
      </c>
      <c r="C944" s="30" t="n">
        <f aca="false">C941-C942-C943</f>
        <v>40.658</v>
      </c>
      <c r="D944" s="30" t="n">
        <f aca="false">D941-D942-D943</f>
        <v>93.5615140646185</v>
      </c>
      <c r="E944" s="30" t="n">
        <f aca="false">E941-E942-E943</f>
        <v>128.371036297038</v>
      </c>
      <c r="F944" s="30" t="n">
        <f aca="false">F941-F942-F943</f>
        <v>115.886643011832</v>
      </c>
      <c r="G944" s="30" t="n">
        <f aca="false">G941-G942-G943</f>
        <v>147.64892639739</v>
      </c>
      <c r="H944" s="31" t="n">
        <f aca="false">H922*H948</f>
        <v>155.458831765306</v>
      </c>
      <c r="I944" s="31" t="n">
        <f aca="false">I922*I948</f>
        <v>158.84357641653</v>
      </c>
      <c r="J944" s="31" t="n">
        <f aca="false">J922*J948</f>
        <v>157.346464479109</v>
      </c>
    </row>
    <row r="945" customFormat="false" ht="15" hidden="false" customHeight="false" outlineLevel="0" collapsed="false">
      <c r="A945" s="4" t="s">
        <v>579</v>
      </c>
      <c r="B945" s="4" t="s">
        <v>580</v>
      </c>
      <c r="C945" s="18" t="n">
        <f aca="false">a25_sh</f>
        <v>4339.16755602988</v>
      </c>
      <c r="D945" s="18" t="n">
        <f aca="false">a26_sh</f>
        <v>4392.90105184664</v>
      </c>
      <c r="E945" s="18" t="n">
        <f aca="false">D945*(1+sh_g)</f>
        <v>4414.86555710588</v>
      </c>
      <c r="F945" s="18" t="n">
        <f aca="false">E945*(1+sh_g)</f>
        <v>4436.9398848914</v>
      </c>
      <c r="G945" s="18" t="n">
        <f aca="false">F945*(1+sh_g)</f>
        <v>4459.12458431586</v>
      </c>
      <c r="H945" s="25" t="n">
        <f aca="false">G945*(1+sh_g)</f>
        <v>4481.42020723744</v>
      </c>
      <c r="I945" s="25" t="n">
        <f aca="false">H945*(1+sh_g)</f>
        <v>4503.82730827363</v>
      </c>
      <c r="J945" s="25" t="n">
        <f aca="false">I945*(1+sh_g)</f>
        <v>4526.34644481499</v>
      </c>
    </row>
    <row r="946" customFormat="false" ht="17.15" hidden="false" customHeight="false" outlineLevel="0" collapsed="false">
      <c r="A946" s="0" t="s">
        <v>465</v>
      </c>
      <c r="B946" s="0" t="s">
        <v>304</v>
      </c>
      <c r="C946" s="19" t="n">
        <f aca="false">a25_eps</f>
        <v>9.37</v>
      </c>
      <c r="D946" s="19" t="n">
        <f aca="false">a26_eps</f>
        <v>21.2828697294455</v>
      </c>
      <c r="E946" s="19" t="n">
        <f aca="false">E944/E945*1000</f>
        <v>29.0769978466096</v>
      </c>
      <c r="F946" s="19" t="n">
        <f aca="false">F944/F945*1000</f>
        <v>26.1185966044858</v>
      </c>
      <c r="G946" s="19" t="n">
        <f aca="false">G944/G945*1000</f>
        <v>33.1116396515849</v>
      </c>
      <c r="H946" s="28" t="n">
        <f aca="false">H944/H945*1000</f>
        <v>34.6896351103701</v>
      </c>
      <c r="I946" s="28" t="n">
        <f aca="false">I944/I945*1000</f>
        <v>35.2685761562685</v>
      </c>
      <c r="J946" s="28" t="n">
        <f aca="false">J944/J945*1000</f>
        <v>34.7623555548541</v>
      </c>
    </row>
    <row r="947" customFormat="false" ht="17.15" hidden="false" customHeight="false" outlineLevel="0" collapsed="false">
      <c r="A947" s="0" t="s">
        <v>581</v>
      </c>
      <c r="B947" s="0" t="s">
        <v>76</v>
      </c>
      <c r="D947" s="21" t="n">
        <f aca="false">D946/C946-1</f>
        <v>1.27138417603474</v>
      </c>
      <c r="E947" s="21" t="n">
        <f aca="false">E946/D946-1</f>
        <v>0.366216032717646</v>
      </c>
      <c r="F947" s="21" t="n">
        <f aca="false">F946/E946-1</f>
        <v>-0.101743696434216</v>
      </c>
      <c r="G947" s="21" t="n">
        <f aca="false">G946/F946-1</f>
        <v>0.267741914046718</v>
      </c>
      <c r="H947" s="26" t="n">
        <f aca="false">H946/G946-1</f>
        <v>0.0476568202417493</v>
      </c>
      <c r="I947" s="26" t="n">
        <f aca="false">I946/H946-1</f>
        <v>0.0166891650504948</v>
      </c>
      <c r="J947" s="26" t="n">
        <f aca="false">J946/I946-1</f>
        <v>-0.0143533041756875</v>
      </c>
    </row>
    <row r="948" customFormat="false" ht="17.15" hidden="false" customHeight="false" outlineLevel="0" collapsed="false">
      <c r="A948" s="4" t="s">
        <v>582</v>
      </c>
      <c r="B948" s="0" t="s">
        <v>76</v>
      </c>
      <c r="C948" s="14" t="n">
        <f aca="false">C944/C922</f>
        <v>0.0629977625862272</v>
      </c>
      <c r="D948" s="14" t="n">
        <f aca="false">D944/D922</f>
        <v>0.107397865592237</v>
      </c>
      <c r="E948" s="14" t="n">
        <f aca="false">E944/E922</f>
        <v>0.117355656266161</v>
      </c>
      <c r="F948" s="14" t="n">
        <f aca="false">F944/F922</f>
        <v>0.100286068135874</v>
      </c>
      <c r="G948" s="14" t="n">
        <f aca="false">G944/G922</f>
        <v>0.112973631756907</v>
      </c>
      <c r="H948" s="27" t="n">
        <f aca="false">$G948+(fade_mB-$G948)*1/3</f>
        <v>0.108070677862023</v>
      </c>
      <c r="I948" s="27" t="n">
        <f aca="false">$G948+(fade_mB-$G948)*2/3</f>
        <v>0.103167723967138</v>
      </c>
      <c r="J948" s="27" t="n">
        <f aca="false">$G948+(fade_mB-$G948)*3/3</f>
        <v>0.0982647700722541</v>
      </c>
    </row>
    <row r="949" customFormat="false" ht="17.15" hidden="false" customHeight="false" outlineLevel="0" collapsed="false">
      <c r="A949" s="4" t="s">
        <v>583</v>
      </c>
      <c r="B949" s="0" t="s">
        <v>234</v>
      </c>
      <c r="C949" s="30" t="n">
        <f aca="false">C944+C930-C928</f>
        <v>-54.587</v>
      </c>
      <c r="D949" s="30" t="n">
        <f aca="false">D944+D930-D928</f>
        <v>-176.164485935382</v>
      </c>
      <c r="E949" s="30" t="n">
        <f aca="false">E944+E930-E928</f>
        <v>-156.789213702962</v>
      </c>
      <c r="F949" s="30" t="n">
        <f aca="false">F944+F930-F928</f>
        <v>-64.2967974541339</v>
      </c>
      <c r="G949" s="30" t="n">
        <f aca="false">G944+G930-G928</f>
        <v>-55.4231532187538</v>
      </c>
      <c r="K949" s="4" t="s">
        <v>584</v>
      </c>
    </row>
    <row r="950" customFormat="false" ht="17.15" hidden="false" customHeight="false" outlineLevel="0" collapsed="false">
      <c r="A950" s="4" t="s">
        <v>585</v>
      </c>
      <c r="B950" s="0" t="s">
        <v>76</v>
      </c>
      <c r="D950" s="21" t="n">
        <f aca="false">(D938-$C938)/SUM($D928:D928)</f>
        <v>0.164280348537512</v>
      </c>
      <c r="E950" s="21" t="n">
        <f aca="false">(E938-$C938)/SUM($D928:E928)</f>
        <v>0.143734249197654</v>
      </c>
      <c r="F950" s="21" t="n">
        <f aca="false">(F938-$C938)/SUM($D928:F928)</f>
        <v>0.0863030957953656</v>
      </c>
      <c r="G950" s="21" t="n">
        <f aca="false">(G938-$C938)/SUM($D928:G928)</f>
        <v>0.0892145819536837</v>
      </c>
      <c r="K950" s="4" t="s">
        <v>586</v>
      </c>
    </row>
    <row r="953" customFormat="false" ht="17.15" hidden="false" customHeight="false" outlineLevel="0" collapsed="false">
      <c r="A953" s="1" t="s">
        <v>933</v>
      </c>
    </row>
    <row r="954" customFormat="false" ht="17.15" hidden="false" customHeight="false" outlineLevel="0" collapsed="false">
      <c r="A954" s="5" t="s">
        <v>21</v>
      </c>
      <c r="B954" s="5" t="s">
        <v>22</v>
      </c>
      <c r="C954" s="15" t="s">
        <v>424</v>
      </c>
      <c r="D954" s="15" t="s">
        <v>524</v>
      </c>
      <c r="E954" s="15" t="s">
        <v>525</v>
      </c>
      <c r="F954" s="15" t="s">
        <v>526</v>
      </c>
      <c r="G954" s="15" t="s">
        <v>527</v>
      </c>
      <c r="H954" s="15" t="s">
        <v>528</v>
      </c>
      <c r="I954" s="15" t="s">
        <v>529</v>
      </c>
      <c r="J954" s="15" t="s">
        <v>530</v>
      </c>
      <c r="K954" s="5" t="s">
        <v>382</v>
      </c>
    </row>
    <row r="955" customFormat="false" ht="17.15" hidden="false" customHeight="false" outlineLevel="0" collapsed="false">
      <c r="A955" s="6" t="s">
        <v>548</v>
      </c>
    </row>
    <row r="956" customFormat="false" ht="17.15" hidden="false" customHeight="false" outlineLevel="0" collapsed="false">
      <c r="A956" s="0" t="s">
        <v>549</v>
      </c>
      <c r="B956" s="4" t="s">
        <v>32</v>
      </c>
      <c r="D956" s="19" t="n">
        <f aca="false">units_26</f>
        <v>15.2</v>
      </c>
      <c r="E956" s="19" t="n">
        <f aca="false">units_27*1</f>
        <v>23.7</v>
      </c>
      <c r="F956" s="19" t="n">
        <f aca="false">units_28*um28_C*1</f>
        <v>15.9</v>
      </c>
      <c r="G956" s="19" t="n">
        <f aca="false">units_29*um29_C*1</f>
        <v>18.09</v>
      </c>
    </row>
    <row r="957" customFormat="false" ht="17.15" hidden="false" customHeight="false" outlineLevel="0" collapsed="false">
      <c r="A957" s="4" t="s">
        <v>497</v>
      </c>
      <c r="B957" s="0" t="s">
        <v>45</v>
      </c>
      <c r="D957" s="22" t="n">
        <f aca="false">ar_26</f>
        <v>1</v>
      </c>
      <c r="E957" s="22" t="n">
        <f aca="false">ar_27</f>
        <v>1.278156</v>
      </c>
      <c r="F957" s="22" t="n">
        <f aca="false">ar_28</f>
        <v>1.428615</v>
      </c>
      <c r="G957" s="22" t="n">
        <f aca="false">ar_29</f>
        <v>1.431796</v>
      </c>
    </row>
    <row r="958" customFormat="false" ht="17.15" hidden="false" customHeight="false" outlineLevel="0" collapsed="false">
      <c r="A958" s="4" t="s">
        <v>550</v>
      </c>
      <c r="B958" s="0" t="s">
        <v>45</v>
      </c>
      <c r="D958" s="19" t="n">
        <f aca="false">1</f>
        <v>1</v>
      </c>
      <c r="E958" s="19" t="n">
        <f aca="false">rel27_C</f>
        <v>1</v>
      </c>
      <c r="F958" s="19" t="n">
        <f aca="false">rel28_C</f>
        <v>0.95</v>
      </c>
      <c r="G958" s="19" t="n">
        <f aca="false">rel29_C</f>
        <v>0.92</v>
      </c>
    </row>
    <row r="959" customFormat="false" ht="17.15" hidden="false" customHeight="false" outlineLevel="0" collapsed="false">
      <c r="A959" s="4" t="s">
        <v>551</v>
      </c>
      <c r="B959" s="0" t="s">
        <v>502</v>
      </c>
      <c r="D959" s="23" t="n">
        <f aca="false">D960*1000/D956</f>
        <v>236.842105263158</v>
      </c>
      <c r="E959" s="23" t="n">
        <f aca="false">$D959*E957^el</f>
        <v>267.763172119488</v>
      </c>
      <c r="F959" s="23" t="n">
        <f aca="false">$D959*F957^el</f>
        <v>283.084777049615</v>
      </c>
      <c r="G959" s="23" t="n">
        <f aca="false">$D959*G957^el</f>
        <v>283.399764630809</v>
      </c>
      <c r="K959" s="8" t="s">
        <v>552</v>
      </c>
    </row>
    <row r="960" customFormat="false" ht="17.15" hidden="false" customHeight="false" outlineLevel="0" collapsed="false">
      <c r="A960" s="0" t="s">
        <v>553</v>
      </c>
      <c r="B960" s="0" t="s">
        <v>120</v>
      </c>
      <c r="D960" s="22" t="n">
        <f aca="false">leap26-D961-D962</f>
        <v>3.6</v>
      </c>
      <c r="E960" s="22" t="n">
        <f aca="false">E956*E958*E959/1000</f>
        <v>6.34598717923185</v>
      </c>
      <c r="F960" s="22" t="n">
        <f aca="false">F956*F958*F959/1000</f>
        <v>4.27599555733443</v>
      </c>
      <c r="G960" s="22" t="n">
        <f aca="false">G956*G958*G959/1000</f>
        <v>4.71656560279762</v>
      </c>
      <c r="K960" s="8" t="s">
        <v>554</v>
      </c>
    </row>
    <row r="961" customFormat="false" ht="17.15" hidden="false" customHeight="false" outlineLevel="0" collapsed="false">
      <c r="A961" s="4" t="s">
        <v>555</v>
      </c>
      <c r="B961" s="0" t="s">
        <v>120</v>
      </c>
      <c r="D961" s="22" t="n">
        <f aca="false">fp26</f>
        <v>0.3</v>
      </c>
      <c r="E961" s="22" t="n">
        <f aca="false">fp27_C</f>
        <v>0.7</v>
      </c>
      <c r="F961" s="22" t="n">
        <f aca="false">E961*F956/E956*(1+fp_g_hi)</f>
        <v>0.704430379746835</v>
      </c>
      <c r="G961" s="22" t="n">
        <f aca="false">F961*G956/F956*(1+fp_g_hi)</f>
        <v>1.2021835443038</v>
      </c>
    </row>
    <row r="962" customFormat="false" ht="17.15" hidden="false" customHeight="false" outlineLevel="0" collapsed="false">
      <c r="A962" s="0" t="s">
        <v>556</v>
      </c>
      <c r="B962" s="0" t="s">
        <v>120</v>
      </c>
      <c r="D962" s="22" t="n">
        <f aca="false">cpo27*cpo_C_26/cpo_A_27</f>
        <v>0.1</v>
      </c>
      <c r="E962" s="22" t="n">
        <f aca="false">cpo27*cpo_C_27/cpo_A_27</f>
        <v>0.2</v>
      </c>
      <c r="F962" s="22" t="n">
        <f aca="false">cpo27*cpo_C_28/cpo_A_27*F956/E956</f>
        <v>0.20126582278481</v>
      </c>
      <c r="G962" s="22" t="n">
        <f aca="false">cpo27*cpo_C_29/cpo_A_27*G956/E956</f>
        <v>0.381645569620253</v>
      </c>
      <c r="K962" s="8" t="s">
        <v>557</v>
      </c>
    </row>
    <row r="963" customFormat="false" ht="17.15" hidden="false" customHeight="false" outlineLevel="0" collapsed="false">
      <c r="A963" s="0" t="s">
        <v>510</v>
      </c>
      <c r="B963" s="0" t="s">
        <v>120</v>
      </c>
      <c r="C963" s="22" t="n">
        <f aca="false">leap25</f>
        <v>1.6</v>
      </c>
      <c r="D963" s="22" t="n">
        <f aca="false">D960+D961+D962</f>
        <v>4</v>
      </c>
      <c r="E963" s="22" t="n">
        <f aca="false">E960+E961+E962</f>
        <v>7.24598717923186</v>
      </c>
      <c r="F963" s="22" t="n">
        <f aca="false">F960+F961+F962</f>
        <v>5.18169175986607</v>
      </c>
      <c r="G963" s="22" t="n">
        <f aca="false">G960+G961+G962</f>
        <v>6.30039471672168</v>
      </c>
    </row>
    <row r="964" customFormat="false" ht="17.15" hidden="false" customHeight="false" outlineLevel="0" collapsed="false">
      <c r="A964" s="4" t="s">
        <v>558</v>
      </c>
      <c r="B964" s="0" t="s">
        <v>114</v>
      </c>
      <c r="C964" s="19" t="n">
        <f aca="false">fx25</f>
        <v>31</v>
      </c>
      <c r="D964" s="19" t="n">
        <f aca="false">a26_leap/D963</f>
        <v>31.9</v>
      </c>
      <c r="E964" s="19" t="n">
        <f aca="false">fx</f>
        <v>32</v>
      </c>
      <c r="F964" s="19" t="n">
        <f aca="false">fx</f>
        <v>32</v>
      </c>
      <c r="G964" s="19" t="n">
        <f aca="false">fx</f>
        <v>32</v>
      </c>
      <c r="K964" s="8" t="s">
        <v>559</v>
      </c>
    </row>
    <row r="965" customFormat="false" ht="17.15" hidden="false" customHeight="false" outlineLevel="0" collapsed="false">
      <c r="A965" s="6" t="s">
        <v>560</v>
      </c>
    </row>
    <row r="966" customFormat="false" ht="17.15" hidden="false" customHeight="false" outlineLevel="0" collapsed="false">
      <c r="A966" s="0" t="s">
        <v>438</v>
      </c>
      <c r="B966" s="0" t="s">
        <v>234</v>
      </c>
      <c r="C966" s="30" t="n">
        <f aca="false">a25_leap</f>
        <v>49.6</v>
      </c>
      <c r="D966" s="30" t="n">
        <f aca="false">a26_leap</f>
        <v>127.6</v>
      </c>
      <c r="E966" s="30" t="n">
        <f aca="false">E963*E964</f>
        <v>231.871589735419</v>
      </c>
      <c r="F966" s="30" t="n">
        <f aca="false">F963*F964</f>
        <v>165.814136315714</v>
      </c>
      <c r="G966" s="30" t="n">
        <f aca="false">G963*G964</f>
        <v>201.612630935094</v>
      </c>
    </row>
    <row r="967" customFormat="false" ht="15" hidden="false" customHeight="false" outlineLevel="0" collapsed="false">
      <c r="A967" s="4" t="s">
        <v>561</v>
      </c>
      <c r="B967" s="0" t="s">
        <v>234</v>
      </c>
      <c r="C967" s="30" t="n">
        <f aca="false">a25_ms</f>
        <v>339.628</v>
      </c>
      <c r="D967" s="30" t="n">
        <f aca="false">a26_ms</f>
        <v>432.1302</v>
      </c>
      <c r="E967" s="30" t="n">
        <f aca="false">D967*(1+g_ms27)</f>
        <v>496.94973</v>
      </c>
      <c r="F967" s="30" t="n">
        <f aca="false">E967*(1+g_msL)</f>
        <v>531.7362111</v>
      </c>
      <c r="G967" s="30" t="n">
        <f aca="false">F967*(1+g_msL)</f>
        <v>568.957745877</v>
      </c>
    </row>
    <row r="968" customFormat="false" ht="17.15" hidden="false" customHeight="false" outlineLevel="0" collapsed="false">
      <c r="A968" s="4" t="s">
        <v>562</v>
      </c>
      <c r="B968" s="0" t="s">
        <v>234</v>
      </c>
      <c r="C968" s="30" t="n">
        <f aca="false">C966+C967</f>
        <v>389.228</v>
      </c>
      <c r="D968" s="30" t="n">
        <f aca="false">D966+D967</f>
        <v>559.7302</v>
      </c>
      <c r="E968" s="30" t="n">
        <f aca="false">E966+E967</f>
        <v>728.821319735419</v>
      </c>
      <c r="F968" s="30" t="n">
        <f aca="false">F966+F967</f>
        <v>697.550347415714</v>
      </c>
      <c r="G968" s="30" t="n">
        <f aca="false">G966+G967</f>
        <v>770.570376812094</v>
      </c>
    </row>
    <row r="969" customFormat="false" ht="17.15" hidden="false" customHeight="false" outlineLevel="0" collapsed="false">
      <c r="A969" s="0" t="s">
        <v>563</v>
      </c>
      <c r="B969" s="0" t="s">
        <v>234</v>
      </c>
      <c r="C969" s="30" t="n">
        <f aca="false">a25_ems</f>
        <v>259.079</v>
      </c>
      <c r="D969" s="30" t="n">
        <f aca="false">a26_ems</f>
        <v>314.602</v>
      </c>
      <c r="E969" s="30" t="n">
        <f aca="false">D969*(1+g_ems27)</f>
        <v>346.0622</v>
      </c>
      <c r="F969" s="30" t="n">
        <f aca="false">E969*(1+g_emsL)</f>
        <v>363.36531</v>
      </c>
      <c r="G969" s="30" t="n">
        <f aca="false">F969*(1+g_emsL)</f>
        <v>381.5335755</v>
      </c>
    </row>
    <row r="970" customFormat="false" ht="17.15" hidden="false" customHeight="false" outlineLevel="0" collapsed="false">
      <c r="A970" s="4" t="s">
        <v>564</v>
      </c>
      <c r="B970" s="0" t="s">
        <v>234</v>
      </c>
      <c r="C970" s="30" t="n">
        <f aca="false">a25_elim</f>
        <v>-2.91899999999998</v>
      </c>
      <c r="D970" s="30" t="n">
        <f aca="false">a26_elim</f>
        <v>-3.16484905982349</v>
      </c>
      <c r="E970" s="30" t="n">
        <f aca="false">$D970/($D968+$D969)*(E968+E969)</f>
        <v>-3.89079127687897</v>
      </c>
      <c r="F970" s="30" t="n">
        <f aca="false">$D970/($D968+$D969)*(F968+F969)</f>
        <v>-3.84023134561914</v>
      </c>
      <c r="G970" s="30" t="n">
        <f aca="false">$D970/($D968+$D969)*(G968+G969)</f>
        <v>-4.17030861987452</v>
      </c>
      <c r="K970" s="4" t="s">
        <v>565</v>
      </c>
    </row>
    <row r="971" customFormat="false" ht="17.15" hidden="false" customHeight="false" outlineLevel="0" collapsed="false">
      <c r="A971" s="4" t="s">
        <v>431</v>
      </c>
      <c r="B971" s="0" t="s">
        <v>234</v>
      </c>
      <c r="C971" s="30" t="n">
        <f aca="false">C968+C969+C970</f>
        <v>645.388</v>
      </c>
      <c r="D971" s="30" t="n">
        <f aca="false">D968+D969+D970</f>
        <v>871.167350940177</v>
      </c>
      <c r="E971" s="30" t="n">
        <f aca="false">E968+E969+E970</f>
        <v>1070.99272845854</v>
      </c>
      <c r="F971" s="30" t="n">
        <f aca="false">F968+F969+F970</f>
        <v>1057.0754260701</v>
      </c>
      <c r="G971" s="30" t="n">
        <f aca="false">G968+G969+G970</f>
        <v>1147.93364369222</v>
      </c>
      <c r="H971" s="31" t="n">
        <f aca="false">G971*(1+H972)</f>
        <v>1221.3650037118</v>
      </c>
      <c r="I971" s="31" t="n">
        <f aca="false">H971*(1+I972)</f>
        <v>1272.64297327457</v>
      </c>
      <c r="J971" s="31" t="n">
        <f aca="false">I971*(1+J972)</f>
        <v>1298.09583274006</v>
      </c>
      <c r="K971" s="8" t="s">
        <v>566</v>
      </c>
    </row>
    <row r="972" customFormat="false" ht="15" hidden="false" customHeight="false" outlineLevel="0" collapsed="false">
      <c r="A972" s="4" t="s">
        <v>567</v>
      </c>
      <c r="B972" s="0" t="s">
        <v>76</v>
      </c>
      <c r="D972" s="21" t="n">
        <f aca="false">D971/C971-1</f>
        <v>0.349835061916516</v>
      </c>
      <c r="E972" s="21" t="n">
        <f aca="false">E971/D971-1</f>
        <v>0.229376568466104</v>
      </c>
      <c r="F972" s="21" t="n">
        <f aca="false">F971/E971-1</f>
        <v>-0.0129947683290772</v>
      </c>
      <c r="G972" s="21" t="n">
        <f aca="false">G971/F971-1</f>
        <v>0.0859524451910765</v>
      </c>
      <c r="H972" s="26" t="n">
        <f aca="false">$G972+(fade_gC-$G972)*1/3</f>
        <v>0.063968296794051</v>
      </c>
      <c r="I972" s="26" t="n">
        <f aca="false">$G972+(fade_gC-$G972)*2/3</f>
        <v>0.0419841483970255</v>
      </c>
      <c r="J972" s="26" t="n">
        <f aca="false">$G972+(fade_gC-$G972)*3/3</f>
        <v>0.02</v>
      </c>
    </row>
    <row r="973" customFormat="false" ht="17.15" hidden="false" customHeight="false" outlineLevel="0" collapsed="false">
      <c r="A973" s="0" t="s">
        <v>475</v>
      </c>
      <c r="B973" s="0" t="s">
        <v>76</v>
      </c>
      <c r="C973" s="21" t="n">
        <f aca="false">C966/C968</f>
        <v>0.127431736668482</v>
      </c>
      <c r="D973" s="21" t="n">
        <f aca="false">D966/D968</f>
        <v>0.227966974088588</v>
      </c>
      <c r="E973" s="21" t="n">
        <f aca="false">E966/E968</f>
        <v>0.31814600294568</v>
      </c>
      <c r="F973" s="21" t="n">
        <f aca="false">F966/F968</f>
        <v>0.237709201823242</v>
      </c>
      <c r="G973" s="21" t="n">
        <f aca="false">G966/G968</f>
        <v>0.261640775459316</v>
      </c>
    </row>
    <row r="974" customFormat="false" ht="15" hidden="false" customHeight="false" outlineLevel="0" collapsed="false">
      <c r="A974" s="4" t="s">
        <v>568</v>
      </c>
      <c r="B974" s="0" t="s">
        <v>76</v>
      </c>
      <c r="D974" s="21" t="n">
        <f aca="false">D968/C968-1</f>
        <v>0.438052247012034</v>
      </c>
      <c r="E974" s="21" t="n">
        <f aca="false">E968/D968-1</f>
        <v>0.302093972659362</v>
      </c>
      <c r="F974" s="21" t="n">
        <f aca="false">F968/E968-1</f>
        <v>-0.0429062260844085</v>
      </c>
      <c r="G974" s="21" t="n">
        <f aca="false">G968/F968-1</f>
        <v>0.104680658058453</v>
      </c>
    </row>
    <row r="975" customFormat="false" ht="17.15" hidden="false" customHeight="false" outlineLevel="0" collapsed="false">
      <c r="A975" s="6" t="s">
        <v>569</v>
      </c>
    </row>
    <row r="976" customFormat="false" ht="17.15" hidden="false" customHeight="false" outlineLevel="0" collapsed="false">
      <c r="A976" s="4" t="s">
        <v>570</v>
      </c>
      <c r="B976" s="0" t="s">
        <v>120</v>
      </c>
      <c r="C976" s="19" t="n">
        <f aca="false">capex25</f>
        <v>5.5</v>
      </c>
      <c r="D976" s="19" t="n">
        <f aca="false">capex26</f>
        <v>11.5</v>
      </c>
      <c r="E976" s="19" t="n">
        <f aca="false">capex27</f>
        <v>13</v>
      </c>
      <c r="F976" s="19" t="n">
        <f aca="false">capi*F971/F964</f>
        <v>9.91008211940715</v>
      </c>
      <c r="G976" s="19" t="n">
        <f aca="false">capi*G971/G964</f>
        <v>10.7618779096146</v>
      </c>
      <c r="K976" s="8" t="s">
        <v>571</v>
      </c>
    </row>
    <row r="977" customFormat="false" ht="15" hidden="false" customHeight="false" outlineLevel="0" collapsed="false">
      <c r="A977" s="4" t="s">
        <v>572</v>
      </c>
      <c r="B977" s="0" t="s">
        <v>234</v>
      </c>
      <c r="C977" s="30" t="n">
        <f aca="false">C976*C964</f>
        <v>170.5</v>
      </c>
      <c r="D977" s="30" t="n">
        <f aca="false">D976*31.9</f>
        <v>366.85</v>
      </c>
      <c r="E977" s="30" t="n">
        <f aca="false">E976*E964</f>
        <v>416</v>
      </c>
      <c r="F977" s="30" t="n">
        <f aca="false">F976*F964</f>
        <v>317.122627821029</v>
      </c>
      <c r="G977" s="30" t="n">
        <f aca="false">G976*G964</f>
        <v>344.380093107666</v>
      </c>
    </row>
    <row r="978" customFormat="false" ht="17.15" hidden="false" customHeight="false" outlineLevel="0" collapsed="false">
      <c r="A978" s="4" t="s">
        <v>473</v>
      </c>
      <c r="B978" s="0" t="s">
        <v>76</v>
      </c>
      <c r="C978" s="21" t="n">
        <f aca="false">C977/C971</f>
        <v>0.264182166386732</v>
      </c>
      <c r="D978" s="21" t="n">
        <f aca="false">D977/D971</f>
        <v>0.421101639775745</v>
      </c>
      <c r="E978" s="21" t="n">
        <f aca="false">E977/E971</f>
        <v>0.388424672685445</v>
      </c>
      <c r="F978" s="21" t="n">
        <f aca="false">F977/F971</f>
        <v>0.3</v>
      </c>
      <c r="G978" s="21" t="n">
        <f aca="false">G977/G971</f>
        <v>0.3</v>
      </c>
    </row>
    <row r="979" customFormat="false" ht="17.15" hidden="false" customHeight="false" outlineLevel="0" collapsed="false">
      <c r="A979" s="4" t="s">
        <v>573</v>
      </c>
      <c r="B979" s="0" t="s">
        <v>234</v>
      </c>
      <c r="C979" s="30" t="n">
        <f aca="false">a25_da</f>
        <v>75.255</v>
      </c>
      <c r="D979" s="30" t="n">
        <f aca="false">a26_da</f>
        <v>97.124</v>
      </c>
      <c r="E979" s="30" t="n">
        <f aca="false">D979*(1-1/life)+D977/life</f>
        <v>130.83975</v>
      </c>
      <c r="F979" s="30" t="n">
        <f aca="false">E979*(1-1/life)+E977/life</f>
        <v>166.48478125</v>
      </c>
      <c r="G979" s="30" t="n">
        <f aca="false">F979*(1-1/life)+F977/life</f>
        <v>185.314512071379</v>
      </c>
      <c r="K979" s="4" t="s">
        <v>574</v>
      </c>
    </row>
    <row r="980" customFormat="false" ht="17.15" hidden="false" customHeight="false" outlineLevel="0" collapsed="false">
      <c r="A980" s="4" t="s">
        <v>575</v>
      </c>
      <c r="B980" s="0" t="s">
        <v>234</v>
      </c>
      <c r="C980" s="30" t="n">
        <f aca="false">a25_agp</f>
        <v>91.38</v>
      </c>
      <c r="D980" s="30" t="n">
        <f aca="false">a26_agp</f>
        <v>164.623388</v>
      </c>
      <c r="E980" s="30" t="n">
        <f aca="false">$D980+ft*(E968-$D968)-(E979-$D979)</f>
        <v>215.45319786771</v>
      </c>
      <c r="F980" s="30" t="n">
        <f aca="false">$D980+ft*(F968-$D968)-(F979-$D979)</f>
        <v>164.172680457857</v>
      </c>
      <c r="G980" s="30" t="n">
        <f aca="false">$D980+ft*(G968-$D968)-(G979-$D979)</f>
        <v>181.852964334668</v>
      </c>
      <c r="K980" s="4" t="s">
        <v>576</v>
      </c>
    </row>
    <row r="981" customFormat="false" ht="15" hidden="false" customHeight="false" outlineLevel="0" collapsed="false">
      <c r="A981" s="4" t="s">
        <v>447</v>
      </c>
      <c r="B981" s="0" t="s">
        <v>76</v>
      </c>
      <c r="C981" s="14" t="n">
        <f aca="false">C980/C968</f>
        <v>0.234772421305764</v>
      </c>
      <c r="D981" s="14" t="n">
        <f aca="false">D980/D968</f>
        <v>0.294112034690999</v>
      </c>
      <c r="E981" s="14" t="n">
        <f aca="false">E980/E968</f>
        <v>0.295618681882035</v>
      </c>
      <c r="F981" s="14" t="n">
        <f aca="false">F980/F968</f>
        <v>0.235356029949787</v>
      </c>
      <c r="G981" s="14" t="n">
        <f aca="false">G980/G968</f>
        <v>0.2359978657459</v>
      </c>
    </row>
    <row r="982" customFormat="false" ht="17.15" hidden="false" customHeight="false" outlineLevel="0" collapsed="false">
      <c r="A982" s="0" t="s">
        <v>449</v>
      </c>
      <c r="B982" s="0" t="s">
        <v>234</v>
      </c>
      <c r="C982" s="30" t="n">
        <f aca="false">a25_egp</f>
        <v>23.695</v>
      </c>
      <c r="D982" s="30" t="n">
        <f aca="false">a26_egp</f>
        <v>27.00552</v>
      </c>
      <c r="E982" s="30" t="n">
        <f aca="false">E969*ems_gm</f>
        <v>29.415287</v>
      </c>
      <c r="F982" s="30" t="n">
        <f aca="false">F969*ems_gm</f>
        <v>30.88605135</v>
      </c>
      <c r="G982" s="30" t="n">
        <f aca="false">G969*ems_gm</f>
        <v>32.4303539175</v>
      </c>
    </row>
    <row r="983" customFormat="false" ht="15" hidden="false" customHeight="false" outlineLevel="0" collapsed="false">
      <c r="A983" s="4" t="s">
        <v>577</v>
      </c>
      <c r="B983" s="0" t="s">
        <v>234</v>
      </c>
      <c r="C983" s="30" t="n">
        <f aca="false">a25_lgp</f>
        <v>-0.881999999999998</v>
      </c>
      <c r="D983" s="30" t="n">
        <f aca="false">a26_lgp</f>
        <v>-0.948662139013863</v>
      </c>
      <c r="E983" s="30" t="n">
        <f aca="false">$D983/$D970*E970</f>
        <v>-1.16626300509458</v>
      </c>
      <c r="F983" s="30" t="n">
        <f aca="false">$D983/$D970*F970</f>
        <v>-1.1511076875326</v>
      </c>
      <c r="G983" s="30" t="n">
        <f aca="false">$D983/$D970*G970</f>
        <v>-1.25004820795427</v>
      </c>
    </row>
    <row r="984" customFormat="false" ht="15" hidden="false" customHeight="false" outlineLevel="0" collapsed="false">
      <c r="A984" s="4" t="s">
        <v>451</v>
      </c>
      <c r="B984" s="0" t="s">
        <v>234</v>
      </c>
      <c r="C984" s="30" t="n">
        <f aca="false">C980+C982+C983</f>
        <v>114.193</v>
      </c>
      <c r="D984" s="30" t="n">
        <f aca="false">D980+D982+D983</f>
        <v>190.680245860986</v>
      </c>
      <c r="E984" s="30" t="n">
        <f aca="false">E980+E982+E983</f>
        <v>243.702221862615</v>
      </c>
      <c r="F984" s="30" t="n">
        <f aca="false">F980+F982+F983</f>
        <v>193.907624120325</v>
      </c>
      <c r="G984" s="30" t="n">
        <f aca="false">G980+G982+G983</f>
        <v>213.033270044214</v>
      </c>
    </row>
    <row r="985" customFormat="false" ht="15" hidden="false" customHeight="false" outlineLevel="0" collapsed="false">
      <c r="A985" s="4" t="s">
        <v>452</v>
      </c>
      <c r="B985" s="0" t="s">
        <v>76</v>
      </c>
      <c r="C985" s="14" t="n">
        <f aca="false">C984/C971</f>
        <v>0.176936974347214</v>
      </c>
      <c r="D985" s="14" t="n">
        <f aca="false">D984/D971</f>
        <v>0.218879008327391</v>
      </c>
      <c r="E985" s="14" t="n">
        <f aca="false">E984/E971</f>
        <v>0.227547970576207</v>
      </c>
      <c r="F985" s="14" t="n">
        <f aca="false">F984/F971</f>
        <v>0.183437831717664</v>
      </c>
      <c r="G985" s="14" t="n">
        <f aca="false">G984/G971</f>
        <v>0.185579777380697</v>
      </c>
    </row>
    <row r="986" customFormat="false" ht="15" hidden="false" customHeight="false" outlineLevel="0" collapsed="false">
      <c r="A986" s="4" t="s">
        <v>578</v>
      </c>
      <c r="B986" s="0" t="s">
        <v>234</v>
      </c>
      <c r="C986" s="30" t="n">
        <f aca="false">a25_opx</f>
        <v>63.437</v>
      </c>
      <c r="D986" s="30" t="n">
        <f aca="false">a26_opx</f>
        <v>79.658</v>
      </c>
      <c r="E986" s="30" t="n">
        <f aca="false">D986*(1+phi*E972)</f>
        <v>90.6210072145237</v>
      </c>
      <c r="F986" s="30" t="n">
        <f aca="false">E986*(1+phi*F972)</f>
        <v>89.9144478178235</v>
      </c>
      <c r="G986" s="30" t="n">
        <f aca="false">F986*(1+phi*G972)</f>
        <v>94.5514678065919</v>
      </c>
    </row>
    <row r="987" customFormat="false" ht="15" hidden="false" customHeight="false" outlineLevel="0" collapsed="false">
      <c r="A987" s="4" t="s">
        <v>455</v>
      </c>
      <c r="B987" s="0" t="s">
        <v>234</v>
      </c>
      <c r="C987" s="30" t="n">
        <f aca="false">C984-C986</f>
        <v>50.756</v>
      </c>
      <c r="D987" s="30" t="n">
        <f aca="false">D984-D986</f>
        <v>111.022245860986</v>
      </c>
      <c r="E987" s="30" t="n">
        <f aca="false">E984-E986</f>
        <v>153.081214648091</v>
      </c>
      <c r="F987" s="30" t="n">
        <f aca="false">F984-F986</f>
        <v>103.993176302501</v>
      </c>
      <c r="G987" s="30" t="n">
        <f aca="false">G984-G986</f>
        <v>118.481802237622</v>
      </c>
    </row>
    <row r="988" customFormat="false" ht="15" hidden="false" customHeight="false" outlineLevel="0" collapsed="false">
      <c r="A988" s="4" t="s">
        <v>537</v>
      </c>
      <c r="B988" s="0" t="s">
        <v>76</v>
      </c>
      <c r="C988" s="14" t="n">
        <f aca="false">C987/C971</f>
        <v>0.0786441644406156</v>
      </c>
      <c r="D988" s="14" t="n">
        <f aca="false">D987/D971</f>
        <v>0.127440779020437</v>
      </c>
      <c r="E988" s="14" t="n">
        <f aca="false">E987/E971</f>
        <v>0.142933943975902</v>
      </c>
      <c r="F988" s="14" t="n">
        <f aca="false">F987/F971</f>
        <v>0.0983781986959228</v>
      </c>
      <c r="G988" s="14" t="n">
        <f aca="false">G987/G971</f>
        <v>0.103213110695612</v>
      </c>
    </row>
    <row r="989" customFormat="false" ht="15" hidden="false" customHeight="false" outlineLevel="0" collapsed="false">
      <c r="A989" s="4" t="s">
        <v>456</v>
      </c>
      <c r="B989" s="0" t="s">
        <v>234</v>
      </c>
      <c r="C989" s="30" t="n">
        <f aca="false">a25_nonop</f>
        <v>0.545</v>
      </c>
      <c r="D989" s="30" t="n">
        <f aca="false">a26_nonop</f>
        <v>4.302</v>
      </c>
      <c r="E989" s="30" t="n">
        <f aca="false">nonop_f</f>
        <v>-5</v>
      </c>
      <c r="F989" s="30" t="n">
        <f aca="false">nonop_f</f>
        <v>-5</v>
      </c>
      <c r="G989" s="30" t="n">
        <f aca="false">nonop_f</f>
        <v>-5</v>
      </c>
    </row>
    <row r="990" customFormat="false" ht="15" hidden="false" customHeight="false" outlineLevel="0" collapsed="false">
      <c r="A990" s="4" t="s">
        <v>459</v>
      </c>
      <c r="B990" s="0" t="s">
        <v>234</v>
      </c>
      <c r="C990" s="30" t="n">
        <f aca="false">C987+C989</f>
        <v>51.301</v>
      </c>
      <c r="D990" s="30" t="n">
        <f aca="false">D987+D989</f>
        <v>115.324245860986</v>
      </c>
      <c r="E990" s="30" t="n">
        <f aca="false">E987+E989</f>
        <v>148.081214648091</v>
      </c>
      <c r="F990" s="30" t="n">
        <f aca="false">F987+F989</f>
        <v>98.9931763025011</v>
      </c>
      <c r="G990" s="30" t="n">
        <f aca="false">G987+G989</f>
        <v>113.481802237622</v>
      </c>
    </row>
    <row r="991" customFormat="false" ht="15" hidden="false" customHeight="false" outlineLevel="0" collapsed="false">
      <c r="A991" s="4" t="s">
        <v>460</v>
      </c>
      <c r="B991" s="0" t="s">
        <v>234</v>
      </c>
      <c r="C991" s="30" t="n">
        <f aca="false">a25_tax</f>
        <v>9.461</v>
      </c>
      <c r="D991" s="30" t="n">
        <f aca="false">a26_tax</f>
        <v>19.2197317963676</v>
      </c>
      <c r="E991" s="30" t="n">
        <f aca="false">E990*tax</f>
        <v>25.1738064901755</v>
      </c>
      <c r="F991" s="30" t="n">
        <f aca="false">F990*tax</f>
        <v>16.8288399714252</v>
      </c>
      <c r="G991" s="30" t="n">
        <f aca="false">G990*tax</f>
        <v>19.2919063803958</v>
      </c>
    </row>
    <row r="992" customFormat="false" ht="15" hidden="false" customHeight="false" outlineLevel="0" collapsed="false">
      <c r="A992" s="4" t="s">
        <v>461</v>
      </c>
      <c r="B992" s="0" t="s">
        <v>234</v>
      </c>
      <c r="C992" s="30" t="n">
        <f aca="false">a25_nci</f>
        <v>1.182</v>
      </c>
      <c r="D992" s="30" t="n">
        <f aca="false">a26_nci</f>
        <v>2.543</v>
      </c>
      <c r="E992" s="30" t="n">
        <f aca="false">nci</f>
        <v>3</v>
      </c>
      <c r="F992" s="30" t="n">
        <f aca="false">nci</f>
        <v>3</v>
      </c>
      <c r="G992" s="30" t="n">
        <f aca="false">nci</f>
        <v>3</v>
      </c>
    </row>
    <row r="993" customFormat="false" ht="15" hidden="false" customHeight="false" outlineLevel="0" collapsed="false">
      <c r="A993" s="4" t="s">
        <v>462</v>
      </c>
      <c r="B993" s="0" t="s">
        <v>234</v>
      </c>
      <c r="C993" s="30" t="n">
        <f aca="false">C990-C991-C992</f>
        <v>40.658</v>
      </c>
      <c r="D993" s="30" t="n">
        <f aca="false">D990-D991-D992</f>
        <v>93.5615140646185</v>
      </c>
      <c r="E993" s="30" t="n">
        <f aca="false">E990-E991-E992</f>
        <v>119.907408157916</v>
      </c>
      <c r="F993" s="30" t="n">
        <f aca="false">F990-F991-F992</f>
        <v>79.1643363310759</v>
      </c>
      <c r="G993" s="30" t="n">
        <f aca="false">G990-G991-G992</f>
        <v>91.1898958572263</v>
      </c>
      <c r="H993" s="31" t="n">
        <f aca="false">H971*H997</f>
        <v>89.7783301139472</v>
      </c>
      <c r="I993" s="31" t="n">
        <f aca="false">I971*I997</f>
        <v>85.9986008455577</v>
      </c>
      <c r="J993" s="31" t="n">
        <f aca="false">J971*J997</f>
        <v>80.0185969396837</v>
      </c>
    </row>
    <row r="994" customFormat="false" ht="15" hidden="false" customHeight="false" outlineLevel="0" collapsed="false">
      <c r="A994" s="4" t="s">
        <v>579</v>
      </c>
      <c r="B994" s="4" t="s">
        <v>580</v>
      </c>
      <c r="C994" s="18" t="n">
        <f aca="false">a25_sh</f>
        <v>4339.16755602988</v>
      </c>
      <c r="D994" s="18" t="n">
        <f aca="false">a26_sh</f>
        <v>4392.90105184664</v>
      </c>
      <c r="E994" s="18" t="n">
        <f aca="false">D994*(1+sh_g)</f>
        <v>4414.86555710588</v>
      </c>
      <c r="F994" s="18" t="n">
        <f aca="false">E994*(1+sh_g)</f>
        <v>4436.9398848914</v>
      </c>
      <c r="G994" s="18" t="n">
        <f aca="false">F994*(1+sh_g)</f>
        <v>4459.12458431586</v>
      </c>
      <c r="H994" s="25" t="n">
        <f aca="false">G994*(1+sh_g)</f>
        <v>4481.42020723744</v>
      </c>
      <c r="I994" s="25" t="n">
        <f aca="false">H994*(1+sh_g)</f>
        <v>4503.82730827363</v>
      </c>
      <c r="J994" s="25" t="n">
        <f aca="false">I994*(1+sh_g)</f>
        <v>4526.34644481499</v>
      </c>
    </row>
    <row r="995" customFormat="false" ht="17.15" hidden="false" customHeight="false" outlineLevel="0" collapsed="false">
      <c r="A995" s="0" t="s">
        <v>465</v>
      </c>
      <c r="B995" s="0" t="s">
        <v>304</v>
      </c>
      <c r="C995" s="19" t="n">
        <f aca="false">a25_eps</f>
        <v>9.37</v>
      </c>
      <c r="D995" s="19" t="n">
        <f aca="false">a26_eps</f>
        <v>21.2828697294455</v>
      </c>
      <c r="E995" s="19" t="n">
        <f aca="false">E993/E994*1000</f>
        <v>27.159922902957</v>
      </c>
      <c r="F995" s="19" t="n">
        <f aca="false">F993/F994*1000</f>
        <v>17.8421025267088</v>
      </c>
      <c r="G995" s="19" t="n">
        <f aca="false">G993/G994*1000</f>
        <v>20.4501789831057</v>
      </c>
      <c r="H995" s="28" t="n">
        <f aca="false">H993/H994*1000</f>
        <v>20.0334550125329</v>
      </c>
      <c r="I995" s="28" t="n">
        <f aca="false">I993/I994*1000</f>
        <v>19.0945600173382</v>
      </c>
      <c r="J995" s="28" t="n">
        <f aca="false">J993/J994*1000</f>
        <v>17.6784075004569</v>
      </c>
    </row>
    <row r="996" customFormat="false" ht="17.15" hidden="false" customHeight="false" outlineLevel="0" collapsed="false">
      <c r="A996" s="0" t="s">
        <v>581</v>
      </c>
      <c r="B996" s="0" t="s">
        <v>76</v>
      </c>
      <c r="D996" s="21" t="n">
        <f aca="false">D995/C995-1</f>
        <v>1.27138417603474</v>
      </c>
      <c r="E996" s="21" t="n">
        <f aca="false">E995/D995-1</f>
        <v>0.276140071720703</v>
      </c>
      <c r="F996" s="21" t="n">
        <f aca="false">F995/E995-1</f>
        <v>-0.343072416278242</v>
      </c>
      <c r="G996" s="21" t="n">
        <f aca="false">G995/F995-1</f>
        <v>0.146175399031184</v>
      </c>
      <c r="H996" s="26" t="n">
        <f aca="false">H995/G995-1</f>
        <v>-0.0203775219237486</v>
      </c>
      <c r="I996" s="26" t="n">
        <f aca="false">I995/H995-1</f>
        <v>-0.0468663540366499</v>
      </c>
      <c r="J996" s="26" t="n">
        <f aca="false">J995/I995-1</f>
        <v>-0.0741652342654384</v>
      </c>
    </row>
    <row r="997" customFormat="false" ht="17.15" hidden="false" customHeight="false" outlineLevel="0" collapsed="false">
      <c r="A997" s="4" t="s">
        <v>582</v>
      </c>
      <c r="B997" s="0" t="s">
        <v>76</v>
      </c>
      <c r="C997" s="14" t="n">
        <f aca="false">C993/C971</f>
        <v>0.0629977625862272</v>
      </c>
      <c r="D997" s="14" t="n">
        <f aca="false">D993/D971</f>
        <v>0.107397865592237</v>
      </c>
      <c r="E997" s="14" t="n">
        <f aca="false">E993/E971</f>
        <v>0.111959124438218</v>
      </c>
      <c r="F997" s="14" t="n">
        <f aca="false">F993/F971</f>
        <v>0.0748899599580952</v>
      </c>
      <c r="G997" s="14" t="n">
        <f aca="false">G993/G971</f>
        <v>0.0794382988583928</v>
      </c>
      <c r="H997" s="27" t="n">
        <f aca="false">$G997+(fade_mC-$G997)*1/3</f>
        <v>0.0735065519653057</v>
      </c>
      <c r="I997" s="27" t="n">
        <f aca="false">$G997+(fade_mC-$G997)*2/3</f>
        <v>0.0675748050722186</v>
      </c>
      <c r="J997" s="27" t="n">
        <f aca="false">$G997+(fade_mC-$G997)*3/3</f>
        <v>0.0616430581791315</v>
      </c>
    </row>
    <row r="998" customFormat="false" ht="17.15" hidden="false" customHeight="false" outlineLevel="0" collapsed="false">
      <c r="A998" s="4" t="s">
        <v>583</v>
      </c>
      <c r="B998" s="0" t="s">
        <v>234</v>
      </c>
      <c r="C998" s="30" t="n">
        <f aca="false">C993+C979-C977</f>
        <v>-54.587</v>
      </c>
      <c r="D998" s="30" t="n">
        <f aca="false">D993+D979-D977</f>
        <v>-176.164485935382</v>
      </c>
      <c r="E998" s="30" t="n">
        <f aca="false">E993+E979-E977</f>
        <v>-165.252841842084</v>
      </c>
      <c r="F998" s="30" t="n">
        <f aca="false">F993+F979-F977</f>
        <v>-71.4735102399528</v>
      </c>
      <c r="G998" s="30" t="n">
        <f aca="false">G993+G979-G977</f>
        <v>-67.8756851790609</v>
      </c>
      <c r="K998" s="4" t="s">
        <v>584</v>
      </c>
    </row>
    <row r="999" customFormat="false" ht="17.15" hidden="false" customHeight="false" outlineLevel="0" collapsed="false">
      <c r="A999" s="4" t="s">
        <v>585</v>
      </c>
      <c r="B999" s="0" t="s">
        <v>76</v>
      </c>
      <c r="D999" s="21" t="n">
        <f aca="false">(D987-$C987)/SUM($D977:D977)</f>
        <v>0.164280348537512</v>
      </c>
      <c r="E999" s="21" t="n">
        <f aca="false">(E987-$C987)/SUM($D977:E977)</f>
        <v>0.130708583570405</v>
      </c>
      <c r="F999" s="21" t="n">
        <f aca="false">(F987-$C987)/SUM($D977:F977)</f>
        <v>0.0483986373442404</v>
      </c>
      <c r="G999" s="21" t="n">
        <f aca="false">(G987-$C987)/SUM($D977:G977)</f>
        <v>0.0468900714183413</v>
      </c>
      <c r="K999" s="4" t="s">
        <v>586</v>
      </c>
    </row>
    <row r="1002" customFormat="false" ht="17.15" hidden="false" customHeight="false" outlineLevel="0" collapsed="false">
      <c r="A1002" s="1" t="s">
        <v>934</v>
      </c>
    </row>
    <row r="1003" customFormat="false" ht="17.15" hidden="false" customHeight="false" outlineLevel="0" collapsed="false">
      <c r="A1003" s="5" t="s">
        <v>21</v>
      </c>
      <c r="B1003" s="5" t="s">
        <v>22</v>
      </c>
      <c r="C1003" s="15" t="s">
        <v>424</v>
      </c>
      <c r="D1003" s="15" t="s">
        <v>524</v>
      </c>
      <c r="E1003" s="15" t="s">
        <v>525</v>
      </c>
      <c r="F1003" s="15" t="s">
        <v>526</v>
      </c>
      <c r="G1003" s="15" t="s">
        <v>527</v>
      </c>
      <c r="H1003" s="15" t="s">
        <v>528</v>
      </c>
      <c r="I1003" s="15" t="s">
        <v>529</v>
      </c>
      <c r="J1003" s="15" t="s">
        <v>530</v>
      </c>
      <c r="K1003" s="5" t="s">
        <v>382</v>
      </c>
    </row>
    <row r="1004" customFormat="false" ht="17.15" hidden="false" customHeight="false" outlineLevel="0" collapsed="false">
      <c r="A1004" s="6" t="s">
        <v>548</v>
      </c>
    </row>
    <row r="1005" customFormat="false" ht="17.15" hidden="false" customHeight="false" outlineLevel="0" collapsed="false">
      <c r="A1005" s="0" t="s">
        <v>549</v>
      </c>
      <c r="B1005" s="4" t="s">
        <v>32</v>
      </c>
      <c r="D1005" s="19" t="n">
        <f aca="false">units_26</f>
        <v>15.2</v>
      </c>
      <c r="E1005" s="19" t="n">
        <f aca="false">units_27*1</f>
        <v>23.7</v>
      </c>
      <c r="F1005" s="19" t="n">
        <f aca="false">units_28*um28_A*1</f>
        <v>26.5</v>
      </c>
      <c r="G1005" s="19" t="n">
        <f aca="false">units_29*um29_A*1</f>
        <v>30.15</v>
      </c>
    </row>
    <row r="1006" customFormat="false" ht="17.15" hidden="false" customHeight="false" outlineLevel="0" collapsed="false">
      <c r="A1006" s="4" t="s">
        <v>497</v>
      </c>
      <c r="B1006" s="0" t="s">
        <v>45</v>
      </c>
      <c r="D1006" s="22" t="n">
        <f aca="false">ar_26</f>
        <v>1</v>
      </c>
      <c r="E1006" s="22" t="n">
        <f aca="false">ar_27</f>
        <v>1.278156</v>
      </c>
      <c r="F1006" s="22" t="n">
        <f aca="false">ar_28</f>
        <v>1.428615</v>
      </c>
      <c r="G1006" s="22" t="n">
        <f aca="false">ar_29</f>
        <v>1.431796</v>
      </c>
    </row>
    <row r="1007" customFormat="false" ht="17.15" hidden="false" customHeight="false" outlineLevel="0" collapsed="false">
      <c r="A1007" s="4" t="s">
        <v>550</v>
      </c>
      <c r="B1007" s="0" t="s">
        <v>45</v>
      </c>
      <c r="D1007" s="19" t="n">
        <f aca="false">1</f>
        <v>1</v>
      </c>
      <c r="E1007" s="19" t="n">
        <f aca="false">rel27_A</f>
        <v>1.1</v>
      </c>
      <c r="F1007" s="19" t="n">
        <f aca="false">rel28_A</f>
        <v>1.15</v>
      </c>
      <c r="G1007" s="19" t="n">
        <f aca="false">rel29_A</f>
        <v>1.2</v>
      </c>
    </row>
    <row r="1008" customFormat="false" ht="17.15" hidden="false" customHeight="false" outlineLevel="0" collapsed="false">
      <c r="A1008" s="4" t="s">
        <v>551</v>
      </c>
      <c r="B1008" s="0" t="s">
        <v>502</v>
      </c>
      <c r="D1008" s="23" t="n">
        <f aca="false">D1009*1000/D1005</f>
        <v>239.473684210526</v>
      </c>
      <c r="E1008" s="23" t="n">
        <f aca="false">$D1008*E1006^el</f>
        <v>270.738318476371</v>
      </c>
      <c r="F1008" s="23" t="n">
        <f aca="false">$D1008*F1006^el</f>
        <v>286.230163461277</v>
      </c>
      <c r="G1008" s="23" t="n">
        <f aca="false">$D1008*G1006^el</f>
        <v>286.548650904484</v>
      </c>
      <c r="K1008" s="8" t="s">
        <v>552</v>
      </c>
    </row>
    <row r="1009" customFormat="false" ht="17.15" hidden="false" customHeight="false" outlineLevel="0" collapsed="false">
      <c r="A1009" s="0" t="s">
        <v>553</v>
      </c>
      <c r="B1009" s="0" t="s">
        <v>120</v>
      </c>
      <c r="D1009" s="22" t="n">
        <f aca="false">leap26-D1010-D1011</f>
        <v>3.64</v>
      </c>
      <c r="E1009" s="22" t="n">
        <f aca="false">E1005*E1007*E1008/1000</f>
        <v>7.05814796267899</v>
      </c>
      <c r="F1009" s="22" t="n">
        <f aca="false">F1005*F1007*F1008/1000</f>
        <v>8.72286423148241</v>
      </c>
      <c r="G1009" s="22" t="n">
        <f aca="false">G1005*G1007*G1008/1000</f>
        <v>10.3673301897242</v>
      </c>
      <c r="K1009" s="8" t="s">
        <v>554</v>
      </c>
    </row>
    <row r="1010" customFormat="false" ht="17.15" hidden="false" customHeight="false" outlineLevel="0" collapsed="false">
      <c r="A1010" s="4" t="s">
        <v>555</v>
      </c>
      <c r="B1010" s="0" t="s">
        <v>120</v>
      </c>
      <c r="D1010" s="22" t="n">
        <f aca="false">fp26</f>
        <v>0.3</v>
      </c>
      <c r="E1010" s="22" t="n">
        <f aca="false">fp27_A</f>
        <v>1.2</v>
      </c>
      <c r="F1010" s="22" t="n">
        <f aca="false">E1010*F1005/E1005*(1+fp_g)</f>
        <v>1.74430379746835</v>
      </c>
      <c r="G1010" s="22" t="n">
        <f aca="false">F1010*G1005/F1005*(1+fp_g)</f>
        <v>2.57992405063291</v>
      </c>
    </row>
    <row r="1011" customFormat="false" ht="17.15" hidden="false" customHeight="false" outlineLevel="0" collapsed="false">
      <c r="A1011" s="0" t="s">
        <v>556</v>
      </c>
      <c r="B1011" s="0" t="s">
        <v>120</v>
      </c>
      <c r="D1011" s="22" t="n">
        <f aca="false">cpo27_lo*cpo_A_26/cpo_A_27</f>
        <v>0.06</v>
      </c>
      <c r="E1011" s="22" t="n">
        <f aca="false">cpo27_lo*cpo_A_27/cpo_A_27</f>
        <v>0.3</v>
      </c>
      <c r="F1011" s="22" t="n">
        <f aca="false">cpo27_lo*cpo_A_28/cpo_A_27*F1005/E1005</f>
        <v>0.670886075949367</v>
      </c>
      <c r="G1011" s="22" t="n">
        <f aca="false">cpo27_lo*cpo_A_29/cpo_A_27*G1005/E1005</f>
        <v>1.22126582278481</v>
      </c>
      <c r="K1011" s="8" t="s">
        <v>557</v>
      </c>
    </row>
    <row r="1012" customFormat="false" ht="17.15" hidden="false" customHeight="false" outlineLevel="0" collapsed="false">
      <c r="A1012" s="0" t="s">
        <v>510</v>
      </c>
      <c r="B1012" s="0" t="s">
        <v>120</v>
      </c>
      <c r="C1012" s="22" t="n">
        <f aca="false">leap25</f>
        <v>1.6</v>
      </c>
      <c r="D1012" s="22" t="n">
        <f aca="false">D1009+D1010+D1011</f>
        <v>4</v>
      </c>
      <c r="E1012" s="22" t="n">
        <f aca="false">E1009+E1010+E1011</f>
        <v>8.55814796267899</v>
      </c>
      <c r="F1012" s="22" t="n">
        <f aca="false">F1009+F1010+F1011</f>
        <v>11.1380541049001</v>
      </c>
      <c r="G1012" s="22" t="n">
        <f aca="false">G1009+G1010+G1011</f>
        <v>14.168520063142</v>
      </c>
    </row>
    <row r="1013" customFormat="false" ht="17.15" hidden="false" customHeight="false" outlineLevel="0" collapsed="false">
      <c r="A1013" s="4" t="s">
        <v>558</v>
      </c>
      <c r="B1013" s="0" t="s">
        <v>114</v>
      </c>
      <c r="C1013" s="19" t="n">
        <f aca="false">fx25</f>
        <v>31</v>
      </c>
      <c r="D1013" s="19" t="n">
        <f aca="false">a26_leap/D1012</f>
        <v>31.9</v>
      </c>
      <c r="E1013" s="19" t="n">
        <f aca="false">fx</f>
        <v>32</v>
      </c>
      <c r="F1013" s="19" t="n">
        <f aca="false">fx</f>
        <v>32</v>
      </c>
      <c r="G1013" s="19" t="n">
        <f aca="false">fx</f>
        <v>32</v>
      </c>
      <c r="K1013" s="8" t="s">
        <v>559</v>
      </c>
    </row>
    <row r="1014" customFormat="false" ht="17.15" hidden="false" customHeight="false" outlineLevel="0" collapsed="false">
      <c r="A1014" s="6" t="s">
        <v>560</v>
      </c>
    </row>
    <row r="1015" customFormat="false" ht="17.15" hidden="false" customHeight="false" outlineLevel="0" collapsed="false">
      <c r="A1015" s="0" t="s">
        <v>438</v>
      </c>
      <c r="B1015" s="0" t="s">
        <v>234</v>
      </c>
      <c r="C1015" s="30" t="n">
        <f aca="false">a25_leap</f>
        <v>49.6</v>
      </c>
      <c r="D1015" s="30" t="n">
        <f aca="false">a26_leap</f>
        <v>127.6</v>
      </c>
      <c r="E1015" s="30" t="n">
        <f aca="false">E1012*E1013</f>
        <v>273.860734805728</v>
      </c>
      <c r="F1015" s="30" t="n">
        <f aca="false">F1012*F1013</f>
        <v>356.417731356804</v>
      </c>
      <c r="G1015" s="30" t="n">
        <f aca="false">G1012*G1013</f>
        <v>453.392642020543</v>
      </c>
    </row>
    <row r="1016" customFormat="false" ht="15" hidden="false" customHeight="false" outlineLevel="0" collapsed="false">
      <c r="A1016" s="4" t="s">
        <v>561</v>
      </c>
      <c r="B1016" s="0" t="s">
        <v>234</v>
      </c>
      <c r="C1016" s="30" t="n">
        <f aca="false">a25_ms</f>
        <v>339.628</v>
      </c>
      <c r="D1016" s="30" t="n">
        <f aca="false">a26_ms</f>
        <v>432.1302</v>
      </c>
      <c r="E1016" s="30" t="n">
        <f aca="false">D1016*(1+g_ms27)</f>
        <v>496.94973</v>
      </c>
      <c r="F1016" s="30" t="n">
        <f aca="false">E1016*(1+g_msL)</f>
        <v>531.7362111</v>
      </c>
      <c r="G1016" s="30" t="n">
        <f aca="false">F1016*(1+g_msL)</f>
        <v>568.957745877</v>
      </c>
    </row>
    <row r="1017" customFormat="false" ht="17.15" hidden="false" customHeight="false" outlineLevel="0" collapsed="false">
      <c r="A1017" s="4" t="s">
        <v>562</v>
      </c>
      <c r="B1017" s="0" t="s">
        <v>234</v>
      </c>
      <c r="C1017" s="30" t="n">
        <f aca="false">C1015+C1016</f>
        <v>389.228</v>
      </c>
      <c r="D1017" s="30" t="n">
        <f aca="false">D1015+D1016</f>
        <v>559.7302</v>
      </c>
      <c r="E1017" s="30" t="n">
        <f aca="false">E1015+E1016</f>
        <v>770.810464805728</v>
      </c>
      <c r="F1017" s="30" t="n">
        <f aca="false">F1015+F1016</f>
        <v>888.153942456804</v>
      </c>
      <c r="G1017" s="30" t="n">
        <f aca="false">G1015+G1016</f>
        <v>1022.35038789754</v>
      </c>
    </row>
    <row r="1018" customFormat="false" ht="17.15" hidden="false" customHeight="false" outlineLevel="0" collapsed="false">
      <c r="A1018" s="0" t="s">
        <v>563</v>
      </c>
      <c r="B1018" s="0" t="s">
        <v>234</v>
      </c>
      <c r="C1018" s="30" t="n">
        <f aca="false">a25_ems</f>
        <v>259.079</v>
      </c>
      <c r="D1018" s="30" t="n">
        <f aca="false">a26_ems</f>
        <v>314.602</v>
      </c>
      <c r="E1018" s="30" t="n">
        <f aca="false">D1018*(1+g_ems27)</f>
        <v>346.0622</v>
      </c>
      <c r="F1018" s="30" t="n">
        <f aca="false">E1018*(1+g_emsL)</f>
        <v>363.36531</v>
      </c>
      <c r="G1018" s="30" t="n">
        <f aca="false">F1018*(1+g_emsL)</f>
        <v>381.5335755</v>
      </c>
    </row>
    <row r="1019" customFormat="false" ht="17.15" hidden="false" customHeight="false" outlineLevel="0" collapsed="false">
      <c r="A1019" s="4" t="s">
        <v>564</v>
      </c>
      <c r="B1019" s="0" t="s">
        <v>234</v>
      </c>
      <c r="C1019" s="30" t="n">
        <f aca="false">a25_elim</f>
        <v>-2.91899999999998</v>
      </c>
      <c r="D1019" s="30" t="n">
        <f aca="false">a26_elim</f>
        <v>-3.16484905982349</v>
      </c>
      <c r="E1019" s="30" t="n">
        <f aca="false">$D1019/($D1017+$D1018)*(E1017+E1018)</f>
        <v>-4.04278076817136</v>
      </c>
      <c r="F1019" s="30" t="n">
        <f aca="false">$D1019/($D1017+$D1018)*(F1017+F1018)</f>
        <v>-4.53016545597761</v>
      </c>
      <c r="G1019" s="30" t="n">
        <f aca="false">$D1019/($D1017+$D1018)*(G1017+G1018)</f>
        <v>-5.08168501818872</v>
      </c>
      <c r="K1019" s="4" t="s">
        <v>565</v>
      </c>
    </row>
    <row r="1020" customFormat="false" ht="17.15" hidden="false" customHeight="false" outlineLevel="0" collapsed="false">
      <c r="A1020" s="4" t="s">
        <v>431</v>
      </c>
      <c r="B1020" s="0" t="s">
        <v>234</v>
      </c>
      <c r="C1020" s="30" t="n">
        <f aca="false">C1017+C1018+C1019</f>
        <v>645.388</v>
      </c>
      <c r="D1020" s="30" t="n">
        <f aca="false">D1017+D1018+D1019</f>
        <v>871.167350940177</v>
      </c>
      <c r="E1020" s="30" t="n">
        <f aca="false">E1017+E1018+E1019</f>
        <v>1112.82988403756</v>
      </c>
      <c r="F1020" s="30" t="n">
        <f aca="false">F1017+F1018+F1019</f>
        <v>1246.98908700083</v>
      </c>
      <c r="G1020" s="30" t="n">
        <f aca="false">G1017+G1018+G1019</f>
        <v>1398.80227837935</v>
      </c>
      <c r="H1020" s="31" t="n">
        <f aca="false">G1020*(1+H1021)</f>
        <v>1540.30866151607</v>
      </c>
      <c r="I1020" s="31" t="n">
        <f aca="false">H1020*(1+I1021)</f>
        <v>1664.42868508214</v>
      </c>
      <c r="J1020" s="31" t="n">
        <f aca="false">I1020*(1+J1021)</f>
        <v>1764.29440618707</v>
      </c>
      <c r="K1020" s="8" t="s">
        <v>566</v>
      </c>
    </row>
    <row r="1021" customFormat="false" ht="15" hidden="false" customHeight="false" outlineLevel="0" collapsed="false">
      <c r="A1021" s="4" t="s">
        <v>567</v>
      </c>
      <c r="B1021" s="0" t="s">
        <v>76</v>
      </c>
      <c r="D1021" s="21" t="n">
        <f aca="false">D1020/C1020-1</f>
        <v>0.349835061916516</v>
      </c>
      <c r="E1021" s="21" t="n">
        <f aca="false">E1020/D1020-1</f>
        <v>0.277400814937077</v>
      </c>
      <c r="F1021" s="21" t="n">
        <f aca="false">F1020/E1020-1</f>
        <v>0.120556793888851</v>
      </c>
      <c r="G1021" s="21" t="n">
        <f aca="false">G1020/F1020-1</f>
        <v>0.121743801097457</v>
      </c>
      <c r="H1021" s="26" t="n">
        <f aca="false">$G1021+(fade_gA-$G1021)*1/3</f>
        <v>0.101162534064971</v>
      </c>
      <c r="I1021" s="26" t="n">
        <f aca="false">$G1021+(fade_gA-$G1021)*2/3</f>
        <v>0.0805812670324856</v>
      </c>
      <c r="J1021" s="26" t="n">
        <f aca="false">$G1021+(fade_gA-$G1021)*3/3</f>
        <v>0.06</v>
      </c>
    </row>
    <row r="1022" customFormat="false" ht="17.15" hidden="false" customHeight="false" outlineLevel="0" collapsed="false">
      <c r="A1022" s="0" t="s">
        <v>475</v>
      </c>
      <c r="B1022" s="0" t="s">
        <v>76</v>
      </c>
      <c r="C1022" s="21" t="n">
        <f aca="false">C1015/C1017</f>
        <v>0.127431736668482</v>
      </c>
      <c r="D1022" s="21" t="n">
        <f aca="false">D1015/D1017</f>
        <v>0.227966974088588</v>
      </c>
      <c r="E1022" s="21" t="n">
        <f aca="false">E1015/E1017</f>
        <v>0.355289331567067</v>
      </c>
      <c r="F1022" s="21" t="n">
        <f aca="false">F1015/F1017</f>
        <v>0.401301749976907</v>
      </c>
      <c r="G1022" s="21" t="n">
        <f aca="false">G1015/G1017</f>
        <v>0.44348067686749</v>
      </c>
    </row>
    <row r="1023" customFormat="false" ht="15" hidden="false" customHeight="false" outlineLevel="0" collapsed="false">
      <c r="A1023" s="4" t="s">
        <v>568</v>
      </c>
      <c r="B1023" s="0" t="s">
        <v>76</v>
      </c>
      <c r="D1023" s="21" t="n">
        <f aca="false">D1017/C1017-1</f>
        <v>0.438052247012034</v>
      </c>
      <c r="E1023" s="21" t="n">
        <f aca="false">E1017/D1017-1</f>
        <v>0.377110730858774</v>
      </c>
      <c r="F1023" s="21" t="n">
        <f aca="false">F1017/E1017-1</f>
        <v>0.152233892777586</v>
      </c>
      <c r="G1023" s="21" t="n">
        <f aca="false">G1017/F1017-1</f>
        <v>0.151095929461874</v>
      </c>
    </row>
    <row r="1024" customFormat="false" ht="17.15" hidden="false" customHeight="false" outlineLevel="0" collapsed="false">
      <c r="A1024" s="6" t="s">
        <v>569</v>
      </c>
    </row>
    <row r="1025" customFormat="false" ht="17.15" hidden="false" customHeight="false" outlineLevel="0" collapsed="false">
      <c r="A1025" s="4" t="s">
        <v>570</v>
      </c>
      <c r="B1025" s="0" t="s">
        <v>120</v>
      </c>
      <c r="C1025" s="19" t="n">
        <f aca="false">capex25</f>
        <v>5.5</v>
      </c>
      <c r="D1025" s="19" t="n">
        <f aca="false">capex26</f>
        <v>11.5</v>
      </c>
      <c r="E1025" s="19" t="n">
        <f aca="false">capex27</f>
        <v>13</v>
      </c>
      <c r="F1025" s="19" t="n">
        <f aca="false">capi*F1020/F1013</f>
        <v>11.6905226906327</v>
      </c>
      <c r="G1025" s="19" t="n">
        <f aca="false">capi*G1020/G1013</f>
        <v>13.1137713598064</v>
      </c>
      <c r="K1025" s="8" t="s">
        <v>571</v>
      </c>
    </row>
    <row r="1026" customFormat="false" ht="15" hidden="false" customHeight="false" outlineLevel="0" collapsed="false">
      <c r="A1026" s="4" t="s">
        <v>572</v>
      </c>
      <c r="B1026" s="0" t="s">
        <v>234</v>
      </c>
      <c r="C1026" s="30" t="n">
        <f aca="false">C1025*C1013</f>
        <v>170.5</v>
      </c>
      <c r="D1026" s="30" t="n">
        <f aca="false">D1025*31.9</f>
        <v>366.85</v>
      </c>
      <c r="E1026" s="30" t="n">
        <f aca="false">E1025*E1013</f>
        <v>416</v>
      </c>
      <c r="F1026" s="30" t="n">
        <f aca="false">F1025*F1013</f>
        <v>374.096726100248</v>
      </c>
      <c r="G1026" s="30" t="n">
        <f aca="false">G1025*G1013</f>
        <v>419.640683513806</v>
      </c>
    </row>
    <row r="1027" customFormat="false" ht="17.15" hidden="false" customHeight="false" outlineLevel="0" collapsed="false">
      <c r="A1027" s="4" t="s">
        <v>473</v>
      </c>
      <c r="B1027" s="0" t="s">
        <v>76</v>
      </c>
      <c r="C1027" s="21" t="n">
        <f aca="false">C1026/C1020</f>
        <v>0.264182166386732</v>
      </c>
      <c r="D1027" s="21" t="n">
        <f aca="false">D1026/D1020</f>
        <v>0.421101639775745</v>
      </c>
      <c r="E1027" s="21" t="n">
        <f aca="false">E1026/E1020</f>
        <v>0.373821736787544</v>
      </c>
      <c r="F1027" s="21" t="n">
        <f aca="false">F1026/F1020</f>
        <v>0.3</v>
      </c>
      <c r="G1027" s="21" t="n">
        <f aca="false">G1026/G1020</f>
        <v>0.3</v>
      </c>
    </row>
    <row r="1028" customFormat="false" ht="17.15" hidden="false" customHeight="false" outlineLevel="0" collapsed="false">
      <c r="A1028" s="4" t="s">
        <v>573</v>
      </c>
      <c r="B1028" s="0" t="s">
        <v>234</v>
      </c>
      <c r="C1028" s="30" t="n">
        <f aca="false">a25_da</f>
        <v>75.255</v>
      </c>
      <c r="D1028" s="30" t="n">
        <f aca="false">a26_da</f>
        <v>97.124</v>
      </c>
      <c r="E1028" s="30" t="n">
        <f aca="false">D1028*(1-1/life)+D1026/life</f>
        <v>130.83975</v>
      </c>
      <c r="F1028" s="30" t="n">
        <f aca="false">E1028*(1-1/life)+E1026/life</f>
        <v>166.48478125</v>
      </c>
      <c r="G1028" s="30" t="n">
        <f aca="false">F1028*(1-1/life)+F1026/life</f>
        <v>192.436274356281</v>
      </c>
      <c r="K1028" s="4" t="s">
        <v>574</v>
      </c>
    </row>
    <row r="1029" customFormat="false" ht="17.15" hidden="false" customHeight="false" outlineLevel="0" collapsed="false">
      <c r="A1029" s="4" t="s">
        <v>575</v>
      </c>
      <c r="B1029" s="0" t="s">
        <v>234</v>
      </c>
      <c r="C1029" s="30" t="n">
        <f aca="false">a25_agp</f>
        <v>91.38</v>
      </c>
      <c r="D1029" s="30" t="n">
        <f aca="false">a26_agp</f>
        <v>164.623388</v>
      </c>
      <c r="E1029" s="30" t="n">
        <f aca="false">$D1029+ft*(E1017-$D1017)-(E1028-$D1028)</f>
        <v>236.447770402864</v>
      </c>
      <c r="F1029" s="30" t="n">
        <f aca="false">$D1029+ft*(F1017-$D1017)-(F1028-$D1028)</f>
        <v>259.474477978402</v>
      </c>
      <c r="G1029" s="30" t="n">
        <f aca="false">$D1029+ft*(G1017-$D1017)-(G1028-$D1028)</f>
        <v>300.621207592491</v>
      </c>
      <c r="K1029" s="4" t="s">
        <v>576</v>
      </c>
    </row>
    <row r="1030" customFormat="false" ht="15" hidden="false" customHeight="false" outlineLevel="0" collapsed="false">
      <c r="A1030" s="4" t="s">
        <v>447</v>
      </c>
      <c r="B1030" s="0" t="s">
        <v>76</v>
      </c>
      <c r="C1030" s="14" t="n">
        <f aca="false">C1029/C1017</f>
        <v>0.234772421305764</v>
      </c>
      <c r="D1030" s="14" t="n">
        <f aca="false">D1029/D1017</f>
        <v>0.294112034690999</v>
      </c>
      <c r="E1030" s="14" t="n">
        <f aca="false">E1029/E1017</f>
        <v>0.306752153997361</v>
      </c>
      <c r="F1030" s="14" t="n">
        <f aca="false">F1029/F1017</f>
        <v>0.292150341933568</v>
      </c>
      <c r="G1030" s="14" t="n">
        <f aca="false">G1029/G1017</f>
        <v>0.29404909623081</v>
      </c>
    </row>
    <row r="1031" customFormat="false" ht="17.15" hidden="false" customHeight="false" outlineLevel="0" collapsed="false">
      <c r="A1031" s="0" t="s">
        <v>449</v>
      </c>
      <c r="B1031" s="0" t="s">
        <v>234</v>
      </c>
      <c r="C1031" s="30" t="n">
        <f aca="false">a25_egp</f>
        <v>23.695</v>
      </c>
      <c r="D1031" s="30" t="n">
        <f aca="false">a26_egp</f>
        <v>27.00552</v>
      </c>
      <c r="E1031" s="30" t="n">
        <f aca="false">E1018*ems_gm</f>
        <v>29.415287</v>
      </c>
      <c r="F1031" s="30" t="n">
        <f aca="false">F1018*ems_gm</f>
        <v>30.88605135</v>
      </c>
      <c r="G1031" s="30" t="n">
        <f aca="false">G1018*ems_gm</f>
        <v>32.4303539175</v>
      </c>
    </row>
    <row r="1032" customFormat="false" ht="15" hidden="false" customHeight="false" outlineLevel="0" collapsed="false">
      <c r="A1032" s="4" t="s">
        <v>577</v>
      </c>
      <c r="B1032" s="0" t="s">
        <v>234</v>
      </c>
      <c r="C1032" s="30" t="n">
        <f aca="false">a25_lgp</f>
        <v>-0.881999999999998</v>
      </c>
      <c r="D1032" s="30" t="n">
        <f aca="false">a26_lgp</f>
        <v>-0.948662139013863</v>
      </c>
      <c r="E1032" s="30" t="n">
        <f aca="false">$D1032/$D1019*E1019</f>
        <v>-1.21182178947626</v>
      </c>
      <c r="F1032" s="30" t="n">
        <f aca="false">$D1032/$D1019*F1019</f>
        <v>-1.35791513918017</v>
      </c>
      <c r="G1032" s="30" t="n">
        <f aca="false">$D1032/$D1019*G1019</f>
        <v>-1.52323288979174</v>
      </c>
    </row>
    <row r="1033" customFormat="false" ht="15" hidden="false" customHeight="false" outlineLevel="0" collapsed="false">
      <c r="A1033" s="4" t="s">
        <v>451</v>
      </c>
      <c r="B1033" s="0" t="s">
        <v>234</v>
      </c>
      <c r="C1033" s="30" t="n">
        <f aca="false">C1029+C1031+C1032</f>
        <v>114.193</v>
      </c>
      <c r="D1033" s="30" t="n">
        <f aca="false">D1029+D1031+D1032</f>
        <v>190.680245860986</v>
      </c>
      <c r="E1033" s="30" t="n">
        <f aca="false">E1029+E1031+E1032</f>
        <v>264.651235613388</v>
      </c>
      <c r="F1033" s="30" t="n">
        <f aca="false">F1029+F1031+F1032</f>
        <v>289.002614189222</v>
      </c>
      <c r="G1033" s="30" t="n">
        <f aca="false">G1029+G1031+G1032</f>
        <v>331.528328620199</v>
      </c>
    </row>
    <row r="1034" customFormat="false" ht="15" hidden="false" customHeight="false" outlineLevel="0" collapsed="false">
      <c r="A1034" s="4" t="s">
        <v>452</v>
      </c>
      <c r="B1034" s="0" t="s">
        <v>76</v>
      </c>
      <c r="C1034" s="14" t="n">
        <f aca="false">C1033/C1020</f>
        <v>0.176936974347214</v>
      </c>
      <c r="D1034" s="14" t="n">
        <f aca="false">D1033/D1020</f>
        <v>0.218879008327391</v>
      </c>
      <c r="E1034" s="14" t="n">
        <f aca="false">E1033/E1020</f>
        <v>0.237818232067226</v>
      </c>
      <c r="F1034" s="14" t="n">
        <f aca="false">F1033/F1020</f>
        <v>0.231760339526556</v>
      </c>
      <c r="G1034" s="14" t="n">
        <f aca="false">G1033/G1020</f>
        <v>0.237008713629138</v>
      </c>
    </row>
    <row r="1035" customFormat="false" ht="15" hidden="false" customHeight="false" outlineLevel="0" collapsed="false">
      <c r="A1035" s="4" t="s">
        <v>578</v>
      </c>
      <c r="B1035" s="0" t="s">
        <v>234</v>
      </c>
      <c r="C1035" s="30" t="n">
        <f aca="false">a25_opx</f>
        <v>63.437</v>
      </c>
      <c r="D1035" s="30" t="n">
        <f aca="false">a26_opx</f>
        <v>79.658</v>
      </c>
      <c r="E1035" s="30" t="n">
        <f aca="false">D1035*(1+phi*E1021)</f>
        <v>92.9163164697546</v>
      </c>
      <c r="F1035" s="30" t="n">
        <f aca="false">E1035*(1+phi*F1021)</f>
        <v>99.6373323978879</v>
      </c>
      <c r="G1035" s="30" t="n">
        <f aca="false">F1035*(1+phi*G1021)</f>
        <v>106.915468944286</v>
      </c>
    </row>
    <row r="1036" customFormat="false" ht="15" hidden="false" customHeight="false" outlineLevel="0" collapsed="false">
      <c r="A1036" s="4" t="s">
        <v>455</v>
      </c>
      <c r="B1036" s="0" t="s">
        <v>234</v>
      </c>
      <c r="C1036" s="30" t="n">
        <f aca="false">C1033-C1035</f>
        <v>50.756</v>
      </c>
      <c r="D1036" s="30" t="n">
        <f aca="false">D1033-D1035</f>
        <v>111.022245860986</v>
      </c>
      <c r="E1036" s="30" t="n">
        <f aca="false">E1033-E1035</f>
        <v>171.734919143633</v>
      </c>
      <c r="F1036" s="30" t="n">
        <f aca="false">F1033-F1035</f>
        <v>189.365281791334</v>
      </c>
      <c r="G1036" s="30" t="n">
        <f aca="false">G1033-G1035</f>
        <v>224.612859675913</v>
      </c>
    </row>
    <row r="1037" customFormat="false" ht="15" hidden="false" customHeight="false" outlineLevel="0" collapsed="false">
      <c r="A1037" s="4" t="s">
        <v>537</v>
      </c>
      <c r="B1037" s="0" t="s">
        <v>76</v>
      </c>
      <c r="C1037" s="14" t="n">
        <f aca="false">C1036/C1020</f>
        <v>0.0786441644406156</v>
      </c>
      <c r="D1037" s="14" t="n">
        <f aca="false">D1036/D1020</f>
        <v>0.127440779020437</v>
      </c>
      <c r="E1037" s="14" t="n">
        <f aca="false">E1036/E1020</f>
        <v>0.154322706108993</v>
      </c>
      <c r="F1037" s="14" t="n">
        <f aca="false">F1036/F1020</f>
        <v>0.151858010439195</v>
      </c>
      <c r="G1037" s="14" t="n">
        <f aca="false">G1036/G1020</f>
        <v>0.160575131416106</v>
      </c>
    </row>
    <row r="1038" customFormat="false" ht="15" hidden="false" customHeight="false" outlineLevel="0" collapsed="false">
      <c r="A1038" s="4" t="s">
        <v>456</v>
      </c>
      <c r="B1038" s="0" t="s">
        <v>234</v>
      </c>
      <c r="C1038" s="30" t="n">
        <f aca="false">a25_nonop</f>
        <v>0.545</v>
      </c>
      <c r="D1038" s="30" t="n">
        <f aca="false">a26_nonop</f>
        <v>4.302</v>
      </c>
      <c r="E1038" s="30" t="n">
        <f aca="false">nonop_f</f>
        <v>-5</v>
      </c>
      <c r="F1038" s="30" t="n">
        <f aca="false">nonop_f</f>
        <v>-5</v>
      </c>
      <c r="G1038" s="30" t="n">
        <f aca="false">nonop_f</f>
        <v>-5</v>
      </c>
    </row>
    <row r="1039" customFormat="false" ht="15" hidden="false" customHeight="false" outlineLevel="0" collapsed="false">
      <c r="A1039" s="4" t="s">
        <v>459</v>
      </c>
      <c r="B1039" s="0" t="s">
        <v>234</v>
      </c>
      <c r="C1039" s="30" t="n">
        <f aca="false">C1036+C1038</f>
        <v>51.301</v>
      </c>
      <c r="D1039" s="30" t="n">
        <f aca="false">D1036+D1038</f>
        <v>115.324245860986</v>
      </c>
      <c r="E1039" s="30" t="n">
        <f aca="false">E1036+E1038</f>
        <v>166.734919143633</v>
      </c>
      <c r="F1039" s="30" t="n">
        <f aca="false">F1036+F1038</f>
        <v>184.365281791334</v>
      </c>
      <c r="G1039" s="30" t="n">
        <f aca="false">G1036+G1038</f>
        <v>219.612859675913</v>
      </c>
    </row>
    <row r="1040" customFormat="false" ht="15" hidden="false" customHeight="false" outlineLevel="0" collapsed="false">
      <c r="A1040" s="4" t="s">
        <v>460</v>
      </c>
      <c r="B1040" s="0" t="s">
        <v>234</v>
      </c>
      <c r="C1040" s="30" t="n">
        <f aca="false">a25_tax</f>
        <v>9.461</v>
      </c>
      <c r="D1040" s="30" t="n">
        <f aca="false">a26_tax</f>
        <v>19.2197317963676</v>
      </c>
      <c r="E1040" s="30" t="n">
        <f aca="false">E1039*tax</f>
        <v>28.3449362544176</v>
      </c>
      <c r="F1040" s="30" t="n">
        <f aca="false">F1039*tax</f>
        <v>31.3420979045268</v>
      </c>
      <c r="G1040" s="30" t="n">
        <f aca="false">G1039*tax</f>
        <v>37.3341861449052</v>
      </c>
    </row>
    <row r="1041" customFormat="false" ht="15" hidden="false" customHeight="false" outlineLevel="0" collapsed="false">
      <c r="A1041" s="4" t="s">
        <v>461</v>
      </c>
      <c r="B1041" s="0" t="s">
        <v>234</v>
      </c>
      <c r="C1041" s="30" t="n">
        <f aca="false">a25_nci</f>
        <v>1.182</v>
      </c>
      <c r="D1041" s="30" t="n">
        <f aca="false">a26_nci</f>
        <v>2.543</v>
      </c>
      <c r="E1041" s="30" t="n">
        <f aca="false">nci</f>
        <v>3</v>
      </c>
      <c r="F1041" s="30" t="n">
        <f aca="false">nci</f>
        <v>3</v>
      </c>
      <c r="G1041" s="30" t="n">
        <f aca="false">nci</f>
        <v>3</v>
      </c>
    </row>
    <row r="1042" customFormat="false" ht="15" hidden="false" customHeight="false" outlineLevel="0" collapsed="false">
      <c r="A1042" s="4" t="s">
        <v>462</v>
      </c>
      <c r="B1042" s="0" t="s">
        <v>234</v>
      </c>
      <c r="C1042" s="30" t="n">
        <f aca="false">C1039-C1040-C1041</f>
        <v>40.658</v>
      </c>
      <c r="D1042" s="30" t="n">
        <f aca="false">D1039-D1040-D1041</f>
        <v>93.5615140646185</v>
      </c>
      <c r="E1042" s="30" t="n">
        <f aca="false">E1039-E1040-E1041</f>
        <v>135.389982889215</v>
      </c>
      <c r="F1042" s="30" t="n">
        <f aca="false">F1039-F1040-F1041</f>
        <v>150.023183886807</v>
      </c>
      <c r="G1042" s="30" t="n">
        <f aca="false">G1039-G1040-G1041</f>
        <v>179.278673531008</v>
      </c>
      <c r="H1042" s="31" t="n">
        <f aca="false">H1020*H1046</f>
        <v>199.283861967012</v>
      </c>
      <c r="I1042" s="31" t="n">
        <f aca="false">I1020*I1046</f>
        <v>217.361910194666</v>
      </c>
      <c r="J1042" s="31" t="n">
        <f aca="false">J1020*J1046</f>
        <v>232.544297065446</v>
      </c>
    </row>
    <row r="1043" customFormat="false" ht="15" hidden="false" customHeight="false" outlineLevel="0" collapsed="false">
      <c r="A1043" s="4" t="s">
        <v>579</v>
      </c>
      <c r="B1043" s="4" t="s">
        <v>580</v>
      </c>
      <c r="C1043" s="18" t="n">
        <f aca="false">a25_sh</f>
        <v>4339.16755602988</v>
      </c>
      <c r="D1043" s="18" t="n">
        <f aca="false">a26_sh</f>
        <v>4392.90105184664</v>
      </c>
      <c r="E1043" s="18" t="n">
        <f aca="false">D1043*(1+sh_g)</f>
        <v>4414.86555710588</v>
      </c>
      <c r="F1043" s="18" t="n">
        <f aca="false">E1043*(1+sh_g)</f>
        <v>4436.9398848914</v>
      </c>
      <c r="G1043" s="18" t="n">
        <f aca="false">F1043*(1+sh_g)</f>
        <v>4459.12458431586</v>
      </c>
      <c r="H1043" s="25" t="n">
        <f aca="false">G1043*(1+sh_g)</f>
        <v>4481.42020723744</v>
      </c>
      <c r="I1043" s="25" t="n">
        <f aca="false">H1043*(1+sh_g)</f>
        <v>4503.82730827363</v>
      </c>
      <c r="J1043" s="25" t="n">
        <f aca="false">I1043*(1+sh_g)</f>
        <v>4526.34644481499</v>
      </c>
    </row>
    <row r="1044" customFormat="false" ht="17.15" hidden="false" customHeight="false" outlineLevel="0" collapsed="false">
      <c r="A1044" s="0" t="s">
        <v>465</v>
      </c>
      <c r="B1044" s="0" t="s">
        <v>304</v>
      </c>
      <c r="C1044" s="19" t="n">
        <f aca="false">a25_eps</f>
        <v>9.37</v>
      </c>
      <c r="D1044" s="19" t="n">
        <f aca="false">a26_eps</f>
        <v>21.2828697294455</v>
      </c>
      <c r="E1044" s="19" t="n">
        <f aca="false">E1042/E1043*1000</f>
        <v>30.6668416371821</v>
      </c>
      <c r="F1044" s="19" t="n">
        <f aca="false">F1042/F1043*1000</f>
        <v>33.8123093345627</v>
      </c>
      <c r="G1044" s="19" t="n">
        <f aca="false">G1042/G1043*1000</f>
        <v>40.2049034829812</v>
      </c>
      <c r="H1044" s="28" t="n">
        <f aca="false">H1042/H1043*1000</f>
        <v>44.4689077906978</v>
      </c>
      <c r="I1044" s="28" t="n">
        <f aca="false">I1042/I1043*1000</f>
        <v>48.2615995944978</v>
      </c>
      <c r="J1044" s="28" t="n">
        <f aca="false">J1042/J1043*1000</f>
        <v>51.3757176788421</v>
      </c>
    </row>
    <row r="1045" customFormat="false" ht="17.15" hidden="false" customHeight="false" outlineLevel="0" collapsed="false">
      <c r="A1045" s="0" t="s">
        <v>581</v>
      </c>
      <c r="B1045" s="0" t="s">
        <v>76</v>
      </c>
      <c r="D1045" s="21" t="n">
        <f aca="false">D1044/C1044-1</f>
        <v>1.27138417603474</v>
      </c>
      <c r="E1045" s="21" t="n">
        <f aca="false">E1044/D1044-1</f>
        <v>0.440916663355483</v>
      </c>
      <c r="F1045" s="21" t="n">
        <f aca="false">F1044/E1044-1</f>
        <v>0.10256901361394</v>
      </c>
      <c r="G1045" s="21" t="n">
        <f aca="false">G1044/F1044-1</f>
        <v>0.189061151817986</v>
      </c>
      <c r="H1045" s="26" t="n">
        <f aca="false">H1044/G1044-1</f>
        <v>0.106056822385398</v>
      </c>
      <c r="I1045" s="26" t="n">
        <f aca="false">I1044/H1044-1</f>
        <v>0.0852886205717274</v>
      </c>
      <c r="J1045" s="26" t="n">
        <f aca="false">J1044/I1044-1</f>
        <v>0.0645257950525831</v>
      </c>
    </row>
    <row r="1046" customFormat="false" ht="17.15" hidden="false" customHeight="false" outlineLevel="0" collapsed="false">
      <c r="A1046" s="4" t="s">
        <v>582</v>
      </c>
      <c r="B1046" s="0" t="s">
        <v>76</v>
      </c>
      <c r="C1046" s="14" t="n">
        <f aca="false">C1042/C1020</f>
        <v>0.0629977625862272</v>
      </c>
      <c r="D1046" s="14" t="n">
        <f aca="false">D1042/D1020</f>
        <v>0.107397865592237</v>
      </c>
      <c r="E1046" s="14" t="n">
        <f aca="false">E1042/E1020</f>
        <v>0.121662784969429</v>
      </c>
      <c r="F1046" s="14" t="n">
        <f aca="false">F1042/F1020</f>
        <v>0.120308337459178</v>
      </c>
      <c r="G1046" s="14" t="n">
        <f aca="false">G1042/G1020</f>
        <v>0.128165843237487</v>
      </c>
      <c r="H1046" s="27" t="n">
        <f aca="false">$G1046+(fade_mA-$G1046)*1/3</f>
        <v>0.129379173763046</v>
      </c>
      <c r="I1046" s="27" t="n">
        <f aca="false">$G1046+(fade_mA-$G1046)*2/3</f>
        <v>0.130592504288605</v>
      </c>
      <c r="J1046" s="27" t="n">
        <f aca="false">$G1046+(fade_mA-$G1046)*3/3</f>
        <v>0.131805834814164</v>
      </c>
    </row>
    <row r="1047" customFormat="false" ht="17.15" hidden="false" customHeight="false" outlineLevel="0" collapsed="false">
      <c r="A1047" s="4" t="s">
        <v>583</v>
      </c>
      <c r="B1047" s="0" t="s">
        <v>234</v>
      </c>
      <c r="C1047" s="30" t="n">
        <f aca="false">C1042+C1028-C1026</f>
        <v>-54.587</v>
      </c>
      <c r="D1047" s="30" t="n">
        <f aca="false">D1042+D1028-D1026</f>
        <v>-176.164485935382</v>
      </c>
      <c r="E1047" s="30" t="n">
        <f aca="false">E1042+E1028-E1026</f>
        <v>-149.770267110785</v>
      </c>
      <c r="F1047" s="30" t="n">
        <f aca="false">F1042+F1028-F1026</f>
        <v>-57.5887609634407</v>
      </c>
      <c r="G1047" s="30" t="n">
        <f aca="false">G1042+G1028-G1026</f>
        <v>-47.9257356265176</v>
      </c>
      <c r="K1047" s="4" t="s">
        <v>584</v>
      </c>
    </row>
    <row r="1048" customFormat="false" ht="17.15" hidden="false" customHeight="false" outlineLevel="0" collapsed="false">
      <c r="A1048" s="4" t="s">
        <v>585</v>
      </c>
      <c r="B1048" s="0" t="s">
        <v>76</v>
      </c>
      <c r="D1048" s="21" t="n">
        <f aca="false">(D1036-$C1036)/SUM($D1026:D1026)</f>
        <v>0.164280348537512</v>
      </c>
      <c r="E1048" s="21" t="n">
        <f aca="false">(E1036-$C1036)/SUM($D1026:E1026)</f>
        <v>0.154536525699218</v>
      </c>
      <c r="F1048" s="21" t="n">
        <f aca="false">(F1036-$C1036)/SUM($D1026:F1026)</f>
        <v>0.119806105730165</v>
      </c>
      <c r="G1048" s="21" t="n">
        <f aca="false">(G1036-$C1036)/SUM($D1026:G1026)</f>
        <v>0.110274164702655</v>
      </c>
      <c r="K1048" s="4" t="s">
        <v>586</v>
      </c>
    </row>
    <row r="1051" customFormat="false" ht="17.15" hidden="false" customHeight="false" outlineLevel="0" collapsed="false">
      <c r="A1051" s="1" t="s">
        <v>935</v>
      </c>
    </row>
    <row r="1052" customFormat="false" ht="17.15" hidden="false" customHeight="false" outlineLevel="0" collapsed="false">
      <c r="A1052" s="5" t="s">
        <v>21</v>
      </c>
      <c r="B1052" s="5" t="s">
        <v>22</v>
      </c>
      <c r="C1052" s="15" t="s">
        <v>424</v>
      </c>
      <c r="D1052" s="15" t="s">
        <v>524</v>
      </c>
      <c r="E1052" s="15" t="s">
        <v>525</v>
      </c>
      <c r="F1052" s="15" t="s">
        <v>526</v>
      </c>
      <c r="G1052" s="15" t="s">
        <v>527</v>
      </c>
      <c r="H1052" s="15" t="s">
        <v>528</v>
      </c>
      <c r="I1052" s="15" t="s">
        <v>529</v>
      </c>
      <c r="J1052" s="15" t="s">
        <v>530</v>
      </c>
      <c r="K1052" s="5" t="s">
        <v>382</v>
      </c>
    </row>
    <row r="1053" customFormat="false" ht="17.15" hidden="false" customHeight="false" outlineLevel="0" collapsed="false">
      <c r="A1053" s="6" t="s">
        <v>548</v>
      </c>
    </row>
    <row r="1054" customFormat="false" ht="17.15" hidden="false" customHeight="false" outlineLevel="0" collapsed="false">
      <c r="A1054" s="0" t="s">
        <v>549</v>
      </c>
      <c r="B1054" s="4" t="s">
        <v>32</v>
      </c>
      <c r="D1054" s="19" t="n">
        <f aca="false">units_26</f>
        <v>15.2</v>
      </c>
      <c r="E1054" s="19" t="n">
        <f aca="false">units_27*1</f>
        <v>23.7</v>
      </c>
      <c r="F1054" s="19" t="n">
        <f aca="false">units_28*um28_B*1</f>
        <v>21.2</v>
      </c>
      <c r="G1054" s="19" t="n">
        <f aca="false">units_29*um29_B*1</f>
        <v>25.6275</v>
      </c>
    </row>
    <row r="1055" customFormat="false" ht="17.15" hidden="false" customHeight="false" outlineLevel="0" collapsed="false">
      <c r="A1055" s="4" t="s">
        <v>497</v>
      </c>
      <c r="B1055" s="0" t="s">
        <v>45</v>
      </c>
      <c r="D1055" s="22" t="n">
        <f aca="false">ar_26</f>
        <v>1</v>
      </c>
      <c r="E1055" s="22" t="n">
        <f aca="false">ar_27</f>
        <v>1.278156</v>
      </c>
      <c r="F1055" s="22" t="n">
        <f aca="false">ar_28</f>
        <v>1.428615</v>
      </c>
      <c r="G1055" s="22" t="n">
        <f aca="false">ar_29</f>
        <v>1.431796</v>
      </c>
    </row>
    <row r="1056" customFormat="false" ht="17.15" hidden="false" customHeight="false" outlineLevel="0" collapsed="false">
      <c r="A1056" s="4" t="s">
        <v>550</v>
      </c>
      <c r="B1056" s="0" t="s">
        <v>45</v>
      </c>
      <c r="D1056" s="19" t="n">
        <f aca="false">1</f>
        <v>1</v>
      </c>
      <c r="E1056" s="19" t="n">
        <f aca="false">rel27_B</f>
        <v>1.05</v>
      </c>
      <c r="F1056" s="19" t="n">
        <f aca="false">rel28_B</f>
        <v>1.08</v>
      </c>
      <c r="G1056" s="19" t="n">
        <f aca="false">rel29_B</f>
        <v>1.1</v>
      </c>
    </row>
    <row r="1057" customFormat="false" ht="17.15" hidden="false" customHeight="false" outlineLevel="0" collapsed="false">
      <c r="A1057" s="4" t="s">
        <v>551</v>
      </c>
      <c r="B1057" s="0" t="s">
        <v>502</v>
      </c>
      <c r="D1057" s="23" t="n">
        <f aca="false">D1058*1000/D1054</f>
        <v>239.473684210526</v>
      </c>
      <c r="E1057" s="23" t="n">
        <f aca="false">$D1057*E1055^el</f>
        <v>270.738318476371</v>
      </c>
      <c r="F1057" s="23" t="n">
        <f aca="false">$D1057*F1055^el</f>
        <v>286.230163461277</v>
      </c>
      <c r="G1057" s="23" t="n">
        <f aca="false">$D1057*G1055^el</f>
        <v>286.548650904484</v>
      </c>
      <c r="K1057" s="8" t="s">
        <v>552</v>
      </c>
    </row>
    <row r="1058" customFormat="false" ht="17.15" hidden="false" customHeight="false" outlineLevel="0" collapsed="false">
      <c r="A1058" s="0" t="s">
        <v>553</v>
      </c>
      <c r="B1058" s="0" t="s">
        <v>120</v>
      </c>
      <c r="D1058" s="22" t="n">
        <f aca="false">leap26-D1059-D1060</f>
        <v>3.64</v>
      </c>
      <c r="E1058" s="22" t="n">
        <f aca="false">E1054*E1056*E1057/1000</f>
        <v>6.73732305528449</v>
      </c>
      <c r="F1058" s="22" t="n">
        <f aca="false">F1054*F1056*F1057/1000</f>
        <v>6.5535258226094</v>
      </c>
      <c r="G1058" s="22" t="n">
        <f aca="false">G1054*G1056*G1057/1000</f>
        <v>8.07787810616014</v>
      </c>
      <c r="K1058" s="8" t="s">
        <v>554</v>
      </c>
    </row>
    <row r="1059" customFormat="false" ht="17.15" hidden="false" customHeight="false" outlineLevel="0" collapsed="false">
      <c r="A1059" s="4" t="s">
        <v>555</v>
      </c>
      <c r="B1059" s="0" t="s">
        <v>120</v>
      </c>
      <c r="D1059" s="22" t="n">
        <f aca="false">fp26</f>
        <v>0.3</v>
      </c>
      <c r="E1059" s="22" t="n">
        <f aca="false">fp27_B</f>
        <v>1</v>
      </c>
      <c r="F1059" s="22" t="n">
        <f aca="false">E1059*F1054/E1054*(1+fp_g)</f>
        <v>1.16286919831224</v>
      </c>
      <c r="G1059" s="22" t="n">
        <f aca="false">F1059*G1054/F1054*(1+fp_g)</f>
        <v>1.82744620253165</v>
      </c>
    </row>
    <row r="1060" customFormat="false" ht="17.15" hidden="false" customHeight="false" outlineLevel="0" collapsed="false">
      <c r="A1060" s="0" t="s">
        <v>556</v>
      </c>
      <c r="B1060" s="0" t="s">
        <v>120</v>
      </c>
      <c r="D1060" s="22" t="n">
        <f aca="false">cpo27_lo*cpo_B_26/cpo_A_27</f>
        <v>0.06</v>
      </c>
      <c r="E1060" s="22" t="n">
        <f aca="false">cpo27_lo*cpo_B_27/cpo_A_27</f>
        <v>0.18</v>
      </c>
      <c r="F1060" s="22" t="n">
        <f aca="false">cpo27_lo*cpo_B_28/cpo_A_27*F1054/E1054</f>
        <v>0.268354430379747</v>
      </c>
      <c r="G1060" s="22" t="n">
        <f aca="false">cpo27_lo*cpo_B_29/cpo_A_27*G1054/E1054</f>
        <v>0.519037974683544</v>
      </c>
      <c r="K1060" s="8" t="s">
        <v>557</v>
      </c>
    </row>
    <row r="1061" customFormat="false" ht="17.15" hidden="false" customHeight="false" outlineLevel="0" collapsed="false">
      <c r="A1061" s="0" t="s">
        <v>510</v>
      </c>
      <c r="B1061" s="0" t="s">
        <v>120</v>
      </c>
      <c r="C1061" s="22" t="n">
        <f aca="false">leap25</f>
        <v>1.6</v>
      </c>
      <c r="D1061" s="22" t="n">
        <f aca="false">D1058+D1059+D1060</f>
        <v>4</v>
      </c>
      <c r="E1061" s="22" t="n">
        <f aca="false">E1058+E1059+E1060</f>
        <v>7.91732305528449</v>
      </c>
      <c r="F1061" s="22" t="n">
        <f aca="false">F1058+F1059+F1060</f>
        <v>7.98474945130138</v>
      </c>
      <c r="G1061" s="22" t="n">
        <f aca="false">G1058+G1059+G1060</f>
        <v>10.4243622833753</v>
      </c>
    </row>
    <row r="1062" customFormat="false" ht="17.15" hidden="false" customHeight="false" outlineLevel="0" collapsed="false">
      <c r="A1062" s="4" t="s">
        <v>558</v>
      </c>
      <c r="B1062" s="0" t="s">
        <v>114</v>
      </c>
      <c r="C1062" s="19" t="n">
        <f aca="false">fx25</f>
        <v>31</v>
      </c>
      <c r="D1062" s="19" t="n">
        <f aca="false">a26_leap/D1061</f>
        <v>31.9</v>
      </c>
      <c r="E1062" s="19" t="n">
        <f aca="false">fx</f>
        <v>32</v>
      </c>
      <c r="F1062" s="19" t="n">
        <f aca="false">fx</f>
        <v>32</v>
      </c>
      <c r="G1062" s="19" t="n">
        <f aca="false">fx</f>
        <v>32</v>
      </c>
      <c r="K1062" s="8" t="s">
        <v>559</v>
      </c>
    </row>
    <row r="1063" customFormat="false" ht="17.15" hidden="false" customHeight="false" outlineLevel="0" collapsed="false">
      <c r="A1063" s="6" t="s">
        <v>560</v>
      </c>
    </row>
    <row r="1064" customFormat="false" ht="17.15" hidden="false" customHeight="false" outlineLevel="0" collapsed="false">
      <c r="A1064" s="0" t="s">
        <v>438</v>
      </c>
      <c r="B1064" s="0" t="s">
        <v>234</v>
      </c>
      <c r="C1064" s="30" t="n">
        <f aca="false">a25_leap</f>
        <v>49.6</v>
      </c>
      <c r="D1064" s="30" t="n">
        <f aca="false">a26_leap</f>
        <v>127.6</v>
      </c>
      <c r="E1064" s="30" t="n">
        <f aca="false">E1061*E1062</f>
        <v>253.354337769104</v>
      </c>
      <c r="F1064" s="30" t="n">
        <f aca="false">F1061*F1062</f>
        <v>255.511982441644</v>
      </c>
      <c r="G1064" s="30" t="n">
        <f aca="false">G1061*G1062</f>
        <v>333.579593068011</v>
      </c>
    </row>
    <row r="1065" customFormat="false" ht="15" hidden="false" customHeight="false" outlineLevel="0" collapsed="false">
      <c r="A1065" s="4" t="s">
        <v>561</v>
      </c>
      <c r="B1065" s="0" t="s">
        <v>234</v>
      </c>
      <c r="C1065" s="30" t="n">
        <f aca="false">a25_ms</f>
        <v>339.628</v>
      </c>
      <c r="D1065" s="30" t="n">
        <f aca="false">a26_ms</f>
        <v>432.1302</v>
      </c>
      <c r="E1065" s="30" t="n">
        <f aca="false">D1065*(1+g_ms27)</f>
        <v>496.94973</v>
      </c>
      <c r="F1065" s="30" t="n">
        <f aca="false">E1065*(1+g_msL)</f>
        <v>531.7362111</v>
      </c>
      <c r="G1065" s="30" t="n">
        <f aca="false">F1065*(1+g_msL)</f>
        <v>568.957745877</v>
      </c>
    </row>
    <row r="1066" customFormat="false" ht="17.15" hidden="false" customHeight="false" outlineLevel="0" collapsed="false">
      <c r="A1066" s="4" t="s">
        <v>562</v>
      </c>
      <c r="B1066" s="0" t="s">
        <v>234</v>
      </c>
      <c r="C1066" s="30" t="n">
        <f aca="false">C1064+C1065</f>
        <v>389.228</v>
      </c>
      <c r="D1066" s="30" t="n">
        <f aca="false">D1064+D1065</f>
        <v>559.7302</v>
      </c>
      <c r="E1066" s="30" t="n">
        <f aca="false">E1064+E1065</f>
        <v>750.304067769104</v>
      </c>
      <c r="F1066" s="30" t="n">
        <f aca="false">F1064+F1065</f>
        <v>787.248193541644</v>
      </c>
      <c r="G1066" s="30" t="n">
        <f aca="false">G1064+G1065</f>
        <v>902.537338945011</v>
      </c>
    </row>
    <row r="1067" customFormat="false" ht="17.15" hidden="false" customHeight="false" outlineLevel="0" collapsed="false">
      <c r="A1067" s="0" t="s">
        <v>563</v>
      </c>
      <c r="B1067" s="0" t="s">
        <v>234</v>
      </c>
      <c r="C1067" s="30" t="n">
        <f aca="false">a25_ems</f>
        <v>259.079</v>
      </c>
      <c r="D1067" s="30" t="n">
        <f aca="false">a26_ems</f>
        <v>314.602</v>
      </c>
      <c r="E1067" s="30" t="n">
        <f aca="false">D1067*(1+g_ems27)</f>
        <v>346.0622</v>
      </c>
      <c r="F1067" s="30" t="n">
        <f aca="false">E1067*(1+g_emsL)</f>
        <v>363.36531</v>
      </c>
      <c r="G1067" s="30" t="n">
        <f aca="false">F1067*(1+g_emsL)</f>
        <v>381.5335755</v>
      </c>
    </row>
    <row r="1068" customFormat="false" ht="17.15" hidden="false" customHeight="false" outlineLevel="0" collapsed="false">
      <c r="A1068" s="4" t="s">
        <v>564</v>
      </c>
      <c r="B1068" s="0" t="s">
        <v>234</v>
      </c>
      <c r="C1068" s="30" t="n">
        <f aca="false">a25_elim</f>
        <v>-2.91899999999998</v>
      </c>
      <c r="D1068" s="30" t="n">
        <f aca="false">a26_elim</f>
        <v>-3.16484905982349</v>
      </c>
      <c r="E1068" s="30" t="n">
        <f aca="false">$D1068/($D1066+$D1067)*(E1066+E1067)</f>
        <v>-3.9685530874549</v>
      </c>
      <c r="F1068" s="30" t="n">
        <f aca="false">$D1068/($D1066+$D1067)*(F1066+F1067)</f>
        <v>-4.1649135933733</v>
      </c>
      <c r="G1068" s="30" t="n">
        <f aca="false">$D1068/($D1066+$D1067)*(G1066+G1067)</f>
        <v>-4.6479937789412</v>
      </c>
      <c r="K1068" s="4" t="s">
        <v>565</v>
      </c>
    </row>
    <row r="1069" customFormat="false" ht="17.15" hidden="false" customHeight="false" outlineLevel="0" collapsed="false">
      <c r="A1069" s="4" t="s">
        <v>431</v>
      </c>
      <c r="B1069" s="0" t="s">
        <v>234</v>
      </c>
      <c r="C1069" s="30" t="n">
        <f aca="false">C1066+C1067+C1068</f>
        <v>645.388</v>
      </c>
      <c r="D1069" s="30" t="n">
        <f aca="false">D1066+D1067+D1068</f>
        <v>871.167350940177</v>
      </c>
      <c r="E1069" s="30" t="n">
        <f aca="false">E1066+E1067+E1068</f>
        <v>1092.39771468165</v>
      </c>
      <c r="F1069" s="30" t="n">
        <f aca="false">F1066+F1067+F1068</f>
        <v>1146.44858994827</v>
      </c>
      <c r="G1069" s="30" t="n">
        <f aca="false">G1066+G1067+G1068</f>
        <v>1279.42292066607</v>
      </c>
      <c r="H1069" s="31" t="n">
        <f aca="false">G1069*(1+H1070)</f>
        <v>1395.41373519617</v>
      </c>
      <c r="I1069" s="31" t="n">
        <f aca="false">H1069*(1+I1070)</f>
        <v>1486.57520520304</v>
      </c>
      <c r="J1069" s="31" t="n">
        <f aca="false">I1069*(1+J1070)</f>
        <v>1546.03821341116</v>
      </c>
      <c r="K1069" s="8" t="s">
        <v>566</v>
      </c>
    </row>
    <row r="1070" customFormat="false" ht="15" hidden="false" customHeight="false" outlineLevel="0" collapsed="false">
      <c r="A1070" s="4" t="s">
        <v>567</v>
      </c>
      <c r="B1070" s="0" t="s">
        <v>76</v>
      </c>
      <c r="D1070" s="21" t="n">
        <f aca="false">D1069/C1069-1</f>
        <v>0.349835061916516</v>
      </c>
      <c r="E1070" s="21" t="n">
        <f aca="false">E1069/D1069-1</f>
        <v>0.253947032682891</v>
      </c>
      <c r="F1070" s="21" t="n">
        <f aca="false">F1069/E1069-1</f>
        <v>0.0494791178525797</v>
      </c>
      <c r="G1070" s="21" t="n">
        <f aca="false">G1069/F1069-1</f>
        <v>0.115988045066895</v>
      </c>
      <c r="H1070" s="26" t="n">
        <f aca="false">$G1070+(fade_gB-$G1070)*1/3</f>
        <v>0.0906586967112636</v>
      </c>
      <c r="I1070" s="26" t="n">
        <f aca="false">$G1070+(fade_gB-$G1070)*2/3</f>
        <v>0.0653293483556318</v>
      </c>
      <c r="J1070" s="26" t="n">
        <f aca="false">$G1070+(fade_gB-$G1070)*3/3</f>
        <v>0.04</v>
      </c>
    </row>
    <row r="1071" customFormat="false" ht="17.15" hidden="false" customHeight="false" outlineLevel="0" collapsed="false">
      <c r="A1071" s="0" t="s">
        <v>475</v>
      </c>
      <c r="B1071" s="0" t="s">
        <v>76</v>
      </c>
      <c r="C1071" s="21" t="n">
        <f aca="false">C1064/C1066</f>
        <v>0.127431736668482</v>
      </c>
      <c r="D1071" s="21" t="n">
        <f aca="false">D1064/D1066</f>
        <v>0.227966974088588</v>
      </c>
      <c r="E1071" s="21" t="n">
        <f aca="false">E1064/E1066</f>
        <v>0.337668884726172</v>
      </c>
      <c r="F1071" s="21" t="n">
        <f aca="false">F1064/F1066</f>
        <v>0.324563440777369</v>
      </c>
      <c r="G1071" s="21" t="n">
        <f aca="false">G1064/G1066</f>
        <v>0.369601986171494</v>
      </c>
    </row>
    <row r="1072" customFormat="false" ht="15" hidden="false" customHeight="false" outlineLevel="0" collapsed="false">
      <c r="A1072" s="4" t="s">
        <v>568</v>
      </c>
      <c r="B1072" s="0" t="s">
        <v>76</v>
      </c>
      <c r="D1072" s="21" t="n">
        <f aca="false">D1066/C1066-1</f>
        <v>0.438052247012034</v>
      </c>
      <c r="E1072" s="21" t="n">
        <f aca="false">E1066/D1066-1</f>
        <v>0.340474513915996</v>
      </c>
      <c r="F1072" s="21" t="n">
        <f aca="false">F1066/E1066-1</f>
        <v>0.0492388717582026</v>
      </c>
      <c r="G1072" s="21" t="n">
        <f aca="false">G1066/F1066-1</f>
        <v>0.146445741443632</v>
      </c>
    </row>
    <row r="1073" customFormat="false" ht="17.15" hidden="false" customHeight="false" outlineLevel="0" collapsed="false">
      <c r="A1073" s="6" t="s">
        <v>569</v>
      </c>
    </row>
    <row r="1074" customFormat="false" ht="17.15" hidden="false" customHeight="false" outlineLevel="0" collapsed="false">
      <c r="A1074" s="4" t="s">
        <v>570</v>
      </c>
      <c r="B1074" s="0" t="s">
        <v>120</v>
      </c>
      <c r="C1074" s="19" t="n">
        <f aca="false">capex25</f>
        <v>5.5</v>
      </c>
      <c r="D1074" s="19" t="n">
        <f aca="false">capex26</f>
        <v>11.5</v>
      </c>
      <c r="E1074" s="19" t="n">
        <f aca="false">capex27</f>
        <v>13</v>
      </c>
      <c r="F1074" s="19" t="n">
        <f aca="false">capi*F1069/F1062</f>
        <v>10.747955530765</v>
      </c>
      <c r="G1074" s="19" t="n">
        <f aca="false">capi*G1069/G1062</f>
        <v>11.9945898812444</v>
      </c>
      <c r="K1074" s="8" t="s">
        <v>571</v>
      </c>
    </row>
    <row r="1075" customFormat="false" ht="15" hidden="false" customHeight="false" outlineLevel="0" collapsed="false">
      <c r="A1075" s="4" t="s">
        <v>572</v>
      </c>
      <c r="B1075" s="0" t="s">
        <v>234</v>
      </c>
      <c r="C1075" s="30" t="n">
        <f aca="false">C1074*C1062</f>
        <v>170.5</v>
      </c>
      <c r="D1075" s="30" t="n">
        <f aca="false">D1074*31.9</f>
        <v>366.85</v>
      </c>
      <c r="E1075" s="30" t="n">
        <f aca="false">E1074*E1062</f>
        <v>416</v>
      </c>
      <c r="F1075" s="30" t="n">
        <f aca="false">F1074*F1062</f>
        <v>343.934576984481</v>
      </c>
      <c r="G1075" s="30" t="n">
        <f aca="false">G1074*G1062</f>
        <v>383.826876199821</v>
      </c>
    </row>
    <row r="1076" customFormat="false" ht="17.15" hidden="false" customHeight="false" outlineLevel="0" collapsed="false">
      <c r="A1076" s="4" t="s">
        <v>473</v>
      </c>
      <c r="B1076" s="0" t="s">
        <v>76</v>
      </c>
      <c r="C1076" s="21" t="n">
        <f aca="false">C1075/C1069</f>
        <v>0.264182166386732</v>
      </c>
      <c r="D1076" s="21" t="n">
        <f aca="false">D1075/D1069</f>
        <v>0.421101639775745</v>
      </c>
      <c r="E1076" s="21" t="n">
        <f aca="false">E1075/E1069</f>
        <v>0.380813685719978</v>
      </c>
      <c r="F1076" s="21" t="n">
        <f aca="false">F1075/F1069</f>
        <v>0.3</v>
      </c>
      <c r="G1076" s="21" t="n">
        <f aca="false">G1075/G1069</f>
        <v>0.3</v>
      </c>
    </row>
    <row r="1077" customFormat="false" ht="17.15" hidden="false" customHeight="false" outlineLevel="0" collapsed="false">
      <c r="A1077" s="4" t="s">
        <v>573</v>
      </c>
      <c r="B1077" s="0" t="s">
        <v>234</v>
      </c>
      <c r="C1077" s="30" t="n">
        <f aca="false">a25_da</f>
        <v>75.255</v>
      </c>
      <c r="D1077" s="30" t="n">
        <f aca="false">a26_da</f>
        <v>97.124</v>
      </c>
      <c r="E1077" s="30" t="n">
        <f aca="false">D1077*(1-1/life)+D1075/life</f>
        <v>130.83975</v>
      </c>
      <c r="F1077" s="30" t="n">
        <f aca="false">E1077*(1-1/life)+E1075/life</f>
        <v>166.48478125</v>
      </c>
      <c r="G1077" s="30" t="n">
        <f aca="false">F1077*(1-1/life)+F1075/life</f>
        <v>188.66600571681</v>
      </c>
      <c r="K1077" s="4" t="s">
        <v>574</v>
      </c>
    </row>
    <row r="1078" customFormat="false" ht="17.15" hidden="false" customHeight="false" outlineLevel="0" collapsed="false">
      <c r="A1078" s="4" t="s">
        <v>575</v>
      </c>
      <c r="B1078" s="0" t="s">
        <v>234</v>
      </c>
      <c r="C1078" s="30" t="n">
        <f aca="false">a25_agp</f>
        <v>91.38</v>
      </c>
      <c r="D1078" s="30" t="n">
        <f aca="false">a26_agp</f>
        <v>164.623388</v>
      </c>
      <c r="E1078" s="30" t="n">
        <f aca="false">$D1078+ft*(E1066-$D1066)-(E1077-$D1077)</f>
        <v>226.194571884552</v>
      </c>
      <c r="F1078" s="30" t="n">
        <f aca="false">$D1078+ft*(F1066-$D1066)-(F1077-$D1077)</f>
        <v>209.021603520822</v>
      </c>
      <c r="G1078" s="30" t="n">
        <f aca="false">$D1078+ft*(G1066-$D1066)-(G1077-$D1077)</f>
        <v>244.484951755695</v>
      </c>
      <c r="K1078" s="4" t="s">
        <v>576</v>
      </c>
    </row>
    <row r="1079" customFormat="false" ht="15" hidden="false" customHeight="false" outlineLevel="0" collapsed="false">
      <c r="A1079" s="4" t="s">
        <v>447</v>
      </c>
      <c r="B1079" s="0" t="s">
        <v>76</v>
      </c>
      <c r="C1079" s="14" t="n">
        <f aca="false">C1078/C1066</f>
        <v>0.234772421305764</v>
      </c>
      <c r="D1079" s="14" t="n">
        <f aca="false">D1078/D1066</f>
        <v>0.294112034690999</v>
      </c>
      <c r="E1079" s="14" t="n">
        <f aca="false">E1078/E1066</f>
        <v>0.301470539213657</v>
      </c>
      <c r="F1079" s="14" t="n">
        <f aca="false">F1078/F1066</f>
        <v>0.265509156115663</v>
      </c>
      <c r="G1079" s="14" t="n">
        <f aca="false">G1078/G1066</f>
        <v>0.270886246148528</v>
      </c>
    </row>
    <row r="1080" customFormat="false" ht="17.15" hidden="false" customHeight="false" outlineLevel="0" collapsed="false">
      <c r="A1080" s="0" t="s">
        <v>449</v>
      </c>
      <c r="B1080" s="0" t="s">
        <v>234</v>
      </c>
      <c r="C1080" s="30" t="n">
        <f aca="false">a25_egp</f>
        <v>23.695</v>
      </c>
      <c r="D1080" s="30" t="n">
        <f aca="false">a26_egp</f>
        <v>27.00552</v>
      </c>
      <c r="E1080" s="30" t="n">
        <f aca="false">E1067*ems_gm</f>
        <v>29.415287</v>
      </c>
      <c r="F1080" s="30" t="n">
        <f aca="false">F1067*ems_gm</f>
        <v>30.88605135</v>
      </c>
      <c r="G1080" s="30" t="n">
        <f aca="false">G1067*ems_gm</f>
        <v>32.4303539175</v>
      </c>
    </row>
    <row r="1081" customFormat="false" ht="15" hidden="false" customHeight="false" outlineLevel="0" collapsed="false">
      <c r="A1081" s="4" t="s">
        <v>577</v>
      </c>
      <c r="B1081" s="0" t="s">
        <v>234</v>
      </c>
      <c r="C1081" s="30" t="n">
        <f aca="false">a25_lgp</f>
        <v>-0.881999999999998</v>
      </c>
      <c r="D1081" s="30" t="n">
        <f aca="false">a26_lgp</f>
        <v>-0.948662139013863</v>
      </c>
      <c r="E1081" s="30" t="n">
        <f aca="false">$D1081/$D1068*E1068</f>
        <v>-1.18957207423504</v>
      </c>
      <c r="F1081" s="30" t="n">
        <f aca="false">$D1081/$D1068*F1068</f>
        <v>-1.24843105109025</v>
      </c>
      <c r="G1081" s="30" t="n">
        <f aca="false">$D1081/$D1068*G1068</f>
        <v>-1.39323412810702</v>
      </c>
    </row>
    <row r="1082" customFormat="false" ht="15" hidden="false" customHeight="false" outlineLevel="0" collapsed="false">
      <c r="A1082" s="4" t="s">
        <v>451</v>
      </c>
      <c r="B1082" s="0" t="s">
        <v>234</v>
      </c>
      <c r="C1082" s="30" t="n">
        <f aca="false">C1078+C1080+C1081</f>
        <v>114.193</v>
      </c>
      <c r="D1082" s="30" t="n">
        <f aca="false">D1078+D1080+D1081</f>
        <v>190.680245860986</v>
      </c>
      <c r="E1082" s="30" t="n">
        <f aca="false">E1078+E1080+E1081</f>
        <v>254.420286810317</v>
      </c>
      <c r="F1082" s="30" t="n">
        <f aca="false">F1078+F1080+F1081</f>
        <v>238.659223819732</v>
      </c>
      <c r="G1082" s="30" t="n">
        <f aca="false">G1078+G1080+G1081</f>
        <v>275.522071545088</v>
      </c>
    </row>
    <row r="1083" customFormat="false" ht="15" hidden="false" customHeight="false" outlineLevel="0" collapsed="false">
      <c r="A1083" s="4" t="s">
        <v>452</v>
      </c>
      <c r="B1083" s="0" t="s">
        <v>76</v>
      </c>
      <c r="C1083" s="14" t="n">
        <f aca="false">C1082/C1069</f>
        <v>0.176936974347214</v>
      </c>
      <c r="D1083" s="14" t="n">
        <f aca="false">D1082/D1069</f>
        <v>0.218879008327391</v>
      </c>
      <c r="E1083" s="14" t="n">
        <f aca="false">E1082/E1069</f>
        <v>0.232900786399449</v>
      </c>
      <c r="F1083" s="14" t="n">
        <f aca="false">F1082/F1069</f>
        <v>0.20817263496351</v>
      </c>
      <c r="G1083" s="14" t="n">
        <f aca="false">G1082/G1069</f>
        <v>0.215348706901117</v>
      </c>
    </row>
    <row r="1084" customFormat="false" ht="15" hidden="false" customHeight="false" outlineLevel="0" collapsed="false">
      <c r="A1084" s="4" t="s">
        <v>578</v>
      </c>
      <c r="B1084" s="0" t="s">
        <v>234</v>
      </c>
      <c r="C1084" s="30" t="n">
        <f aca="false">a25_opx</f>
        <v>63.437</v>
      </c>
      <c r="D1084" s="30" t="n">
        <f aca="false">a26_opx</f>
        <v>79.658</v>
      </c>
      <c r="E1084" s="30" t="n">
        <f aca="false">D1084*(1+phi*E1070)</f>
        <v>91.7953476376722</v>
      </c>
      <c r="F1084" s="30" t="n">
        <f aca="false">E1084*(1+phi*F1070)</f>
        <v>94.5205193321219</v>
      </c>
      <c r="G1084" s="30" t="n">
        <f aca="false">F1084*(1+phi*G1070)</f>
        <v>101.098469485746</v>
      </c>
    </row>
    <row r="1085" customFormat="false" ht="15" hidden="false" customHeight="false" outlineLevel="0" collapsed="false">
      <c r="A1085" s="4" t="s">
        <v>455</v>
      </c>
      <c r="B1085" s="0" t="s">
        <v>234</v>
      </c>
      <c r="C1085" s="30" t="n">
        <f aca="false">C1082-C1084</f>
        <v>50.756</v>
      </c>
      <c r="D1085" s="30" t="n">
        <f aca="false">D1082-D1084</f>
        <v>111.022245860986</v>
      </c>
      <c r="E1085" s="30" t="n">
        <f aca="false">E1082-E1084</f>
        <v>162.624939172645</v>
      </c>
      <c r="F1085" s="30" t="n">
        <f aca="false">F1082-F1084</f>
        <v>144.13870448761</v>
      </c>
      <c r="G1085" s="30" t="n">
        <f aca="false">G1082-G1084</f>
        <v>174.423602059342</v>
      </c>
    </row>
    <row r="1086" customFormat="false" ht="15" hidden="false" customHeight="false" outlineLevel="0" collapsed="false">
      <c r="A1086" s="4" t="s">
        <v>537</v>
      </c>
      <c r="B1086" s="0" t="s">
        <v>76</v>
      </c>
      <c r="C1086" s="14" t="n">
        <f aca="false">C1085/C1069</f>
        <v>0.0786441644406156</v>
      </c>
      <c r="D1086" s="14" t="n">
        <f aca="false">D1085/D1069</f>
        <v>0.127440779020437</v>
      </c>
      <c r="E1086" s="14" t="n">
        <f aca="false">E1085/E1069</f>
        <v>0.148869717491159</v>
      </c>
      <c r="F1086" s="14" t="n">
        <f aca="false">F1085/F1069</f>
        <v>0.12572626958712</v>
      </c>
      <c r="G1086" s="14" t="n">
        <f aca="false">G1085/G1069</f>
        <v>0.13632990252241</v>
      </c>
    </row>
    <row r="1087" customFormat="false" ht="15" hidden="false" customHeight="false" outlineLevel="0" collapsed="false">
      <c r="A1087" s="4" t="s">
        <v>456</v>
      </c>
      <c r="B1087" s="0" t="s">
        <v>234</v>
      </c>
      <c r="C1087" s="30" t="n">
        <f aca="false">a25_nonop</f>
        <v>0.545</v>
      </c>
      <c r="D1087" s="30" t="n">
        <f aca="false">a26_nonop</f>
        <v>4.302</v>
      </c>
      <c r="E1087" s="30" t="n">
        <f aca="false">nonop_f</f>
        <v>-5</v>
      </c>
      <c r="F1087" s="30" t="n">
        <f aca="false">nonop_f</f>
        <v>-5</v>
      </c>
      <c r="G1087" s="30" t="n">
        <f aca="false">nonop_f</f>
        <v>-5</v>
      </c>
    </row>
    <row r="1088" customFormat="false" ht="15" hidden="false" customHeight="false" outlineLevel="0" collapsed="false">
      <c r="A1088" s="4" t="s">
        <v>459</v>
      </c>
      <c r="B1088" s="0" t="s">
        <v>234</v>
      </c>
      <c r="C1088" s="30" t="n">
        <f aca="false">C1085+C1087</f>
        <v>51.301</v>
      </c>
      <c r="D1088" s="30" t="n">
        <f aca="false">D1085+D1087</f>
        <v>115.324245860986</v>
      </c>
      <c r="E1088" s="30" t="n">
        <f aca="false">E1085+E1087</f>
        <v>157.624939172645</v>
      </c>
      <c r="F1088" s="30" t="n">
        <f aca="false">F1085+F1087</f>
        <v>139.13870448761</v>
      </c>
      <c r="G1088" s="30" t="n">
        <f aca="false">G1085+G1087</f>
        <v>169.423602059342</v>
      </c>
    </row>
    <row r="1089" customFormat="false" ht="15" hidden="false" customHeight="false" outlineLevel="0" collapsed="false">
      <c r="A1089" s="4" t="s">
        <v>460</v>
      </c>
      <c r="B1089" s="0" t="s">
        <v>234</v>
      </c>
      <c r="C1089" s="30" t="n">
        <f aca="false">a25_tax</f>
        <v>9.461</v>
      </c>
      <c r="D1089" s="30" t="n">
        <f aca="false">a26_tax</f>
        <v>19.2197317963676</v>
      </c>
      <c r="E1089" s="30" t="n">
        <f aca="false">E1088*tax</f>
        <v>26.7962396593496</v>
      </c>
      <c r="F1089" s="30" t="n">
        <f aca="false">F1088*tax</f>
        <v>23.6535797628937</v>
      </c>
      <c r="G1089" s="30" t="n">
        <f aca="false">G1088*tax</f>
        <v>28.8020123500881</v>
      </c>
    </row>
    <row r="1090" customFormat="false" ht="15" hidden="false" customHeight="false" outlineLevel="0" collapsed="false">
      <c r="A1090" s="4" t="s">
        <v>461</v>
      </c>
      <c r="B1090" s="0" t="s">
        <v>234</v>
      </c>
      <c r="C1090" s="30" t="n">
        <f aca="false">a25_nci</f>
        <v>1.182</v>
      </c>
      <c r="D1090" s="30" t="n">
        <f aca="false">a26_nci</f>
        <v>2.543</v>
      </c>
      <c r="E1090" s="30" t="n">
        <f aca="false">nci</f>
        <v>3</v>
      </c>
      <c r="F1090" s="30" t="n">
        <f aca="false">nci</f>
        <v>3</v>
      </c>
      <c r="G1090" s="30" t="n">
        <f aca="false">nci</f>
        <v>3</v>
      </c>
    </row>
    <row r="1091" customFormat="false" ht="15" hidden="false" customHeight="false" outlineLevel="0" collapsed="false">
      <c r="A1091" s="4" t="s">
        <v>462</v>
      </c>
      <c r="B1091" s="0" t="s">
        <v>234</v>
      </c>
      <c r="C1091" s="30" t="n">
        <f aca="false">C1088-C1089-C1090</f>
        <v>40.658</v>
      </c>
      <c r="D1091" s="30" t="n">
        <f aca="false">D1088-D1089-D1090</f>
        <v>93.5615140646185</v>
      </c>
      <c r="E1091" s="30" t="n">
        <f aca="false">E1088-E1089-E1090</f>
        <v>127.828699513295</v>
      </c>
      <c r="F1091" s="30" t="n">
        <f aca="false">F1088-F1089-F1090</f>
        <v>112.485124724716</v>
      </c>
      <c r="G1091" s="30" t="n">
        <f aca="false">G1088-G1089-G1090</f>
        <v>137.621589709254</v>
      </c>
      <c r="H1091" s="31" t="n">
        <f aca="false">H1069*H1095</f>
        <v>145.772125729324</v>
      </c>
      <c r="I1091" s="31" t="n">
        <f aca="false">I1069*I1095</f>
        <v>150.686647223013</v>
      </c>
      <c r="J1091" s="31" t="n">
        <f aca="false">J1069*J1095</f>
        <v>151.921089563766</v>
      </c>
    </row>
    <row r="1092" customFormat="false" ht="15" hidden="false" customHeight="false" outlineLevel="0" collapsed="false">
      <c r="A1092" s="4" t="s">
        <v>579</v>
      </c>
      <c r="B1092" s="4" t="s">
        <v>580</v>
      </c>
      <c r="C1092" s="18" t="n">
        <f aca="false">a25_sh</f>
        <v>4339.16755602988</v>
      </c>
      <c r="D1092" s="18" t="n">
        <f aca="false">a26_sh</f>
        <v>4392.90105184664</v>
      </c>
      <c r="E1092" s="18" t="n">
        <f aca="false">D1092*(1+sh_g)</f>
        <v>4414.86555710588</v>
      </c>
      <c r="F1092" s="18" t="n">
        <f aca="false">E1092*(1+sh_g)</f>
        <v>4436.9398848914</v>
      </c>
      <c r="G1092" s="18" t="n">
        <f aca="false">F1092*(1+sh_g)</f>
        <v>4459.12458431586</v>
      </c>
      <c r="H1092" s="25" t="n">
        <f aca="false">G1092*(1+sh_g)</f>
        <v>4481.42020723744</v>
      </c>
      <c r="I1092" s="25" t="n">
        <f aca="false">H1092*(1+sh_g)</f>
        <v>4503.82730827363</v>
      </c>
      <c r="J1092" s="25" t="n">
        <f aca="false">I1092*(1+sh_g)</f>
        <v>4526.34644481499</v>
      </c>
    </row>
    <row r="1093" customFormat="false" ht="17.15" hidden="false" customHeight="false" outlineLevel="0" collapsed="false">
      <c r="A1093" s="0" t="s">
        <v>465</v>
      </c>
      <c r="B1093" s="0" t="s">
        <v>304</v>
      </c>
      <c r="C1093" s="19" t="n">
        <f aca="false">a25_eps</f>
        <v>9.37</v>
      </c>
      <c r="D1093" s="19" t="n">
        <f aca="false">a26_eps</f>
        <v>21.2828697294455</v>
      </c>
      <c r="E1093" s="19" t="n">
        <f aca="false">E1091/E1092*1000</f>
        <v>28.9541545172424</v>
      </c>
      <c r="F1093" s="19" t="n">
        <f aca="false">F1091/F1092*1000</f>
        <v>25.3519605049752</v>
      </c>
      <c r="G1093" s="19" t="n">
        <f aca="false">G1091/G1092*1000</f>
        <v>30.8629165000933</v>
      </c>
      <c r="H1093" s="28" t="n">
        <f aca="false">H1091/H1092*1000</f>
        <v>32.528109168139</v>
      </c>
      <c r="I1093" s="28" t="n">
        <f aca="false">I1091/I1092*1000</f>
        <v>33.4574655973595</v>
      </c>
      <c r="J1093" s="28" t="n">
        <f aca="false">J1091/J1092*1000</f>
        <v>33.5637343309844</v>
      </c>
    </row>
    <row r="1094" customFormat="false" ht="17.15" hidden="false" customHeight="false" outlineLevel="0" collapsed="false">
      <c r="A1094" s="0" t="s">
        <v>581</v>
      </c>
      <c r="B1094" s="0" t="s">
        <v>76</v>
      </c>
      <c r="D1094" s="21" t="n">
        <f aca="false">D1093/C1093-1</f>
        <v>1.27138417603474</v>
      </c>
      <c r="E1094" s="21" t="n">
        <f aca="false">E1093/D1093-1</f>
        <v>0.360444098249749</v>
      </c>
      <c r="F1094" s="21" t="n">
        <f aca="false">F1093/E1093-1</f>
        <v>-0.124410264168551</v>
      </c>
      <c r="G1094" s="21" t="n">
        <f aca="false">G1093/F1093-1</f>
        <v>0.217377902353412</v>
      </c>
      <c r="H1094" s="26" t="n">
        <f aca="false">H1093/G1093-1</f>
        <v>0.0539544818468691</v>
      </c>
      <c r="I1094" s="26" t="n">
        <f aca="false">I1093/H1093-1</f>
        <v>0.0285708715627022</v>
      </c>
      <c r="J1094" s="26" t="n">
        <f aca="false">J1093/I1093-1</f>
        <v>0.00317623381590693</v>
      </c>
    </row>
    <row r="1095" customFormat="false" ht="17.15" hidden="false" customHeight="false" outlineLevel="0" collapsed="false">
      <c r="A1095" s="4" t="s">
        <v>582</v>
      </c>
      <c r="B1095" s="0" t="s">
        <v>76</v>
      </c>
      <c r="C1095" s="14" t="n">
        <f aca="false">C1091/C1069</f>
        <v>0.0629977625862272</v>
      </c>
      <c r="D1095" s="14" t="n">
        <f aca="false">D1091/D1069</f>
        <v>0.107397865592237</v>
      </c>
      <c r="E1095" s="14" t="n">
        <f aca="false">E1091/E1069</f>
        <v>0.11701663029435</v>
      </c>
      <c r="F1095" s="14" t="n">
        <f aca="false">F1091/F1069</f>
        <v>0.0981161525348396</v>
      </c>
      <c r="G1095" s="14" t="n">
        <f aca="false">G1091/G1069</f>
        <v>0.107565362075589</v>
      </c>
      <c r="H1095" s="27" t="n">
        <f aca="false">$G1095+(fade_mB-$G1095)*1/3</f>
        <v>0.104465164741144</v>
      </c>
      <c r="I1095" s="27" t="n">
        <f aca="false">$G1095+(fade_mB-$G1095)*2/3</f>
        <v>0.101364967406699</v>
      </c>
      <c r="J1095" s="27" t="n">
        <f aca="false">$G1095+(fade_mB-$G1095)*3/3</f>
        <v>0.0982647700722541</v>
      </c>
    </row>
    <row r="1096" customFormat="false" ht="17.15" hidden="false" customHeight="false" outlineLevel="0" collapsed="false">
      <c r="A1096" s="4" t="s">
        <v>583</v>
      </c>
      <c r="B1096" s="0" t="s">
        <v>234</v>
      </c>
      <c r="C1096" s="30" t="n">
        <f aca="false">C1091+C1077-C1075</f>
        <v>-54.587</v>
      </c>
      <c r="D1096" s="30" t="n">
        <f aca="false">D1091+D1077-D1075</f>
        <v>-176.164485935382</v>
      </c>
      <c r="E1096" s="30" t="n">
        <f aca="false">E1091+E1077-E1075</f>
        <v>-157.331550486705</v>
      </c>
      <c r="F1096" s="30" t="n">
        <f aca="false">F1091+F1077-F1075</f>
        <v>-64.964671009765</v>
      </c>
      <c r="G1096" s="30" t="n">
        <f aca="false">G1091+G1077-G1075</f>
        <v>-57.539280773757</v>
      </c>
      <c r="K1096" s="4" t="s">
        <v>584</v>
      </c>
    </row>
    <row r="1097" customFormat="false" ht="17.15" hidden="false" customHeight="false" outlineLevel="0" collapsed="false">
      <c r="A1097" s="4" t="s">
        <v>585</v>
      </c>
      <c r="B1097" s="0" t="s">
        <v>76</v>
      </c>
      <c r="D1097" s="21" t="n">
        <f aca="false">(D1085-$C1085)/SUM($D1075:D1075)</f>
        <v>0.164280348537512</v>
      </c>
      <c r="E1097" s="21" t="n">
        <f aca="false">(E1085-$C1085)/SUM($D1075:E1075)</f>
        <v>0.142899583793376</v>
      </c>
      <c r="F1097" s="21" t="n">
        <f aca="false">(F1085-$C1085)/SUM($D1075:F1075)</f>
        <v>0.0828753839864602</v>
      </c>
      <c r="G1097" s="21" t="n">
        <f aca="false">(G1085-$C1085)/SUM($D1075:G1075)</f>
        <v>0.0818659237613061</v>
      </c>
      <c r="K1097" s="4" t="s">
        <v>586</v>
      </c>
    </row>
    <row r="1100" customFormat="false" ht="17.15" hidden="false" customHeight="false" outlineLevel="0" collapsed="false">
      <c r="A1100" s="1" t="s">
        <v>936</v>
      </c>
    </row>
    <row r="1101" customFormat="false" ht="17.15" hidden="false" customHeight="false" outlineLevel="0" collapsed="false">
      <c r="A1101" s="5" t="s">
        <v>21</v>
      </c>
      <c r="B1101" s="5" t="s">
        <v>22</v>
      </c>
      <c r="C1101" s="15" t="s">
        <v>424</v>
      </c>
      <c r="D1101" s="15" t="s">
        <v>524</v>
      </c>
      <c r="E1101" s="15" t="s">
        <v>525</v>
      </c>
      <c r="F1101" s="15" t="s">
        <v>526</v>
      </c>
      <c r="G1101" s="15" t="s">
        <v>527</v>
      </c>
      <c r="H1101" s="15" t="s">
        <v>528</v>
      </c>
      <c r="I1101" s="15" t="s">
        <v>529</v>
      </c>
      <c r="J1101" s="15" t="s">
        <v>530</v>
      </c>
      <c r="K1101" s="5" t="s">
        <v>382</v>
      </c>
    </row>
    <row r="1102" customFormat="false" ht="17.15" hidden="false" customHeight="false" outlineLevel="0" collapsed="false">
      <c r="A1102" s="6" t="s">
        <v>548</v>
      </c>
    </row>
    <row r="1103" customFormat="false" ht="17.15" hidden="false" customHeight="false" outlineLevel="0" collapsed="false">
      <c r="A1103" s="0" t="s">
        <v>549</v>
      </c>
      <c r="B1103" s="4" t="s">
        <v>32</v>
      </c>
      <c r="D1103" s="19" t="n">
        <f aca="false">units_26</f>
        <v>15.2</v>
      </c>
      <c r="E1103" s="19" t="n">
        <f aca="false">units_27*1</f>
        <v>23.7</v>
      </c>
      <c r="F1103" s="19" t="n">
        <f aca="false">units_28*um28_C*1</f>
        <v>15.9</v>
      </c>
      <c r="G1103" s="19" t="n">
        <f aca="false">units_29*um29_C*1</f>
        <v>18.09</v>
      </c>
    </row>
    <row r="1104" customFormat="false" ht="17.15" hidden="false" customHeight="false" outlineLevel="0" collapsed="false">
      <c r="A1104" s="4" t="s">
        <v>497</v>
      </c>
      <c r="B1104" s="0" t="s">
        <v>45</v>
      </c>
      <c r="D1104" s="22" t="n">
        <f aca="false">ar_26</f>
        <v>1</v>
      </c>
      <c r="E1104" s="22" t="n">
        <f aca="false">ar_27</f>
        <v>1.278156</v>
      </c>
      <c r="F1104" s="22" t="n">
        <f aca="false">ar_28</f>
        <v>1.428615</v>
      </c>
      <c r="G1104" s="22" t="n">
        <f aca="false">ar_29</f>
        <v>1.431796</v>
      </c>
    </row>
    <row r="1105" customFormat="false" ht="17.15" hidden="false" customHeight="false" outlineLevel="0" collapsed="false">
      <c r="A1105" s="4" t="s">
        <v>550</v>
      </c>
      <c r="B1105" s="0" t="s">
        <v>45</v>
      </c>
      <c r="D1105" s="19" t="n">
        <f aca="false">1</f>
        <v>1</v>
      </c>
      <c r="E1105" s="19" t="n">
        <f aca="false">rel27_C</f>
        <v>1</v>
      </c>
      <c r="F1105" s="19" t="n">
        <f aca="false">rel28_C</f>
        <v>0.95</v>
      </c>
      <c r="G1105" s="19" t="n">
        <f aca="false">rel29_C</f>
        <v>0.92</v>
      </c>
    </row>
    <row r="1106" customFormat="false" ht="17.15" hidden="false" customHeight="false" outlineLevel="0" collapsed="false">
      <c r="A1106" s="4" t="s">
        <v>551</v>
      </c>
      <c r="B1106" s="0" t="s">
        <v>502</v>
      </c>
      <c r="D1106" s="23" t="n">
        <f aca="false">D1107*1000/D1103</f>
        <v>239.473684210526</v>
      </c>
      <c r="E1106" s="23" t="n">
        <f aca="false">$D1106*E1104^el</f>
        <v>270.738318476371</v>
      </c>
      <c r="F1106" s="23" t="n">
        <f aca="false">$D1106*F1104^el</f>
        <v>286.230163461277</v>
      </c>
      <c r="G1106" s="23" t="n">
        <f aca="false">$D1106*G1104^el</f>
        <v>286.548650904484</v>
      </c>
      <c r="K1106" s="8" t="s">
        <v>552</v>
      </c>
    </row>
    <row r="1107" customFormat="false" ht="17.15" hidden="false" customHeight="false" outlineLevel="0" collapsed="false">
      <c r="A1107" s="0" t="s">
        <v>553</v>
      </c>
      <c r="B1107" s="0" t="s">
        <v>120</v>
      </c>
      <c r="D1107" s="22" t="n">
        <f aca="false">leap26-D1108-D1109</f>
        <v>3.64</v>
      </c>
      <c r="E1107" s="22" t="n">
        <f aca="false">E1103*E1105*E1106/1000</f>
        <v>6.41649814788999</v>
      </c>
      <c r="F1107" s="22" t="n">
        <f aca="false">F1103*F1105*F1106/1000</f>
        <v>4.32350661908259</v>
      </c>
      <c r="G1107" s="22" t="n">
        <f aca="false">G1103*G1105*G1106/1000</f>
        <v>4.76897188727315</v>
      </c>
      <c r="K1107" s="8" t="s">
        <v>554</v>
      </c>
    </row>
    <row r="1108" customFormat="false" ht="17.15" hidden="false" customHeight="false" outlineLevel="0" collapsed="false">
      <c r="A1108" s="4" t="s">
        <v>555</v>
      </c>
      <c r="B1108" s="0" t="s">
        <v>120</v>
      </c>
      <c r="D1108" s="22" t="n">
        <f aca="false">fp26</f>
        <v>0.3</v>
      </c>
      <c r="E1108" s="22" t="n">
        <f aca="false">fp27_C</f>
        <v>0.7</v>
      </c>
      <c r="F1108" s="22" t="n">
        <f aca="false">E1108*F1103/E1103*(1+fp_g)</f>
        <v>0.610506329113924</v>
      </c>
      <c r="G1108" s="22" t="n">
        <f aca="false">F1108*G1103/F1103*(1+fp_g)</f>
        <v>0.902973417721519</v>
      </c>
    </row>
    <row r="1109" customFormat="false" ht="17.15" hidden="false" customHeight="false" outlineLevel="0" collapsed="false">
      <c r="A1109" s="0" t="s">
        <v>556</v>
      </c>
      <c r="B1109" s="0" t="s">
        <v>120</v>
      </c>
      <c r="D1109" s="22" t="n">
        <f aca="false">cpo27_lo*cpo_C_26/cpo_A_27</f>
        <v>0.06</v>
      </c>
      <c r="E1109" s="22" t="n">
        <f aca="false">cpo27_lo*cpo_C_27/cpo_A_27</f>
        <v>0.12</v>
      </c>
      <c r="F1109" s="22" t="n">
        <f aca="false">cpo27_lo*cpo_C_28/cpo_A_27*F1103/E1103</f>
        <v>0.120759493670886</v>
      </c>
      <c r="G1109" s="22" t="n">
        <f aca="false">cpo27_lo*cpo_C_29/cpo_A_27*G1103/E1103</f>
        <v>0.228987341772152</v>
      </c>
      <c r="K1109" s="8" t="s">
        <v>557</v>
      </c>
    </row>
    <row r="1110" customFormat="false" ht="17.15" hidden="false" customHeight="false" outlineLevel="0" collapsed="false">
      <c r="A1110" s="0" t="s">
        <v>510</v>
      </c>
      <c r="B1110" s="0" t="s">
        <v>120</v>
      </c>
      <c r="C1110" s="22" t="n">
        <f aca="false">leap25</f>
        <v>1.6</v>
      </c>
      <c r="D1110" s="22" t="n">
        <f aca="false">D1107+D1108+D1109</f>
        <v>4</v>
      </c>
      <c r="E1110" s="22" t="n">
        <f aca="false">E1107+E1108+E1109</f>
        <v>7.23649814788999</v>
      </c>
      <c r="F1110" s="22" t="n">
        <f aca="false">F1107+F1108+F1109</f>
        <v>5.0547724418674</v>
      </c>
      <c r="G1110" s="22" t="n">
        <f aca="false">G1107+G1108+G1109</f>
        <v>5.90093264676683</v>
      </c>
    </row>
    <row r="1111" customFormat="false" ht="17.15" hidden="false" customHeight="false" outlineLevel="0" collapsed="false">
      <c r="A1111" s="4" t="s">
        <v>558</v>
      </c>
      <c r="B1111" s="0" t="s">
        <v>114</v>
      </c>
      <c r="C1111" s="19" t="n">
        <f aca="false">fx25</f>
        <v>31</v>
      </c>
      <c r="D1111" s="19" t="n">
        <f aca="false">a26_leap/D1110</f>
        <v>31.9</v>
      </c>
      <c r="E1111" s="19" t="n">
        <f aca="false">fx</f>
        <v>32</v>
      </c>
      <c r="F1111" s="19" t="n">
        <f aca="false">fx</f>
        <v>32</v>
      </c>
      <c r="G1111" s="19" t="n">
        <f aca="false">fx</f>
        <v>32</v>
      </c>
      <c r="K1111" s="8" t="s">
        <v>559</v>
      </c>
    </row>
    <row r="1112" customFormat="false" ht="17.15" hidden="false" customHeight="false" outlineLevel="0" collapsed="false">
      <c r="A1112" s="6" t="s">
        <v>560</v>
      </c>
    </row>
    <row r="1113" customFormat="false" ht="17.15" hidden="false" customHeight="false" outlineLevel="0" collapsed="false">
      <c r="A1113" s="0" t="s">
        <v>438</v>
      </c>
      <c r="B1113" s="0" t="s">
        <v>234</v>
      </c>
      <c r="C1113" s="30" t="n">
        <f aca="false">a25_leap</f>
        <v>49.6</v>
      </c>
      <c r="D1113" s="30" t="n">
        <f aca="false">a26_leap</f>
        <v>127.6</v>
      </c>
      <c r="E1113" s="30" t="n">
        <f aca="false">E1110*E1111</f>
        <v>231.56794073248</v>
      </c>
      <c r="F1113" s="30" t="n">
        <f aca="false">F1110*F1111</f>
        <v>161.752718139757</v>
      </c>
      <c r="G1113" s="30" t="n">
        <f aca="false">G1110*G1111</f>
        <v>188.829844696538</v>
      </c>
    </row>
    <row r="1114" customFormat="false" ht="15" hidden="false" customHeight="false" outlineLevel="0" collapsed="false">
      <c r="A1114" s="4" t="s">
        <v>561</v>
      </c>
      <c r="B1114" s="0" t="s">
        <v>234</v>
      </c>
      <c r="C1114" s="30" t="n">
        <f aca="false">a25_ms</f>
        <v>339.628</v>
      </c>
      <c r="D1114" s="30" t="n">
        <f aca="false">a26_ms</f>
        <v>432.1302</v>
      </c>
      <c r="E1114" s="30" t="n">
        <f aca="false">D1114*(1+g_ms27)</f>
        <v>496.94973</v>
      </c>
      <c r="F1114" s="30" t="n">
        <f aca="false">E1114*(1+g_msL)</f>
        <v>531.7362111</v>
      </c>
      <c r="G1114" s="30" t="n">
        <f aca="false">F1114*(1+g_msL)</f>
        <v>568.957745877</v>
      </c>
    </row>
    <row r="1115" customFormat="false" ht="17.15" hidden="false" customHeight="false" outlineLevel="0" collapsed="false">
      <c r="A1115" s="4" t="s">
        <v>562</v>
      </c>
      <c r="B1115" s="0" t="s">
        <v>234</v>
      </c>
      <c r="C1115" s="30" t="n">
        <f aca="false">C1113+C1114</f>
        <v>389.228</v>
      </c>
      <c r="D1115" s="30" t="n">
        <f aca="false">D1113+D1114</f>
        <v>559.7302</v>
      </c>
      <c r="E1115" s="30" t="n">
        <f aca="false">E1113+E1114</f>
        <v>728.51767073248</v>
      </c>
      <c r="F1115" s="30" t="n">
        <f aca="false">F1113+F1114</f>
        <v>693.488929239757</v>
      </c>
      <c r="G1115" s="30" t="n">
        <f aca="false">G1113+G1114</f>
        <v>757.787590573539</v>
      </c>
    </row>
    <row r="1116" customFormat="false" ht="17.15" hidden="false" customHeight="false" outlineLevel="0" collapsed="false">
      <c r="A1116" s="0" t="s">
        <v>563</v>
      </c>
      <c r="B1116" s="0" t="s">
        <v>234</v>
      </c>
      <c r="C1116" s="30" t="n">
        <f aca="false">a25_ems</f>
        <v>259.079</v>
      </c>
      <c r="D1116" s="30" t="n">
        <f aca="false">a26_ems</f>
        <v>314.602</v>
      </c>
      <c r="E1116" s="30" t="n">
        <f aca="false">D1116*(1+g_ems27)</f>
        <v>346.0622</v>
      </c>
      <c r="F1116" s="30" t="n">
        <f aca="false">E1116*(1+g_emsL)</f>
        <v>363.36531</v>
      </c>
      <c r="G1116" s="30" t="n">
        <f aca="false">F1116*(1+g_emsL)</f>
        <v>381.5335755</v>
      </c>
    </row>
    <row r="1117" customFormat="false" ht="17.15" hidden="false" customHeight="false" outlineLevel="0" collapsed="false">
      <c r="A1117" s="4" t="s">
        <v>564</v>
      </c>
      <c r="B1117" s="0" t="s">
        <v>234</v>
      </c>
      <c r="C1117" s="30" t="n">
        <f aca="false">a25_elim</f>
        <v>-2.91899999999998</v>
      </c>
      <c r="D1117" s="30" t="n">
        <f aca="false">a26_elim</f>
        <v>-3.16484905982349</v>
      </c>
      <c r="E1117" s="30" t="n">
        <f aca="false">$D1117/($D1115+$D1116)*(E1115+E1116)</f>
        <v>-3.88969214858258</v>
      </c>
      <c r="F1117" s="30" t="n">
        <f aca="false">$D1117/($D1115+$D1116)*(F1115+F1116)</f>
        <v>-3.82553009648782</v>
      </c>
      <c r="G1117" s="30" t="n">
        <f aca="false">$D1117/($D1115+$D1116)*(G1115+G1116)</f>
        <v>-4.12403834753522</v>
      </c>
      <c r="K1117" s="4" t="s">
        <v>565</v>
      </c>
    </row>
    <row r="1118" customFormat="false" ht="17.15" hidden="false" customHeight="false" outlineLevel="0" collapsed="false">
      <c r="A1118" s="4" t="s">
        <v>431</v>
      </c>
      <c r="B1118" s="0" t="s">
        <v>234</v>
      </c>
      <c r="C1118" s="30" t="n">
        <f aca="false">C1115+C1116+C1117</f>
        <v>645.388</v>
      </c>
      <c r="D1118" s="30" t="n">
        <f aca="false">D1115+D1116+D1117</f>
        <v>871.167350940177</v>
      </c>
      <c r="E1118" s="30" t="n">
        <f aca="false">E1115+E1116+E1117</f>
        <v>1070.6901785839</v>
      </c>
      <c r="F1118" s="30" t="n">
        <f aca="false">F1115+F1116+F1117</f>
        <v>1053.02870914327</v>
      </c>
      <c r="G1118" s="30" t="n">
        <f aca="false">G1115+G1116+G1117</f>
        <v>1135.197127726</v>
      </c>
      <c r="H1118" s="31" t="n">
        <f aca="false">G1118*(1+H1119)</f>
        <v>1201.81848604323</v>
      </c>
      <c r="I1118" s="31" t="n">
        <f aca="false">H1118*(1+I1119)</f>
        <v>1249.10225519532</v>
      </c>
      <c r="J1118" s="31" t="n">
        <f aca="false">I1118*(1+J1119)</f>
        <v>1274.08430029923</v>
      </c>
      <c r="K1118" s="8" t="s">
        <v>566</v>
      </c>
    </row>
    <row r="1119" customFormat="false" ht="15" hidden="false" customHeight="false" outlineLevel="0" collapsed="false">
      <c r="A1119" s="4" t="s">
        <v>567</v>
      </c>
      <c r="B1119" s="0" t="s">
        <v>76</v>
      </c>
      <c r="D1119" s="21" t="n">
        <f aca="false">D1118/C1118-1</f>
        <v>0.349835061916516</v>
      </c>
      <c r="E1119" s="21" t="n">
        <f aca="false">E1118/D1118-1</f>
        <v>0.229029275980548</v>
      </c>
      <c r="F1119" s="21" t="n">
        <f aca="false">F1118/E1118-1</f>
        <v>-0.0164954062285202</v>
      </c>
      <c r="G1119" s="21" t="n">
        <f aca="false">G1118/F1118-1</f>
        <v>0.0780305587770591</v>
      </c>
      <c r="H1119" s="26" t="n">
        <f aca="false">$G1119+(fade_gC-$G1119)*1/3</f>
        <v>0.0586870391847061</v>
      </c>
      <c r="I1119" s="26" t="n">
        <f aca="false">$G1119+(fade_gC-$G1119)*2/3</f>
        <v>0.039343519592353</v>
      </c>
      <c r="J1119" s="26" t="n">
        <f aca="false">$G1119+(fade_gC-$G1119)*3/3</f>
        <v>0.02</v>
      </c>
    </row>
    <row r="1120" customFormat="false" ht="17.15" hidden="false" customHeight="false" outlineLevel="0" collapsed="false">
      <c r="A1120" s="0" t="s">
        <v>475</v>
      </c>
      <c r="B1120" s="0" t="s">
        <v>76</v>
      </c>
      <c r="C1120" s="21" t="n">
        <f aca="false">C1113/C1115</f>
        <v>0.127431736668482</v>
      </c>
      <c r="D1120" s="21" t="n">
        <f aca="false">D1113/D1115</f>
        <v>0.227966974088588</v>
      </c>
      <c r="E1120" s="21" t="n">
        <f aca="false">E1113/E1115</f>
        <v>0.317861803543698</v>
      </c>
      <c r="F1120" s="21" t="n">
        <f aca="false">F1113/F1115</f>
        <v>0.233244845475874</v>
      </c>
      <c r="G1120" s="21" t="n">
        <f aca="false">G1113/G1115</f>
        <v>0.249185717799391</v>
      </c>
    </row>
    <row r="1121" customFormat="false" ht="15" hidden="false" customHeight="false" outlineLevel="0" collapsed="false">
      <c r="A1121" s="4" t="s">
        <v>568</v>
      </c>
      <c r="B1121" s="0" t="s">
        <v>76</v>
      </c>
      <c r="D1121" s="21" t="n">
        <f aca="false">D1115/C1115-1</f>
        <v>0.438052247012034</v>
      </c>
      <c r="E1121" s="21" t="n">
        <f aca="false">E1115/D1115-1</f>
        <v>0.301551480932205</v>
      </c>
      <c r="F1121" s="21" t="n">
        <f aca="false">F1115/E1115-1</f>
        <v>-0.0480822125529277</v>
      </c>
      <c r="G1121" s="21" t="n">
        <f aca="false">G1115/F1115-1</f>
        <v>0.0927176464147304</v>
      </c>
    </row>
    <row r="1122" customFormat="false" ht="17.15" hidden="false" customHeight="false" outlineLevel="0" collapsed="false">
      <c r="A1122" s="6" t="s">
        <v>569</v>
      </c>
    </row>
    <row r="1123" customFormat="false" ht="17.15" hidden="false" customHeight="false" outlineLevel="0" collapsed="false">
      <c r="A1123" s="4" t="s">
        <v>570</v>
      </c>
      <c r="B1123" s="0" t="s">
        <v>120</v>
      </c>
      <c r="C1123" s="19" t="n">
        <f aca="false">capex25</f>
        <v>5.5</v>
      </c>
      <c r="D1123" s="19" t="n">
        <f aca="false">capex26</f>
        <v>11.5</v>
      </c>
      <c r="E1123" s="19" t="n">
        <f aca="false">capex27</f>
        <v>13</v>
      </c>
      <c r="F1123" s="19" t="n">
        <f aca="false">capi*F1118/F1111</f>
        <v>9.87214414821814</v>
      </c>
      <c r="G1123" s="19" t="n">
        <f aca="false">capi*G1118/G1111</f>
        <v>10.6424730724313</v>
      </c>
      <c r="K1123" s="8" t="s">
        <v>571</v>
      </c>
    </row>
    <row r="1124" customFormat="false" ht="15" hidden="false" customHeight="false" outlineLevel="0" collapsed="false">
      <c r="A1124" s="4" t="s">
        <v>572</v>
      </c>
      <c r="B1124" s="0" t="s">
        <v>234</v>
      </c>
      <c r="C1124" s="30" t="n">
        <f aca="false">C1123*C1111</f>
        <v>170.5</v>
      </c>
      <c r="D1124" s="30" t="n">
        <f aca="false">D1123*31.9</f>
        <v>366.85</v>
      </c>
      <c r="E1124" s="30" t="n">
        <f aca="false">E1123*E1111</f>
        <v>416</v>
      </c>
      <c r="F1124" s="30" t="n">
        <f aca="false">F1123*F1111</f>
        <v>315.908612742981</v>
      </c>
      <c r="G1124" s="30" t="n">
        <f aca="false">G1123*G1111</f>
        <v>340.559138317801</v>
      </c>
    </row>
    <row r="1125" customFormat="false" ht="17.15" hidden="false" customHeight="false" outlineLevel="0" collapsed="false">
      <c r="A1125" s="4" t="s">
        <v>473</v>
      </c>
      <c r="B1125" s="0" t="s">
        <v>76</v>
      </c>
      <c r="C1125" s="21" t="n">
        <f aca="false">C1124/C1118</f>
        <v>0.264182166386732</v>
      </c>
      <c r="D1125" s="21" t="n">
        <f aca="false">D1124/D1118</f>
        <v>0.421101639775745</v>
      </c>
      <c r="E1125" s="21" t="n">
        <f aca="false">E1124/E1118</f>
        <v>0.388534431641285</v>
      </c>
      <c r="F1125" s="21" t="n">
        <f aca="false">F1124/F1118</f>
        <v>0.3</v>
      </c>
      <c r="G1125" s="21" t="n">
        <f aca="false">G1124/G1118</f>
        <v>0.3</v>
      </c>
    </row>
    <row r="1126" customFormat="false" ht="17.15" hidden="false" customHeight="false" outlineLevel="0" collapsed="false">
      <c r="A1126" s="4" t="s">
        <v>573</v>
      </c>
      <c r="B1126" s="0" t="s">
        <v>234</v>
      </c>
      <c r="C1126" s="30" t="n">
        <f aca="false">a25_da</f>
        <v>75.255</v>
      </c>
      <c r="D1126" s="30" t="n">
        <f aca="false">a26_da</f>
        <v>97.124</v>
      </c>
      <c r="E1126" s="30" t="n">
        <f aca="false">D1126*(1-1/life)+D1124/life</f>
        <v>130.83975</v>
      </c>
      <c r="F1126" s="30" t="n">
        <f aca="false">E1126*(1-1/life)+E1124/life</f>
        <v>166.48478125</v>
      </c>
      <c r="G1126" s="30" t="n">
        <f aca="false">F1126*(1-1/life)+F1124/life</f>
        <v>185.162760186623</v>
      </c>
      <c r="K1126" s="4" t="s">
        <v>574</v>
      </c>
    </row>
    <row r="1127" customFormat="false" ht="17.15" hidden="false" customHeight="false" outlineLevel="0" collapsed="false">
      <c r="A1127" s="4" t="s">
        <v>575</v>
      </c>
      <c r="B1127" s="0" t="s">
        <v>234</v>
      </c>
      <c r="C1127" s="30" t="n">
        <f aca="false">a25_agp</f>
        <v>91.38</v>
      </c>
      <c r="D1127" s="30" t="n">
        <f aca="false">a26_agp</f>
        <v>164.623388</v>
      </c>
      <c r="E1127" s="30" t="n">
        <f aca="false">$D1127+ft*(E1115-$D1115)-(E1126-$D1126)</f>
        <v>215.30137336624</v>
      </c>
      <c r="F1127" s="30" t="n">
        <f aca="false">$D1127+ft*(F1115-$D1115)-(F1126-$D1126)</f>
        <v>162.141971369878</v>
      </c>
      <c r="G1127" s="30" t="n">
        <f aca="false">$D1127+ft*(G1115-$D1115)-(G1126-$D1126)</f>
        <v>175.613323100147</v>
      </c>
      <c r="K1127" s="4" t="s">
        <v>576</v>
      </c>
    </row>
    <row r="1128" customFormat="false" ht="15" hidden="false" customHeight="false" outlineLevel="0" collapsed="false">
      <c r="A1128" s="4" t="s">
        <v>447</v>
      </c>
      <c r="B1128" s="0" t="s">
        <v>76</v>
      </c>
      <c r="C1128" s="14" t="n">
        <f aca="false">C1127/C1115</f>
        <v>0.234772421305764</v>
      </c>
      <c r="D1128" s="14" t="n">
        <f aca="false">D1127/D1115</f>
        <v>0.294112034690999</v>
      </c>
      <c r="E1128" s="14" t="n">
        <f aca="false">E1127/E1115</f>
        <v>0.295533494952521</v>
      </c>
      <c r="F1128" s="14" t="n">
        <f aca="false">F1127/F1115</f>
        <v>0.233806142439257</v>
      </c>
      <c r="G1128" s="14" t="n">
        <f aca="false">G1127/G1115</f>
        <v>0.231744786117746</v>
      </c>
    </row>
    <row r="1129" customFormat="false" ht="17.15" hidden="false" customHeight="false" outlineLevel="0" collapsed="false">
      <c r="A1129" s="0" t="s">
        <v>449</v>
      </c>
      <c r="B1129" s="0" t="s">
        <v>234</v>
      </c>
      <c r="C1129" s="30" t="n">
        <f aca="false">a25_egp</f>
        <v>23.695</v>
      </c>
      <c r="D1129" s="30" t="n">
        <f aca="false">a26_egp</f>
        <v>27.00552</v>
      </c>
      <c r="E1129" s="30" t="n">
        <f aca="false">E1116*ems_gm</f>
        <v>29.415287</v>
      </c>
      <c r="F1129" s="30" t="n">
        <f aca="false">F1116*ems_gm</f>
        <v>30.88605135</v>
      </c>
      <c r="G1129" s="30" t="n">
        <f aca="false">G1116*ems_gm</f>
        <v>32.4303539175</v>
      </c>
    </row>
    <row r="1130" customFormat="false" ht="15" hidden="false" customHeight="false" outlineLevel="0" collapsed="false">
      <c r="A1130" s="4" t="s">
        <v>577</v>
      </c>
      <c r="B1130" s="0" t="s">
        <v>234</v>
      </c>
      <c r="C1130" s="30" t="n">
        <f aca="false">a25_lgp</f>
        <v>-0.881999999999998</v>
      </c>
      <c r="D1130" s="30" t="n">
        <f aca="false">a26_lgp</f>
        <v>-0.948662139013863</v>
      </c>
      <c r="E1130" s="30" t="n">
        <f aca="false">$D1130/$D1117*E1117</f>
        <v>-1.16593354186237</v>
      </c>
      <c r="F1130" s="30" t="n">
        <f aca="false">$D1130/$D1117*F1117</f>
        <v>-1.14670099445389</v>
      </c>
      <c r="G1130" s="30" t="n">
        <f aca="false">$D1130/$D1117*G1117</f>
        <v>-1.23617871380133</v>
      </c>
    </row>
    <row r="1131" customFormat="false" ht="15" hidden="false" customHeight="false" outlineLevel="0" collapsed="false">
      <c r="A1131" s="4" t="s">
        <v>451</v>
      </c>
      <c r="B1131" s="0" t="s">
        <v>234</v>
      </c>
      <c r="C1131" s="30" t="n">
        <f aca="false">C1127+C1129+C1130</f>
        <v>114.193</v>
      </c>
      <c r="D1131" s="30" t="n">
        <f aca="false">D1127+D1129+D1130</f>
        <v>190.680245860986</v>
      </c>
      <c r="E1131" s="30" t="n">
        <f aca="false">E1127+E1129+E1130</f>
        <v>243.550726824377</v>
      </c>
      <c r="F1131" s="30" t="n">
        <f aca="false">F1127+F1129+F1130</f>
        <v>191.881321725425</v>
      </c>
      <c r="G1131" s="30" t="n">
        <f aca="false">G1127+G1129+G1130</f>
        <v>206.807498303845</v>
      </c>
    </row>
    <row r="1132" customFormat="false" ht="15" hidden="false" customHeight="false" outlineLevel="0" collapsed="false">
      <c r="A1132" s="4" t="s">
        <v>452</v>
      </c>
      <c r="B1132" s="0" t="s">
        <v>76</v>
      </c>
      <c r="C1132" s="14" t="n">
        <f aca="false">C1131/C1118</f>
        <v>0.176936974347214</v>
      </c>
      <c r="D1132" s="14" t="n">
        <f aca="false">D1131/D1118</f>
        <v>0.218879008327391</v>
      </c>
      <c r="E1132" s="14" t="n">
        <f aca="false">E1131/E1118</f>
        <v>0.227470776977239</v>
      </c>
      <c r="F1132" s="14" t="n">
        <f aca="false">F1131/F1118</f>
        <v>0.182218509390439</v>
      </c>
      <c r="G1132" s="14" t="n">
        <f aca="false">G1131/G1118</f>
        <v>0.182177608851175</v>
      </c>
    </row>
    <row r="1133" customFormat="false" ht="15" hidden="false" customHeight="false" outlineLevel="0" collapsed="false">
      <c r="A1133" s="4" t="s">
        <v>578</v>
      </c>
      <c r="B1133" s="0" t="s">
        <v>234</v>
      </c>
      <c r="C1133" s="30" t="n">
        <f aca="false">a25_opx</f>
        <v>63.437</v>
      </c>
      <c r="D1133" s="30" t="n">
        <f aca="false">a26_opx</f>
        <v>79.658</v>
      </c>
      <c r="E1133" s="30" t="n">
        <f aca="false">D1133*(1+phi*E1119)</f>
        <v>90.6044084396351</v>
      </c>
      <c r="F1133" s="30" t="n">
        <f aca="false">E1133*(1+phi*F1119)</f>
        <v>89.7076745256512</v>
      </c>
      <c r="G1133" s="30" t="n">
        <f aca="false">F1133*(1+phi*G1119)</f>
        <v>93.9076385075474</v>
      </c>
    </row>
    <row r="1134" customFormat="false" ht="15" hidden="false" customHeight="false" outlineLevel="0" collapsed="false">
      <c r="A1134" s="4" t="s">
        <v>455</v>
      </c>
      <c r="B1134" s="0" t="s">
        <v>234</v>
      </c>
      <c r="C1134" s="30" t="n">
        <f aca="false">C1131-C1133</f>
        <v>50.756</v>
      </c>
      <c r="D1134" s="30" t="n">
        <f aca="false">D1131-D1133</f>
        <v>111.022245860986</v>
      </c>
      <c r="E1134" s="30" t="n">
        <f aca="false">E1131-E1133</f>
        <v>152.946318384742</v>
      </c>
      <c r="F1134" s="30" t="n">
        <f aca="false">F1131-F1133</f>
        <v>102.173647199773</v>
      </c>
      <c r="G1134" s="30" t="n">
        <f aca="false">G1131-G1133</f>
        <v>112.899859796298</v>
      </c>
    </row>
    <row r="1135" customFormat="false" ht="15" hidden="false" customHeight="false" outlineLevel="0" collapsed="false">
      <c r="A1135" s="4" t="s">
        <v>537</v>
      </c>
      <c r="B1135" s="0" t="s">
        <v>76</v>
      </c>
      <c r="C1135" s="14" t="n">
        <f aca="false">C1134/C1118</f>
        <v>0.0786441644406156</v>
      </c>
      <c r="D1135" s="14" t="n">
        <f aca="false">D1134/D1118</f>
        <v>0.127440779020437</v>
      </c>
      <c r="E1135" s="14" t="n">
        <f aca="false">E1134/E1118</f>
        <v>0.142848343474141</v>
      </c>
      <c r="F1135" s="14" t="n">
        <f aca="false">F1134/F1118</f>
        <v>0.0970283585932814</v>
      </c>
      <c r="G1135" s="14" t="n">
        <f aca="false">G1134/G1118</f>
        <v>0.0994539688648225</v>
      </c>
    </row>
    <row r="1136" customFormat="false" ht="15" hidden="false" customHeight="false" outlineLevel="0" collapsed="false">
      <c r="A1136" s="4" t="s">
        <v>456</v>
      </c>
      <c r="B1136" s="0" t="s">
        <v>234</v>
      </c>
      <c r="C1136" s="30" t="n">
        <f aca="false">a25_nonop</f>
        <v>0.545</v>
      </c>
      <c r="D1136" s="30" t="n">
        <f aca="false">a26_nonop</f>
        <v>4.302</v>
      </c>
      <c r="E1136" s="30" t="n">
        <f aca="false">nonop_f</f>
        <v>-5</v>
      </c>
      <c r="F1136" s="30" t="n">
        <f aca="false">nonop_f</f>
        <v>-5</v>
      </c>
      <c r="G1136" s="30" t="n">
        <f aca="false">nonop_f</f>
        <v>-5</v>
      </c>
    </row>
    <row r="1137" customFormat="false" ht="15" hidden="false" customHeight="false" outlineLevel="0" collapsed="false">
      <c r="A1137" s="4" t="s">
        <v>459</v>
      </c>
      <c r="B1137" s="0" t="s">
        <v>234</v>
      </c>
      <c r="C1137" s="30" t="n">
        <f aca="false">C1134+C1136</f>
        <v>51.301</v>
      </c>
      <c r="D1137" s="30" t="n">
        <f aca="false">D1134+D1136</f>
        <v>115.324245860986</v>
      </c>
      <c r="E1137" s="30" t="n">
        <f aca="false">E1134+E1136</f>
        <v>147.946318384742</v>
      </c>
      <c r="F1137" s="30" t="n">
        <f aca="false">F1134+F1136</f>
        <v>97.1736471997733</v>
      </c>
      <c r="G1137" s="30" t="n">
        <f aca="false">G1134+G1136</f>
        <v>107.899859796298</v>
      </c>
    </row>
    <row r="1138" customFormat="false" ht="15" hidden="false" customHeight="false" outlineLevel="0" collapsed="false">
      <c r="A1138" s="4" t="s">
        <v>460</v>
      </c>
      <c r="B1138" s="0" t="s">
        <v>234</v>
      </c>
      <c r="C1138" s="30" t="n">
        <f aca="false">a25_tax</f>
        <v>9.461</v>
      </c>
      <c r="D1138" s="30" t="n">
        <f aca="false">a26_tax</f>
        <v>19.2197317963676</v>
      </c>
      <c r="E1138" s="30" t="n">
        <f aca="false">E1137*tax</f>
        <v>25.1508741254062</v>
      </c>
      <c r="F1138" s="30" t="n">
        <f aca="false">F1137*tax</f>
        <v>16.5195200239615</v>
      </c>
      <c r="G1138" s="30" t="n">
        <f aca="false">G1137*tax</f>
        <v>18.3429761653706</v>
      </c>
    </row>
    <row r="1139" customFormat="false" ht="15" hidden="false" customHeight="false" outlineLevel="0" collapsed="false">
      <c r="A1139" s="4" t="s">
        <v>461</v>
      </c>
      <c r="B1139" s="0" t="s">
        <v>234</v>
      </c>
      <c r="C1139" s="30" t="n">
        <f aca="false">a25_nci</f>
        <v>1.182</v>
      </c>
      <c r="D1139" s="30" t="n">
        <f aca="false">a26_nci</f>
        <v>2.543</v>
      </c>
      <c r="E1139" s="30" t="n">
        <f aca="false">nci</f>
        <v>3</v>
      </c>
      <c r="F1139" s="30" t="n">
        <f aca="false">nci</f>
        <v>3</v>
      </c>
      <c r="G1139" s="30" t="n">
        <f aca="false">nci</f>
        <v>3</v>
      </c>
    </row>
    <row r="1140" customFormat="false" ht="15" hidden="false" customHeight="false" outlineLevel="0" collapsed="false">
      <c r="A1140" s="4" t="s">
        <v>462</v>
      </c>
      <c r="B1140" s="0" t="s">
        <v>234</v>
      </c>
      <c r="C1140" s="30" t="n">
        <f aca="false">C1137-C1138-C1139</f>
        <v>40.658</v>
      </c>
      <c r="D1140" s="30" t="n">
        <f aca="false">D1137-D1138-D1139</f>
        <v>93.5615140646185</v>
      </c>
      <c r="E1140" s="30" t="n">
        <f aca="false">E1137-E1138-E1139</f>
        <v>119.795444259336</v>
      </c>
      <c r="F1140" s="30" t="n">
        <f aca="false">F1137-F1138-F1139</f>
        <v>77.6541271758119</v>
      </c>
      <c r="G1140" s="30" t="n">
        <f aca="false">G1137-G1138-G1139</f>
        <v>86.5568836309273</v>
      </c>
      <c r="H1140" s="31" t="n">
        <f aca="false">H1118*H1144</f>
        <v>85.7856895201605</v>
      </c>
      <c r="I1140" s="31" t="n">
        <f aca="false">I1118*I1144</f>
        <v>83.0796417326149</v>
      </c>
      <c r="J1140" s="31" t="n">
        <f aca="false">J1118*J1144</f>
        <v>78.5384526484632</v>
      </c>
    </row>
    <row r="1141" customFormat="false" ht="15" hidden="false" customHeight="false" outlineLevel="0" collapsed="false">
      <c r="A1141" s="4" t="s">
        <v>579</v>
      </c>
      <c r="B1141" s="4" t="s">
        <v>580</v>
      </c>
      <c r="C1141" s="18" t="n">
        <f aca="false">a25_sh</f>
        <v>4339.16755602988</v>
      </c>
      <c r="D1141" s="18" t="n">
        <f aca="false">a26_sh</f>
        <v>4392.90105184664</v>
      </c>
      <c r="E1141" s="18" t="n">
        <f aca="false">D1141*(1+sh_g)</f>
        <v>4414.86555710588</v>
      </c>
      <c r="F1141" s="18" t="n">
        <f aca="false">E1141*(1+sh_g)</f>
        <v>4436.9398848914</v>
      </c>
      <c r="G1141" s="18" t="n">
        <f aca="false">F1141*(1+sh_g)</f>
        <v>4459.12458431586</v>
      </c>
      <c r="H1141" s="25" t="n">
        <f aca="false">G1141*(1+sh_g)</f>
        <v>4481.42020723744</v>
      </c>
      <c r="I1141" s="25" t="n">
        <f aca="false">H1141*(1+sh_g)</f>
        <v>4503.82730827363</v>
      </c>
      <c r="J1141" s="25" t="n">
        <f aca="false">I1141*(1+sh_g)</f>
        <v>4526.34644481499</v>
      </c>
    </row>
    <row r="1142" customFormat="false" ht="17.15" hidden="false" customHeight="false" outlineLevel="0" collapsed="false">
      <c r="A1142" s="0" t="s">
        <v>465</v>
      </c>
      <c r="B1142" s="0" t="s">
        <v>304</v>
      </c>
      <c r="C1142" s="19" t="n">
        <f aca="false">a25_eps</f>
        <v>9.37</v>
      </c>
      <c r="D1142" s="19" t="n">
        <f aca="false">a26_eps</f>
        <v>21.2828697294455</v>
      </c>
      <c r="E1142" s="19" t="n">
        <f aca="false">E1140/E1141*1000</f>
        <v>27.1345622442616</v>
      </c>
      <c r="F1142" s="19" t="n">
        <f aca="false">F1140/F1141*1000</f>
        <v>17.5017307401974</v>
      </c>
      <c r="G1142" s="19" t="n">
        <f aca="false">G1140/G1141*1000</f>
        <v>19.4111830683931</v>
      </c>
      <c r="H1142" s="28" t="n">
        <f aca="false">H1140/H1141*1000</f>
        <v>19.1425230291097</v>
      </c>
      <c r="I1142" s="28" t="n">
        <f aca="false">I1140/I1141*1000</f>
        <v>18.4464536595344</v>
      </c>
      <c r="J1142" s="28" t="n">
        <f aca="false">J1140/J1141*1000</f>
        <v>17.3514010926915</v>
      </c>
    </row>
    <row r="1143" customFormat="false" ht="17.15" hidden="false" customHeight="false" outlineLevel="0" collapsed="false">
      <c r="A1143" s="0" t="s">
        <v>581</v>
      </c>
      <c r="B1143" s="0" t="s">
        <v>76</v>
      </c>
      <c r="D1143" s="21" t="n">
        <f aca="false">D1142/C1142-1</f>
        <v>1.27138417603474</v>
      </c>
      <c r="E1143" s="21" t="n">
        <f aca="false">E1142/D1142-1</f>
        <v>0.274948472137669</v>
      </c>
      <c r="F1143" s="21" t="n">
        <f aca="false">F1142/E1142-1</f>
        <v>-0.355002281494382</v>
      </c>
      <c r="G1143" s="21" t="n">
        <f aca="false">G1142/F1142-1</f>
        <v>0.10910077160598</v>
      </c>
      <c r="H1143" s="26" t="n">
        <f aca="false">H1142/G1142-1</f>
        <v>-0.0138404773339532</v>
      </c>
      <c r="I1143" s="26" t="n">
        <f aca="false">I1142/H1142-1</f>
        <v>-0.0363624673987258</v>
      </c>
      <c r="J1143" s="26" t="n">
        <f aca="false">J1142/I1142-1</f>
        <v>-0.0593638531857785</v>
      </c>
    </row>
    <row r="1144" customFormat="false" ht="17.15" hidden="false" customHeight="false" outlineLevel="0" collapsed="false">
      <c r="A1144" s="4" t="s">
        <v>582</v>
      </c>
      <c r="B1144" s="0" t="s">
        <v>76</v>
      </c>
      <c r="C1144" s="14" t="n">
        <f aca="false">C1140/C1118</f>
        <v>0.0629977625862272</v>
      </c>
      <c r="D1144" s="14" t="n">
        <f aca="false">D1140/D1118</f>
        <v>0.107397865592237</v>
      </c>
      <c r="E1144" s="14" t="n">
        <f aca="false">E1140/E1118</f>
        <v>0.111886189539703</v>
      </c>
      <c r="F1144" s="14" t="n">
        <f aca="false">F1140/F1118</f>
        <v>0.0737435992974877</v>
      </c>
      <c r="G1144" s="14" t="n">
        <f aca="false">G1140/G1118</f>
        <v>0.0762483286090722</v>
      </c>
      <c r="H1144" s="27" t="n">
        <f aca="false">$G1144+(fade_mC-$G1144)*1/3</f>
        <v>0.0713799051324253</v>
      </c>
      <c r="I1144" s="27" t="n">
        <f aca="false">$G1144+(fade_mC-$G1144)*2/3</f>
        <v>0.0665114816557784</v>
      </c>
      <c r="J1144" s="27" t="n">
        <f aca="false">$G1144+(fade_mC-$G1144)*3/3</f>
        <v>0.0616430581791315</v>
      </c>
    </row>
    <row r="1145" customFormat="false" ht="17.15" hidden="false" customHeight="false" outlineLevel="0" collapsed="false">
      <c r="A1145" s="4" t="s">
        <v>583</v>
      </c>
      <c r="B1145" s="0" t="s">
        <v>234</v>
      </c>
      <c r="C1145" s="30" t="n">
        <f aca="false">C1140+C1126-C1124</f>
        <v>-54.587</v>
      </c>
      <c r="D1145" s="30" t="n">
        <f aca="false">D1140+D1126-D1124</f>
        <v>-176.164485935382</v>
      </c>
      <c r="E1145" s="30" t="n">
        <f aca="false">E1140+E1126-E1124</f>
        <v>-165.364805740664</v>
      </c>
      <c r="F1145" s="30" t="n">
        <f aca="false">F1140+F1126-F1124</f>
        <v>-71.7697043171688</v>
      </c>
      <c r="G1145" s="30" t="n">
        <f aca="false">G1140+G1126-G1124</f>
        <v>-68.8394945002512</v>
      </c>
      <c r="K1145" s="4" t="s">
        <v>584</v>
      </c>
    </row>
    <row r="1146" customFormat="false" ht="17.15" hidden="false" customHeight="false" outlineLevel="0" collapsed="false">
      <c r="A1146" s="4" t="s">
        <v>585</v>
      </c>
      <c r="B1146" s="0" t="s">
        <v>76</v>
      </c>
      <c r="D1146" s="21" t="n">
        <f aca="false">(D1134-$C1134)/SUM($D1124:D1124)</f>
        <v>0.164280348537512</v>
      </c>
      <c r="E1146" s="21" t="n">
        <f aca="false">(E1134-$C1134)/SUM($D1124:E1124)</f>
        <v>0.13053626925304</v>
      </c>
      <c r="F1146" s="21" t="n">
        <f aca="false">(F1134-$C1134)/SUM($D1124:F1124)</f>
        <v>0.0467961266500678</v>
      </c>
      <c r="G1146" s="21" t="n">
        <f aca="false">(G1134-$C1134)/SUM($D1124:G1124)</f>
        <v>0.0431759142486068</v>
      </c>
      <c r="K1146" s="4" t="s">
        <v>586</v>
      </c>
    </row>
    <row r="1149" customFormat="false" ht="17.15" hidden="false" customHeight="false" outlineLevel="0" collapsed="false">
      <c r="A1149" s="1" t="s">
        <v>937</v>
      </c>
    </row>
    <row r="1150" customFormat="false" ht="17.15" hidden="false" customHeight="false" outlineLevel="0" collapsed="false">
      <c r="A1150" s="5" t="s">
        <v>21</v>
      </c>
      <c r="B1150" s="5" t="s">
        <v>22</v>
      </c>
      <c r="C1150" s="15" t="s">
        <v>424</v>
      </c>
      <c r="D1150" s="15" t="s">
        <v>524</v>
      </c>
      <c r="E1150" s="15" t="s">
        <v>525</v>
      </c>
      <c r="F1150" s="15" t="s">
        <v>526</v>
      </c>
      <c r="G1150" s="15" t="s">
        <v>527</v>
      </c>
      <c r="H1150" s="15" t="s">
        <v>528</v>
      </c>
      <c r="I1150" s="15" t="s">
        <v>529</v>
      </c>
      <c r="J1150" s="15" t="s">
        <v>530</v>
      </c>
      <c r="K1150" s="5" t="s">
        <v>382</v>
      </c>
    </row>
    <row r="1151" customFormat="false" ht="17.15" hidden="false" customHeight="false" outlineLevel="0" collapsed="false">
      <c r="A1151" s="6" t="s">
        <v>548</v>
      </c>
    </row>
    <row r="1152" customFormat="false" ht="17.15" hidden="false" customHeight="false" outlineLevel="0" collapsed="false">
      <c r="A1152" s="0" t="s">
        <v>549</v>
      </c>
      <c r="B1152" s="4" t="s">
        <v>32</v>
      </c>
      <c r="D1152" s="19" t="n">
        <f aca="false">units_26</f>
        <v>15.2</v>
      </c>
      <c r="E1152" s="19" t="n">
        <f aca="false">units_27*1</f>
        <v>23.7</v>
      </c>
      <c r="F1152" s="19" t="n">
        <f aca="false">units_28*um28_A*1</f>
        <v>26.5</v>
      </c>
      <c r="G1152" s="19" t="n">
        <f aca="false">units_29*um29_A*1</f>
        <v>30.15</v>
      </c>
    </row>
    <row r="1153" customFormat="false" ht="17.15" hidden="false" customHeight="false" outlineLevel="0" collapsed="false">
      <c r="A1153" s="4" t="s">
        <v>497</v>
      </c>
      <c r="B1153" s="0" t="s">
        <v>45</v>
      </c>
      <c r="D1153" s="22" t="n">
        <f aca="false">ar_26</f>
        <v>1</v>
      </c>
      <c r="E1153" s="22" t="n">
        <f aca="false">ar_27</f>
        <v>1.278156</v>
      </c>
      <c r="F1153" s="22" t="n">
        <f aca="false">ar_28</f>
        <v>1.428615</v>
      </c>
      <c r="G1153" s="22" t="n">
        <f aca="false">ar_29</f>
        <v>1.431796</v>
      </c>
    </row>
    <row r="1154" customFormat="false" ht="17.15" hidden="false" customHeight="false" outlineLevel="0" collapsed="false">
      <c r="A1154" s="4" t="s">
        <v>550</v>
      </c>
      <c r="B1154" s="0" t="s">
        <v>45</v>
      </c>
      <c r="D1154" s="19" t="n">
        <f aca="false">1</f>
        <v>1</v>
      </c>
      <c r="E1154" s="19" t="n">
        <f aca="false">rel27_A</f>
        <v>1.1</v>
      </c>
      <c r="F1154" s="19" t="n">
        <f aca="false">rel28_A</f>
        <v>1.15</v>
      </c>
      <c r="G1154" s="19" t="n">
        <f aca="false">rel29_A</f>
        <v>1.2</v>
      </c>
    </row>
    <row r="1155" customFormat="false" ht="17.15" hidden="false" customHeight="false" outlineLevel="0" collapsed="false">
      <c r="A1155" s="4" t="s">
        <v>551</v>
      </c>
      <c r="B1155" s="0" t="s">
        <v>502</v>
      </c>
      <c r="D1155" s="23" t="n">
        <f aca="false">D1156*1000/D1152</f>
        <v>232.894736842105</v>
      </c>
      <c r="E1155" s="23" t="n">
        <f aca="false">$D1155*E1153^el</f>
        <v>263.300452584163</v>
      </c>
      <c r="F1155" s="23" t="n">
        <f aca="false">$D1155*F1153^el</f>
        <v>278.366697432121</v>
      </c>
      <c r="G1155" s="23" t="n">
        <f aca="false">$D1155*G1153^el</f>
        <v>278.676435220295</v>
      </c>
      <c r="K1155" s="8" t="s">
        <v>552</v>
      </c>
    </row>
    <row r="1156" customFormat="false" ht="17.15" hidden="false" customHeight="false" outlineLevel="0" collapsed="false">
      <c r="A1156" s="0" t="s">
        <v>553</v>
      </c>
      <c r="B1156" s="0" t="s">
        <v>120</v>
      </c>
      <c r="D1156" s="22" t="n">
        <f aca="false">leap26-D1157-D1158</f>
        <v>3.54</v>
      </c>
      <c r="E1156" s="22" t="n">
        <f aca="false">E1152*E1154*E1155/1000</f>
        <v>6.86424279886912</v>
      </c>
      <c r="F1156" s="22" t="n">
        <f aca="false">F1152*F1154*F1155/1000</f>
        <v>8.48322510424388</v>
      </c>
      <c r="G1156" s="22" t="n">
        <f aca="false">G1152*G1154*G1155/1000</f>
        <v>10.0825134262703</v>
      </c>
      <c r="K1156" s="8" t="s">
        <v>554</v>
      </c>
    </row>
    <row r="1157" customFormat="false" ht="17.15" hidden="false" customHeight="false" outlineLevel="0" collapsed="false">
      <c r="A1157" s="4" t="s">
        <v>555</v>
      </c>
      <c r="B1157" s="0" t="s">
        <v>120</v>
      </c>
      <c r="D1157" s="22" t="n">
        <f aca="false">fp26</f>
        <v>0.3</v>
      </c>
      <c r="E1157" s="22" t="n">
        <f aca="false">fp27_A</f>
        <v>1.2</v>
      </c>
      <c r="F1157" s="22" t="n">
        <f aca="false">E1157*F1152/E1152*(1+fp_g)</f>
        <v>1.74430379746835</v>
      </c>
      <c r="G1157" s="22" t="n">
        <f aca="false">F1157*G1152/F1152*(1+fp_g)</f>
        <v>2.57992405063291</v>
      </c>
    </row>
    <row r="1158" customFormat="false" ht="17.15" hidden="false" customHeight="false" outlineLevel="0" collapsed="false">
      <c r="A1158" s="0" t="s">
        <v>556</v>
      </c>
      <c r="B1158" s="0" t="s">
        <v>120</v>
      </c>
      <c r="D1158" s="22" t="n">
        <f aca="false">cpo27_hi*cpo_A_26/cpo_A_27</f>
        <v>0.16</v>
      </c>
      <c r="E1158" s="22" t="n">
        <f aca="false">cpo27_hi*cpo_A_27/cpo_A_27</f>
        <v>0.8</v>
      </c>
      <c r="F1158" s="22" t="n">
        <f aca="false">cpo27_hi*cpo_A_28/cpo_A_27*F1152/E1152</f>
        <v>1.78902953586498</v>
      </c>
      <c r="G1158" s="22" t="n">
        <f aca="false">cpo27_hi*cpo_A_29/cpo_A_27*G1152/E1152</f>
        <v>3.25670886075949</v>
      </c>
      <c r="K1158" s="8" t="s">
        <v>557</v>
      </c>
    </row>
    <row r="1159" customFormat="false" ht="17.15" hidden="false" customHeight="false" outlineLevel="0" collapsed="false">
      <c r="A1159" s="0" t="s">
        <v>510</v>
      </c>
      <c r="B1159" s="0" t="s">
        <v>120</v>
      </c>
      <c r="C1159" s="22" t="n">
        <f aca="false">leap25</f>
        <v>1.6</v>
      </c>
      <c r="D1159" s="22" t="n">
        <f aca="false">D1156+D1157+D1158</f>
        <v>4</v>
      </c>
      <c r="E1159" s="22" t="n">
        <f aca="false">E1156+E1157+E1158</f>
        <v>8.86424279886912</v>
      </c>
      <c r="F1159" s="22" t="n">
        <f aca="false">F1156+F1157+F1158</f>
        <v>12.0165584375772</v>
      </c>
      <c r="G1159" s="22" t="n">
        <f aca="false">G1156+G1157+G1158</f>
        <v>15.9191463376627</v>
      </c>
    </row>
    <row r="1160" customFormat="false" ht="17.15" hidden="false" customHeight="false" outlineLevel="0" collapsed="false">
      <c r="A1160" s="4" t="s">
        <v>558</v>
      </c>
      <c r="B1160" s="0" t="s">
        <v>114</v>
      </c>
      <c r="C1160" s="19" t="n">
        <f aca="false">fx25</f>
        <v>31</v>
      </c>
      <c r="D1160" s="19" t="n">
        <f aca="false">a26_leap/D1159</f>
        <v>31.9</v>
      </c>
      <c r="E1160" s="19" t="n">
        <f aca="false">fx</f>
        <v>32</v>
      </c>
      <c r="F1160" s="19" t="n">
        <f aca="false">fx</f>
        <v>32</v>
      </c>
      <c r="G1160" s="19" t="n">
        <f aca="false">fx</f>
        <v>32</v>
      </c>
      <c r="K1160" s="8" t="s">
        <v>559</v>
      </c>
    </row>
    <row r="1161" customFormat="false" ht="17.15" hidden="false" customHeight="false" outlineLevel="0" collapsed="false">
      <c r="A1161" s="6" t="s">
        <v>560</v>
      </c>
    </row>
    <row r="1162" customFormat="false" ht="17.15" hidden="false" customHeight="false" outlineLevel="0" collapsed="false">
      <c r="A1162" s="0" t="s">
        <v>438</v>
      </c>
      <c r="B1162" s="0" t="s">
        <v>234</v>
      </c>
      <c r="C1162" s="30" t="n">
        <f aca="false">a25_leap</f>
        <v>49.6</v>
      </c>
      <c r="D1162" s="30" t="n">
        <f aca="false">a26_leap</f>
        <v>127.6</v>
      </c>
      <c r="E1162" s="30" t="n">
        <f aca="false">E1159*E1160</f>
        <v>283.655769563812</v>
      </c>
      <c r="F1162" s="30" t="n">
        <f aca="false">F1159*F1160</f>
        <v>384.529870002471</v>
      </c>
      <c r="G1162" s="30" t="n">
        <f aca="false">G1159*G1160</f>
        <v>509.412682805206</v>
      </c>
    </row>
    <row r="1163" customFormat="false" ht="15" hidden="false" customHeight="false" outlineLevel="0" collapsed="false">
      <c r="A1163" s="4" t="s">
        <v>561</v>
      </c>
      <c r="B1163" s="0" t="s">
        <v>234</v>
      </c>
      <c r="C1163" s="30" t="n">
        <f aca="false">a25_ms</f>
        <v>339.628</v>
      </c>
      <c r="D1163" s="30" t="n">
        <f aca="false">a26_ms</f>
        <v>432.1302</v>
      </c>
      <c r="E1163" s="30" t="n">
        <f aca="false">D1163*(1+g_ms27)</f>
        <v>496.94973</v>
      </c>
      <c r="F1163" s="30" t="n">
        <f aca="false">E1163*(1+g_msL)</f>
        <v>531.7362111</v>
      </c>
      <c r="G1163" s="30" t="n">
        <f aca="false">F1163*(1+g_msL)</f>
        <v>568.957745877</v>
      </c>
    </row>
    <row r="1164" customFormat="false" ht="17.15" hidden="false" customHeight="false" outlineLevel="0" collapsed="false">
      <c r="A1164" s="4" t="s">
        <v>562</v>
      </c>
      <c r="B1164" s="0" t="s">
        <v>234</v>
      </c>
      <c r="C1164" s="30" t="n">
        <f aca="false">C1162+C1163</f>
        <v>389.228</v>
      </c>
      <c r="D1164" s="30" t="n">
        <f aca="false">D1162+D1163</f>
        <v>559.7302</v>
      </c>
      <c r="E1164" s="30" t="n">
        <f aca="false">E1162+E1163</f>
        <v>780.605499563812</v>
      </c>
      <c r="F1164" s="30" t="n">
        <f aca="false">F1162+F1163</f>
        <v>916.266081102471</v>
      </c>
      <c r="G1164" s="30" t="n">
        <f aca="false">G1162+G1163</f>
        <v>1078.37042868221</v>
      </c>
    </row>
    <row r="1165" customFormat="false" ht="17.15" hidden="false" customHeight="false" outlineLevel="0" collapsed="false">
      <c r="A1165" s="0" t="s">
        <v>563</v>
      </c>
      <c r="B1165" s="0" t="s">
        <v>234</v>
      </c>
      <c r="C1165" s="30" t="n">
        <f aca="false">a25_ems</f>
        <v>259.079</v>
      </c>
      <c r="D1165" s="30" t="n">
        <f aca="false">a26_ems</f>
        <v>314.602</v>
      </c>
      <c r="E1165" s="30" t="n">
        <f aca="false">D1165*(1+g_ems27)</f>
        <v>346.0622</v>
      </c>
      <c r="F1165" s="30" t="n">
        <f aca="false">E1165*(1+g_emsL)</f>
        <v>363.36531</v>
      </c>
      <c r="G1165" s="30" t="n">
        <f aca="false">F1165*(1+g_emsL)</f>
        <v>381.5335755</v>
      </c>
    </row>
    <row r="1166" customFormat="false" ht="17.15" hidden="false" customHeight="false" outlineLevel="0" collapsed="false">
      <c r="A1166" s="4" t="s">
        <v>564</v>
      </c>
      <c r="B1166" s="0" t="s">
        <v>234</v>
      </c>
      <c r="C1166" s="30" t="n">
        <f aca="false">a25_elim</f>
        <v>-2.91899999999998</v>
      </c>
      <c r="D1166" s="30" t="n">
        <f aca="false">a26_elim</f>
        <v>-3.16484905982349</v>
      </c>
      <c r="E1166" s="30" t="n">
        <f aca="false">$D1166/($D1164+$D1165)*(E1164+E1165)</f>
        <v>-4.07823617807742</v>
      </c>
      <c r="F1166" s="30" t="n">
        <f aca="false">$D1166/($D1164+$D1165)*(F1164+F1165)</f>
        <v>-4.6319238900858</v>
      </c>
      <c r="G1166" s="30" t="n">
        <f aca="false">$D1166/($D1164+$D1165)*(G1164+G1165)</f>
        <v>-5.28446260479552</v>
      </c>
      <c r="K1166" s="4" t="s">
        <v>565</v>
      </c>
    </row>
    <row r="1167" customFormat="false" ht="17.15" hidden="false" customHeight="false" outlineLevel="0" collapsed="false">
      <c r="A1167" s="4" t="s">
        <v>431</v>
      </c>
      <c r="B1167" s="0" t="s">
        <v>234</v>
      </c>
      <c r="C1167" s="30" t="n">
        <f aca="false">C1164+C1165+C1166</f>
        <v>645.388</v>
      </c>
      <c r="D1167" s="30" t="n">
        <f aca="false">D1164+D1165+D1166</f>
        <v>871.167350940177</v>
      </c>
      <c r="E1167" s="30" t="n">
        <f aca="false">E1164+E1165+E1166</f>
        <v>1122.58946338573</v>
      </c>
      <c r="F1167" s="30" t="n">
        <f aca="false">F1164+F1165+F1166</f>
        <v>1274.99946721239</v>
      </c>
      <c r="G1167" s="30" t="n">
        <f aca="false">G1164+G1165+G1166</f>
        <v>1454.61954157741</v>
      </c>
      <c r="H1167" s="31" t="n">
        <f aca="false">G1167*(1+H1168)</f>
        <v>1620.32839223238</v>
      </c>
      <c r="I1167" s="31" t="n">
        <f aca="false">H1167*(1+I1168)</f>
        <v>1761.2313652884</v>
      </c>
      <c r="J1167" s="31" t="n">
        <f aca="false">I1167*(1+J1168)</f>
        <v>1866.9052472057</v>
      </c>
      <c r="K1167" s="8" t="s">
        <v>566</v>
      </c>
    </row>
    <row r="1168" customFormat="false" ht="15" hidden="false" customHeight="false" outlineLevel="0" collapsed="false">
      <c r="A1168" s="4" t="s">
        <v>567</v>
      </c>
      <c r="B1168" s="0" t="s">
        <v>76</v>
      </c>
      <c r="D1168" s="21" t="n">
        <f aca="false">D1167/C1167-1</f>
        <v>0.349835061916516</v>
      </c>
      <c r="E1168" s="21" t="n">
        <f aca="false">E1167/D1167-1</f>
        <v>0.288603690409448</v>
      </c>
      <c r="F1168" s="21" t="n">
        <f aca="false">F1167/E1167-1</f>
        <v>0.135766465656092</v>
      </c>
      <c r="G1168" s="21" t="n">
        <f aca="false">G1167/F1167-1</f>
        <v>0.14087854856735</v>
      </c>
      <c r="H1168" s="26" t="n">
        <f aca="false">$G1168+(fade_gA-$G1168)*1/3</f>
        <v>0.113919032378234</v>
      </c>
      <c r="I1168" s="26" t="n">
        <f aca="false">$G1168+(fade_gA-$G1168)*2/3</f>
        <v>0.0869595161891168</v>
      </c>
      <c r="J1168" s="26" t="n">
        <f aca="false">$G1168+(fade_gA-$G1168)*3/3</f>
        <v>0.06</v>
      </c>
    </row>
    <row r="1169" customFormat="false" ht="17.15" hidden="false" customHeight="false" outlineLevel="0" collapsed="false">
      <c r="A1169" s="0" t="s">
        <v>475</v>
      </c>
      <c r="B1169" s="0" t="s">
        <v>76</v>
      </c>
      <c r="C1169" s="21" t="n">
        <f aca="false">C1162/C1164</f>
        <v>0.127431736668482</v>
      </c>
      <c r="D1169" s="21" t="n">
        <f aca="false">D1162/D1164</f>
        <v>0.227966974088588</v>
      </c>
      <c r="E1169" s="21" t="n">
        <f aca="false">E1162/E1164</f>
        <v>0.36337915851517</v>
      </c>
      <c r="F1169" s="21" t="n">
        <f aca="false">F1162/F1164</f>
        <v>0.419670527953841</v>
      </c>
      <c r="G1169" s="21" t="n">
        <f aca="false">G1162/G1164</f>
        <v>0.472391183266886</v>
      </c>
    </row>
    <row r="1170" customFormat="false" ht="15" hidden="false" customHeight="false" outlineLevel="0" collapsed="false">
      <c r="A1170" s="4" t="s">
        <v>568</v>
      </c>
      <c r="B1170" s="0" t="s">
        <v>76</v>
      </c>
      <c r="D1170" s="21" t="n">
        <f aca="false">D1164/C1164-1</f>
        <v>0.438052247012034</v>
      </c>
      <c r="E1170" s="21" t="n">
        <f aca="false">E1164/D1164-1</f>
        <v>0.394610295395553</v>
      </c>
      <c r="F1170" s="21" t="n">
        <f aca="false">F1164/E1164-1</f>
        <v>0.173788913368486</v>
      </c>
      <c r="G1170" s="21" t="n">
        <f aca="false">G1164/F1164-1</f>
        <v>0.176918420230822</v>
      </c>
    </row>
    <row r="1171" customFormat="false" ht="17.15" hidden="false" customHeight="false" outlineLevel="0" collapsed="false">
      <c r="A1171" s="6" t="s">
        <v>569</v>
      </c>
    </row>
    <row r="1172" customFormat="false" ht="17.15" hidden="false" customHeight="false" outlineLevel="0" collapsed="false">
      <c r="A1172" s="4" t="s">
        <v>570</v>
      </c>
      <c r="B1172" s="0" t="s">
        <v>120</v>
      </c>
      <c r="C1172" s="19" t="n">
        <f aca="false">capex25</f>
        <v>5.5</v>
      </c>
      <c r="D1172" s="19" t="n">
        <f aca="false">capex26</f>
        <v>11.5</v>
      </c>
      <c r="E1172" s="19" t="n">
        <f aca="false">capex27</f>
        <v>13</v>
      </c>
      <c r="F1172" s="19" t="n">
        <f aca="false">capi*F1167/F1160</f>
        <v>11.9531200051161</v>
      </c>
      <c r="G1172" s="19" t="n">
        <f aca="false">capi*G1167/G1160</f>
        <v>13.6370582022882</v>
      </c>
      <c r="K1172" s="8" t="s">
        <v>571</v>
      </c>
    </row>
    <row r="1173" customFormat="false" ht="15" hidden="false" customHeight="false" outlineLevel="0" collapsed="false">
      <c r="A1173" s="4" t="s">
        <v>572</v>
      </c>
      <c r="B1173" s="0" t="s">
        <v>234</v>
      </c>
      <c r="C1173" s="30" t="n">
        <f aca="false">C1172*C1160</f>
        <v>170.5</v>
      </c>
      <c r="D1173" s="30" t="n">
        <f aca="false">D1172*31.9</f>
        <v>366.85</v>
      </c>
      <c r="E1173" s="30" t="n">
        <f aca="false">E1172*E1160</f>
        <v>416</v>
      </c>
      <c r="F1173" s="30" t="n">
        <f aca="false">F1172*F1160</f>
        <v>382.499840163716</v>
      </c>
      <c r="G1173" s="30" t="n">
        <f aca="false">G1172*G1160</f>
        <v>436.385862473223</v>
      </c>
    </row>
    <row r="1174" customFormat="false" ht="17.15" hidden="false" customHeight="false" outlineLevel="0" collapsed="false">
      <c r="A1174" s="4" t="s">
        <v>473</v>
      </c>
      <c r="B1174" s="0" t="s">
        <v>76</v>
      </c>
      <c r="C1174" s="21" t="n">
        <f aca="false">C1173/C1167</f>
        <v>0.264182166386732</v>
      </c>
      <c r="D1174" s="21" t="n">
        <f aca="false">D1173/D1167</f>
        <v>0.421101639775745</v>
      </c>
      <c r="E1174" s="21" t="n">
        <f aca="false">E1173/E1167</f>
        <v>0.370571801685491</v>
      </c>
      <c r="F1174" s="21" t="n">
        <f aca="false">F1173/F1167</f>
        <v>0.3</v>
      </c>
      <c r="G1174" s="21" t="n">
        <f aca="false">G1173/G1167</f>
        <v>0.3</v>
      </c>
    </row>
    <row r="1175" customFormat="false" ht="17.15" hidden="false" customHeight="false" outlineLevel="0" collapsed="false">
      <c r="A1175" s="4" t="s">
        <v>573</v>
      </c>
      <c r="B1175" s="0" t="s">
        <v>234</v>
      </c>
      <c r="C1175" s="30" t="n">
        <f aca="false">a25_da</f>
        <v>75.255</v>
      </c>
      <c r="D1175" s="30" t="n">
        <f aca="false">a26_da</f>
        <v>97.124</v>
      </c>
      <c r="E1175" s="30" t="n">
        <f aca="false">D1175*(1-1/life)+D1173/life</f>
        <v>130.83975</v>
      </c>
      <c r="F1175" s="30" t="n">
        <f aca="false">E1175*(1-1/life)+E1173/life</f>
        <v>166.48478125</v>
      </c>
      <c r="G1175" s="30" t="n">
        <f aca="false">F1175*(1-1/life)+F1173/life</f>
        <v>193.486663614214</v>
      </c>
      <c r="K1175" s="4" t="s">
        <v>574</v>
      </c>
    </row>
    <row r="1176" customFormat="false" ht="17.15" hidden="false" customHeight="false" outlineLevel="0" collapsed="false">
      <c r="A1176" s="4" t="s">
        <v>575</v>
      </c>
      <c r="B1176" s="0" t="s">
        <v>234</v>
      </c>
      <c r="C1176" s="30" t="n">
        <f aca="false">a25_agp</f>
        <v>91.38</v>
      </c>
      <c r="D1176" s="30" t="n">
        <f aca="false">a26_agp</f>
        <v>164.623388</v>
      </c>
      <c r="E1176" s="30" t="n">
        <f aca="false">$D1176+ft*(E1164-$D1164)-(E1175-$D1175)</f>
        <v>241.345287781906</v>
      </c>
      <c r="F1176" s="30" t="n">
        <f aca="false">$D1176+ft*(F1164-$D1164)-(F1175-$D1175)</f>
        <v>273.530547301236</v>
      </c>
      <c r="G1176" s="30" t="n">
        <f aca="false">$D1176+ft*(G1164-$D1164)-(G1175-$D1175)</f>
        <v>327.580838726889</v>
      </c>
      <c r="K1176" s="4" t="s">
        <v>576</v>
      </c>
    </row>
    <row r="1177" customFormat="false" ht="15" hidden="false" customHeight="false" outlineLevel="0" collapsed="false">
      <c r="A1177" s="4" t="s">
        <v>447</v>
      </c>
      <c r="B1177" s="0" t="s">
        <v>76</v>
      </c>
      <c r="C1177" s="14" t="n">
        <f aca="false">C1176/C1164</f>
        <v>0.234772421305764</v>
      </c>
      <c r="D1177" s="14" t="n">
        <f aca="false">D1176/D1164</f>
        <v>0.294112034690999</v>
      </c>
      <c r="E1177" s="14" t="n">
        <f aca="false">E1176/E1164</f>
        <v>0.30917702721383</v>
      </c>
      <c r="F1177" s="14" t="n">
        <f aca="false">F1176/F1164</f>
        <v>0.298527417900396</v>
      </c>
      <c r="G1177" s="14" t="n">
        <f aca="false">G1176/G1164</f>
        <v>0.303773944475833</v>
      </c>
    </row>
    <row r="1178" customFormat="false" ht="17.15" hidden="false" customHeight="false" outlineLevel="0" collapsed="false">
      <c r="A1178" s="0" t="s">
        <v>449</v>
      </c>
      <c r="B1178" s="0" t="s">
        <v>234</v>
      </c>
      <c r="C1178" s="30" t="n">
        <f aca="false">a25_egp</f>
        <v>23.695</v>
      </c>
      <c r="D1178" s="30" t="n">
        <f aca="false">a26_egp</f>
        <v>27.00552</v>
      </c>
      <c r="E1178" s="30" t="n">
        <f aca="false">E1165*ems_gm</f>
        <v>29.415287</v>
      </c>
      <c r="F1178" s="30" t="n">
        <f aca="false">F1165*ems_gm</f>
        <v>30.88605135</v>
      </c>
      <c r="G1178" s="30" t="n">
        <f aca="false">G1165*ems_gm</f>
        <v>32.4303539175</v>
      </c>
    </row>
    <row r="1179" customFormat="false" ht="15" hidden="false" customHeight="false" outlineLevel="0" collapsed="false">
      <c r="A1179" s="4" t="s">
        <v>577</v>
      </c>
      <c r="B1179" s="0" t="s">
        <v>234</v>
      </c>
      <c r="C1179" s="30" t="n">
        <f aca="false">a25_lgp</f>
        <v>-0.881999999999998</v>
      </c>
      <c r="D1179" s="30" t="n">
        <f aca="false">a26_lgp</f>
        <v>-0.948662139013863</v>
      </c>
      <c r="E1179" s="30" t="n">
        <f aca="false">$D1179/$D1166*E1166</f>
        <v>-1.22244953328499</v>
      </c>
      <c r="F1179" s="30" t="n">
        <f aca="false">$D1179/$D1166*F1166</f>
        <v>-1.38841718586203</v>
      </c>
      <c r="G1179" s="30" t="n">
        <f aca="false">$D1179/$D1166*G1166</f>
        <v>-1.58401538381223</v>
      </c>
    </row>
    <row r="1180" customFormat="false" ht="15" hidden="false" customHeight="false" outlineLevel="0" collapsed="false">
      <c r="A1180" s="4" t="s">
        <v>451</v>
      </c>
      <c r="B1180" s="0" t="s">
        <v>234</v>
      </c>
      <c r="C1180" s="30" t="n">
        <f aca="false">C1176+C1178+C1179</f>
        <v>114.193</v>
      </c>
      <c r="D1180" s="30" t="n">
        <f aca="false">D1176+D1178+D1179</f>
        <v>190.680245860986</v>
      </c>
      <c r="E1180" s="30" t="n">
        <f aca="false">E1176+E1178+E1179</f>
        <v>269.538125248621</v>
      </c>
      <c r="F1180" s="30" t="n">
        <f aca="false">F1176+F1178+F1179</f>
        <v>303.028181465374</v>
      </c>
      <c r="G1180" s="30" t="n">
        <f aca="false">G1176+G1178+G1179</f>
        <v>358.427177260576</v>
      </c>
    </row>
    <row r="1181" customFormat="false" ht="15" hidden="false" customHeight="false" outlineLevel="0" collapsed="false">
      <c r="A1181" s="4" t="s">
        <v>452</v>
      </c>
      <c r="B1181" s="0" t="s">
        <v>76</v>
      </c>
      <c r="C1181" s="14" t="n">
        <f aca="false">C1180/C1167</f>
        <v>0.176936974347214</v>
      </c>
      <c r="D1181" s="14" t="n">
        <f aca="false">D1180/D1167</f>
        <v>0.218879008327391</v>
      </c>
      <c r="E1181" s="14" t="n">
        <f aca="false">E1180/E1167</f>
        <v>0.240103915135363</v>
      </c>
      <c r="F1181" s="14" t="n">
        <f aca="false">F1180/F1167</f>
        <v>0.237669261249108</v>
      </c>
      <c r="G1181" s="14" t="n">
        <f aca="false">G1180/G1167</f>
        <v>0.246406133711013</v>
      </c>
    </row>
    <row r="1182" customFormat="false" ht="15" hidden="false" customHeight="false" outlineLevel="0" collapsed="false">
      <c r="A1182" s="4" t="s">
        <v>578</v>
      </c>
      <c r="B1182" s="0" t="s">
        <v>234</v>
      </c>
      <c r="C1182" s="30" t="n">
        <f aca="false">a25_opx</f>
        <v>63.437</v>
      </c>
      <c r="D1182" s="30" t="n">
        <f aca="false">a26_opx</f>
        <v>79.658</v>
      </c>
      <c r="E1182" s="30" t="n">
        <f aca="false">D1182*(1+phi*E1168)</f>
        <v>93.4517556623815</v>
      </c>
      <c r="F1182" s="30" t="n">
        <f aca="false">E1182*(1+phi*F1168)</f>
        <v>101.064324407764</v>
      </c>
      <c r="G1182" s="30" t="n">
        <f aca="false">F1182*(1+phi*G1168)</f>
        <v>109.607001608468</v>
      </c>
    </row>
    <row r="1183" customFormat="false" ht="15" hidden="false" customHeight="false" outlineLevel="0" collapsed="false">
      <c r="A1183" s="4" t="s">
        <v>455</v>
      </c>
      <c r="B1183" s="0" t="s">
        <v>234</v>
      </c>
      <c r="C1183" s="30" t="n">
        <f aca="false">C1180-C1182</f>
        <v>50.756</v>
      </c>
      <c r="D1183" s="30" t="n">
        <f aca="false">D1180-D1182</f>
        <v>111.022245860986</v>
      </c>
      <c r="E1183" s="30" t="n">
        <f aca="false">E1180-E1182</f>
        <v>176.08636958624</v>
      </c>
      <c r="F1183" s="30" t="n">
        <f aca="false">F1180-F1182</f>
        <v>201.963857057609</v>
      </c>
      <c r="G1183" s="30" t="n">
        <f aca="false">G1180-G1182</f>
        <v>248.820175652109</v>
      </c>
    </row>
    <row r="1184" customFormat="false" ht="15" hidden="false" customHeight="false" outlineLevel="0" collapsed="false">
      <c r="A1184" s="4" t="s">
        <v>537</v>
      </c>
      <c r="B1184" s="0" t="s">
        <v>76</v>
      </c>
      <c r="C1184" s="14" t="n">
        <f aca="false">C1183/C1167</f>
        <v>0.0786441644406156</v>
      </c>
      <c r="D1184" s="14" t="n">
        <f aca="false">D1183/D1167</f>
        <v>0.127440779020437</v>
      </c>
      <c r="E1184" s="14" t="n">
        <f aca="false">E1183/E1167</f>
        <v>0.156857315456322</v>
      </c>
      <c r="F1184" s="14" t="n">
        <f aca="false">F1183/F1167</f>
        <v>0.158403091335541</v>
      </c>
      <c r="G1184" s="14" t="n">
        <f aca="false">G1183/G1167</f>
        <v>0.171055158094662</v>
      </c>
    </row>
    <row r="1185" customFormat="false" ht="15" hidden="false" customHeight="false" outlineLevel="0" collapsed="false">
      <c r="A1185" s="4" t="s">
        <v>456</v>
      </c>
      <c r="B1185" s="0" t="s">
        <v>234</v>
      </c>
      <c r="C1185" s="30" t="n">
        <f aca="false">a25_nonop</f>
        <v>0.545</v>
      </c>
      <c r="D1185" s="30" t="n">
        <f aca="false">a26_nonop</f>
        <v>4.302</v>
      </c>
      <c r="E1185" s="30" t="n">
        <f aca="false">nonop_f</f>
        <v>-5</v>
      </c>
      <c r="F1185" s="30" t="n">
        <f aca="false">nonop_f</f>
        <v>-5</v>
      </c>
      <c r="G1185" s="30" t="n">
        <f aca="false">nonop_f</f>
        <v>-5</v>
      </c>
    </row>
    <row r="1186" customFormat="false" ht="15" hidden="false" customHeight="false" outlineLevel="0" collapsed="false">
      <c r="A1186" s="4" t="s">
        <v>459</v>
      </c>
      <c r="B1186" s="0" t="s">
        <v>234</v>
      </c>
      <c r="C1186" s="30" t="n">
        <f aca="false">C1183+C1185</f>
        <v>51.301</v>
      </c>
      <c r="D1186" s="30" t="n">
        <f aca="false">D1183+D1185</f>
        <v>115.324245860986</v>
      </c>
      <c r="E1186" s="30" t="n">
        <f aca="false">E1183+E1185</f>
        <v>171.08636958624</v>
      </c>
      <c r="F1186" s="30" t="n">
        <f aca="false">F1183+F1185</f>
        <v>196.963857057609</v>
      </c>
      <c r="G1186" s="30" t="n">
        <f aca="false">G1183+G1185</f>
        <v>243.820175652109</v>
      </c>
    </row>
    <row r="1187" customFormat="false" ht="15" hidden="false" customHeight="false" outlineLevel="0" collapsed="false">
      <c r="A1187" s="4" t="s">
        <v>460</v>
      </c>
      <c r="B1187" s="0" t="s">
        <v>234</v>
      </c>
      <c r="C1187" s="30" t="n">
        <f aca="false">a25_tax</f>
        <v>9.461</v>
      </c>
      <c r="D1187" s="30" t="n">
        <f aca="false">a26_tax</f>
        <v>19.2197317963676</v>
      </c>
      <c r="E1187" s="30" t="n">
        <f aca="false">E1186*tax</f>
        <v>29.0846828296607</v>
      </c>
      <c r="F1187" s="30" t="n">
        <f aca="false">F1186*tax</f>
        <v>33.4838556997935</v>
      </c>
      <c r="G1187" s="30" t="n">
        <f aca="false">G1186*tax</f>
        <v>41.4494298608585</v>
      </c>
    </row>
    <row r="1188" customFormat="false" ht="15" hidden="false" customHeight="false" outlineLevel="0" collapsed="false">
      <c r="A1188" s="4" t="s">
        <v>461</v>
      </c>
      <c r="B1188" s="0" t="s">
        <v>234</v>
      </c>
      <c r="C1188" s="30" t="n">
        <f aca="false">a25_nci</f>
        <v>1.182</v>
      </c>
      <c r="D1188" s="30" t="n">
        <f aca="false">a26_nci</f>
        <v>2.543</v>
      </c>
      <c r="E1188" s="30" t="n">
        <f aca="false">nci</f>
        <v>3</v>
      </c>
      <c r="F1188" s="30" t="n">
        <f aca="false">nci</f>
        <v>3</v>
      </c>
      <c r="G1188" s="30" t="n">
        <f aca="false">nci</f>
        <v>3</v>
      </c>
    </row>
    <row r="1189" customFormat="false" ht="15" hidden="false" customHeight="false" outlineLevel="0" collapsed="false">
      <c r="A1189" s="4" t="s">
        <v>462</v>
      </c>
      <c r="B1189" s="0" t="s">
        <v>234</v>
      </c>
      <c r="C1189" s="30" t="n">
        <f aca="false">C1186-C1187-C1188</f>
        <v>40.658</v>
      </c>
      <c r="D1189" s="30" t="n">
        <f aca="false">D1186-D1187-D1188</f>
        <v>93.5615140646185</v>
      </c>
      <c r="E1189" s="30" t="n">
        <f aca="false">E1186-E1187-E1188</f>
        <v>139.001686756579</v>
      </c>
      <c r="F1189" s="30" t="n">
        <f aca="false">F1186-F1187-F1188</f>
        <v>160.480001357816</v>
      </c>
      <c r="G1189" s="30" t="n">
        <f aca="false">G1186-G1187-G1188</f>
        <v>199.37074579125</v>
      </c>
      <c r="H1189" s="31" t="n">
        <f aca="false">H1167*H1193</f>
        <v>219.244824294638</v>
      </c>
      <c r="I1189" s="31" t="n">
        <f aca="false">I1167*I1193</f>
        <v>235.225409272497</v>
      </c>
      <c r="J1189" s="31" t="n">
        <f aca="false">J1167*J1193</f>
        <v>246.06900462689</v>
      </c>
    </row>
    <row r="1190" customFormat="false" ht="15" hidden="false" customHeight="false" outlineLevel="0" collapsed="false">
      <c r="A1190" s="4" t="s">
        <v>579</v>
      </c>
      <c r="B1190" s="4" t="s">
        <v>580</v>
      </c>
      <c r="C1190" s="18" t="n">
        <f aca="false">a25_sh</f>
        <v>4339.16755602988</v>
      </c>
      <c r="D1190" s="18" t="n">
        <f aca="false">a26_sh</f>
        <v>4392.90105184664</v>
      </c>
      <c r="E1190" s="18" t="n">
        <f aca="false">D1190*(1+sh_g)</f>
        <v>4414.86555710588</v>
      </c>
      <c r="F1190" s="18" t="n">
        <f aca="false">E1190*(1+sh_g)</f>
        <v>4436.9398848914</v>
      </c>
      <c r="G1190" s="18" t="n">
        <f aca="false">F1190*(1+sh_g)</f>
        <v>4459.12458431586</v>
      </c>
      <c r="H1190" s="25" t="n">
        <f aca="false">G1190*(1+sh_g)</f>
        <v>4481.42020723744</v>
      </c>
      <c r="I1190" s="25" t="n">
        <f aca="false">H1190*(1+sh_g)</f>
        <v>4503.82730827363</v>
      </c>
      <c r="J1190" s="25" t="n">
        <f aca="false">I1190*(1+sh_g)</f>
        <v>4526.34644481499</v>
      </c>
    </row>
    <row r="1191" customFormat="false" ht="17.15" hidden="false" customHeight="false" outlineLevel="0" collapsed="false">
      <c r="A1191" s="0" t="s">
        <v>465</v>
      </c>
      <c r="B1191" s="0" t="s">
        <v>304</v>
      </c>
      <c r="C1191" s="19" t="n">
        <f aca="false">a25_eps</f>
        <v>9.37</v>
      </c>
      <c r="D1191" s="19" t="n">
        <f aca="false">a26_eps</f>
        <v>21.2828697294455</v>
      </c>
      <c r="E1191" s="19" t="n">
        <f aca="false">E1189/E1190*1000</f>
        <v>31.4849195198823</v>
      </c>
      <c r="F1191" s="19" t="n">
        <f aca="false">F1189/F1190*1000</f>
        <v>36.1690727215574</v>
      </c>
      <c r="G1191" s="19" t="n">
        <f aca="false">G1189/G1190*1000</f>
        <v>44.7107368321799</v>
      </c>
      <c r="H1191" s="28" t="n">
        <f aca="false">H1189/H1190*1000</f>
        <v>48.923067723165</v>
      </c>
      <c r="I1191" s="28" t="n">
        <f aca="false">I1189/I1190*1000</f>
        <v>52.2278926726126</v>
      </c>
      <c r="J1191" s="28" t="n">
        <f aca="false">J1189/J1190*1000</f>
        <v>54.3637142288934</v>
      </c>
    </row>
    <row r="1192" customFormat="false" ht="17.15" hidden="false" customHeight="false" outlineLevel="0" collapsed="false">
      <c r="A1192" s="0" t="s">
        <v>581</v>
      </c>
      <c r="B1192" s="0" t="s">
        <v>76</v>
      </c>
      <c r="D1192" s="21" t="n">
        <f aca="false">D1191/C1191-1</f>
        <v>1.27138417603474</v>
      </c>
      <c r="E1192" s="21" t="n">
        <f aca="false">E1191/D1191-1</f>
        <v>0.479354989253254</v>
      </c>
      <c r="F1192" s="21" t="n">
        <f aca="false">F1191/E1191-1</f>
        <v>0.148774501351896</v>
      </c>
      <c r="G1192" s="21" t="n">
        <f aca="false">G1191/F1191-1</f>
        <v>0.236159333593631</v>
      </c>
      <c r="H1192" s="26" t="n">
        <f aca="false">H1191/G1191-1</f>
        <v>0.0942129606764466</v>
      </c>
      <c r="I1192" s="26" t="n">
        <f aca="false">I1191/H1191-1</f>
        <v>0.0675514660721643</v>
      </c>
      <c r="J1192" s="26" t="n">
        <f aca="false">J1191/I1191-1</f>
        <v>0.0408942702258552</v>
      </c>
    </row>
    <row r="1193" customFormat="false" ht="17.15" hidden="false" customHeight="false" outlineLevel="0" collapsed="false">
      <c r="A1193" s="4" t="s">
        <v>582</v>
      </c>
      <c r="B1193" s="0" t="s">
        <v>76</v>
      </c>
      <c r="C1193" s="14" t="n">
        <f aca="false">C1189/C1167</f>
        <v>0.0629977625862272</v>
      </c>
      <c r="D1193" s="14" t="n">
        <f aca="false">D1189/D1167</f>
        <v>0.107397865592237</v>
      </c>
      <c r="E1193" s="14" t="n">
        <f aca="false">E1189/E1167</f>
        <v>0.123822368987278</v>
      </c>
      <c r="F1193" s="14" t="n">
        <f aca="false">F1189/F1167</f>
        <v>0.125866720327879</v>
      </c>
      <c r="G1193" s="14" t="n">
        <f aca="false">G1189/G1167</f>
        <v>0.137060406582363</v>
      </c>
      <c r="H1193" s="27" t="n">
        <f aca="false">$G1193+(fade_mA-$G1193)*1/3</f>
        <v>0.13530888265963</v>
      </c>
      <c r="I1193" s="27" t="n">
        <f aca="false">$G1193+(fade_mA-$G1193)*2/3</f>
        <v>0.133557358736897</v>
      </c>
      <c r="J1193" s="27" t="n">
        <f aca="false">$G1193+(fade_mA-$G1193)*3/3</f>
        <v>0.131805834814164</v>
      </c>
    </row>
    <row r="1194" customFormat="false" ht="17.15" hidden="false" customHeight="false" outlineLevel="0" collapsed="false">
      <c r="A1194" s="4" t="s">
        <v>583</v>
      </c>
      <c r="B1194" s="0" t="s">
        <v>234</v>
      </c>
      <c r="C1194" s="30" t="n">
        <f aca="false">C1189+C1175-C1173</f>
        <v>-54.587</v>
      </c>
      <c r="D1194" s="30" t="n">
        <f aca="false">D1189+D1175-D1173</f>
        <v>-176.164485935382</v>
      </c>
      <c r="E1194" s="30" t="n">
        <f aca="false">E1189+E1175-E1173</f>
        <v>-146.158563243421</v>
      </c>
      <c r="F1194" s="30" t="n">
        <f aca="false">F1189+F1175-F1173</f>
        <v>-55.5350575559001</v>
      </c>
      <c r="G1194" s="30" t="n">
        <f aca="false">G1189+G1175-G1173</f>
        <v>-43.5284530677587</v>
      </c>
      <c r="K1194" s="4" t="s">
        <v>584</v>
      </c>
    </row>
    <row r="1195" customFormat="false" ht="17.15" hidden="false" customHeight="false" outlineLevel="0" collapsed="false">
      <c r="A1195" s="4" t="s">
        <v>585</v>
      </c>
      <c r="B1195" s="0" t="s">
        <v>76</v>
      </c>
      <c r="D1195" s="21" t="n">
        <f aca="false">(D1183-$C1183)/SUM($D1173:D1173)</f>
        <v>0.164280348537512</v>
      </c>
      <c r="E1195" s="21" t="n">
        <f aca="false">(E1183-$C1183)/SUM($D1173:E1173)</f>
        <v>0.160094998513431</v>
      </c>
      <c r="F1195" s="21" t="n">
        <f aca="false">(F1183-$C1183)/SUM($D1173:F1173)</f>
        <v>0.129753188138222</v>
      </c>
      <c r="G1195" s="21" t="n">
        <f aca="false">(G1183-$C1183)/SUM($D1173:G1173)</f>
        <v>0.123655966041111</v>
      </c>
      <c r="K1195" s="4" t="s">
        <v>586</v>
      </c>
    </row>
    <row r="1198" customFormat="false" ht="17.15" hidden="false" customHeight="false" outlineLevel="0" collapsed="false">
      <c r="A1198" s="1" t="s">
        <v>938</v>
      </c>
    </row>
    <row r="1199" customFormat="false" ht="17.15" hidden="false" customHeight="false" outlineLevel="0" collapsed="false">
      <c r="A1199" s="5" t="s">
        <v>21</v>
      </c>
      <c r="B1199" s="5" t="s">
        <v>22</v>
      </c>
      <c r="C1199" s="15" t="s">
        <v>424</v>
      </c>
      <c r="D1199" s="15" t="s">
        <v>524</v>
      </c>
      <c r="E1199" s="15" t="s">
        <v>525</v>
      </c>
      <c r="F1199" s="15" t="s">
        <v>526</v>
      </c>
      <c r="G1199" s="15" t="s">
        <v>527</v>
      </c>
      <c r="H1199" s="15" t="s">
        <v>528</v>
      </c>
      <c r="I1199" s="15" t="s">
        <v>529</v>
      </c>
      <c r="J1199" s="15" t="s">
        <v>530</v>
      </c>
      <c r="K1199" s="5" t="s">
        <v>382</v>
      </c>
    </row>
    <row r="1200" customFormat="false" ht="17.15" hidden="false" customHeight="false" outlineLevel="0" collapsed="false">
      <c r="A1200" s="6" t="s">
        <v>548</v>
      </c>
    </row>
    <row r="1201" customFormat="false" ht="17.15" hidden="false" customHeight="false" outlineLevel="0" collapsed="false">
      <c r="A1201" s="0" t="s">
        <v>549</v>
      </c>
      <c r="B1201" s="4" t="s">
        <v>32</v>
      </c>
      <c r="D1201" s="19" t="n">
        <f aca="false">units_26</f>
        <v>15.2</v>
      </c>
      <c r="E1201" s="19" t="n">
        <f aca="false">units_27*1</f>
        <v>23.7</v>
      </c>
      <c r="F1201" s="19" t="n">
        <f aca="false">units_28*um28_B*1</f>
        <v>21.2</v>
      </c>
      <c r="G1201" s="19" t="n">
        <f aca="false">units_29*um29_B*1</f>
        <v>25.6275</v>
      </c>
    </row>
    <row r="1202" customFormat="false" ht="17.15" hidden="false" customHeight="false" outlineLevel="0" collapsed="false">
      <c r="A1202" s="4" t="s">
        <v>497</v>
      </c>
      <c r="B1202" s="0" t="s">
        <v>45</v>
      </c>
      <c r="D1202" s="22" t="n">
        <f aca="false">ar_26</f>
        <v>1</v>
      </c>
      <c r="E1202" s="22" t="n">
        <f aca="false">ar_27</f>
        <v>1.278156</v>
      </c>
      <c r="F1202" s="22" t="n">
        <f aca="false">ar_28</f>
        <v>1.428615</v>
      </c>
      <c r="G1202" s="22" t="n">
        <f aca="false">ar_29</f>
        <v>1.431796</v>
      </c>
    </row>
    <row r="1203" customFormat="false" ht="17.15" hidden="false" customHeight="false" outlineLevel="0" collapsed="false">
      <c r="A1203" s="4" t="s">
        <v>550</v>
      </c>
      <c r="B1203" s="0" t="s">
        <v>45</v>
      </c>
      <c r="D1203" s="19" t="n">
        <f aca="false">1</f>
        <v>1</v>
      </c>
      <c r="E1203" s="19" t="n">
        <f aca="false">rel27_B</f>
        <v>1.05</v>
      </c>
      <c r="F1203" s="19" t="n">
        <f aca="false">rel28_B</f>
        <v>1.08</v>
      </c>
      <c r="G1203" s="19" t="n">
        <f aca="false">rel29_B</f>
        <v>1.1</v>
      </c>
    </row>
    <row r="1204" customFormat="false" ht="17.15" hidden="false" customHeight="false" outlineLevel="0" collapsed="false">
      <c r="A1204" s="4" t="s">
        <v>551</v>
      </c>
      <c r="B1204" s="0" t="s">
        <v>502</v>
      </c>
      <c r="D1204" s="23" t="n">
        <f aca="false">D1205*1000/D1201</f>
        <v>232.894736842105</v>
      </c>
      <c r="E1204" s="23" t="n">
        <f aca="false">$D1204*E1202^el</f>
        <v>263.300452584163</v>
      </c>
      <c r="F1204" s="23" t="n">
        <f aca="false">$D1204*F1202^el</f>
        <v>278.366697432121</v>
      </c>
      <c r="G1204" s="23" t="n">
        <f aca="false">$D1204*G1202^el</f>
        <v>278.676435220295</v>
      </c>
      <c r="K1204" s="8" t="s">
        <v>552</v>
      </c>
    </row>
    <row r="1205" customFormat="false" ht="17.15" hidden="false" customHeight="false" outlineLevel="0" collapsed="false">
      <c r="A1205" s="0" t="s">
        <v>553</v>
      </c>
      <c r="B1205" s="0" t="s">
        <v>120</v>
      </c>
      <c r="D1205" s="22" t="n">
        <f aca="false">leap26-D1206-D1207</f>
        <v>3.54</v>
      </c>
      <c r="E1205" s="22" t="n">
        <f aca="false">E1201*E1203*E1204/1000</f>
        <v>6.55223176255689</v>
      </c>
      <c r="F1205" s="22" t="n">
        <f aca="false">F1201*F1203*F1204/1000</f>
        <v>6.37348390440584</v>
      </c>
      <c r="G1205" s="22" t="n">
        <f aca="false">G1201*G1203*G1204/1000</f>
        <v>7.85595837796893</v>
      </c>
      <c r="K1205" s="8" t="s">
        <v>554</v>
      </c>
    </row>
    <row r="1206" customFormat="false" ht="17.15" hidden="false" customHeight="false" outlineLevel="0" collapsed="false">
      <c r="A1206" s="4" t="s">
        <v>555</v>
      </c>
      <c r="B1206" s="0" t="s">
        <v>120</v>
      </c>
      <c r="D1206" s="22" t="n">
        <f aca="false">fp26</f>
        <v>0.3</v>
      </c>
      <c r="E1206" s="22" t="n">
        <f aca="false">fp27_B</f>
        <v>1</v>
      </c>
      <c r="F1206" s="22" t="n">
        <f aca="false">E1206*F1201/E1201*(1+fp_g)</f>
        <v>1.16286919831224</v>
      </c>
      <c r="G1206" s="22" t="n">
        <f aca="false">F1206*G1201/F1201*(1+fp_g)</f>
        <v>1.82744620253165</v>
      </c>
    </row>
    <row r="1207" customFormat="false" ht="17.15" hidden="false" customHeight="false" outlineLevel="0" collapsed="false">
      <c r="A1207" s="0" t="s">
        <v>556</v>
      </c>
      <c r="B1207" s="0" t="s">
        <v>120</v>
      </c>
      <c r="D1207" s="22" t="n">
        <f aca="false">cpo27_hi*cpo_B_26/cpo_A_27</f>
        <v>0.16</v>
      </c>
      <c r="E1207" s="22" t="n">
        <f aca="false">cpo27_hi*cpo_B_27/cpo_A_27</f>
        <v>0.48</v>
      </c>
      <c r="F1207" s="22" t="n">
        <f aca="false">cpo27_hi*cpo_B_28/cpo_A_27*F1201/E1201</f>
        <v>0.715611814345992</v>
      </c>
      <c r="G1207" s="22" t="n">
        <f aca="false">cpo27_hi*cpo_B_29/cpo_A_27*G1201/E1201</f>
        <v>1.38410126582278</v>
      </c>
      <c r="K1207" s="8" t="s">
        <v>557</v>
      </c>
    </row>
    <row r="1208" customFormat="false" ht="17.15" hidden="false" customHeight="false" outlineLevel="0" collapsed="false">
      <c r="A1208" s="0" t="s">
        <v>510</v>
      </c>
      <c r="B1208" s="0" t="s">
        <v>120</v>
      </c>
      <c r="C1208" s="22" t="n">
        <f aca="false">leap25</f>
        <v>1.6</v>
      </c>
      <c r="D1208" s="22" t="n">
        <f aca="false">D1205+D1206+D1207</f>
        <v>4</v>
      </c>
      <c r="E1208" s="22" t="n">
        <f aca="false">E1205+E1206+E1207</f>
        <v>8.03223176255689</v>
      </c>
      <c r="F1208" s="22" t="n">
        <f aca="false">F1205+F1206+F1207</f>
        <v>8.25196491706407</v>
      </c>
      <c r="G1208" s="22" t="n">
        <f aca="false">G1205+G1206+G1207</f>
        <v>11.0675058463234</v>
      </c>
    </row>
    <row r="1209" customFormat="false" ht="17.15" hidden="false" customHeight="false" outlineLevel="0" collapsed="false">
      <c r="A1209" s="4" t="s">
        <v>558</v>
      </c>
      <c r="B1209" s="0" t="s">
        <v>114</v>
      </c>
      <c r="C1209" s="19" t="n">
        <f aca="false">fx25</f>
        <v>31</v>
      </c>
      <c r="D1209" s="19" t="n">
        <f aca="false">a26_leap/D1208</f>
        <v>31.9</v>
      </c>
      <c r="E1209" s="19" t="n">
        <f aca="false">fx</f>
        <v>32</v>
      </c>
      <c r="F1209" s="19" t="n">
        <f aca="false">fx</f>
        <v>32</v>
      </c>
      <c r="G1209" s="19" t="n">
        <f aca="false">fx</f>
        <v>32</v>
      </c>
      <c r="K1209" s="8" t="s">
        <v>559</v>
      </c>
    </row>
    <row r="1210" customFormat="false" ht="17.15" hidden="false" customHeight="false" outlineLevel="0" collapsed="false">
      <c r="A1210" s="6" t="s">
        <v>560</v>
      </c>
    </row>
    <row r="1211" customFormat="false" ht="17.15" hidden="false" customHeight="false" outlineLevel="0" collapsed="false">
      <c r="A1211" s="0" t="s">
        <v>438</v>
      </c>
      <c r="B1211" s="0" t="s">
        <v>234</v>
      </c>
      <c r="C1211" s="30" t="n">
        <f aca="false">a25_leap</f>
        <v>49.6</v>
      </c>
      <c r="D1211" s="30" t="n">
        <f aca="false">a26_leap</f>
        <v>127.6</v>
      </c>
      <c r="E1211" s="30" t="n">
        <f aca="false">E1208*E1209</f>
        <v>257.031416401821</v>
      </c>
      <c r="F1211" s="30" t="n">
        <f aca="false">F1208*F1209</f>
        <v>264.06287734605</v>
      </c>
      <c r="G1211" s="30" t="n">
        <f aca="false">G1208*G1209</f>
        <v>354.160187082348</v>
      </c>
    </row>
    <row r="1212" customFormat="false" ht="15" hidden="false" customHeight="false" outlineLevel="0" collapsed="false">
      <c r="A1212" s="4" t="s">
        <v>561</v>
      </c>
      <c r="B1212" s="0" t="s">
        <v>234</v>
      </c>
      <c r="C1212" s="30" t="n">
        <f aca="false">a25_ms</f>
        <v>339.628</v>
      </c>
      <c r="D1212" s="30" t="n">
        <f aca="false">a26_ms</f>
        <v>432.1302</v>
      </c>
      <c r="E1212" s="30" t="n">
        <f aca="false">D1212*(1+g_ms27)</f>
        <v>496.94973</v>
      </c>
      <c r="F1212" s="30" t="n">
        <f aca="false">E1212*(1+g_msL)</f>
        <v>531.7362111</v>
      </c>
      <c r="G1212" s="30" t="n">
        <f aca="false">F1212*(1+g_msL)</f>
        <v>568.957745877</v>
      </c>
    </row>
    <row r="1213" customFormat="false" ht="17.15" hidden="false" customHeight="false" outlineLevel="0" collapsed="false">
      <c r="A1213" s="4" t="s">
        <v>562</v>
      </c>
      <c r="B1213" s="0" t="s">
        <v>234</v>
      </c>
      <c r="C1213" s="30" t="n">
        <f aca="false">C1211+C1212</f>
        <v>389.228</v>
      </c>
      <c r="D1213" s="30" t="n">
        <f aca="false">D1211+D1212</f>
        <v>559.7302</v>
      </c>
      <c r="E1213" s="30" t="n">
        <f aca="false">E1211+E1212</f>
        <v>753.981146401821</v>
      </c>
      <c r="F1213" s="30" t="n">
        <f aca="false">F1211+F1212</f>
        <v>795.79908844605</v>
      </c>
      <c r="G1213" s="30" t="n">
        <f aca="false">G1211+G1212</f>
        <v>923.117932959348</v>
      </c>
    </row>
    <row r="1214" customFormat="false" ht="17.15" hidden="false" customHeight="false" outlineLevel="0" collapsed="false">
      <c r="A1214" s="0" t="s">
        <v>563</v>
      </c>
      <c r="B1214" s="0" t="s">
        <v>234</v>
      </c>
      <c r="C1214" s="30" t="n">
        <f aca="false">a25_ems</f>
        <v>259.079</v>
      </c>
      <c r="D1214" s="30" t="n">
        <f aca="false">a26_ems</f>
        <v>314.602</v>
      </c>
      <c r="E1214" s="30" t="n">
        <f aca="false">D1214*(1+g_ems27)</f>
        <v>346.0622</v>
      </c>
      <c r="F1214" s="30" t="n">
        <f aca="false">E1214*(1+g_emsL)</f>
        <v>363.36531</v>
      </c>
      <c r="G1214" s="30" t="n">
        <f aca="false">F1214*(1+g_emsL)</f>
        <v>381.5335755</v>
      </c>
    </row>
    <row r="1215" customFormat="false" ht="17.15" hidden="false" customHeight="false" outlineLevel="0" collapsed="false">
      <c r="A1215" s="4" t="s">
        <v>564</v>
      </c>
      <c r="B1215" s="0" t="s">
        <v>234</v>
      </c>
      <c r="C1215" s="30" t="n">
        <f aca="false">a25_elim</f>
        <v>-2.91899999999998</v>
      </c>
      <c r="D1215" s="30" t="n">
        <f aca="false">a26_elim</f>
        <v>-3.16484905982349</v>
      </c>
      <c r="E1215" s="30" t="n">
        <f aca="false">$D1215/($D1213+$D1214)*(E1213+E1214)</f>
        <v>-3.9818631300836</v>
      </c>
      <c r="F1215" s="30" t="n">
        <f aca="false">$D1215/($D1213+$D1214)*(F1213+F1214)</f>
        <v>-4.19586554927617</v>
      </c>
      <c r="G1215" s="30" t="n">
        <f aca="false">$D1215/($D1213+$D1214)*(G1213+G1214)</f>
        <v>-4.72249003290152</v>
      </c>
      <c r="K1215" s="4" t="s">
        <v>565</v>
      </c>
    </row>
    <row r="1216" customFormat="false" ht="17.15" hidden="false" customHeight="false" outlineLevel="0" collapsed="false">
      <c r="A1216" s="4" t="s">
        <v>431</v>
      </c>
      <c r="B1216" s="0" t="s">
        <v>234</v>
      </c>
      <c r="C1216" s="30" t="n">
        <f aca="false">C1213+C1214+C1215</f>
        <v>645.388</v>
      </c>
      <c r="D1216" s="30" t="n">
        <f aca="false">D1213+D1214+D1215</f>
        <v>871.167350940177</v>
      </c>
      <c r="E1216" s="30" t="n">
        <f aca="false">E1213+E1214+E1215</f>
        <v>1096.06148327174</v>
      </c>
      <c r="F1216" s="30" t="n">
        <f aca="false">F1213+F1214+F1215</f>
        <v>1154.96853289677</v>
      </c>
      <c r="G1216" s="30" t="n">
        <f aca="false">G1213+G1214+G1215</f>
        <v>1299.92901842645</v>
      </c>
      <c r="H1216" s="31" t="n">
        <f aca="false">G1216*(1+H1217)</f>
        <v>1426.03108826259</v>
      </c>
      <c r="I1216" s="31" t="n">
        <f aca="false">H1216*(1+I1217)</f>
        <v>1523.71912968368</v>
      </c>
      <c r="J1216" s="31" t="n">
        <f aca="false">I1216*(1+J1217)</f>
        <v>1584.66789487103</v>
      </c>
      <c r="K1216" s="8" t="s">
        <v>566</v>
      </c>
    </row>
    <row r="1217" customFormat="false" ht="15" hidden="false" customHeight="false" outlineLevel="0" collapsed="false">
      <c r="A1217" s="4" t="s">
        <v>567</v>
      </c>
      <c r="B1217" s="0" t="s">
        <v>76</v>
      </c>
      <c r="D1217" s="21" t="n">
        <f aca="false">D1216/C1216-1</f>
        <v>0.349835061916516</v>
      </c>
      <c r="E1217" s="21" t="n">
        <f aca="false">E1216/D1216-1</f>
        <v>0.258152617965826</v>
      </c>
      <c r="F1217" s="21" t="n">
        <f aca="false">F1216/E1216-1</f>
        <v>0.0537442931113679</v>
      </c>
      <c r="G1217" s="21" t="n">
        <f aca="false">G1216/F1216-1</f>
        <v>0.125510333312802</v>
      </c>
      <c r="H1217" s="26" t="n">
        <f aca="false">$G1217+(fade_gB-$G1217)*1/3</f>
        <v>0.0970068888752015</v>
      </c>
      <c r="I1217" s="26" t="n">
        <f aca="false">$G1217+(fade_gB-$G1217)*2/3</f>
        <v>0.0685034444376008</v>
      </c>
      <c r="J1217" s="26" t="n">
        <f aca="false">$G1217+(fade_gB-$G1217)*3/3</f>
        <v>0.04</v>
      </c>
    </row>
    <row r="1218" customFormat="false" ht="17.15" hidden="false" customHeight="false" outlineLevel="0" collapsed="false">
      <c r="A1218" s="0" t="s">
        <v>475</v>
      </c>
      <c r="B1218" s="0" t="s">
        <v>76</v>
      </c>
      <c r="C1218" s="21" t="n">
        <f aca="false">C1211/C1213</f>
        <v>0.127431736668482</v>
      </c>
      <c r="D1218" s="21" t="n">
        <f aca="false">D1211/D1213</f>
        <v>0.227966974088588</v>
      </c>
      <c r="E1218" s="21" t="n">
        <f aca="false">E1211/E1213</f>
        <v>0.34089899678319</v>
      </c>
      <c r="F1218" s="21" t="n">
        <f aca="false">F1211/F1213</f>
        <v>0.331821035208376</v>
      </c>
      <c r="G1218" s="21" t="n">
        <f aca="false">G1211/G1213</f>
        <v>0.383656491155983</v>
      </c>
    </row>
    <row r="1219" customFormat="false" ht="15" hidden="false" customHeight="false" outlineLevel="0" collapsed="false">
      <c r="A1219" s="4" t="s">
        <v>568</v>
      </c>
      <c r="B1219" s="0" t="s">
        <v>76</v>
      </c>
      <c r="D1219" s="21" t="n">
        <f aca="false">D1213/C1213-1</f>
        <v>0.438052247012034</v>
      </c>
      <c r="E1219" s="21" t="n">
        <f aca="false">E1213/D1213-1</f>
        <v>0.347043890792065</v>
      </c>
      <c r="F1219" s="21" t="n">
        <f aca="false">F1213/E1213-1</f>
        <v>0.055462848433008</v>
      </c>
      <c r="G1219" s="21" t="n">
        <f aca="false">G1213/F1213-1</f>
        <v>0.159988678501645</v>
      </c>
    </row>
    <row r="1220" customFormat="false" ht="17.15" hidden="false" customHeight="false" outlineLevel="0" collapsed="false">
      <c r="A1220" s="6" t="s">
        <v>569</v>
      </c>
    </row>
    <row r="1221" customFormat="false" ht="17.15" hidden="false" customHeight="false" outlineLevel="0" collapsed="false">
      <c r="A1221" s="4" t="s">
        <v>570</v>
      </c>
      <c r="B1221" s="0" t="s">
        <v>120</v>
      </c>
      <c r="C1221" s="19" t="n">
        <f aca="false">capex25</f>
        <v>5.5</v>
      </c>
      <c r="D1221" s="19" t="n">
        <f aca="false">capex26</f>
        <v>11.5</v>
      </c>
      <c r="E1221" s="19" t="n">
        <f aca="false">capex27</f>
        <v>13</v>
      </c>
      <c r="F1221" s="19" t="n">
        <f aca="false">capi*F1216/F1209</f>
        <v>10.8278299959073</v>
      </c>
      <c r="G1221" s="19" t="n">
        <f aca="false">capi*G1216/G1209</f>
        <v>12.1868345477479</v>
      </c>
      <c r="K1221" s="8" t="s">
        <v>571</v>
      </c>
    </row>
    <row r="1222" customFormat="false" ht="15" hidden="false" customHeight="false" outlineLevel="0" collapsed="false">
      <c r="A1222" s="4" t="s">
        <v>572</v>
      </c>
      <c r="B1222" s="0" t="s">
        <v>234</v>
      </c>
      <c r="C1222" s="30" t="n">
        <f aca="false">C1221*C1209</f>
        <v>170.5</v>
      </c>
      <c r="D1222" s="30" t="n">
        <f aca="false">D1221*31.9</f>
        <v>366.85</v>
      </c>
      <c r="E1222" s="30" t="n">
        <f aca="false">E1221*E1209</f>
        <v>416</v>
      </c>
      <c r="F1222" s="30" t="n">
        <f aca="false">F1221*F1209</f>
        <v>346.490559869032</v>
      </c>
      <c r="G1222" s="30" t="n">
        <f aca="false">G1221*G1209</f>
        <v>389.978705527934</v>
      </c>
    </row>
    <row r="1223" customFormat="false" ht="17.15" hidden="false" customHeight="false" outlineLevel="0" collapsed="false">
      <c r="A1223" s="4" t="s">
        <v>473</v>
      </c>
      <c r="B1223" s="0" t="s">
        <v>76</v>
      </c>
      <c r="C1223" s="21" t="n">
        <f aca="false">C1222/C1216</f>
        <v>0.264182166386732</v>
      </c>
      <c r="D1223" s="21" t="n">
        <f aca="false">D1222/D1216</f>
        <v>0.421101639775745</v>
      </c>
      <c r="E1223" s="21" t="n">
        <f aca="false">E1222/E1216</f>
        <v>0.379540752365682</v>
      </c>
      <c r="F1223" s="21" t="n">
        <f aca="false">F1222/F1216</f>
        <v>0.3</v>
      </c>
      <c r="G1223" s="21" t="n">
        <f aca="false">G1222/G1216</f>
        <v>0.3</v>
      </c>
    </row>
    <row r="1224" customFormat="false" ht="17.15" hidden="false" customHeight="false" outlineLevel="0" collapsed="false">
      <c r="A1224" s="4" t="s">
        <v>573</v>
      </c>
      <c r="B1224" s="0" t="s">
        <v>234</v>
      </c>
      <c r="C1224" s="30" t="n">
        <f aca="false">a25_da</f>
        <v>75.255</v>
      </c>
      <c r="D1224" s="30" t="n">
        <f aca="false">a26_da</f>
        <v>97.124</v>
      </c>
      <c r="E1224" s="30" t="n">
        <f aca="false">D1224*(1-1/life)+D1222/life</f>
        <v>130.83975</v>
      </c>
      <c r="F1224" s="30" t="n">
        <f aca="false">E1224*(1-1/life)+E1222/life</f>
        <v>166.48478125</v>
      </c>
      <c r="G1224" s="30" t="n">
        <f aca="false">F1224*(1-1/life)+F1222/life</f>
        <v>188.985503577379</v>
      </c>
      <c r="K1224" s="4" t="s">
        <v>574</v>
      </c>
    </row>
    <row r="1225" customFormat="false" ht="17.15" hidden="false" customHeight="false" outlineLevel="0" collapsed="false">
      <c r="A1225" s="4" t="s">
        <v>575</v>
      </c>
      <c r="B1225" s="0" t="s">
        <v>234</v>
      </c>
      <c r="C1225" s="30" t="n">
        <f aca="false">a25_agp</f>
        <v>91.38</v>
      </c>
      <c r="D1225" s="30" t="n">
        <f aca="false">a26_agp</f>
        <v>164.623388</v>
      </c>
      <c r="E1225" s="30" t="n">
        <f aca="false">$D1225+ft*(E1213-$D1213)-(E1224-$D1224)</f>
        <v>228.03311120091</v>
      </c>
      <c r="F1225" s="30" t="n">
        <f aca="false">$D1225+ft*(F1213-$D1213)-(F1224-$D1224)</f>
        <v>213.297050973025</v>
      </c>
      <c r="G1225" s="30" t="n">
        <f aca="false">$D1225+ft*(G1213-$D1213)-(G1224-$D1224)</f>
        <v>254.455750902295</v>
      </c>
      <c r="K1225" s="4" t="s">
        <v>576</v>
      </c>
    </row>
    <row r="1226" customFormat="false" ht="15" hidden="false" customHeight="false" outlineLevel="0" collapsed="false">
      <c r="A1226" s="4" t="s">
        <v>447</v>
      </c>
      <c r="B1226" s="0" t="s">
        <v>76</v>
      </c>
      <c r="C1226" s="14" t="n">
        <f aca="false">C1225/C1213</f>
        <v>0.234772421305764</v>
      </c>
      <c r="D1226" s="14" t="n">
        <f aca="false">D1225/D1213</f>
        <v>0.294112034690999</v>
      </c>
      <c r="E1226" s="14" t="n">
        <f aca="false">E1225/E1213</f>
        <v>0.302438744375956</v>
      </c>
      <c r="F1226" s="14" t="n">
        <f aca="false">F1225/F1213</f>
        <v>0.268028770162992</v>
      </c>
      <c r="G1226" s="14" t="n">
        <f aca="false">G1225/G1213</f>
        <v>0.275648150487724</v>
      </c>
    </row>
    <row r="1227" customFormat="false" ht="17.15" hidden="false" customHeight="false" outlineLevel="0" collapsed="false">
      <c r="A1227" s="0" t="s">
        <v>449</v>
      </c>
      <c r="B1227" s="0" t="s">
        <v>234</v>
      </c>
      <c r="C1227" s="30" t="n">
        <f aca="false">a25_egp</f>
        <v>23.695</v>
      </c>
      <c r="D1227" s="30" t="n">
        <f aca="false">a26_egp</f>
        <v>27.00552</v>
      </c>
      <c r="E1227" s="30" t="n">
        <f aca="false">E1214*ems_gm</f>
        <v>29.415287</v>
      </c>
      <c r="F1227" s="30" t="n">
        <f aca="false">F1214*ems_gm</f>
        <v>30.88605135</v>
      </c>
      <c r="G1227" s="30" t="n">
        <f aca="false">G1214*ems_gm</f>
        <v>32.4303539175</v>
      </c>
    </row>
    <row r="1228" customFormat="false" ht="15" hidden="false" customHeight="false" outlineLevel="0" collapsed="false">
      <c r="A1228" s="4" t="s">
        <v>577</v>
      </c>
      <c r="B1228" s="0" t="s">
        <v>234</v>
      </c>
      <c r="C1228" s="30" t="n">
        <f aca="false">a25_lgp</f>
        <v>-0.881999999999998</v>
      </c>
      <c r="D1228" s="30" t="n">
        <f aca="false">a26_lgp</f>
        <v>-0.948662139013863</v>
      </c>
      <c r="E1228" s="30" t="n">
        <f aca="false">$D1228/$D1215*E1215</f>
        <v>-1.19356175376535</v>
      </c>
      <c r="F1228" s="30" t="n">
        <f aca="false">$D1228/$D1215*F1215</f>
        <v>-1.25770888650624</v>
      </c>
      <c r="G1228" s="30" t="n">
        <f aca="false">$D1228/$D1215*G1215</f>
        <v>-1.41556434806211</v>
      </c>
    </row>
    <row r="1229" customFormat="false" ht="15" hidden="false" customHeight="false" outlineLevel="0" collapsed="false">
      <c r="A1229" s="4" t="s">
        <v>451</v>
      </c>
      <c r="B1229" s="0" t="s">
        <v>234</v>
      </c>
      <c r="C1229" s="30" t="n">
        <f aca="false">C1225+C1227+C1228</f>
        <v>114.193</v>
      </c>
      <c r="D1229" s="30" t="n">
        <f aca="false">D1225+D1227+D1228</f>
        <v>190.680245860986</v>
      </c>
      <c r="E1229" s="30" t="n">
        <f aca="false">E1225+E1227+E1228</f>
        <v>256.254836447145</v>
      </c>
      <c r="F1229" s="30" t="n">
        <f aca="false">F1225+F1227+F1228</f>
        <v>242.925393436519</v>
      </c>
      <c r="G1229" s="30" t="n">
        <f aca="false">G1225+G1227+G1228</f>
        <v>285.470540471733</v>
      </c>
    </row>
    <row r="1230" customFormat="false" ht="15" hidden="false" customHeight="false" outlineLevel="0" collapsed="false">
      <c r="A1230" s="4" t="s">
        <v>452</v>
      </c>
      <c r="B1230" s="0" t="s">
        <v>76</v>
      </c>
      <c r="C1230" s="14" t="n">
        <f aca="false">C1229/C1216</f>
        <v>0.176936974347214</v>
      </c>
      <c r="D1230" s="14" t="n">
        <f aca="false">D1229/D1216</f>
        <v>0.218879008327391</v>
      </c>
      <c r="E1230" s="14" t="n">
        <f aca="false">E1229/E1216</f>
        <v>0.233796041880995</v>
      </c>
      <c r="F1230" s="14" t="n">
        <f aca="false">F1229/F1216</f>
        <v>0.210330746264782</v>
      </c>
      <c r="G1230" s="14" t="n">
        <f aca="false">G1229/G1216</f>
        <v>0.219604714123001</v>
      </c>
    </row>
    <row r="1231" customFormat="false" ht="15" hidden="false" customHeight="false" outlineLevel="0" collapsed="false">
      <c r="A1231" s="4" t="s">
        <v>578</v>
      </c>
      <c r="B1231" s="0" t="s">
        <v>234</v>
      </c>
      <c r="C1231" s="30" t="n">
        <f aca="false">a25_opx</f>
        <v>63.437</v>
      </c>
      <c r="D1231" s="30" t="n">
        <f aca="false">a26_opx</f>
        <v>79.658</v>
      </c>
      <c r="E1231" s="30" t="n">
        <f aca="false">D1231*(1+phi*E1217)</f>
        <v>91.9963527451531</v>
      </c>
      <c r="F1231" s="30" t="n">
        <f aca="false">E1231*(1+phi*F1217)</f>
        <v>94.9629201134204</v>
      </c>
      <c r="G1231" s="30" t="n">
        <f aca="false">F1231*(1+phi*G1217)</f>
        <v>102.114216766896</v>
      </c>
    </row>
    <row r="1232" customFormat="false" ht="15" hidden="false" customHeight="false" outlineLevel="0" collapsed="false">
      <c r="A1232" s="4" t="s">
        <v>455</v>
      </c>
      <c r="B1232" s="0" t="s">
        <v>234</v>
      </c>
      <c r="C1232" s="30" t="n">
        <f aca="false">C1229-C1231</f>
        <v>50.756</v>
      </c>
      <c r="D1232" s="30" t="n">
        <f aca="false">D1229-D1231</f>
        <v>111.022245860986</v>
      </c>
      <c r="E1232" s="30" t="n">
        <f aca="false">E1229-E1231</f>
        <v>164.258483701992</v>
      </c>
      <c r="F1232" s="30" t="n">
        <f aca="false">F1229-F1231</f>
        <v>147.962473323099</v>
      </c>
      <c r="G1232" s="30" t="n">
        <f aca="false">G1229-G1231</f>
        <v>183.356323704837</v>
      </c>
    </row>
    <row r="1233" customFormat="false" ht="15" hidden="false" customHeight="false" outlineLevel="0" collapsed="false">
      <c r="A1233" s="4" t="s">
        <v>537</v>
      </c>
      <c r="B1233" s="0" t="s">
        <v>76</v>
      </c>
      <c r="C1233" s="14" t="n">
        <f aca="false">C1232/C1216</f>
        <v>0.0786441644406156</v>
      </c>
      <c r="D1233" s="14" t="n">
        <f aca="false">D1232/D1216</f>
        <v>0.127440779020437</v>
      </c>
      <c r="E1233" s="14" t="n">
        <f aca="false">E1232/E1216</f>
        <v>0.149862472323798</v>
      </c>
      <c r="F1233" s="14" t="n">
        <f aca="false">F1232/F1216</f>
        <v>0.128109527756565</v>
      </c>
      <c r="G1233" s="14" t="n">
        <f aca="false">G1232/G1216</f>
        <v>0.14105102748363</v>
      </c>
    </row>
    <row r="1234" customFormat="false" ht="15" hidden="false" customHeight="false" outlineLevel="0" collapsed="false">
      <c r="A1234" s="4" t="s">
        <v>456</v>
      </c>
      <c r="B1234" s="0" t="s">
        <v>234</v>
      </c>
      <c r="C1234" s="30" t="n">
        <f aca="false">a25_nonop</f>
        <v>0.545</v>
      </c>
      <c r="D1234" s="30" t="n">
        <f aca="false">a26_nonop</f>
        <v>4.302</v>
      </c>
      <c r="E1234" s="30" t="n">
        <f aca="false">nonop_f</f>
        <v>-5</v>
      </c>
      <c r="F1234" s="30" t="n">
        <f aca="false">nonop_f</f>
        <v>-5</v>
      </c>
      <c r="G1234" s="30" t="n">
        <f aca="false">nonop_f</f>
        <v>-5</v>
      </c>
    </row>
    <row r="1235" customFormat="false" ht="15" hidden="false" customHeight="false" outlineLevel="0" collapsed="false">
      <c r="A1235" s="4" t="s">
        <v>459</v>
      </c>
      <c r="B1235" s="0" t="s">
        <v>234</v>
      </c>
      <c r="C1235" s="30" t="n">
        <f aca="false">C1232+C1234</f>
        <v>51.301</v>
      </c>
      <c r="D1235" s="30" t="n">
        <f aca="false">D1232+D1234</f>
        <v>115.324245860986</v>
      </c>
      <c r="E1235" s="30" t="n">
        <f aca="false">E1232+E1234</f>
        <v>159.258483701992</v>
      </c>
      <c r="F1235" s="30" t="n">
        <f aca="false">F1232+F1234</f>
        <v>142.962473323099</v>
      </c>
      <c r="G1235" s="30" t="n">
        <f aca="false">G1232+G1234</f>
        <v>178.356323704837</v>
      </c>
    </row>
    <row r="1236" customFormat="false" ht="15" hidden="false" customHeight="false" outlineLevel="0" collapsed="false">
      <c r="A1236" s="4" t="s">
        <v>460</v>
      </c>
      <c r="B1236" s="0" t="s">
        <v>234</v>
      </c>
      <c r="C1236" s="30" t="n">
        <f aca="false">a25_tax</f>
        <v>9.461</v>
      </c>
      <c r="D1236" s="30" t="n">
        <f aca="false">a26_tax</f>
        <v>19.2197317963676</v>
      </c>
      <c r="E1236" s="30" t="n">
        <f aca="false">E1235*tax</f>
        <v>27.0739422293386</v>
      </c>
      <c r="F1236" s="30" t="n">
        <f aca="false">F1235*tax</f>
        <v>24.3036204649267</v>
      </c>
      <c r="G1236" s="30" t="n">
        <f aca="false">G1235*tax</f>
        <v>30.3205750298223</v>
      </c>
    </row>
    <row r="1237" customFormat="false" ht="15" hidden="false" customHeight="false" outlineLevel="0" collapsed="false">
      <c r="A1237" s="4" t="s">
        <v>461</v>
      </c>
      <c r="B1237" s="0" t="s">
        <v>234</v>
      </c>
      <c r="C1237" s="30" t="n">
        <f aca="false">a25_nci</f>
        <v>1.182</v>
      </c>
      <c r="D1237" s="30" t="n">
        <f aca="false">a26_nci</f>
        <v>2.543</v>
      </c>
      <c r="E1237" s="30" t="n">
        <f aca="false">nci</f>
        <v>3</v>
      </c>
      <c r="F1237" s="30" t="n">
        <f aca="false">nci</f>
        <v>3</v>
      </c>
      <c r="G1237" s="30" t="n">
        <f aca="false">nci</f>
        <v>3</v>
      </c>
    </row>
    <row r="1238" customFormat="false" ht="15" hidden="false" customHeight="false" outlineLevel="0" collapsed="false">
      <c r="A1238" s="4" t="s">
        <v>462</v>
      </c>
      <c r="B1238" s="0" t="s">
        <v>234</v>
      </c>
      <c r="C1238" s="30" t="n">
        <f aca="false">C1235-C1236-C1237</f>
        <v>40.658</v>
      </c>
      <c r="D1238" s="30" t="n">
        <f aca="false">D1235-D1236-D1237</f>
        <v>93.5615140646185</v>
      </c>
      <c r="E1238" s="30" t="n">
        <f aca="false">E1235-E1236-E1237</f>
        <v>129.184541472653</v>
      </c>
      <c r="F1238" s="30" t="n">
        <f aca="false">F1235-F1236-F1237</f>
        <v>115.658852858172</v>
      </c>
      <c r="G1238" s="30" t="n">
        <f aca="false">G1235-G1236-G1237</f>
        <v>145.035748675015</v>
      </c>
      <c r="H1238" s="31" t="n">
        <f aca="false">H1216*H1242</f>
        <v>152.779682621112</v>
      </c>
      <c r="I1238" s="31" t="n">
        <f aca="false">I1216*I1242</f>
        <v>156.486763526902</v>
      </c>
      <c r="J1238" s="31" t="n">
        <f aca="false">J1216*J1242</f>
        <v>155.717026330384</v>
      </c>
    </row>
    <row r="1239" customFormat="false" ht="15" hidden="false" customHeight="false" outlineLevel="0" collapsed="false">
      <c r="A1239" s="4" t="s">
        <v>579</v>
      </c>
      <c r="B1239" s="4" t="s">
        <v>580</v>
      </c>
      <c r="C1239" s="18" t="n">
        <f aca="false">a25_sh</f>
        <v>4339.16755602988</v>
      </c>
      <c r="D1239" s="18" t="n">
        <f aca="false">a26_sh</f>
        <v>4392.90105184664</v>
      </c>
      <c r="E1239" s="18" t="n">
        <f aca="false">D1239*(1+sh_g)</f>
        <v>4414.86555710588</v>
      </c>
      <c r="F1239" s="18" t="n">
        <f aca="false">E1239*(1+sh_g)</f>
        <v>4436.9398848914</v>
      </c>
      <c r="G1239" s="18" t="n">
        <f aca="false">F1239*(1+sh_g)</f>
        <v>4459.12458431586</v>
      </c>
      <c r="H1239" s="25" t="n">
        <f aca="false">G1239*(1+sh_g)</f>
        <v>4481.42020723744</v>
      </c>
      <c r="I1239" s="25" t="n">
        <f aca="false">H1239*(1+sh_g)</f>
        <v>4503.82730827363</v>
      </c>
      <c r="J1239" s="25" t="n">
        <f aca="false">I1239*(1+sh_g)</f>
        <v>4526.34644481499</v>
      </c>
    </row>
    <row r="1240" customFormat="false" ht="17.15" hidden="false" customHeight="false" outlineLevel="0" collapsed="false">
      <c r="A1240" s="0" t="s">
        <v>465</v>
      </c>
      <c r="B1240" s="0" t="s">
        <v>304</v>
      </c>
      <c r="C1240" s="19" t="n">
        <f aca="false">a25_eps</f>
        <v>9.37</v>
      </c>
      <c r="D1240" s="19" t="n">
        <f aca="false">a26_eps</f>
        <v>21.2828697294455</v>
      </c>
      <c r="E1240" s="19" t="n">
        <f aca="false">E1238/E1239*1000</f>
        <v>29.2612628406603</v>
      </c>
      <c r="F1240" s="19" t="n">
        <f aca="false">F1238/F1239*1000</f>
        <v>26.067257131883</v>
      </c>
      <c r="G1240" s="19" t="n">
        <f aca="false">G1238/G1239*1000</f>
        <v>32.5256103373184</v>
      </c>
      <c r="H1240" s="28" t="n">
        <f aca="false">H1238/H1239*1000</f>
        <v>34.0918002677756</v>
      </c>
      <c r="I1240" s="28" t="n">
        <f aca="false">I1238/I1239*1000</f>
        <v>34.7452850244574</v>
      </c>
      <c r="J1240" s="28" t="n">
        <f aca="false">J1238/J1239*1000</f>
        <v>34.4023658438166</v>
      </c>
    </row>
    <row r="1241" customFormat="false" ht="17.15" hidden="false" customHeight="false" outlineLevel="0" collapsed="false">
      <c r="A1241" s="0" t="s">
        <v>581</v>
      </c>
      <c r="B1241" s="0" t="s">
        <v>76</v>
      </c>
      <c r="D1241" s="21" t="n">
        <f aca="false">D1240/C1240-1</f>
        <v>1.27138417603474</v>
      </c>
      <c r="E1241" s="21" t="n">
        <f aca="false">E1240/D1240-1</f>
        <v>0.374873934419493</v>
      </c>
      <c r="F1241" s="21" t="n">
        <f aca="false">F1240/E1240-1</f>
        <v>-0.109154745855295</v>
      </c>
      <c r="G1241" s="21" t="n">
        <f aca="false">G1240/F1240-1</f>
        <v>0.247757298466823</v>
      </c>
      <c r="H1241" s="26" t="n">
        <f aca="false">H1240/G1240-1</f>
        <v>0.0481525147173085</v>
      </c>
      <c r="I1241" s="26" t="n">
        <f aca="false">I1240/H1240-1</f>
        <v>0.0191683851116391</v>
      </c>
      <c r="J1241" s="26" t="n">
        <f aca="false">J1240/I1240-1</f>
        <v>-0.00986951698336491</v>
      </c>
    </row>
    <row r="1242" customFormat="false" ht="17.15" hidden="false" customHeight="false" outlineLevel="0" collapsed="false">
      <c r="A1242" s="4" t="s">
        <v>582</v>
      </c>
      <c r="B1242" s="0" t="s">
        <v>76</v>
      </c>
      <c r="C1242" s="14" t="n">
        <f aca="false">C1238/C1216</f>
        <v>0.0629977625862272</v>
      </c>
      <c r="D1242" s="14" t="n">
        <f aca="false">D1238/D1216</f>
        <v>0.107397865592237</v>
      </c>
      <c r="E1242" s="14" t="n">
        <f aca="false">E1238/E1216</f>
        <v>0.117862495347467</v>
      </c>
      <c r="F1242" s="14" t="n">
        <f aca="false">F1238/F1216</f>
        <v>0.100140263188026</v>
      </c>
      <c r="G1242" s="14" t="n">
        <f aca="false">G1238/G1216</f>
        <v>0.111572052488358</v>
      </c>
      <c r="H1242" s="27" t="n">
        <f aca="false">$G1242+(fade_mB-$G1242)*1/3</f>
        <v>0.10713629168299</v>
      </c>
      <c r="I1242" s="27" t="n">
        <f aca="false">$G1242+(fade_mB-$G1242)*2/3</f>
        <v>0.102700530877622</v>
      </c>
      <c r="J1242" s="27" t="n">
        <f aca="false">$G1242+(fade_mB-$G1242)*3/3</f>
        <v>0.0982647700722541</v>
      </c>
    </row>
    <row r="1243" customFormat="false" ht="17.15" hidden="false" customHeight="false" outlineLevel="0" collapsed="false">
      <c r="A1243" s="4" t="s">
        <v>583</v>
      </c>
      <c r="B1243" s="0" t="s">
        <v>234</v>
      </c>
      <c r="C1243" s="30" t="n">
        <f aca="false">C1238+C1224-C1222</f>
        <v>-54.587</v>
      </c>
      <c r="D1243" s="30" t="n">
        <f aca="false">D1238+D1224-D1222</f>
        <v>-176.164485935382</v>
      </c>
      <c r="E1243" s="30" t="n">
        <f aca="false">E1238+E1224-E1222</f>
        <v>-155.975708527347</v>
      </c>
      <c r="F1243" s="30" t="n">
        <f aca="false">F1238+F1224-F1222</f>
        <v>-64.3469257608605</v>
      </c>
      <c r="G1243" s="30" t="n">
        <f aca="false">G1238+G1224-G1222</f>
        <v>-55.9574532755403</v>
      </c>
      <c r="K1243" s="4" t="s">
        <v>584</v>
      </c>
    </row>
    <row r="1244" customFormat="false" ht="17.15" hidden="false" customHeight="false" outlineLevel="0" collapsed="false">
      <c r="A1244" s="4" t="s">
        <v>585</v>
      </c>
      <c r="B1244" s="0" t="s">
        <v>76</v>
      </c>
      <c r="D1244" s="21" t="n">
        <f aca="false">(D1232-$C1232)/SUM($D1222:D1222)</f>
        <v>0.164280348537512</v>
      </c>
      <c r="E1244" s="21" t="n">
        <f aca="false">(E1232-$C1232)/SUM($D1222:E1222)</f>
        <v>0.144986247304071</v>
      </c>
      <c r="F1244" s="21" t="n">
        <f aca="false">(F1232-$C1232)/SUM($D1222:F1222)</f>
        <v>0.0860736581836496</v>
      </c>
      <c r="G1244" s="21" t="n">
        <f aca="false">(G1232-$C1232)/SUM($D1222:G1222)</f>
        <v>0.0872761418385564</v>
      </c>
      <c r="K1244" s="4" t="s">
        <v>586</v>
      </c>
    </row>
    <row r="1247" customFormat="false" ht="17.15" hidden="false" customHeight="false" outlineLevel="0" collapsed="false">
      <c r="A1247" s="1" t="s">
        <v>939</v>
      </c>
    </row>
    <row r="1248" customFormat="false" ht="17.15" hidden="false" customHeight="false" outlineLevel="0" collapsed="false">
      <c r="A1248" s="5" t="s">
        <v>21</v>
      </c>
      <c r="B1248" s="5" t="s">
        <v>22</v>
      </c>
      <c r="C1248" s="15" t="s">
        <v>424</v>
      </c>
      <c r="D1248" s="15" t="s">
        <v>524</v>
      </c>
      <c r="E1248" s="15" t="s">
        <v>525</v>
      </c>
      <c r="F1248" s="15" t="s">
        <v>526</v>
      </c>
      <c r="G1248" s="15" t="s">
        <v>527</v>
      </c>
      <c r="H1248" s="15" t="s">
        <v>528</v>
      </c>
      <c r="I1248" s="15" t="s">
        <v>529</v>
      </c>
      <c r="J1248" s="15" t="s">
        <v>530</v>
      </c>
      <c r="K1248" s="5" t="s">
        <v>382</v>
      </c>
    </row>
    <row r="1249" customFormat="false" ht="17.15" hidden="false" customHeight="false" outlineLevel="0" collapsed="false">
      <c r="A1249" s="6" t="s">
        <v>548</v>
      </c>
    </row>
    <row r="1250" customFormat="false" ht="17.15" hidden="false" customHeight="false" outlineLevel="0" collapsed="false">
      <c r="A1250" s="0" t="s">
        <v>549</v>
      </c>
      <c r="B1250" s="4" t="s">
        <v>32</v>
      </c>
      <c r="D1250" s="19" t="n">
        <f aca="false">units_26</f>
        <v>15.2</v>
      </c>
      <c r="E1250" s="19" t="n">
        <f aca="false">units_27*1</f>
        <v>23.7</v>
      </c>
      <c r="F1250" s="19" t="n">
        <f aca="false">units_28*um28_C*1</f>
        <v>15.9</v>
      </c>
      <c r="G1250" s="19" t="n">
        <f aca="false">units_29*um29_C*1</f>
        <v>18.09</v>
      </c>
    </row>
    <row r="1251" customFormat="false" ht="17.15" hidden="false" customHeight="false" outlineLevel="0" collapsed="false">
      <c r="A1251" s="4" t="s">
        <v>497</v>
      </c>
      <c r="B1251" s="0" t="s">
        <v>45</v>
      </c>
      <c r="D1251" s="22" t="n">
        <f aca="false">ar_26</f>
        <v>1</v>
      </c>
      <c r="E1251" s="22" t="n">
        <f aca="false">ar_27</f>
        <v>1.278156</v>
      </c>
      <c r="F1251" s="22" t="n">
        <f aca="false">ar_28</f>
        <v>1.428615</v>
      </c>
      <c r="G1251" s="22" t="n">
        <f aca="false">ar_29</f>
        <v>1.431796</v>
      </c>
    </row>
    <row r="1252" customFormat="false" ht="17.15" hidden="false" customHeight="false" outlineLevel="0" collapsed="false">
      <c r="A1252" s="4" t="s">
        <v>550</v>
      </c>
      <c r="B1252" s="0" t="s">
        <v>45</v>
      </c>
      <c r="D1252" s="19" t="n">
        <f aca="false">1</f>
        <v>1</v>
      </c>
      <c r="E1252" s="19" t="n">
        <f aca="false">rel27_C</f>
        <v>1</v>
      </c>
      <c r="F1252" s="19" t="n">
        <f aca="false">rel28_C</f>
        <v>0.95</v>
      </c>
      <c r="G1252" s="19" t="n">
        <f aca="false">rel29_C</f>
        <v>0.92</v>
      </c>
    </row>
    <row r="1253" customFormat="false" ht="17.15" hidden="false" customHeight="false" outlineLevel="0" collapsed="false">
      <c r="A1253" s="4" t="s">
        <v>551</v>
      </c>
      <c r="B1253" s="0" t="s">
        <v>502</v>
      </c>
      <c r="D1253" s="23" t="n">
        <f aca="false">D1254*1000/D1250</f>
        <v>232.894736842105</v>
      </c>
      <c r="E1253" s="23" t="n">
        <f aca="false">$D1253*E1251^el</f>
        <v>263.300452584163</v>
      </c>
      <c r="F1253" s="23" t="n">
        <f aca="false">$D1253*F1251^el</f>
        <v>278.366697432121</v>
      </c>
      <c r="G1253" s="23" t="n">
        <f aca="false">$D1253*G1251^el</f>
        <v>278.676435220295</v>
      </c>
      <c r="K1253" s="8" t="s">
        <v>552</v>
      </c>
    </row>
    <row r="1254" customFormat="false" ht="17.15" hidden="false" customHeight="false" outlineLevel="0" collapsed="false">
      <c r="A1254" s="0" t="s">
        <v>553</v>
      </c>
      <c r="B1254" s="0" t="s">
        <v>120</v>
      </c>
      <c r="D1254" s="22" t="n">
        <f aca="false">leap26-D1255-D1256</f>
        <v>3.54</v>
      </c>
      <c r="E1254" s="22" t="n">
        <f aca="false">E1250*E1252*E1253/1000</f>
        <v>6.24022072624466</v>
      </c>
      <c r="F1254" s="22" t="n">
        <f aca="false">F1250*F1252*F1253/1000</f>
        <v>4.20472896471219</v>
      </c>
      <c r="G1254" s="22" t="n">
        <f aca="false">G1250*G1252*G1253/1000</f>
        <v>4.63795617608433</v>
      </c>
      <c r="K1254" s="8" t="s">
        <v>554</v>
      </c>
    </row>
    <row r="1255" customFormat="false" ht="17.15" hidden="false" customHeight="false" outlineLevel="0" collapsed="false">
      <c r="A1255" s="4" t="s">
        <v>555</v>
      </c>
      <c r="B1255" s="0" t="s">
        <v>120</v>
      </c>
      <c r="D1255" s="22" t="n">
        <f aca="false">fp26</f>
        <v>0.3</v>
      </c>
      <c r="E1255" s="22" t="n">
        <f aca="false">fp27_C</f>
        <v>0.7</v>
      </c>
      <c r="F1255" s="22" t="n">
        <f aca="false">E1255*F1250/E1250*(1+fp_g)</f>
        <v>0.610506329113924</v>
      </c>
      <c r="G1255" s="22" t="n">
        <f aca="false">F1255*G1250/F1250*(1+fp_g)</f>
        <v>0.902973417721519</v>
      </c>
    </row>
    <row r="1256" customFormat="false" ht="17.15" hidden="false" customHeight="false" outlineLevel="0" collapsed="false">
      <c r="A1256" s="0" t="s">
        <v>556</v>
      </c>
      <c r="B1256" s="0" t="s">
        <v>120</v>
      </c>
      <c r="D1256" s="22" t="n">
        <f aca="false">cpo27_hi*cpo_C_26/cpo_A_27</f>
        <v>0.16</v>
      </c>
      <c r="E1256" s="22" t="n">
        <f aca="false">cpo27_hi*cpo_C_27/cpo_A_27</f>
        <v>0.32</v>
      </c>
      <c r="F1256" s="22" t="n">
        <f aca="false">cpo27_hi*cpo_C_28/cpo_A_27*F1250/E1250</f>
        <v>0.322025316455696</v>
      </c>
      <c r="G1256" s="22" t="n">
        <f aca="false">cpo27_hi*cpo_C_29/cpo_A_27*G1250/E1250</f>
        <v>0.610632911392405</v>
      </c>
      <c r="K1256" s="8" t="s">
        <v>557</v>
      </c>
    </row>
    <row r="1257" customFormat="false" ht="17.15" hidden="false" customHeight="false" outlineLevel="0" collapsed="false">
      <c r="A1257" s="0" t="s">
        <v>510</v>
      </c>
      <c r="B1257" s="0" t="s">
        <v>120</v>
      </c>
      <c r="C1257" s="22" t="n">
        <f aca="false">leap25</f>
        <v>1.6</v>
      </c>
      <c r="D1257" s="22" t="n">
        <f aca="false">D1254+D1255+D1256</f>
        <v>4</v>
      </c>
      <c r="E1257" s="22" t="n">
        <f aca="false">E1254+E1255+E1256</f>
        <v>7.26022072624466</v>
      </c>
      <c r="F1257" s="22" t="n">
        <f aca="false">F1254+F1255+F1256</f>
        <v>5.13726061028181</v>
      </c>
      <c r="G1257" s="22" t="n">
        <f aca="false">G1254+G1255+G1256</f>
        <v>6.15156250519826</v>
      </c>
    </row>
    <row r="1258" customFormat="false" ht="17.15" hidden="false" customHeight="false" outlineLevel="0" collapsed="false">
      <c r="A1258" s="4" t="s">
        <v>558</v>
      </c>
      <c r="B1258" s="0" t="s">
        <v>114</v>
      </c>
      <c r="C1258" s="19" t="n">
        <f aca="false">fx25</f>
        <v>31</v>
      </c>
      <c r="D1258" s="19" t="n">
        <f aca="false">a26_leap/D1257</f>
        <v>31.9</v>
      </c>
      <c r="E1258" s="19" t="n">
        <f aca="false">fx</f>
        <v>32</v>
      </c>
      <c r="F1258" s="19" t="n">
        <f aca="false">fx</f>
        <v>32</v>
      </c>
      <c r="G1258" s="19" t="n">
        <f aca="false">fx</f>
        <v>32</v>
      </c>
      <c r="K1258" s="8" t="s">
        <v>559</v>
      </c>
    </row>
    <row r="1259" customFormat="false" ht="17.15" hidden="false" customHeight="false" outlineLevel="0" collapsed="false">
      <c r="A1259" s="6" t="s">
        <v>560</v>
      </c>
    </row>
    <row r="1260" customFormat="false" ht="17.15" hidden="false" customHeight="false" outlineLevel="0" collapsed="false">
      <c r="A1260" s="0" t="s">
        <v>438</v>
      </c>
      <c r="B1260" s="0" t="s">
        <v>234</v>
      </c>
      <c r="C1260" s="30" t="n">
        <f aca="false">a25_leap</f>
        <v>49.6</v>
      </c>
      <c r="D1260" s="30" t="n">
        <f aca="false">a26_leap</f>
        <v>127.6</v>
      </c>
      <c r="E1260" s="30" t="n">
        <f aca="false">E1257*E1258</f>
        <v>232.327063239829</v>
      </c>
      <c r="F1260" s="30" t="n">
        <f aca="false">F1257*F1258</f>
        <v>164.392339529018</v>
      </c>
      <c r="G1260" s="30" t="n">
        <f aca="false">G1257*G1258</f>
        <v>196.850000166344</v>
      </c>
    </row>
    <row r="1261" customFormat="false" ht="15" hidden="false" customHeight="false" outlineLevel="0" collapsed="false">
      <c r="A1261" s="4" t="s">
        <v>561</v>
      </c>
      <c r="B1261" s="0" t="s">
        <v>234</v>
      </c>
      <c r="C1261" s="30" t="n">
        <f aca="false">a25_ms</f>
        <v>339.628</v>
      </c>
      <c r="D1261" s="30" t="n">
        <f aca="false">a26_ms</f>
        <v>432.1302</v>
      </c>
      <c r="E1261" s="30" t="n">
        <f aca="false">D1261*(1+g_ms27)</f>
        <v>496.94973</v>
      </c>
      <c r="F1261" s="30" t="n">
        <f aca="false">E1261*(1+g_msL)</f>
        <v>531.7362111</v>
      </c>
      <c r="G1261" s="30" t="n">
        <f aca="false">F1261*(1+g_msL)</f>
        <v>568.957745877</v>
      </c>
    </row>
    <row r="1262" customFormat="false" ht="17.15" hidden="false" customHeight="false" outlineLevel="0" collapsed="false">
      <c r="A1262" s="4" t="s">
        <v>562</v>
      </c>
      <c r="B1262" s="0" t="s">
        <v>234</v>
      </c>
      <c r="C1262" s="30" t="n">
        <f aca="false">C1260+C1261</f>
        <v>389.228</v>
      </c>
      <c r="D1262" s="30" t="n">
        <f aca="false">D1260+D1261</f>
        <v>559.7302</v>
      </c>
      <c r="E1262" s="30" t="n">
        <f aca="false">E1260+E1261</f>
        <v>729.276793239829</v>
      </c>
      <c r="F1262" s="30" t="n">
        <f aca="false">F1260+F1261</f>
        <v>696.128550629018</v>
      </c>
      <c r="G1262" s="30" t="n">
        <f aca="false">G1260+G1261</f>
        <v>765.807746043344</v>
      </c>
    </row>
    <row r="1263" customFormat="false" ht="17.15" hidden="false" customHeight="false" outlineLevel="0" collapsed="false">
      <c r="A1263" s="0" t="s">
        <v>563</v>
      </c>
      <c r="B1263" s="0" t="s">
        <v>234</v>
      </c>
      <c r="C1263" s="30" t="n">
        <f aca="false">a25_ems</f>
        <v>259.079</v>
      </c>
      <c r="D1263" s="30" t="n">
        <f aca="false">a26_ems</f>
        <v>314.602</v>
      </c>
      <c r="E1263" s="30" t="n">
        <f aca="false">D1263*(1+g_ems27)</f>
        <v>346.0622</v>
      </c>
      <c r="F1263" s="30" t="n">
        <f aca="false">E1263*(1+g_emsL)</f>
        <v>363.36531</v>
      </c>
      <c r="G1263" s="30" t="n">
        <f aca="false">F1263*(1+g_emsL)</f>
        <v>381.5335755</v>
      </c>
    </row>
    <row r="1264" customFormat="false" ht="17.15" hidden="false" customHeight="false" outlineLevel="0" collapsed="false">
      <c r="A1264" s="4" t="s">
        <v>564</v>
      </c>
      <c r="B1264" s="0" t="s">
        <v>234</v>
      </c>
      <c r="C1264" s="30" t="n">
        <f aca="false">a25_elim</f>
        <v>-2.91899999999998</v>
      </c>
      <c r="D1264" s="30" t="n">
        <f aca="false">a26_elim</f>
        <v>-3.16484905982349</v>
      </c>
      <c r="E1264" s="30" t="n">
        <f aca="false">$D1264/($D1262+$D1263)*(E1262+E1263)</f>
        <v>-3.89243996932357</v>
      </c>
      <c r="F1264" s="30" t="n">
        <f aca="false">$D1264/($D1262+$D1263)*(F1262+F1263)</f>
        <v>-3.83508482096451</v>
      </c>
      <c r="G1264" s="30" t="n">
        <f aca="false">$D1264/($D1262+$D1263)*(G1262+G1263)</f>
        <v>-4.15306916842716</v>
      </c>
      <c r="K1264" s="4" t="s">
        <v>565</v>
      </c>
    </row>
    <row r="1265" customFormat="false" ht="17.15" hidden="false" customHeight="false" outlineLevel="0" collapsed="false">
      <c r="A1265" s="4" t="s">
        <v>431</v>
      </c>
      <c r="B1265" s="0" t="s">
        <v>234</v>
      </c>
      <c r="C1265" s="30" t="n">
        <f aca="false">C1262+C1263+C1264</f>
        <v>645.388</v>
      </c>
      <c r="D1265" s="30" t="n">
        <f aca="false">D1262+D1263+D1264</f>
        <v>871.167350940177</v>
      </c>
      <c r="E1265" s="30" t="n">
        <f aca="false">E1262+E1263+E1264</f>
        <v>1071.44655327051</v>
      </c>
      <c r="F1265" s="30" t="n">
        <f aca="false">F1262+F1263+F1264</f>
        <v>1055.65877580805</v>
      </c>
      <c r="G1265" s="30" t="n">
        <f aca="false">G1262+G1263+G1264</f>
        <v>1143.18825237492</v>
      </c>
      <c r="H1265" s="31" t="n">
        <f aca="false">G1265*(1+H1266)</f>
        <v>1214.00080344262</v>
      </c>
      <c r="I1265" s="31" t="n">
        <f aca="false">H1265*(1+I1266)</f>
        <v>1263.7402592108</v>
      </c>
      <c r="J1265" s="31" t="n">
        <f aca="false">I1265*(1+J1266)</f>
        <v>1289.01506439501</v>
      </c>
      <c r="K1265" s="8" t="s">
        <v>566</v>
      </c>
    </row>
    <row r="1266" customFormat="false" ht="15" hidden="false" customHeight="false" outlineLevel="0" collapsed="false">
      <c r="A1266" s="4" t="s">
        <v>567</v>
      </c>
      <c r="B1266" s="0" t="s">
        <v>76</v>
      </c>
      <c r="D1266" s="21" t="n">
        <f aca="false">D1265/C1265-1</f>
        <v>0.349835061916516</v>
      </c>
      <c r="E1266" s="21" t="n">
        <f aca="false">E1265/D1265-1</f>
        <v>0.229897507194438</v>
      </c>
      <c r="F1266" s="21" t="n">
        <f aca="false">F1265/E1265-1</f>
        <v>-0.0147350116664814</v>
      </c>
      <c r="G1266" s="21" t="n">
        <f aca="false">G1265/F1265-1</f>
        <v>0.0829145539948402</v>
      </c>
      <c r="H1266" s="26" t="n">
        <f aca="false">$G1266+(fade_gC-$G1266)*1/3</f>
        <v>0.0619430359965601</v>
      </c>
      <c r="I1266" s="26" t="n">
        <f aca="false">$G1266+(fade_gC-$G1266)*2/3</f>
        <v>0.0409715179982801</v>
      </c>
      <c r="J1266" s="26" t="n">
        <f aca="false">$G1266+(fade_gC-$G1266)*3/3</f>
        <v>0.02</v>
      </c>
    </row>
    <row r="1267" customFormat="false" ht="17.15" hidden="false" customHeight="false" outlineLevel="0" collapsed="false">
      <c r="A1267" s="0" t="s">
        <v>475</v>
      </c>
      <c r="B1267" s="0" t="s">
        <v>76</v>
      </c>
      <c r="C1267" s="21" t="n">
        <f aca="false">C1260/C1262</f>
        <v>0.127431736668482</v>
      </c>
      <c r="D1267" s="21" t="n">
        <f aca="false">D1260/D1262</f>
        <v>0.227966974088588</v>
      </c>
      <c r="E1267" s="21" t="n">
        <f aca="false">E1260/E1262</f>
        <v>0.318571858303225</v>
      </c>
      <c r="F1267" s="21" t="n">
        <f aca="false">F1260/F1262</f>
        <v>0.23615227299681</v>
      </c>
      <c r="G1267" s="21" t="n">
        <f aca="false">G1260/G1262</f>
        <v>0.257048849640655</v>
      </c>
    </row>
    <row r="1268" customFormat="false" ht="15" hidden="false" customHeight="false" outlineLevel="0" collapsed="false">
      <c r="A1268" s="4" t="s">
        <v>568</v>
      </c>
      <c r="B1268" s="0" t="s">
        <v>76</v>
      </c>
      <c r="D1268" s="21" t="n">
        <f aca="false">D1262/C1262-1</f>
        <v>0.438052247012034</v>
      </c>
      <c r="E1268" s="21" t="n">
        <f aca="false">E1262/D1262-1</f>
        <v>0.302907710250097</v>
      </c>
      <c r="F1268" s="21" t="n">
        <f aca="false">F1262/E1262-1</f>
        <v>-0.0454535821214733</v>
      </c>
      <c r="G1268" s="21" t="n">
        <f aca="false">G1262/F1262-1</f>
        <v>0.100095298995228</v>
      </c>
    </row>
    <row r="1269" customFormat="false" ht="17.15" hidden="false" customHeight="false" outlineLevel="0" collapsed="false">
      <c r="A1269" s="6" t="s">
        <v>569</v>
      </c>
    </row>
    <row r="1270" customFormat="false" ht="17.15" hidden="false" customHeight="false" outlineLevel="0" collapsed="false">
      <c r="A1270" s="4" t="s">
        <v>570</v>
      </c>
      <c r="B1270" s="0" t="s">
        <v>120</v>
      </c>
      <c r="C1270" s="19" t="n">
        <f aca="false">capex25</f>
        <v>5.5</v>
      </c>
      <c r="D1270" s="19" t="n">
        <f aca="false">capex26</f>
        <v>11.5</v>
      </c>
      <c r="E1270" s="19" t="n">
        <f aca="false">capex27</f>
        <v>13</v>
      </c>
      <c r="F1270" s="19" t="n">
        <f aca="false">capi*F1265/F1258</f>
        <v>9.8968010232005</v>
      </c>
      <c r="G1270" s="19" t="n">
        <f aca="false">capi*G1265/G1258</f>
        <v>10.7173898660148</v>
      </c>
      <c r="K1270" s="8" t="s">
        <v>571</v>
      </c>
    </row>
    <row r="1271" customFormat="false" ht="15" hidden="false" customHeight="false" outlineLevel="0" collapsed="false">
      <c r="A1271" s="4" t="s">
        <v>572</v>
      </c>
      <c r="B1271" s="0" t="s">
        <v>234</v>
      </c>
      <c r="C1271" s="30" t="n">
        <f aca="false">C1270*C1258</f>
        <v>170.5</v>
      </c>
      <c r="D1271" s="30" t="n">
        <f aca="false">D1270*31.9</f>
        <v>366.85</v>
      </c>
      <c r="E1271" s="30" t="n">
        <f aca="false">E1270*E1258</f>
        <v>416</v>
      </c>
      <c r="F1271" s="30" t="n">
        <f aca="false">F1270*F1258</f>
        <v>316.697632742416</v>
      </c>
      <c r="G1271" s="30" t="n">
        <f aca="false">G1270*G1258</f>
        <v>342.956475712475</v>
      </c>
    </row>
    <row r="1272" customFormat="false" ht="17.15" hidden="false" customHeight="false" outlineLevel="0" collapsed="false">
      <c r="A1272" s="4" t="s">
        <v>473</v>
      </c>
      <c r="B1272" s="0" t="s">
        <v>76</v>
      </c>
      <c r="C1272" s="21" t="n">
        <f aca="false">C1271/C1265</f>
        <v>0.264182166386732</v>
      </c>
      <c r="D1272" s="21" t="n">
        <f aca="false">D1271/D1265</f>
        <v>0.421101639775745</v>
      </c>
      <c r="E1272" s="21" t="n">
        <f aca="false">E1271/E1265</f>
        <v>0.388260150476189</v>
      </c>
      <c r="F1272" s="21" t="n">
        <f aca="false">F1271/F1265</f>
        <v>0.3</v>
      </c>
      <c r="G1272" s="21" t="n">
        <f aca="false">G1271/G1265</f>
        <v>0.3</v>
      </c>
    </row>
    <row r="1273" customFormat="false" ht="17.15" hidden="false" customHeight="false" outlineLevel="0" collapsed="false">
      <c r="A1273" s="4" t="s">
        <v>573</v>
      </c>
      <c r="B1273" s="0" t="s">
        <v>234</v>
      </c>
      <c r="C1273" s="30" t="n">
        <f aca="false">a25_da</f>
        <v>75.255</v>
      </c>
      <c r="D1273" s="30" t="n">
        <f aca="false">a26_da</f>
        <v>97.124</v>
      </c>
      <c r="E1273" s="30" t="n">
        <f aca="false">D1273*(1-1/life)+D1271/life</f>
        <v>130.83975</v>
      </c>
      <c r="F1273" s="30" t="n">
        <f aca="false">E1273*(1-1/life)+E1271/life</f>
        <v>166.48478125</v>
      </c>
      <c r="G1273" s="30" t="n">
        <f aca="false">F1273*(1-1/life)+F1271/life</f>
        <v>185.261387686552</v>
      </c>
      <c r="K1273" s="4" t="s">
        <v>574</v>
      </c>
    </row>
    <row r="1274" customFormat="false" ht="17.15" hidden="false" customHeight="false" outlineLevel="0" collapsed="false">
      <c r="A1274" s="4" t="s">
        <v>575</v>
      </c>
      <c r="B1274" s="0" t="s">
        <v>234</v>
      </c>
      <c r="C1274" s="30" t="n">
        <f aca="false">a25_agp</f>
        <v>91.38</v>
      </c>
      <c r="D1274" s="30" t="n">
        <f aca="false">a26_agp</f>
        <v>164.623388</v>
      </c>
      <c r="E1274" s="30" t="n">
        <f aca="false">$D1274+ft*(E1262-$D1262)-(E1273-$D1273)</f>
        <v>215.680934619915</v>
      </c>
      <c r="F1274" s="30" t="n">
        <f aca="false">$D1274+ft*(F1262-$D1262)-(F1273-$D1273)</f>
        <v>163.461782064509</v>
      </c>
      <c r="G1274" s="30" t="n">
        <f aca="false">$D1274+ft*(G1262-$D1262)-(G1273-$D1273)</f>
        <v>179.52477333512</v>
      </c>
      <c r="K1274" s="4" t="s">
        <v>576</v>
      </c>
    </row>
    <row r="1275" customFormat="false" ht="15" hidden="false" customHeight="false" outlineLevel="0" collapsed="false">
      <c r="A1275" s="4" t="s">
        <v>447</v>
      </c>
      <c r="B1275" s="0" t="s">
        <v>76</v>
      </c>
      <c r="C1275" s="14" t="n">
        <f aca="false">C1274/C1262</f>
        <v>0.234772421305764</v>
      </c>
      <c r="D1275" s="14" t="n">
        <f aca="false">D1274/D1262</f>
        <v>0.294112034690999</v>
      </c>
      <c r="E1275" s="14" t="n">
        <f aca="false">E1274/E1262</f>
        <v>0.295746329266487</v>
      </c>
      <c r="F1275" s="14" t="n">
        <f aca="false">F1274/F1262</f>
        <v>0.234815512044156</v>
      </c>
      <c r="G1275" s="14" t="n">
        <f aca="false">G1274/G1262</f>
        <v>0.234425381909051</v>
      </c>
    </row>
    <row r="1276" customFormat="false" ht="17.15" hidden="false" customHeight="false" outlineLevel="0" collapsed="false">
      <c r="A1276" s="0" t="s">
        <v>449</v>
      </c>
      <c r="B1276" s="0" t="s">
        <v>234</v>
      </c>
      <c r="C1276" s="30" t="n">
        <f aca="false">a25_egp</f>
        <v>23.695</v>
      </c>
      <c r="D1276" s="30" t="n">
        <f aca="false">a26_egp</f>
        <v>27.00552</v>
      </c>
      <c r="E1276" s="30" t="n">
        <f aca="false">E1263*ems_gm</f>
        <v>29.415287</v>
      </c>
      <c r="F1276" s="30" t="n">
        <f aca="false">F1263*ems_gm</f>
        <v>30.88605135</v>
      </c>
      <c r="G1276" s="30" t="n">
        <f aca="false">G1263*ems_gm</f>
        <v>32.4303539175</v>
      </c>
    </row>
    <row r="1277" customFormat="false" ht="15" hidden="false" customHeight="false" outlineLevel="0" collapsed="false">
      <c r="A1277" s="4" t="s">
        <v>577</v>
      </c>
      <c r="B1277" s="0" t="s">
        <v>234</v>
      </c>
      <c r="C1277" s="30" t="n">
        <f aca="false">a25_lgp</f>
        <v>-0.881999999999998</v>
      </c>
      <c r="D1277" s="30" t="n">
        <f aca="false">a26_lgp</f>
        <v>-0.948662139013863</v>
      </c>
      <c r="E1277" s="30" t="n">
        <f aca="false">$D1277/$D1264*E1264</f>
        <v>-1.16675719994289</v>
      </c>
      <c r="F1277" s="30" t="n">
        <f aca="false">$D1277/$D1264*F1264</f>
        <v>-1.14956501898978</v>
      </c>
      <c r="G1277" s="30" t="n">
        <f aca="false">$D1277/$D1264*G1264</f>
        <v>-1.24488068982739</v>
      </c>
    </row>
    <row r="1278" customFormat="false" ht="15" hidden="false" customHeight="false" outlineLevel="0" collapsed="false">
      <c r="A1278" s="4" t="s">
        <v>451</v>
      </c>
      <c r="B1278" s="0" t="s">
        <v>234</v>
      </c>
      <c r="C1278" s="30" t="n">
        <f aca="false">C1274+C1276+C1277</f>
        <v>114.193</v>
      </c>
      <c r="D1278" s="30" t="n">
        <f aca="false">D1274+D1276+D1277</f>
        <v>190.680245860986</v>
      </c>
      <c r="E1278" s="30" t="n">
        <f aca="false">E1274+E1276+E1277</f>
        <v>243.929464419972</v>
      </c>
      <c r="F1278" s="30" t="n">
        <f aca="false">F1274+F1276+F1277</f>
        <v>193.198268395519</v>
      </c>
      <c r="G1278" s="30" t="n">
        <f aca="false">G1274+G1276+G1277</f>
        <v>210.710246562793</v>
      </c>
    </row>
    <row r="1279" customFormat="false" ht="15" hidden="false" customHeight="false" outlineLevel="0" collapsed="false">
      <c r="A1279" s="4" t="s">
        <v>452</v>
      </c>
      <c r="B1279" s="0" t="s">
        <v>76</v>
      </c>
      <c r="C1279" s="14" t="n">
        <f aca="false">C1278/C1265</f>
        <v>0.176936974347214</v>
      </c>
      <c r="D1279" s="14" t="n">
        <f aca="false">D1278/D1265</f>
        <v>0.218879008327391</v>
      </c>
      <c r="E1279" s="14" t="n">
        <f aca="false">E1278/E1265</f>
        <v>0.227663679233832</v>
      </c>
      <c r="F1279" s="14" t="n">
        <f aca="false">F1278/F1265</f>
        <v>0.183012042170194</v>
      </c>
      <c r="G1279" s="14" t="n">
        <f aca="false">G1278/G1265</f>
        <v>0.184318064960038</v>
      </c>
    </row>
    <row r="1280" customFormat="false" ht="15" hidden="false" customHeight="false" outlineLevel="0" collapsed="false">
      <c r="A1280" s="4" t="s">
        <v>578</v>
      </c>
      <c r="B1280" s="0" t="s">
        <v>234</v>
      </c>
      <c r="C1280" s="30" t="n">
        <f aca="false">a25_opx</f>
        <v>63.437</v>
      </c>
      <c r="D1280" s="30" t="n">
        <f aca="false">a26_opx</f>
        <v>79.658</v>
      </c>
      <c r="E1280" s="30" t="n">
        <f aca="false">D1280*(1+phi*E1266)</f>
        <v>90.6459053768567</v>
      </c>
      <c r="F1280" s="30" t="n">
        <f aca="false">E1280*(1+phi*F1266)</f>
        <v>89.8445042929087</v>
      </c>
      <c r="G1280" s="30" t="n">
        <f aca="false">F1280*(1+phi*G1266)</f>
        <v>94.3141544943091</v>
      </c>
    </row>
    <row r="1281" customFormat="false" ht="15" hidden="false" customHeight="false" outlineLevel="0" collapsed="false">
      <c r="A1281" s="4" t="s">
        <v>455</v>
      </c>
      <c r="B1281" s="0" t="s">
        <v>234</v>
      </c>
      <c r="C1281" s="30" t="n">
        <f aca="false">C1278-C1280</f>
        <v>50.756</v>
      </c>
      <c r="D1281" s="30" t="n">
        <f aca="false">D1278-D1280</f>
        <v>111.022245860986</v>
      </c>
      <c r="E1281" s="30" t="n">
        <f aca="false">E1278-E1280</f>
        <v>153.283559043115</v>
      </c>
      <c r="F1281" s="30" t="n">
        <f aca="false">F1278-F1280</f>
        <v>103.35376410261</v>
      </c>
      <c r="G1281" s="30" t="n">
        <f aca="false">G1278-G1280</f>
        <v>116.396092068484</v>
      </c>
    </row>
    <row r="1282" customFormat="false" ht="15" hidden="false" customHeight="false" outlineLevel="0" collapsed="false">
      <c r="A1282" s="4" t="s">
        <v>537</v>
      </c>
      <c r="B1282" s="0" t="s">
        <v>76</v>
      </c>
      <c r="C1282" s="14" t="n">
        <f aca="false">C1281/C1265</f>
        <v>0.0786441644406156</v>
      </c>
      <c r="D1282" s="14" t="n">
        <f aca="false">D1281/D1265</f>
        <v>0.127440779020437</v>
      </c>
      <c r="E1282" s="14" t="n">
        <f aca="false">E1281/E1265</f>
        <v>0.14306225408559</v>
      </c>
      <c r="F1282" s="14" t="n">
        <f aca="false">F1281/F1265</f>
        <v>0.0979045184591</v>
      </c>
      <c r="G1282" s="14" t="n">
        <f aca="false">G1281/G1265</f>
        <v>0.101817082030607</v>
      </c>
    </row>
    <row r="1283" customFormat="false" ht="15" hidden="false" customHeight="false" outlineLevel="0" collapsed="false">
      <c r="A1283" s="4" t="s">
        <v>456</v>
      </c>
      <c r="B1283" s="0" t="s">
        <v>234</v>
      </c>
      <c r="C1283" s="30" t="n">
        <f aca="false">a25_nonop</f>
        <v>0.545</v>
      </c>
      <c r="D1283" s="30" t="n">
        <f aca="false">a26_nonop</f>
        <v>4.302</v>
      </c>
      <c r="E1283" s="30" t="n">
        <f aca="false">nonop_f</f>
        <v>-5</v>
      </c>
      <c r="F1283" s="30" t="n">
        <f aca="false">nonop_f</f>
        <v>-5</v>
      </c>
      <c r="G1283" s="30" t="n">
        <f aca="false">nonop_f</f>
        <v>-5</v>
      </c>
    </row>
    <row r="1284" customFormat="false" ht="15" hidden="false" customHeight="false" outlineLevel="0" collapsed="false">
      <c r="A1284" s="4" t="s">
        <v>459</v>
      </c>
      <c r="B1284" s="0" t="s">
        <v>234</v>
      </c>
      <c r="C1284" s="30" t="n">
        <f aca="false">C1281+C1283</f>
        <v>51.301</v>
      </c>
      <c r="D1284" s="30" t="n">
        <f aca="false">D1281+D1283</f>
        <v>115.324245860986</v>
      </c>
      <c r="E1284" s="30" t="n">
        <f aca="false">E1281+E1283</f>
        <v>148.283559043115</v>
      </c>
      <c r="F1284" s="30" t="n">
        <f aca="false">F1281+F1283</f>
        <v>98.3537641026104</v>
      </c>
      <c r="G1284" s="30" t="n">
        <f aca="false">G1281+G1283</f>
        <v>111.396092068484</v>
      </c>
    </row>
    <row r="1285" customFormat="false" ht="15" hidden="false" customHeight="false" outlineLevel="0" collapsed="false">
      <c r="A1285" s="4" t="s">
        <v>460</v>
      </c>
      <c r="B1285" s="0" t="s">
        <v>234</v>
      </c>
      <c r="C1285" s="30" t="n">
        <f aca="false">a25_tax</f>
        <v>9.461</v>
      </c>
      <c r="D1285" s="30" t="n">
        <f aca="false">a26_tax</f>
        <v>19.2197317963676</v>
      </c>
      <c r="E1285" s="30" t="n">
        <f aca="false">E1284*tax</f>
        <v>25.2082050373295</v>
      </c>
      <c r="F1285" s="30" t="n">
        <f aca="false">F1284*tax</f>
        <v>16.7201398974438</v>
      </c>
      <c r="G1285" s="30" t="n">
        <f aca="false">G1284*tax</f>
        <v>18.9373356516422</v>
      </c>
    </row>
    <row r="1286" customFormat="false" ht="15" hidden="false" customHeight="false" outlineLevel="0" collapsed="false">
      <c r="A1286" s="4" t="s">
        <v>461</v>
      </c>
      <c r="B1286" s="0" t="s">
        <v>234</v>
      </c>
      <c r="C1286" s="30" t="n">
        <f aca="false">a25_nci</f>
        <v>1.182</v>
      </c>
      <c r="D1286" s="30" t="n">
        <f aca="false">a26_nci</f>
        <v>2.543</v>
      </c>
      <c r="E1286" s="30" t="n">
        <f aca="false">nci</f>
        <v>3</v>
      </c>
      <c r="F1286" s="30" t="n">
        <f aca="false">nci</f>
        <v>3</v>
      </c>
      <c r="G1286" s="30" t="n">
        <f aca="false">nci</f>
        <v>3</v>
      </c>
    </row>
    <row r="1287" customFormat="false" ht="15" hidden="false" customHeight="false" outlineLevel="0" collapsed="false">
      <c r="A1287" s="4" t="s">
        <v>462</v>
      </c>
      <c r="B1287" s="0" t="s">
        <v>234</v>
      </c>
      <c r="C1287" s="30" t="n">
        <f aca="false">C1284-C1285-C1286</f>
        <v>40.658</v>
      </c>
      <c r="D1287" s="30" t="n">
        <f aca="false">D1284-D1285-D1286</f>
        <v>93.5615140646185</v>
      </c>
      <c r="E1287" s="30" t="n">
        <f aca="false">E1284-E1285-E1286</f>
        <v>120.075354005785</v>
      </c>
      <c r="F1287" s="30" t="n">
        <f aca="false">F1284-F1285-F1286</f>
        <v>78.6336242051667</v>
      </c>
      <c r="G1287" s="30" t="n">
        <f aca="false">G1284-G1285-G1286</f>
        <v>89.4587564168414</v>
      </c>
      <c r="H1287" s="31" t="n">
        <f aca="false">H1265*H1291</f>
        <v>88.2783096425602</v>
      </c>
      <c r="I1287" s="31" t="n">
        <f aca="false">I1265*I1291</f>
        <v>84.89801015839</v>
      </c>
      <c r="J1287" s="31" t="n">
        <f aca="false">J1265*J1291</f>
        <v>79.4588306082788</v>
      </c>
    </row>
    <row r="1288" customFormat="false" ht="15" hidden="false" customHeight="false" outlineLevel="0" collapsed="false">
      <c r="A1288" s="4" t="s">
        <v>579</v>
      </c>
      <c r="B1288" s="4" t="s">
        <v>580</v>
      </c>
      <c r="C1288" s="18" t="n">
        <f aca="false">a25_sh</f>
        <v>4339.16755602988</v>
      </c>
      <c r="D1288" s="18" t="n">
        <f aca="false">a26_sh</f>
        <v>4392.90105184664</v>
      </c>
      <c r="E1288" s="18" t="n">
        <f aca="false">D1288*(1+sh_g)</f>
        <v>4414.86555710588</v>
      </c>
      <c r="F1288" s="18" t="n">
        <f aca="false">E1288*(1+sh_g)</f>
        <v>4436.9398848914</v>
      </c>
      <c r="G1288" s="18" t="n">
        <f aca="false">F1288*(1+sh_g)</f>
        <v>4459.12458431586</v>
      </c>
      <c r="H1288" s="25" t="n">
        <f aca="false">G1288*(1+sh_g)</f>
        <v>4481.42020723744</v>
      </c>
      <c r="I1288" s="25" t="n">
        <f aca="false">H1288*(1+sh_g)</f>
        <v>4503.82730827363</v>
      </c>
      <c r="J1288" s="25" t="n">
        <f aca="false">I1288*(1+sh_g)</f>
        <v>4526.34644481499</v>
      </c>
    </row>
    <row r="1289" customFormat="false" ht="17.15" hidden="false" customHeight="false" outlineLevel="0" collapsed="false">
      <c r="A1289" s="0" t="s">
        <v>465</v>
      </c>
      <c r="B1289" s="0" t="s">
        <v>304</v>
      </c>
      <c r="C1289" s="19" t="n">
        <f aca="false">a25_eps</f>
        <v>9.37</v>
      </c>
      <c r="D1289" s="19" t="n">
        <f aca="false">a26_eps</f>
        <v>21.2828697294455</v>
      </c>
      <c r="E1289" s="19" t="n">
        <f aca="false">E1287/E1288*1000</f>
        <v>27.197963891</v>
      </c>
      <c r="F1289" s="19" t="n">
        <f aca="false">F1287/F1288*1000</f>
        <v>17.7224903300873</v>
      </c>
      <c r="G1289" s="19" t="n">
        <f aca="false">G1287/G1288*1000</f>
        <v>20.0619549252999</v>
      </c>
      <c r="H1289" s="28" t="n">
        <f aca="false">H1287/H1288*1000</f>
        <v>19.6987351241894</v>
      </c>
      <c r="I1289" s="28" t="n">
        <f aca="false">I1287/I1288*1000</f>
        <v>18.8501921471169</v>
      </c>
      <c r="J1289" s="28" t="n">
        <f aca="false">J1287/J1288*1000</f>
        <v>17.5547390322498</v>
      </c>
    </row>
    <row r="1290" customFormat="false" ht="17.15" hidden="false" customHeight="false" outlineLevel="0" collapsed="false">
      <c r="A1290" s="0" t="s">
        <v>581</v>
      </c>
      <c r="B1290" s="0" t="s">
        <v>76</v>
      </c>
      <c r="D1290" s="21" t="n">
        <f aca="false">D1289/C1289-1</f>
        <v>1.27138417603474</v>
      </c>
      <c r="E1290" s="21" t="n">
        <f aca="false">E1289/D1289-1</f>
        <v>0.277927471095253</v>
      </c>
      <c r="F1290" s="21" t="n">
        <f aca="false">F1289/E1289-1</f>
        <v>-0.34838907790624</v>
      </c>
      <c r="G1290" s="21" t="n">
        <f aca="false">G1289/F1289-1</f>
        <v>0.132005409603236</v>
      </c>
      <c r="H1290" s="26" t="n">
        <f aca="false">H1289/G1289-1</f>
        <v>-0.0181049056516651</v>
      </c>
      <c r="I1290" s="26" t="n">
        <f aca="false">I1289/H1289-1</f>
        <v>-0.0430760133441529</v>
      </c>
      <c r="J1290" s="26" t="n">
        <f aca="false">J1289/I1289-1</f>
        <v>-0.0687236026432355</v>
      </c>
    </row>
    <row r="1291" customFormat="false" ht="17.15" hidden="false" customHeight="false" outlineLevel="0" collapsed="false">
      <c r="A1291" s="4" t="s">
        <v>582</v>
      </c>
      <c r="B1291" s="0" t="s">
        <v>76</v>
      </c>
      <c r="C1291" s="14" t="n">
        <f aca="false">C1287/C1265</f>
        <v>0.0629977625862272</v>
      </c>
      <c r="D1291" s="14" t="n">
        <f aca="false">D1287/D1265</f>
        <v>0.107397865592237</v>
      </c>
      <c r="E1291" s="14" t="n">
        <f aca="false">E1287/E1265</f>
        <v>0.11206844955473</v>
      </c>
      <c r="F1291" s="14" t="n">
        <f aca="false">F1287/F1265</f>
        <v>0.074487728428134</v>
      </c>
      <c r="G1291" s="14" t="n">
        <f aca="false">G1287/G1265</f>
        <v>0.0782537401263486</v>
      </c>
      <c r="H1291" s="27" t="n">
        <f aca="false">$G1291+(fade_mC-$G1291)*1/3</f>
        <v>0.0727168461439429</v>
      </c>
      <c r="I1291" s="27" t="n">
        <f aca="false">$G1291+(fade_mC-$G1291)*2/3</f>
        <v>0.0671799521615372</v>
      </c>
      <c r="J1291" s="27" t="n">
        <f aca="false">$G1291+(fade_mC-$G1291)*3/3</f>
        <v>0.0616430581791315</v>
      </c>
    </row>
    <row r="1292" customFormat="false" ht="17.15" hidden="false" customHeight="false" outlineLevel="0" collapsed="false">
      <c r="A1292" s="4" t="s">
        <v>583</v>
      </c>
      <c r="B1292" s="0" t="s">
        <v>234</v>
      </c>
      <c r="C1292" s="30" t="n">
        <f aca="false">C1287+C1273-C1271</f>
        <v>-54.587</v>
      </c>
      <c r="D1292" s="30" t="n">
        <f aca="false">D1287+D1273-D1271</f>
        <v>-176.164485935382</v>
      </c>
      <c r="E1292" s="30" t="n">
        <f aca="false">E1287+E1273-E1271</f>
        <v>-165.084895994215</v>
      </c>
      <c r="F1292" s="30" t="n">
        <f aca="false">F1287+F1273-F1271</f>
        <v>-71.5792272872494</v>
      </c>
      <c r="G1292" s="30" t="n">
        <f aca="false">G1287+G1273-G1271</f>
        <v>-68.2363316090817</v>
      </c>
      <c r="K1292" s="4" t="s">
        <v>584</v>
      </c>
    </row>
    <row r="1293" customFormat="false" ht="17.15" hidden="false" customHeight="false" outlineLevel="0" collapsed="false">
      <c r="A1293" s="4" t="s">
        <v>585</v>
      </c>
      <c r="B1293" s="0" t="s">
        <v>76</v>
      </c>
      <c r="D1293" s="21" t="n">
        <f aca="false">(D1281-$C1281)/SUM($D1271:D1271)</f>
        <v>0.164280348537512</v>
      </c>
      <c r="E1293" s="21" t="n">
        <f aca="false">(E1281-$C1281)/SUM($D1271:E1271)</f>
        <v>0.130967055046452</v>
      </c>
      <c r="F1293" s="21" t="n">
        <f aca="false">(F1281-$C1281)/SUM($D1271:F1271)</f>
        <v>0.0478358213290176</v>
      </c>
      <c r="G1293" s="21" t="n">
        <f aca="false">(G1281-$C1281)/SUM($D1271:G1271)</f>
        <v>0.04550426697834</v>
      </c>
      <c r="K1293" s="4" t="s">
        <v>586</v>
      </c>
    </row>
    <row r="1296" customFormat="false" ht="17.15" hidden="false" customHeight="false" outlineLevel="0" collapsed="false">
      <c r="A1296" s="1" t="s">
        <v>940</v>
      </c>
    </row>
    <row r="1297" customFormat="false" ht="17.15" hidden="false" customHeight="false" outlineLevel="0" collapsed="false">
      <c r="A1297" s="5" t="s">
        <v>21</v>
      </c>
      <c r="B1297" s="5" t="s">
        <v>22</v>
      </c>
      <c r="C1297" s="15" t="s">
        <v>424</v>
      </c>
      <c r="D1297" s="15" t="s">
        <v>524</v>
      </c>
      <c r="E1297" s="15" t="s">
        <v>525</v>
      </c>
      <c r="F1297" s="15" t="s">
        <v>526</v>
      </c>
      <c r="G1297" s="15" t="s">
        <v>527</v>
      </c>
      <c r="H1297" s="15" t="s">
        <v>528</v>
      </c>
      <c r="I1297" s="15" t="s">
        <v>529</v>
      </c>
      <c r="J1297" s="15" t="s">
        <v>530</v>
      </c>
      <c r="K1297" s="5" t="s">
        <v>382</v>
      </c>
    </row>
    <row r="1298" customFormat="false" ht="17.15" hidden="false" customHeight="false" outlineLevel="0" collapsed="false">
      <c r="A1298" s="6" t="s">
        <v>548</v>
      </c>
    </row>
    <row r="1299" customFormat="false" ht="17.15" hidden="false" customHeight="false" outlineLevel="0" collapsed="false">
      <c r="A1299" s="0" t="s">
        <v>549</v>
      </c>
      <c r="B1299" s="4" t="s">
        <v>32</v>
      </c>
      <c r="D1299" s="19" t="n">
        <f aca="false">units_26</f>
        <v>15.2</v>
      </c>
      <c r="E1299" s="19" t="n">
        <f aca="false">units_27*1</f>
        <v>23.7</v>
      </c>
      <c r="F1299" s="19" t="n">
        <f aca="false">units_28*um28_A*1</f>
        <v>26.5</v>
      </c>
      <c r="G1299" s="19" t="n">
        <f aca="false">units_29*um29_A*1</f>
        <v>30.15</v>
      </c>
    </row>
    <row r="1300" customFormat="false" ht="17.15" hidden="false" customHeight="false" outlineLevel="0" collapsed="false">
      <c r="A1300" s="4" t="s">
        <v>497</v>
      </c>
      <c r="B1300" s="0" t="s">
        <v>45</v>
      </c>
      <c r="D1300" s="22" t="n">
        <f aca="false">ar_26</f>
        <v>1</v>
      </c>
      <c r="E1300" s="22" t="n">
        <f aca="false">ar_27</f>
        <v>1.278156</v>
      </c>
      <c r="F1300" s="22" t="n">
        <f aca="false">ar_28</f>
        <v>1.428615</v>
      </c>
      <c r="G1300" s="22" t="n">
        <f aca="false">ar_29</f>
        <v>1.431796</v>
      </c>
    </row>
    <row r="1301" customFormat="false" ht="17.15" hidden="false" customHeight="false" outlineLevel="0" collapsed="false">
      <c r="A1301" s="4" t="s">
        <v>550</v>
      </c>
      <c r="B1301" s="0" t="s">
        <v>45</v>
      </c>
      <c r="D1301" s="19" t="n">
        <f aca="false">1</f>
        <v>1</v>
      </c>
      <c r="E1301" s="19" t="n">
        <f aca="false">rel27_A</f>
        <v>1.1</v>
      </c>
      <c r="F1301" s="19" t="n">
        <f aca="false">rel28_A</f>
        <v>1.15</v>
      </c>
      <c r="G1301" s="19" t="n">
        <f aca="false">rel29_A</f>
        <v>1.2</v>
      </c>
    </row>
    <row r="1302" customFormat="false" ht="17.15" hidden="false" customHeight="false" outlineLevel="0" collapsed="false">
      <c r="A1302" s="4" t="s">
        <v>551</v>
      </c>
      <c r="B1302" s="0" t="s">
        <v>502</v>
      </c>
      <c r="D1302" s="23" t="n">
        <f aca="false">D1303*1000/D1299</f>
        <v>236.842105263158</v>
      </c>
      <c r="E1302" s="23" t="n">
        <f aca="false">$D1302*E1300^el</f>
        <v>267.763172119488</v>
      </c>
      <c r="F1302" s="23" t="n">
        <f aca="false">$D1302*F1300^el</f>
        <v>283.084777049615</v>
      </c>
      <c r="G1302" s="23" t="n">
        <f aca="false">$D1302*G1300^el</f>
        <v>283.399764630809</v>
      </c>
      <c r="K1302" s="8" t="s">
        <v>552</v>
      </c>
    </row>
    <row r="1303" customFormat="false" ht="17.15" hidden="false" customHeight="false" outlineLevel="0" collapsed="false">
      <c r="A1303" s="0" t="s">
        <v>553</v>
      </c>
      <c r="B1303" s="0" t="s">
        <v>120</v>
      </c>
      <c r="D1303" s="22" t="n">
        <f aca="false">leap26-D1304-D1305</f>
        <v>3.6</v>
      </c>
      <c r="E1303" s="22" t="n">
        <f aca="false">E1299*E1301*E1302/1000</f>
        <v>6.98058589715504</v>
      </c>
      <c r="F1303" s="22" t="n">
        <f aca="false">F1299*F1301*F1302/1000</f>
        <v>8.627008580587</v>
      </c>
      <c r="G1303" s="22" t="n">
        <f aca="false">G1299*G1301*G1302/1000</f>
        <v>10.2534034843427</v>
      </c>
      <c r="K1303" s="8" t="s">
        <v>554</v>
      </c>
    </row>
    <row r="1304" customFormat="false" ht="17.15" hidden="false" customHeight="false" outlineLevel="0" collapsed="false">
      <c r="A1304" s="4" t="s">
        <v>555</v>
      </c>
      <c r="B1304" s="0" t="s">
        <v>120</v>
      </c>
      <c r="D1304" s="22" t="n">
        <f aca="false">fp26</f>
        <v>0.3</v>
      </c>
      <c r="E1304" s="22" t="n">
        <f aca="false">fp27_A</f>
        <v>1.2</v>
      </c>
      <c r="F1304" s="22" t="n">
        <f aca="false">E1304*F1299/E1299*(1+fp_g)</f>
        <v>1.74430379746835</v>
      </c>
      <c r="G1304" s="22" t="n">
        <f aca="false">F1304*G1299/F1299*(1+fp_g)</f>
        <v>2.57992405063291</v>
      </c>
    </row>
    <row r="1305" customFormat="false" ht="17.15" hidden="false" customHeight="false" outlineLevel="0" collapsed="false">
      <c r="A1305" s="0" t="s">
        <v>556</v>
      </c>
      <c r="B1305" s="0" t="s">
        <v>120</v>
      </c>
      <c r="D1305" s="22" t="n">
        <f aca="false">cpo27*cpo_A_26/cpo_A_27</f>
        <v>0.1</v>
      </c>
      <c r="E1305" s="22" t="n">
        <f aca="false">cpo27*cpo_A_27/cpo_A_27</f>
        <v>0.5</v>
      </c>
      <c r="F1305" s="22" t="n">
        <f aca="false">cpo27*cpo_A_28/cpo_A_27*F1299/E1299</f>
        <v>1.11814345991561</v>
      </c>
      <c r="G1305" s="22" t="n">
        <f aca="false">cpo27*cpo_A_29/cpo_A_27*G1299/E1299</f>
        <v>2.03544303797468</v>
      </c>
      <c r="K1305" s="8" t="s">
        <v>557</v>
      </c>
    </row>
    <row r="1306" customFormat="false" ht="17.15" hidden="false" customHeight="false" outlineLevel="0" collapsed="false">
      <c r="A1306" s="0" t="s">
        <v>510</v>
      </c>
      <c r="B1306" s="0" t="s">
        <v>120</v>
      </c>
      <c r="C1306" s="22" t="n">
        <f aca="false">leap25</f>
        <v>1.6</v>
      </c>
      <c r="D1306" s="22" t="n">
        <f aca="false">D1303+D1304+D1305</f>
        <v>4</v>
      </c>
      <c r="E1306" s="22" t="n">
        <f aca="false">E1303+E1304+E1305</f>
        <v>8.68058589715504</v>
      </c>
      <c r="F1306" s="22" t="n">
        <f aca="false">F1303+F1304+F1305</f>
        <v>11.489455837971</v>
      </c>
      <c r="G1306" s="22" t="n">
        <f aca="false">G1303+G1304+G1305</f>
        <v>14.8687705729503</v>
      </c>
    </row>
    <row r="1307" customFormat="false" ht="17.15" hidden="false" customHeight="false" outlineLevel="0" collapsed="false">
      <c r="A1307" s="4" t="s">
        <v>558</v>
      </c>
      <c r="B1307" s="0" t="s">
        <v>114</v>
      </c>
      <c r="C1307" s="19" t="n">
        <f aca="false">fx25</f>
        <v>31</v>
      </c>
      <c r="D1307" s="19" t="n">
        <f aca="false">a26_leap/D1306</f>
        <v>31.9</v>
      </c>
      <c r="E1307" s="19" t="n">
        <f aca="false">fx</f>
        <v>32</v>
      </c>
      <c r="F1307" s="19" t="n">
        <f aca="false">fx</f>
        <v>32</v>
      </c>
      <c r="G1307" s="19" t="n">
        <f aca="false">fx</f>
        <v>32</v>
      </c>
      <c r="K1307" s="8" t="s">
        <v>559</v>
      </c>
    </row>
    <row r="1308" customFormat="false" ht="17.15" hidden="false" customHeight="false" outlineLevel="0" collapsed="false">
      <c r="A1308" s="6" t="s">
        <v>560</v>
      </c>
    </row>
    <row r="1309" customFormat="false" ht="17.15" hidden="false" customHeight="false" outlineLevel="0" collapsed="false">
      <c r="A1309" s="0" t="s">
        <v>438</v>
      </c>
      <c r="B1309" s="0" t="s">
        <v>234</v>
      </c>
      <c r="C1309" s="30" t="n">
        <f aca="false">a25_leap</f>
        <v>49.6</v>
      </c>
      <c r="D1309" s="30" t="n">
        <f aca="false">a26_leap</f>
        <v>127.6</v>
      </c>
      <c r="E1309" s="30" t="n">
        <f aca="false">E1306*E1307</f>
        <v>277.778748708961</v>
      </c>
      <c r="F1309" s="30" t="n">
        <f aca="false">F1306*F1307</f>
        <v>367.662586815071</v>
      </c>
      <c r="G1309" s="30" t="n">
        <f aca="false">G1306*G1307</f>
        <v>475.800658334408</v>
      </c>
    </row>
    <row r="1310" customFormat="false" ht="15" hidden="false" customHeight="false" outlineLevel="0" collapsed="false">
      <c r="A1310" s="4" t="s">
        <v>561</v>
      </c>
      <c r="B1310" s="0" t="s">
        <v>234</v>
      </c>
      <c r="C1310" s="30" t="n">
        <f aca="false">a25_ms</f>
        <v>339.628</v>
      </c>
      <c r="D1310" s="30" t="n">
        <f aca="false">a26_ms</f>
        <v>432.1302</v>
      </c>
      <c r="E1310" s="30" t="n">
        <f aca="false">D1310*(1+g_ms27_lo)</f>
        <v>453.73671</v>
      </c>
      <c r="F1310" s="30" t="n">
        <f aca="false">E1310*(1+g_msL)</f>
        <v>485.4982797</v>
      </c>
      <c r="G1310" s="30" t="n">
        <f aca="false">F1310*(1+g_msL)</f>
        <v>519.483159279</v>
      </c>
    </row>
    <row r="1311" customFormat="false" ht="17.15" hidden="false" customHeight="false" outlineLevel="0" collapsed="false">
      <c r="A1311" s="4" t="s">
        <v>562</v>
      </c>
      <c r="B1311" s="0" t="s">
        <v>234</v>
      </c>
      <c r="C1311" s="30" t="n">
        <f aca="false">C1309+C1310</f>
        <v>389.228</v>
      </c>
      <c r="D1311" s="30" t="n">
        <f aca="false">D1309+D1310</f>
        <v>559.7302</v>
      </c>
      <c r="E1311" s="30" t="n">
        <f aca="false">E1309+E1310</f>
        <v>731.515458708961</v>
      </c>
      <c r="F1311" s="30" t="n">
        <f aca="false">F1309+F1310</f>
        <v>853.160866515071</v>
      </c>
      <c r="G1311" s="30" t="n">
        <f aca="false">G1309+G1310</f>
        <v>995.283817613408</v>
      </c>
    </row>
    <row r="1312" customFormat="false" ht="17.15" hidden="false" customHeight="false" outlineLevel="0" collapsed="false">
      <c r="A1312" s="0" t="s">
        <v>563</v>
      </c>
      <c r="B1312" s="0" t="s">
        <v>234</v>
      </c>
      <c r="C1312" s="30" t="n">
        <f aca="false">a25_ems</f>
        <v>259.079</v>
      </c>
      <c r="D1312" s="30" t="n">
        <f aca="false">a26_ems</f>
        <v>314.602</v>
      </c>
      <c r="E1312" s="30" t="n">
        <f aca="false">D1312*(1+g_ems27)</f>
        <v>346.0622</v>
      </c>
      <c r="F1312" s="30" t="n">
        <f aca="false">E1312*(1+g_emsL)</f>
        <v>363.36531</v>
      </c>
      <c r="G1312" s="30" t="n">
        <f aca="false">F1312*(1+g_emsL)</f>
        <v>381.5335755</v>
      </c>
    </row>
    <row r="1313" customFormat="false" ht="17.15" hidden="false" customHeight="false" outlineLevel="0" collapsed="false">
      <c r="A1313" s="4" t="s">
        <v>564</v>
      </c>
      <c r="B1313" s="0" t="s">
        <v>234</v>
      </c>
      <c r="C1313" s="30" t="n">
        <f aca="false">a25_elim</f>
        <v>-2.91899999999998</v>
      </c>
      <c r="D1313" s="30" t="n">
        <f aca="false">a26_elim</f>
        <v>-3.16484905982349</v>
      </c>
      <c r="E1313" s="30" t="n">
        <f aca="false">$D1313/($D1311+$D1312)*(E1311+E1312)</f>
        <v>-3.90054334045098</v>
      </c>
      <c r="F1313" s="30" t="n">
        <f aca="false">$D1313/($D1311+$D1312)*(F1311+F1312)</f>
        <v>-4.40349986652028</v>
      </c>
      <c r="G1313" s="30" t="n">
        <f aca="false">$D1313/($D1311+$D1312)*(G1311+G1312)</f>
        <v>-4.98371126231379</v>
      </c>
      <c r="K1313" s="4" t="s">
        <v>565</v>
      </c>
    </row>
    <row r="1314" customFormat="false" ht="17.15" hidden="false" customHeight="false" outlineLevel="0" collapsed="false">
      <c r="A1314" s="4" t="s">
        <v>431</v>
      </c>
      <c r="B1314" s="0" t="s">
        <v>234</v>
      </c>
      <c r="C1314" s="30" t="n">
        <f aca="false">C1311+C1312+C1313</f>
        <v>645.388</v>
      </c>
      <c r="D1314" s="30" t="n">
        <f aca="false">D1311+D1312+D1313</f>
        <v>871.167350940177</v>
      </c>
      <c r="E1314" s="30" t="n">
        <f aca="false">E1311+E1312+E1313</f>
        <v>1073.67711536851</v>
      </c>
      <c r="F1314" s="30" t="n">
        <f aca="false">F1311+F1312+F1313</f>
        <v>1212.12267664855</v>
      </c>
      <c r="G1314" s="30" t="n">
        <f aca="false">G1311+G1312+G1313</f>
        <v>1371.83368185109</v>
      </c>
      <c r="H1314" s="31" t="n">
        <f aca="false">G1314*(1+H1315)</f>
        <v>1519.77352485649</v>
      </c>
      <c r="I1314" s="31" t="n">
        <f aca="false">H1314*(1+I1315)</f>
        <v>1647.3136384692</v>
      </c>
      <c r="J1314" s="31" t="n">
        <f aca="false">I1314*(1+J1315)</f>
        <v>1746.15245677735</v>
      </c>
      <c r="K1314" s="8" t="s">
        <v>566</v>
      </c>
    </row>
    <row r="1315" customFormat="false" ht="15" hidden="false" customHeight="false" outlineLevel="0" collapsed="false">
      <c r="A1315" s="4" t="s">
        <v>567</v>
      </c>
      <c r="B1315" s="0" t="s">
        <v>76</v>
      </c>
      <c r="D1315" s="21" t="n">
        <f aca="false">D1314/C1314-1</f>
        <v>0.349835061916516</v>
      </c>
      <c r="E1315" s="21" t="n">
        <f aca="false">E1314/D1314-1</f>
        <v>0.232457936135672</v>
      </c>
      <c r="F1315" s="21" t="n">
        <f aca="false">F1314/E1314-1</f>
        <v>0.128945247410366</v>
      </c>
      <c r="G1315" s="21" t="n">
        <f aca="false">G1314/F1314-1</f>
        <v>0.131761420093332</v>
      </c>
      <c r="H1315" s="26" t="n">
        <f aca="false">$G1315+(fade_gA-$G1315)*1/3</f>
        <v>0.107840946728888</v>
      </c>
      <c r="I1315" s="26" t="n">
        <f aca="false">$G1315+(fade_gA-$G1315)*2/3</f>
        <v>0.0839204733644439</v>
      </c>
      <c r="J1315" s="26" t="n">
        <f aca="false">$G1315+(fade_gA-$G1315)*3/3</f>
        <v>0.06</v>
      </c>
    </row>
    <row r="1316" customFormat="false" ht="17.15" hidden="false" customHeight="false" outlineLevel="0" collapsed="false">
      <c r="A1316" s="0" t="s">
        <v>475</v>
      </c>
      <c r="B1316" s="0" t="s">
        <v>76</v>
      </c>
      <c r="C1316" s="21" t="n">
        <f aca="false">C1309/C1311</f>
        <v>0.127431736668482</v>
      </c>
      <c r="D1316" s="21" t="n">
        <f aca="false">D1309/D1311</f>
        <v>0.227966974088588</v>
      </c>
      <c r="E1316" s="21" t="n">
        <f aca="false">E1309/E1311</f>
        <v>0.379730524354479</v>
      </c>
      <c r="F1316" s="21" t="n">
        <f aca="false">F1309/F1311</f>
        <v>0.43094169135637</v>
      </c>
      <c r="G1316" s="21" t="n">
        <f aca="false">G1309/G1311</f>
        <v>0.478055254103629</v>
      </c>
    </row>
    <row r="1317" customFormat="false" ht="15" hidden="false" customHeight="false" outlineLevel="0" collapsed="false">
      <c r="A1317" s="4" t="s">
        <v>568</v>
      </c>
      <c r="B1317" s="0" t="s">
        <v>76</v>
      </c>
      <c r="D1317" s="21" t="n">
        <f aca="false">D1311/C1311-1</f>
        <v>0.438052247012034</v>
      </c>
      <c r="E1317" s="21" t="n">
        <f aca="false">E1311/D1311-1</f>
        <v>0.306907254082344</v>
      </c>
      <c r="F1317" s="21" t="n">
        <f aca="false">F1311/E1311-1</f>
        <v>0.166292326919242</v>
      </c>
      <c r="G1317" s="21" t="n">
        <f aca="false">G1311/F1311-1</f>
        <v>0.166584001536393</v>
      </c>
    </row>
    <row r="1318" customFormat="false" ht="17.15" hidden="false" customHeight="false" outlineLevel="0" collapsed="false">
      <c r="A1318" s="6" t="s">
        <v>569</v>
      </c>
    </row>
    <row r="1319" customFormat="false" ht="17.15" hidden="false" customHeight="false" outlineLevel="0" collapsed="false">
      <c r="A1319" s="4" t="s">
        <v>570</v>
      </c>
      <c r="B1319" s="0" t="s">
        <v>120</v>
      </c>
      <c r="C1319" s="19" t="n">
        <f aca="false">capex25</f>
        <v>5.5</v>
      </c>
      <c r="D1319" s="19" t="n">
        <f aca="false">capex26</f>
        <v>11.5</v>
      </c>
      <c r="E1319" s="19" t="n">
        <f aca="false">capex27</f>
        <v>13</v>
      </c>
      <c r="F1319" s="19" t="n">
        <f aca="false">capi*F1314/F1307</f>
        <v>11.3636500935802</v>
      </c>
      <c r="G1319" s="19" t="n">
        <f aca="false">capi*G1314/G1307</f>
        <v>12.860940767354</v>
      </c>
      <c r="K1319" s="8" t="s">
        <v>571</v>
      </c>
    </row>
    <row r="1320" customFormat="false" ht="15" hidden="false" customHeight="false" outlineLevel="0" collapsed="false">
      <c r="A1320" s="4" t="s">
        <v>572</v>
      </c>
      <c r="B1320" s="0" t="s">
        <v>234</v>
      </c>
      <c r="C1320" s="30" t="n">
        <f aca="false">C1319*C1307</f>
        <v>170.5</v>
      </c>
      <c r="D1320" s="30" t="n">
        <f aca="false">D1319*31.9</f>
        <v>366.85</v>
      </c>
      <c r="E1320" s="30" t="n">
        <f aca="false">E1319*E1307</f>
        <v>416</v>
      </c>
      <c r="F1320" s="30" t="n">
        <f aca="false">F1319*F1307</f>
        <v>363.636802994565</v>
      </c>
      <c r="G1320" s="30" t="n">
        <f aca="false">G1319*G1307</f>
        <v>411.550104555328</v>
      </c>
    </row>
    <row r="1321" customFormat="false" ht="17.15" hidden="false" customHeight="false" outlineLevel="0" collapsed="false">
      <c r="A1321" s="4" t="s">
        <v>473</v>
      </c>
      <c r="B1321" s="0" t="s">
        <v>76</v>
      </c>
      <c r="C1321" s="21" t="n">
        <f aca="false">C1320/C1314</f>
        <v>0.264182166386732</v>
      </c>
      <c r="D1321" s="21" t="n">
        <f aca="false">D1320/D1314</f>
        <v>0.421101639775745</v>
      </c>
      <c r="E1321" s="21" t="n">
        <f aca="false">E1320/E1314</f>
        <v>0.387453540776288</v>
      </c>
      <c r="F1321" s="21" t="n">
        <f aca="false">F1320/F1314</f>
        <v>0.3</v>
      </c>
      <c r="G1321" s="21" t="n">
        <f aca="false">G1320/G1314</f>
        <v>0.3</v>
      </c>
    </row>
    <row r="1322" customFormat="false" ht="17.15" hidden="false" customHeight="false" outlineLevel="0" collapsed="false">
      <c r="A1322" s="4" t="s">
        <v>573</v>
      </c>
      <c r="B1322" s="0" t="s">
        <v>234</v>
      </c>
      <c r="C1322" s="30" t="n">
        <f aca="false">a25_da</f>
        <v>75.255</v>
      </c>
      <c r="D1322" s="30" t="n">
        <f aca="false">a26_da</f>
        <v>97.124</v>
      </c>
      <c r="E1322" s="30" t="n">
        <f aca="false">D1322*(1-1/life)+D1320/life</f>
        <v>130.83975</v>
      </c>
      <c r="F1322" s="30" t="n">
        <f aca="false">E1322*(1-1/life)+E1320/life</f>
        <v>166.48478125</v>
      </c>
      <c r="G1322" s="30" t="n">
        <f aca="false">F1322*(1-1/life)+F1320/life</f>
        <v>191.128783968071</v>
      </c>
      <c r="K1322" s="4" t="s">
        <v>574</v>
      </c>
    </row>
    <row r="1323" customFormat="false" ht="17.15" hidden="false" customHeight="false" outlineLevel="0" collapsed="false">
      <c r="A1323" s="4" t="s">
        <v>575</v>
      </c>
      <c r="B1323" s="0" t="s">
        <v>234</v>
      </c>
      <c r="C1323" s="30" t="n">
        <f aca="false">a25_agp</f>
        <v>91.38</v>
      </c>
      <c r="D1323" s="30" t="n">
        <f aca="false">a26_agp</f>
        <v>164.623388</v>
      </c>
      <c r="E1323" s="30" t="n">
        <f aca="false">$D1323+ft*(E1311-$D1311)-(E1322-$D1322)</f>
        <v>216.800267354481</v>
      </c>
      <c r="F1323" s="30" t="n">
        <f aca="false">$D1323+ft*(F1311-$D1311)-(F1322-$D1322)</f>
        <v>241.977940007536</v>
      </c>
      <c r="G1323" s="30" t="n">
        <f aca="false">$D1323+ft*(G1311-$D1311)-(G1322-$D1322)</f>
        <v>288.395412838633</v>
      </c>
      <c r="K1323" s="4" t="s">
        <v>576</v>
      </c>
    </row>
    <row r="1324" customFormat="false" ht="15" hidden="false" customHeight="false" outlineLevel="0" collapsed="false">
      <c r="A1324" s="4" t="s">
        <v>447</v>
      </c>
      <c r="B1324" s="0" t="s">
        <v>76</v>
      </c>
      <c r="C1324" s="14" t="n">
        <f aca="false">C1323/C1311</f>
        <v>0.234772421305764</v>
      </c>
      <c r="D1324" s="14" t="n">
        <f aca="false">D1323/D1311</f>
        <v>0.294112034690999</v>
      </c>
      <c r="E1324" s="14" t="n">
        <f aca="false">E1323/E1311</f>
        <v>0.296371409207274</v>
      </c>
      <c r="F1324" s="14" t="n">
        <f aca="false">F1323/F1311</f>
        <v>0.283625221813032</v>
      </c>
      <c r="G1324" s="14" t="n">
        <f aca="false">G1323/G1311</f>
        <v>0.289761983200106</v>
      </c>
    </row>
    <row r="1325" customFormat="false" ht="17.15" hidden="false" customHeight="false" outlineLevel="0" collapsed="false">
      <c r="A1325" s="0" t="s">
        <v>449</v>
      </c>
      <c r="B1325" s="0" t="s">
        <v>234</v>
      </c>
      <c r="C1325" s="30" t="n">
        <f aca="false">a25_egp</f>
        <v>23.695</v>
      </c>
      <c r="D1325" s="30" t="n">
        <f aca="false">a26_egp</f>
        <v>27.00552</v>
      </c>
      <c r="E1325" s="30" t="n">
        <f aca="false">E1312*ems_gm</f>
        <v>29.415287</v>
      </c>
      <c r="F1325" s="30" t="n">
        <f aca="false">F1312*ems_gm</f>
        <v>30.88605135</v>
      </c>
      <c r="G1325" s="30" t="n">
        <f aca="false">G1312*ems_gm</f>
        <v>32.4303539175</v>
      </c>
    </row>
    <row r="1326" customFormat="false" ht="15" hidden="false" customHeight="false" outlineLevel="0" collapsed="false">
      <c r="A1326" s="4" t="s">
        <v>577</v>
      </c>
      <c r="B1326" s="0" t="s">
        <v>234</v>
      </c>
      <c r="C1326" s="30" t="n">
        <f aca="false">a25_lgp</f>
        <v>-0.881999999999998</v>
      </c>
      <c r="D1326" s="30" t="n">
        <f aca="false">a26_lgp</f>
        <v>-0.948662139013863</v>
      </c>
      <c r="E1326" s="30" t="n">
        <f aca="false">$D1326/$D1313*E1313</f>
        <v>-1.16918618193908</v>
      </c>
      <c r="F1326" s="30" t="n">
        <f aca="false">$D1326/$D1313*F1313</f>
        <v>-1.31994718343799</v>
      </c>
      <c r="G1326" s="30" t="n">
        <f aca="false">$D1326/$D1313*G1313</f>
        <v>-1.49386529877598</v>
      </c>
    </row>
    <row r="1327" customFormat="false" ht="15" hidden="false" customHeight="false" outlineLevel="0" collapsed="false">
      <c r="A1327" s="4" t="s">
        <v>451</v>
      </c>
      <c r="B1327" s="0" t="s">
        <v>234</v>
      </c>
      <c r="C1327" s="30" t="n">
        <f aca="false">C1323+C1325+C1326</f>
        <v>114.193</v>
      </c>
      <c r="D1327" s="30" t="n">
        <f aca="false">D1323+D1325+D1326</f>
        <v>190.680245860986</v>
      </c>
      <c r="E1327" s="30" t="n">
        <f aca="false">E1323+E1325+E1326</f>
        <v>245.046368172542</v>
      </c>
      <c r="F1327" s="30" t="n">
        <f aca="false">F1323+F1325+F1326</f>
        <v>271.544044174098</v>
      </c>
      <c r="G1327" s="30" t="n">
        <f aca="false">G1323+G1325+G1326</f>
        <v>319.331901457357</v>
      </c>
    </row>
    <row r="1328" customFormat="false" ht="15" hidden="false" customHeight="false" outlineLevel="0" collapsed="false">
      <c r="A1328" s="4" t="s">
        <v>452</v>
      </c>
      <c r="B1328" s="0" t="s">
        <v>76</v>
      </c>
      <c r="C1328" s="14" t="n">
        <f aca="false">C1327/C1314</f>
        <v>0.176936974347214</v>
      </c>
      <c r="D1328" s="14" t="n">
        <f aca="false">D1327/D1314</f>
        <v>0.218879008327391</v>
      </c>
      <c r="E1328" s="14" t="n">
        <f aca="false">E1327/E1314</f>
        <v>0.228230968756781</v>
      </c>
      <c r="F1328" s="14" t="n">
        <f aca="false">F1327/F1314</f>
        <v>0.224023565770505</v>
      </c>
      <c r="G1328" s="14" t="n">
        <f aca="false">G1327/G1314</f>
        <v>0.232777417322532</v>
      </c>
    </row>
    <row r="1329" customFormat="false" ht="15" hidden="false" customHeight="false" outlineLevel="0" collapsed="false">
      <c r="A1329" s="4" t="s">
        <v>578</v>
      </c>
      <c r="B1329" s="0" t="s">
        <v>234</v>
      </c>
      <c r="C1329" s="30" t="n">
        <f aca="false">a25_opx</f>
        <v>63.437</v>
      </c>
      <c r="D1329" s="30" t="n">
        <f aca="false">a26_opx</f>
        <v>79.658</v>
      </c>
      <c r="E1329" s="30" t="n">
        <f aca="false">D1329*(1+phi*E1315)</f>
        <v>90.7682805660172</v>
      </c>
      <c r="F1329" s="30" t="n">
        <f aca="false">E1329*(1+phi*F1315)</f>
        <v>97.7907636027764</v>
      </c>
      <c r="G1329" s="30" t="n">
        <f aca="false">F1329*(1+phi*G1315)</f>
        <v>105.521793533364</v>
      </c>
    </row>
    <row r="1330" customFormat="false" ht="15" hidden="false" customHeight="false" outlineLevel="0" collapsed="false">
      <c r="A1330" s="4" t="s">
        <v>455</v>
      </c>
      <c r="B1330" s="0" t="s">
        <v>234</v>
      </c>
      <c r="C1330" s="30" t="n">
        <f aca="false">C1327-C1329</f>
        <v>50.756</v>
      </c>
      <c r="D1330" s="30" t="n">
        <f aca="false">D1327-D1329</f>
        <v>111.022245860986</v>
      </c>
      <c r="E1330" s="30" t="n">
        <f aca="false">E1327-E1329</f>
        <v>154.278087606524</v>
      </c>
      <c r="F1330" s="30" t="n">
        <f aca="false">F1327-F1329</f>
        <v>173.753280571321</v>
      </c>
      <c r="G1330" s="30" t="n">
        <f aca="false">G1327-G1329</f>
        <v>213.810107923993</v>
      </c>
    </row>
    <row r="1331" customFormat="false" ht="15" hidden="false" customHeight="false" outlineLevel="0" collapsed="false">
      <c r="A1331" s="4" t="s">
        <v>537</v>
      </c>
      <c r="B1331" s="0" t="s">
        <v>76</v>
      </c>
      <c r="C1331" s="14" t="n">
        <f aca="false">C1330/C1314</f>
        <v>0.0786441644406156</v>
      </c>
      <c r="D1331" s="14" t="n">
        <f aca="false">D1330/D1314</f>
        <v>0.127440779020437</v>
      </c>
      <c r="E1331" s="14" t="n">
        <f aca="false">E1330/E1314</f>
        <v>0.143691325258034</v>
      </c>
      <c r="F1331" s="14" t="n">
        <f aca="false">F1330/F1314</f>
        <v>0.143346283275336</v>
      </c>
      <c r="G1331" s="14" t="n">
        <f aca="false">G1330/G1314</f>
        <v>0.155857164576603</v>
      </c>
    </row>
    <row r="1332" customFormat="false" ht="15" hidden="false" customHeight="false" outlineLevel="0" collapsed="false">
      <c r="A1332" s="4" t="s">
        <v>456</v>
      </c>
      <c r="B1332" s="0" t="s">
        <v>234</v>
      </c>
      <c r="C1332" s="30" t="n">
        <f aca="false">a25_nonop</f>
        <v>0.545</v>
      </c>
      <c r="D1332" s="30" t="n">
        <f aca="false">a26_nonop</f>
        <v>4.302</v>
      </c>
      <c r="E1332" s="30" t="n">
        <f aca="false">nonop_f</f>
        <v>-5</v>
      </c>
      <c r="F1332" s="30" t="n">
        <f aca="false">nonop_f</f>
        <v>-5</v>
      </c>
      <c r="G1332" s="30" t="n">
        <f aca="false">nonop_f</f>
        <v>-5</v>
      </c>
    </row>
    <row r="1333" customFormat="false" ht="15" hidden="false" customHeight="false" outlineLevel="0" collapsed="false">
      <c r="A1333" s="4" t="s">
        <v>459</v>
      </c>
      <c r="B1333" s="0" t="s">
        <v>234</v>
      </c>
      <c r="C1333" s="30" t="n">
        <f aca="false">C1330+C1332</f>
        <v>51.301</v>
      </c>
      <c r="D1333" s="30" t="n">
        <f aca="false">D1330+D1332</f>
        <v>115.324245860986</v>
      </c>
      <c r="E1333" s="30" t="n">
        <f aca="false">E1330+E1332</f>
        <v>149.278087606524</v>
      </c>
      <c r="F1333" s="30" t="n">
        <f aca="false">F1330+F1332</f>
        <v>168.753280571321</v>
      </c>
      <c r="G1333" s="30" t="n">
        <f aca="false">G1330+G1332</f>
        <v>208.810107923993</v>
      </c>
    </row>
    <row r="1334" customFormat="false" ht="15" hidden="false" customHeight="false" outlineLevel="0" collapsed="false">
      <c r="A1334" s="4" t="s">
        <v>460</v>
      </c>
      <c r="B1334" s="0" t="s">
        <v>234</v>
      </c>
      <c r="C1334" s="30" t="n">
        <f aca="false">a25_tax</f>
        <v>9.461</v>
      </c>
      <c r="D1334" s="30" t="n">
        <f aca="false">a26_tax</f>
        <v>19.2197317963676</v>
      </c>
      <c r="E1334" s="30" t="n">
        <f aca="false">E1333*tax</f>
        <v>25.3772748931092</v>
      </c>
      <c r="F1334" s="30" t="n">
        <f aca="false">F1333*tax</f>
        <v>28.6880576971246</v>
      </c>
      <c r="G1334" s="30" t="n">
        <f aca="false">G1333*tax</f>
        <v>35.4977183470789</v>
      </c>
    </row>
    <row r="1335" customFormat="false" ht="15" hidden="false" customHeight="false" outlineLevel="0" collapsed="false">
      <c r="A1335" s="4" t="s">
        <v>461</v>
      </c>
      <c r="B1335" s="0" t="s">
        <v>234</v>
      </c>
      <c r="C1335" s="30" t="n">
        <f aca="false">a25_nci</f>
        <v>1.182</v>
      </c>
      <c r="D1335" s="30" t="n">
        <f aca="false">a26_nci</f>
        <v>2.543</v>
      </c>
      <c r="E1335" s="30" t="n">
        <f aca="false">nci</f>
        <v>3</v>
      </c>
      <c r="F1335" s="30" t="n">
        <f aca="false">nci</f>
        <v>3</v>
      </c>
      <c r="G1335" s="30" t="n">
        <f aca="false">nci</f>
        <v>3</v>
      </c>
    </row>
    <row r="1336" customFormat="false" ht="15" hidden="false" customHeight="false" outlineLevel="0" collapsed="false">
      <c r="A1336" s="4" t="s">
        <v>462</v>
      </c>
      <c r="B1336" s="0" t="s">
        <v>234</v>
      </c>
      <c r="C1336" s="30" t="n">
        <f aca="false">C1333-C1334-C1335</f>
        <v>40.658</v>
      </c>
      <c r="D1336" s="30" t="n">
        <f aca="false">D1333-D1334-D1335</f>
        <v>93.5615140646185</v>
      </c>
      <c r="E1336" s="30" t="n">
        <f aca="false">E1333-E1334-E1335</f>
        <v>120.900812713415</v>
      </c>
      <c r="F1336" s="30" t="n">
        <f aca="false">F1333-F1334-F1335</f>
        <v>137.065222874197</v>
      </c>
      <c r="G1336" s="30" t="n">
        <f aca="false">G1333-G1334-G1335</f>
        <v>170.312389576914</v>
      </c>
      <c r="H1336" s="31" t="n">
        <f aca="false">H1314*H1340</f>
        <v>192.55769866309</v>
      </c>
      <c r="I1336" s="31" t="n">
        <f aca="false">I1314*I1340</f>
        <v>212.921390602027</v>
      </c>
      <c r="J1336" s="31" t="n">
        <f aca="false">J1314*J1340</f>
        <v>230.153082278342</v>
      </c>
    </row>
    <row r="1337" customFormat="false" ht="15" hidden="false" customHeight="false" outlineLevel="0" collapsed="false">
      <c r="A1337" s="4" t="s">
        <v>579</v>
      </c>
      <c r="B1337" s="4" t="s">
        <v>580</v>
      </c>
      <c r="C1337" s="18" t="n">
        <f aca="false">a25_sh</f>
        <v>4339.16755602988</v>
      </c>
      <c r="D1337" s="18" t="n">
        <f aca="false">a26_sh</f>
        <v>4392.90105184664</v>
      </c>
      <c r="E1337" s="18" t="n">
        <f aca="false">D1337*(1+sh_g)</f>
        <v>4414.86555710588</v>
      </c>
      <c r="F1337" s="18" t="n">
        <f aca="false">E1337*(1+sh_g)</f>
        <v>4436.9398848914</v>
      </c>
      <c r="G1337" s="18" t="n">
        <f aca="false">F1337*(1+sh_g)</f>
        <v>4459.12458431586</v>
      </c>
      <c r="H1337" s="25" t="n">
        <f aca="false">G1337*(1+sh_g)</f>
        <v>4481.42020723744</v>
      </c>
      <c r="I1337" s="25" t="n">
        <f aca="false">H1337*(1+sh_g)</f>
        <v>4503.82730827363</v>
      </c>
      <c r="J1337" s="25" t="n">
        <f aca="false">I1337*(1+sh_g)</f>
        <v>4526.34644481499</v>
      </c>
    </row>
    <row r="1338" customFormat="false" ht="17.15" hidden="false" customHeight="false" outlineLevel="0" collapsed="false">
      <c r="A1338" s="0" t="s">
        <v>465</v>
      </c>
      <c r="B1338" s="0" t="s">
        <v>304</v>
      </c>
      <c r="C1338" s="19" t="n">
        <f aca="false">a25_eps</f>
        <v>9.37</v>
      </c>
      <c r="D1338" s="19" t="n">
        <f aca="false">a26_eps</f>
        <v>21.2828697294455</v>
      </c>
      <c r="E1338" s="19" t="n">
        <f aca="false">E1336/E1337*1000</f>
        <v>27.38493644927</v>
      </c>
      <c r="F1338" s="19" t="n">
        <f aca="false">F1336/F1337*1000</f>
        <v>30.8918368132345</v>
      </c>
      <c r="G1338" s="19" t="n">
        <f aca="false">G1336/G1337*1000</f>
        <v>38.1941312373187</v>
      </c>
      <c r="H1338" s="28" t="n">
        <f aca="false">H1336/H1337*1000</f>
        <v>42.9680078543208</v>
      </c>
      <c r="I1338" s="28" t="n">
        <f aca="false">I1336/I1337*1000</f>
        <v>47.2756560205775</v>
      </c>
      <c r="J1338" s="28" t="n">
        <f aca="false">J1336/J1337*1000</f>
        <v>50.8474296177629</v>
      </c>
    </row>
    <row r="1339" customFormat="false" ht="17.15" hidden="false" customHeight="false" outlineLevel="0" collapsed="false">
      <c r="A1339" s="0" t="s">
        <v>581</v>
      </c>
      <c r="B1339" s="0" t="s">
        <v>76</v>
      </c>
      <c r="D1339" s="21" t="n">
        <f aca="false">D1338/C1338-1</f>
        <v>1.27138417603474</v>
      </c>
      <c r="E1339" s="21" t="n">
        <f aca="false">E1338/D1338-1</f>
        <v>0.286712590801702</v>
      </c>
      <c r="F1339" s="21" t="n">
        <f aca="false">F1338/E1338-1</f>
        <v>0.128059466943112</v>
      </c>
      <c r="G1339" s="21" t="n">
        <f aca="false">G1338/F1338-1</f>
        <v>0.236382655658593</v>
      </c>
      <c r="H1339" s="26" t="n">
        <f aca="false">H1338/G1338-1</f>
        <v>0.124989794566594</v>
      </c>
      <c r="I1339" s="26" t="n">
        <f aca="false">I1338/H1338-1</f>
        <v>0.100252452495853</v>
      </c>
      <c r="J1339" s="26" t="n">
        <f aca="false">J1338/I1338-1</f>
        <v>0.0755520683971203</v>
      </c>
    </row>
    <row r="1340" customFormat="false" ht="17.15" hidden="false" customHeight="false" outlineLevel="0" collapsed="false">
      <c r="A1340" s="4" t="s">
        <v>582</v>
      </c>
      <c r="B1340" s="0" t="s">
        <v>76</v>
      </c>
      <c r="C1340" s="14" t="n">
        <f aca="false">C1336/C1314</f>
        <v>0.0629977625862272</v>
      </c>
      <c r="D1340" s="14" t="n">
        <f aca="false">D1336/D1314</f>
        <v>0.107397865592237</v>
      </c>
      <c r="E1340" s="14" t="n">
        <f aca="false">E1336/E1314</f>
        <v>0.112604442232076</v>
      </c>
      <c r="F1340" s="14" t="n">
        <f aca="false">F1336/F1314</f>
        <v>0.113078672245596</v>
      </c>
      <c r="G1340" s="14" t="n">
        <f aca="false">G1336/G1314</f>
        <v>0.124149444520929</v>
      </c>
      <c r="H1340" s="27" t="n">
        <f aca="false">$G1340+(fade_mA-$G1340)*1/3</f>
        <v>0.126701574618674</v>
      </c>
      <c r="I1340" s="27" t="n">
        <f aca="false">$G1340+(fade_mA-$G1340)*2/3</f>
        <v>0.129253704716419</v>
      </c>
      <c r="J1340" s="27" t="n">
        <f aca="false">$G1340+(fade_mA-$G1340)*3/3</f>
        <v>0.131805834814164</v>
      </c>
    </row>
    <row r="1341" customFormat="false" ht="17.15" hidden="false" customHeight="false" outlineLevel="0" collapsed="false">
      <c r="A1341" s="4" t="s">
        <v>583</v>
      </c>
      <c r="B1341" s="0" t="s">
        <v>234</v>
      </c>
      <c r="C1341" s="30" t="n">
        <f aca="false">C1336+C1322-C1320</f>
        <v>-54.587</v>
      </c>
      <c r="D1341" s="30" t="n">
        <f aca="false">D1336+D1322-D1320</f>
        <v>-176.164485935382</v>
      </c>
      <c r="E1341" s="30" t="n">
        <f aca="false">E1336+E1322-E1320</f>
        <v>-164.259437286585</v>
      </c>
      <c r="F1341" s="30" t="n">
        <f aca="false">F1336+F1322-F1320</f>
        <v>-60.0867988703687</v>
      </c>
      <c r="G1341" s="30" t="n">
        <f aca="false">G1336+G1322-G1320</f>
        <v>-50.1089310103433</v>
      </c>
      <c r="K1341" s="4" t="s">
        <v>584</v>
      </c>
    </row>
    <row r="1342" customFormat="false" ht="17.15" hidden="false" customHeight="false" outlineLevel="0" collapsed="false">
      <c r="A1342" s="4" t="s">
        <v>585</v>
      </c>
      <c r="B1342" s="0" t="s">
        <v>76</v>
      </c>
      <c r="D1342" s="21" t="n">
        <f aca="false">(D1330-$C1330)/SUM($D1320:D1320)</f>
        <v>0.164280348537512</v>
      </c>
      <c r="E1342" s="21" t="n">
        <f aca="false">(E1330-$C1330)/SUM($D1320:E1320)</f>
        <v>0.132237449839081</v>
      </c>
      <c r="F1342" s="21" t="n">
        <f aca="false">(F1330-$C1330)/SUM($D1320:F1320)</f>
        <v>0.107281898273978</v>
      </c>
      <c r="G1342" s="21" t="n">
        <f aca="false">(G1330-$C1330)/SUM($D1320:G1320)</f>
        <v>0.104653559318056</v>
      </c>
      <c r="K1342" s="4" t="s">
        <v>586</v>
      </c>
    </row>
    <row r="1345" customFormat="false" ht="17.15" hidden="false" customHeight="false" outlineLevel="0" collapsed="false">
      <c r="A1345" s="1" t="s">
        <v>941</v>
      </c>
    </row>
    <row r="1346" customFormat="false" ht="17.15" hidden="false" customHeight="false" outlineLevel="0" collapsed="false">
      <c r="A1346" s="5" t="s">
        <v>21</v>
      </c>
      <c r="B1346" s="5" t="s">
        <v>22</v>
      </c>
      <c r="C1346" s="15" t="s">
        <v>424</v>
      </c>
      <c r="D1346" s="15" t="s">
        <v>524</v>
      </c>
      <c r="E1346" s="15" t="s">
        <v>525</v>
      </c>
      <c r="F1346" s="15" t="s">
        <v>526</v>
      </c>
      <c r="G1346" s="15" t="s">
        <v>527</v>
      </c>
      <c r="H1346" s="15" t="s">
        <v>528</v>
      </c>
      <c r="I1346" s="15" t="s">
        <v>529</v>
      </c>
      <c r="J1346" s="15" t="s">
        <v>530</v>
      </c>
      <c r="K1346" s="5" t="s">
        <v>382</v>
      </c>
    </row>
    <row r="1347" customFormat="false" ht="17.15" hidden="false" customHeight="false" outlineLevel="0" collapsed="false">
      <c r="A1347" s="6" t="s">
        <v>548</v>
      </c>
    </row>
    <row r="1348" customFormat="false" ht="17.15" hidden="false" customHeight="false" outlineLevel="0" collapsed="false">
      <c r="A1348" s="0" t="s">
        <v>549</v>
      </c>
      <c r="B1348" s="4" t="s">
        <v>32</v>
      </c>
      <c r="D1348" s="19" t="n">
        <f aca="false">units_26</f>
        <v>15.2</v>
      </c>
      <c r="E1348" s="19" t="n">
        <f aca="false">units_27*1</f>
        <v>23.7</v>
      </c>
      <c r="F1348" s="19" t="n">
        <f aca="false">units_28*um28_B*1</f>
        <v>21.2</v>
      </c>
      <c r="G1348" s="19" t="n">
        <f aca="false">units_29*um29_B*1</f>
        <v>25.6275</v>
      </c>
    </row>
    <row r="1349" customFormat="false" ht="17.15" hidden="false" customHeight="false" outlineLevel="0" collapsed="false">
      <c r="A1349" s="4" t="s">
        <v>497</v>
      </c>
      <c r="B1349" s="0" t="s">
        <v>45</v>
      </c>
      <c r="D1349" s="22" t="n">
        <f aca="false">ar_26</f>
        <v>1</v>
      </c>
      <c r="E1349" s="22" t="n">
        <f aca="false">ar_27</f>
        <v>1.278156</v>
      </c>
      <c r="F1349" s="22" t="n">
        <f aca="false">ar_28</f>
        <v>1.428615</v>
      </c>
      <c r="G1349" s="22" t="n">
        <f aca="false">ar_29</f>
        <v>1.431796</v>
      </c>
    </row>
    <row r="1350" customFormat="false" ht="17.15" hidden="false" customHeight="false" outlineLevel="0" collapsed="false">
      <c r="A1350" s="4" t="s">
        <v>550</v>
      </c>
      <c r="B1350" s="0" t="s">
        <v>45</v>
      </c>
      <c r="D1350" s="19" t="n">
        <f aca="false">1</f>
        <v>1</v>
      </c>
      <c r="E1350" s="19" t="n">
        <f aca="false">rel27_B</f>
        <v>1.05</v>
      </c>
      <c r="F1350" s="19" t="n">
        <f aca="false">rel28_B</f>
        <v>1.08</v>
      </c>
      <c r="G1350" s="19" t="n">
        <f aca="false">rel29_B</f>
        <v>1.1</v>
      </c>
    </row>
    <row r="1351" customFormat="false" ht="17.15" hidden="false" customHeight="false" outlineLevel="0" collapsed="false">
      <c r="A1351" s="4" t="s">
        <v>551</v>
      </c>
      <c r="B1351" s="0" t="s">
        <v>502</v>
      </c>
      <c r="D1351" s="23" t="n">
        <f aca="false">D1352*1000/D1348</f>
        <v>236.842105263158</v>
      </c>
      <c r="E1351" s="23" t="n">
        <f aca="false">$D1351*E1349^el</f>
        <v>267.763172119488</v>
      </c>
      <c r="F1351" s="23" t="n">
        <f aca="false">$D1351*F1349^el</f>
        <v>283.084777049615</v>
      </c>
      <c r="G1351" s="23" t="n">
        <f aca="false">$D1351*G1349^el</f>
        <v>283.399764630809</v>
      </c>
      <c r="K1351" s="8" t="s">
        <v>552</v>
      </c>
    </row>
    <row r="1352" customFormat="false" ht="17.15" hidden="false" customHeight="false" outlineLevel="0" collapsed="false">
      <c r="A1352" s="0" t="s">
        <v>553</v>
      </c>
      <c r="B1352" s="0" t="s">
        <v>120</v>
      </c>
      <c r="D1352" s="22" t="n">
        <f aca="false">leap26-D1353-D1354</f>
        <v>3.6</v>
      </c>
      <c r="E1352" s="22" t="n">
        <f aca="false">E1348*E1350*E1351/1000</f>
        <v>6.66328653819345</v>
      </c>
      <c r="F1352" s="22" t="n">
        <f aca="false">F1348*F1350*F1351/1000</f>
        <v>6.48150905532798</v>
      </c>
      <c r="G1352" s="22" t="n">
        <f aca="false">G1348*G1350*G1351/1000</f>
        <v>7.98911021488366</v>
      </c>
      <c r="K1352" s="8" t="s">
        <v>554</v>
      </c>
    </row>
    <row r="1353" customFormat="false" ht="17.15" hidden="false" customHeight="false" outlineLevel="0" collapsed="false">
      <c r="A1353" s="4" t="s">
        <v>555</v>
      </c>
      <c r="B1353" s="0" t="s">
        <v>120</v>
      </c>
      <c r="D1353" s="22" t="n">
        <f aca="false">fp26</f>
        <v>0.3</v>
      </c>
      <c r="E1353" s="22" t="n">
        <f aca="false">fp27_B</f>
        <v>1</v>
      </c>
      <c r="F1353" s="22" t="n">
        <f aca="false">E1353*F1348/E1348*(1+fp_g)</f>
        <v>1.16286919831224</v>
      </c>
      <c r="G1353" s="22" t="n">
        <f aca="false">F1353*G1348/F1348*(1+fp_g)</f>
        <v>1.82744620253165</v>
      </c>
    </row>
    <row r="1354" customFormat="false" ht="17.15" hidden="false" customHeight="false" outlineLevel="0" collapsed="false">
      <c r="A1354" s="0" t="s">
        <v>556</v>
      </c>
      <c r="B1354" s="0" t="s">
        <v>120</v>
      </c>
      <c r="D1354" s="22" t="n">
        <f aca="false">cpo27*cpo_B_26/cpo_A_27</f>
        <v>0.1</v>
      </c>
      <c r="E1354" s="22" t="n">
        <f aca="false">cpo27*cpo_B_27/cpo_A_27</f>
        <v>0.3</v>
      </c>
      <c r="F1354" s="22" t="n">
        <f aca="false">cpo27*cpo_B_28/cpo_A_27*F1348/E1348</f>
        <v>0.447257383966245</v>
      </c>
      <c r="G1354" s="22" t="n">
        <f aca="false">cpo27*cpo_B_29/cpo_A_27*G1348/E1348</f>
        <v>0.86506329113924</v>
      </c>
      <c r="K1354" s="8" t="s">
        <v>557</v>
      </c>
    </row>
    <row r="1355" customFormat="false" ht="17.15" hidden="false" customHeight="false" outlineLevel="0" collapsed="false">
      <c r="A1355" s="0" t="s">
        <v>510</v>
      </c>
      <c r="B1355" s="0" t="s">
        <v>120</v>
      </c>
      <c r="C1355" s="22" t="n">
        <f aca="false">leap25</f>
        <v>1.6</v>
      </c>
      <c r="D1355" s="22" t="n">
        <f aca="false">D1352+D1353+D1354</f>
        <v>4</v>
      </c>
      <c r="E1355" s="22" t="n">
        <f aca="false">E1352+E1353+E1354</f>
        <v>7.96328653819345</v>
      </c>
      <c r="F1355" s="22" t="n">
        <f aca="false">F1352+F1353+F1354</f>
        <v>8.09163563760646</v>
      </c>
      <c r="G1355" s="22" t="n">
        <f aca="false">G1352+G1353+G1354</f>
        <v>10.6816197085545</v>
      </c>
    </row>
    <row r="1356" customFormat="false" ht="17.15" hidden="false" customHeight="false" outlineLevel="0" collapsed="false">
      <c r="A1356" s="4" t="s">
        <v>558</v>
      </c>
      <c r="B1356" s="0" t="s">
        <v>114</v>
      </c>
      <c r="C1356" s="19" t="n">
        <f aca="false">fx25</f>
        <v>31</v>
      </c>
      <c r="D1356" s="19" t="n">
        <f aca="false">a26_leap/D1355</f>
        <v>31.9</v>
      </c>
      <c r="E1356" s="19" t="n">
        <f aca="false">fx</f>
        <v>32</v>
      </c>
      <c r="F1356" s="19" t="n">
        <f aca="false">fx</f>
        <v>32</v>
      </c>
      <c r="G1356" s="19" t="n">
        <f aca="false">fx</f>
        <v>32</v>
      </c>
      <c r="K1356" s="8" t="s">
        <v>559</v>
      </c>
    </row>
    <row r="1357" customFormat="false" ht="17.15" hidden="false" customHeight="false" outlineLevel="0" collapsed="false">
      <c r="A1357" s="6" t="s">
        <v>560</v>
      </c>
    </row>
    <row r="1358" customFormat="false" ht="17.15" hidden="false" customHeight="false" outlineLevel="0" collapsed="false">
      <c r="A1358" s="0" t="s">
        <v>438</v>
      </c>
      <c r="B1358" s="0" t="s">
        <v>234</v>
      </c>
      <c r="C1358" s="30" t="n">
        <f aca="false">a25_leap</f>
        <v>49.6</v>
      </c>
      <c r="D1358" s="30" t="n">
        <f aca="false">a26_leap</f>
        <v>127.6</v>
      </c>
      <c r="E1358" s="30" t="n">
        <f aca="false">E1355*E1356</f>
        <v>254.82516922219</v>
      </c>
      <c r="F1358" s="30" t="n">
        <f aca="false">F1355*F1356</f>
        <v>258.932340403407</v>
      </c>
      <c r="G1358" s="30" t="n">
        <f aca="false">G1355*G1356</f>
        <v>341.811830673745</v>
      </c>
    </row>
    <row r="1359" customFormat="false" ht="15" hidden="false" customHeight="false" outlineLevel="0" collapsed="false">
      <c r="A1359" s="4" t="s">
        <v>561</v>
      </c>
      <c r="B1359" s="0" t="s">
        <v>234</v>
      </c>
      <c r="C1359" s="30" t="n">
        <f aca="false">a25_ms</f>
        <v>339.628</v>
      </c>
      <c r="D1359" s="30" t="n">
        <f aca="false">a26_ms</f>
        <v>432.1302</v>
      </c>
      <c r="E1359" s="30" t="n">
        <f aca="false">D1359*(1+g_ms27_lo)</f>
        <v>453.73671</v>
      </c>
      <c r="F1359" s="30" t="n">
        <f aca="false">E1359*(1+g_msL)</f>
        <v>485.4982797</v>
      </c>
      <c r="G1359" s="30" t="n">
        <f aca="false">F1359*(1+g_msL)</f>
        <v>519.483159279</v>
      </c>
    </row>
    <row r="1360" customFormat="false" ht="17.15" hidden="false" customHeight="false" outlineLevel="0" collapsed="false">
      <c r="A1360" s="4" t="s">
        <v>562</v>
      </c>
      <c r="B1360" s="0" t="s">
        <v>234</v>
      </c>
      <c r="C1360" s="30" t="n">
        <f aca="false">C1358+C1359</f>
        <v>389.228</v>
      </c>
      <c r="D1360" s="30" t="n">
        <f aca="false">D1358+D1359</f>
        <v>559.7302</v>
      </c>
      <c r="E1360" s="30" t="n">
        <f aca="false">E1358+E1359</f>
        <v>708.56187922219</v>
      </c>
      <c r="F1360" s="30" t="n">
        <f aca="false">F1358+F1359</f>
        <v>744.430620103407</v>
      </c>
      <c r="G1360" s="30" t="n">
        <f aca="false">G1358+G1359</f>
        <v>861.294989952746</v>
      </c>
    </row>
    <row r="1361" customFormat="false" ht="17.15" hidden="false" customHeight="false" outlineLevel="0" collapsed="false">
      <c r="A1361" s="0" t="s">
        <v>563</v>
      </c>
      <c r="B1361" s="0" t="s">
        <v>234</v>
      </c>
      <c r="C1361" s="30" t="n">
        <f aca="false">a25_ems</f>
        <v>259.079</v>
      </c>
      <c r="D1361" s="30" t="n">
        <f aca="false">a26_ems</f>
        <v>314.602</v>
      </c>
      <c r="E1361" s="30" t="n">
        <f aca="false">D1361*(1+g_ems27)</f>
        <v>346.0622</v>
      </c>
      <c r="F1361" s="30" t="n">
        <f aca="false">E1361*(1+g_emsL)</f>
        <v>363.36531</v>
      </c>
      <c r="G1361" s="30" t="n">
        <f aca="false">F1361*(1+g_emsL)</f>
        <v>381.5335755</v>
      </c>
    </row>
    <row r="1362" customFormat="false" ht="17.15" hidden="false" customHeight="false" outlineLevel="0" collapsed="false">
      <c r="A1362" s="4" t="s">
        <v>564</v>
      </c>
      <c r="B1362" s="0" t="s">
        <v>234</v>
      </c>
      <c r="C1362" s="30" t="n">
        <f aca="false">a25_elim</f>
        <v>-2.91899999999998</v>
      </c>
      <c r="D1362" s="30" t="n">
        <f aca="false">a26_elim</f>
        <v>-3.16484905982349</v>
      </c>
      <c r="E1362" s="30" t="n">
        <f aca="false">$D1362/($D1360+$D1361)*(E1360+E1361)</f>
        <v>-3.81745751282357</v>
      </c>
      <c r="F1362" s="30" t="n">
        <f aca="false">$D1362/($D1360+$D1361)*(F1360+F1361)</f>
        <v>-4.00992541263384</v>
      </c>
      <c r="G1362" s="30" t="n">
        <f aca="false">$D1362/($D1360+$D1361)*(G1360+G1361)</f>
        <v>-4.49870749000768</v>
      </c>
      <c r="K1362" s="4" t="s">
        <v>565</v>
      </c>
    </row>
    <row r="1363" customFormat="false" ht="17.15" hidden="false" customHeight="false" outlineLevel="0" collapsed="false">
      <c r="A1363" s="4" t="s">
        <v>431</v>
      </c>
      <c r="B1363" s="0" t="s">
        <v>234</v>
      </c>
      <c r="C1363" s="30" t="n">
        <f aca="false">C1360+C1361+C1362</f>
        <v>645.388</v>
      </c>
      <c r="D1363" s="30" t="n">
        <f aca="false">D1360+D1361+D1362</f>
        <v>871.167350940177</v>
      </c>
      <c r="E1363" s="30" t="n">
        <f aca="false">E1360+E1361+E1362</f>
        <v>1050.80662170937</v>
      </c>
      <c r="F1363" s="30" t="n">
        <f aca="false">F1360+F1361+F1362</f>
        <v>1103.78600469077</v>
      </c>
      <c r="G1363" s="30" t="n">
        <f aca="false">G1360+G1361+G1362</f>
        <v>1238.32985796274</v>
      </c>
      <c r="H1363" s="31" t="n">
        <f aca="false">G1363*(1+H1364)</f>
        <v>1355.47013286869</v>
      </c>
      <c r="I1363" s="31" t="n">
        <f aca="false">H1363*(1+I1364)</f>
        <v>1446.69013698256</v>
      </c>
      <c r="J1363" s="31" t="n">
        <f aca="false">I1363*(1+J1364)</f>
        <v>1504.55774246186</v>
      </c>
      <c r="K1363" s="8" t="s">
        <v>566</v>
      </c>
    </row>
    <row r="1364" customFormat="false" ht="15" hidden="false" customHeight="false" outlineLevel="0" collapsed="false">
      <c r="A1364" s="4" t="s">
        <v>567</v>
      </c>
      <c r="B1364" s="0" t="s">
        <v>76</v>
      </c>
      <c r="D1364" s="21" t="n">
        <f aca="false">D1363/C1363-1</f>
        <v>0.349835061916516</v>
      </c>
      <c r="E1364" s="21" t="n">
        <f aca="false">E1363/D1363-1</f>
        <v>0.206205237805711</v>
      </c>
      <c r="F1364" s="21" t="n">
        <f aca="false">F1363/E1363-1</f>
        <v>0.0504178236859825</v>
      </c>
      <c r="G1364" s="21" t="n">
        <f aca="false">G1363/F1363-1</f>
        <v>0.121893059614991</v>
      </c>
      <c r="H1364" s="26" t="n">
        <f aca="false">$G1364+(fade_gB-$G1364)*1/3</f>
        <v>0.0945953730766608</v>
      </c>
      <c r="I1364" s="26" t="n">
        <f aca="false">$G1364+(fade_gB-$G1364)*2/3</f>
        <v>0.0672976865383304</v>
      </c>
      <c r="J1364" s="26" t="n">
        <f aca="false">$G1364+(fade_gB-$G1364)*3/3</f>
        <v>0.04</v>
      </c>
    </row>
    <row r="1365" customFormat="false" ht="17.15" hidden="false" customHeight="false" outlineLevel="0" collapsed="false">
      <c r="A1365" s="0" t="s">
        <v>475</v>
      </c>
      <c r="B1365" s="0" t="s">
        <v>76</v>
      </c>
      <c r="C1365" s="21" t="n">
        <f aca="false">C1358/C1360</f>
        <v>0.127431736668482</v>
      </c>
      <c r="D1365" s="21" t="n">
        <f aca="false">D1358/D1360</f>
        <v>0.227966974088588</v>
      </c>
      <c r="E1365" s="21" t="n">
        <f aca="false">E1358/E1360</f>
        <v>0.359637142068551</v>
      </c>
      <c r="F1365" s="21" t="n">
        <f aca="false">F1358/F1360</f>
        <v>0.347826020868727</v>
      </c>
      <c r="G1365" s="21" t="n">
        <f aca="false">G1358/G1360</f>
        <v>0.396858027343801</v>
      </c>
    </row>
    <row r="1366" customFormat="false" ht="15" hidden="false" customHeight="false" outlineLevel="0" collapsed="false">
      <c r="A1366" s="4" t="s">
        <v>568</v>
      </c>
      <c r="B1366" s="0" t="s">
        <v>76</v>
      </c>
      <c r="D1366" s="21" t="n">
        <f aca="false">D1360/C1360-1</f>
        <v>0.438052247012034</v>
      </c>
      <c r="E1366" s="21" t="n">
        <f aca="false">E1360/D1360-1</f>
        <v>0.265898962075283</v>
      </c>
      <c r="F1366" s="21" t="n">
        <f aca="false">F1360/E1360-1</f>
        <v>0.0506218891151615</v>
      </c>
      <c r="G1366" s="21" t="n">
        <f aca="false">G1360/F1360-1</f>
        <v>0.15698490456116</v>
      </c>
    </row>
    <row r="1367" customFormat="false" ht="17.15" hidden="false" customHeight="false" outlineLevel="0" collapsed="false">
      <c r="A1367" s="6" t="s">
        <v>569</v>
      </c>
    </row>
    <row r="1368" customFormat="false" ht="17.15" hidden="false" customHeight="false" outlineLevel="0" collapsed="false">
      <c r="A1368" s="4" t="s">
        <v>570</v>
      </c>
      <c r="B1368" s="0" t="s">
        <v>120</v>
      </c>
      <c r="C1368" s="19" t="n">
        <f aca="false">capex25</f>
        <v>5.5</v>
      </c>
      <c r="D1368" s="19" t="n">
        <f aca="false">capex26</f>
        <v>11.5</v>
      </c>
      <c r="E1368" s="19" t="n">
        <f aca="false">capex27</f>
        <v>13</v>
      </c>
      <c r="F1368" s="19" t="n">
        <f aca="false">capi*F1363/F1356</f>
        <v>10.347993793976</v>
      </c>
      <c r="G1368" s="19" t="n">
        <f aca="false">capi*G1363/G1356</f>
        <v>11.6093424184007</v>
      </c>
      <c r="K1368" s="8" t="s">
        <v>571</v>
      </c>
    </row>
    <row r="1369" customFormat="false" ht="15" hidden="false" customHeight="false" outlineLevel="0" collapsed="false">
      <c r="A1369" s="4" t="s">
        <v>572</v>
      </c>
      <c r="B1369" s="0" t="s">
        <v>234</v>
      </c>
      <c r="C1369" s="30" t="n">
        <f aca="false">C1368*C1356</f>
        <v>170.5</v>
      </c>
      <c r="D1369" s="30" t="n">
        <f aca="false">D1368*31.9</f>
        <v>366.85</v>
      </c>
      <c r="E1369" s="30" t="n">
        <f aca="false">E1368*E1356</f>
        <v>416</v>
      </c>
      <c r="F1369" s="30" t="n">
        <f aca="false">F1368*F1356</f>
        <v>331.135801407232</v>
      </c>
      <c r="G1369" s="30" t="n">
        <f aca="false">G1368*G1356</f>
        <v>371.498957388821</v>
      </c>
    </row>
    <row r="1370" customFormat="false" ht="17.15" hidden="false" customHeight="false" outlineLevel="0" collapsed="false">
      <c r="A1370" s="4" t="s">
        <v>473</v>
      </c>
      <c r="B1370" s="0" t="s">
        <v>76</v>
      </c>
      <c r="C1370" s="21" t="n">
        <f aca="false">C1369/C1363</f>
        <v>0.264182166386732</v>
      </c>
      <c r="D1370" s="21" t="n">
        <f aca="false">D1369/D1363</f>
        <v>0.421101639775745</v>
      </c>
      <c r="E1370" s="21" t="n">
        <f aca="false">E1369/E1363</f>
        <v>0.395886351880125</v>
      </c>
      <c r="F1370" s="21" t="n">
        <f aca="false">F1369/F1363</f>
        <v>0.3</v>
      </c>
      <c r="G1370" s="21" t="n">
        <f aca="false">G1369/G1363</f>
        <v>0.3</v>
      </c>
    </row>
    <row r="1371" customFormat="false" ht="17.15" hidden="false" customHeight="false" outlineLevel="0" collapsed="false">
      <c r="A1371" s="4" t="s">
        <v>573</v>
      </c>
      <c r="B1371" s="0" t="s">
        <v>234</v>
      </c>
      <c r="C1371" s="30" t="n">
        <f aca="false">a25_da</f>
        <v>75.255</v>
      </c>
      <c r="D1371" s="30" t="n">
        <f aca="false">a26_da</f>
        <v>97.124</v>
      </c>
      <c r="E1371" s="30" t="n">
        <f aca="false">D1371*(1-1/life)+D1369/life</f>
        <v>130.83975</v>
      </c>
      <c r="F1371" s="30" t="n">
        <f aca="false">E1371*(1-1/life)+E1369/life</f>
        <v>166.48478125</v>
      </c>
      <c r="G1371" s="30" t="n">
        <f aca="false">F1371*(1-1/life)+F1369/life</f>
        <v>187.066158769654</v>
      </c>
      <c r="K1371" s="4" t="s">
        <v>574</v>
      </c>
    </row>
    <row r="1372" customFormat="false" ht="17.15" hidden="false" customHeight="false" outlineLevel="0" collapsed="false">
      <c r="A1372" s="4" t="s">
        <v>575</v>
      </c>
      <c r="B1372" s="0" t="s">
        <v>234</v>
      </c>
      <c r="C1372" s="30" t="n">
        <f aca="false">a25_agp</f>
        <v>91.38</v>
      </c>
      <c r="D1372" s="30" t="n">
        <f aca="false">a26_agp</f>
        <v>164.623388</v>
      </c>
      <c r="E1372" s="30" t="n">
        <f aca="false">$D1372+ft*(E1360-$D1360)-(E1371-$D1371)</f>
        <v>205.323477611095</v>
      </c>
      <c r="F1372" s="30" t="n">
        <f aca="false">$D1372+ft*(F1360-$D1360)-(F1371-$D1371)</f>
        <v>187.612816801703</v>
      </c>
      <c r="G1372" s="30" t="n">
        <f aca="false">$D1372+ft*(G1360-$D1360)-(G1371-$D1371)</f>
        <v>225.463624206719</v>
      </c>
      <c r="K1372" s="4" t="s">
        <v>576</v>
      </c>
    </row>
    <row r="1373" customFormat="false" ht="15" hidden="false" customHeight="false" outlineLevel="0" collapsed="false">
      <c r="A1373" s="4" t="s">
        <v>447</v>
      </c>
      <c r="B1373" s="0" t="s">
        <v>76</v>
      </c>
      <c r="C1373" s="14" t="n">
        <f aca="false">C1372/C1360</f>
        <v>0.234772421305764</v>
      </c>
      <c r="D1373" s="14" t="n">
        <f aca="false">D1372/D1360</f>
        <v>0.294112034690999</v>
      </c>
      <c r="E1373" s="14" t="n">
        <f aca="false">E1372/E1360</f>
        <v>0.289774942220269</v>
      </c>
      <c r="F1373" s="14" t="n">
        <f aca="false">F1372/F1360</f>
        <v>0.252021896648532</v>
      </c>
      <c r="G1373" s="14" t="n">
        <f aca="false">G1372/G1360</f>
        <v>0.261772826774586</v>
      </c>
    </row>
    <row r="1374" customFormat="false" ht="17.15" hidden="false" customHeight="false" outlineLevel="0" collapsed="false">
      <c r="A1374" s="0" t="s">
        <v>449</v>
      </c>
      <c r="B1374" s="0" t="s">
        <v>234</v>
      </c>
      <c r="C1374" s="30" t="n">
        <f aca="false">a25_egp</f>
        <v>23.695</v>
      </c>
      <c r="D1374" s="30" t="n">
        <f aca="false">a26_egp</f>
        <v>27.00552</v>
      </c>
      <c r="E1374" s="30" t="n">
        <f aca="false">E1361*ems_gm</f>
        <v>29.415287</v>
      </c>
      <c r="F1374" s="30" t="n">
        <f aca="false">F1361*ems_gm</f>
        <v>30.88605135</v>
      </c>
      <c r="G1374" s="30" t="n">
        <f aca="false">G1361*ems_gm</f>
        <v>32.4303539175</v>
      </c>
    </row>
    <row r="1375" customFormat="false" ht="15" hidden="false" customHeight="false" outlineLevel="0" collapsed="false">
      <c r="A1375" s="4" t="s">
        <v>577</v>
      </c>
      <c r="B1375" s="0" t="s">
        <v>234</v>
      </c>
      <c r="C1375" s="30" t="n">
        <f aca="false">a25_lgp</f>
        <v>-0.881999999999998</v>
      </c>
      <c r="D1375" s="30" t="n">
        <f aca="false">a26_lgp</f>
        <v>-0.948662139013863</v>
      </c>
      <c r="E1375" s="30" t="n">
        <f aca="false">$D1375/$D1362*E1362</f>
        <v>-1.14428124098649</v>
      </c>
      <c r="F1375" s="30" t="n">
        <f aca="false">$D1375/$D1362*F1362</f>
        <v>-1.20197341084173</v>
      </c>
      <c r="G1375" s="30" t="n">
        <f aca="false">$D1375/$D1362*G1362</f>
        <v>-1.34848562746509</v>
      </c>
    </row>
    <row r="1376" customFormat="false" ht="15" hidden="false" customHeight="false" outlineLevel="0" collapsed="false">
      <c r="A1376" s="4" t="s">
        <v>451</v>
      </c>
      <c r="B1376" s="0" t="s">
        <v>234</v>
      </c>
      <c r="C1376" s="30" t="n">
        <f aca="false">C1372+C1374+C1375</f>
        <v>114.193</v>
      </c>
      <c r="D1376" s="30" t="n">
        <f aca="false">D1372+D1374+D1375</f>
        <v>190.680245860986</v>
      </c>
      <c r="E1376" s="30" t="n">
        <f aca="false">E1372+E1374+E1375</f>
        <v>233.594483370109</v>
      </c>
      <c r="F1376" s="30" t="n">
        <f aca="false">F1372+F1374+F1375</f>
        <v>217.296894740862</v>
      </c>
      <c r="G1376" s="30" t="n">
        <f aca="false">G1372+G1374+G1375</f>
        <v>256.545492496754</v>
      </c>
    </row>
    <row r="1377" customFormat="false" ht="15" hidden="false" customHeight="false" outlineLevel="0" collapsed="false">
      <c r="A1377" s="4" t="s">
        <v>452</v>
      </c>
      <c r="B1377" s="0" t="s">
        <v>76</v>
      </c>
      <c r="C1377" s="14" t="n">
        <f aca="false">C1376/C1363</f>
        <v>0.176936974347214</v>
      </c>
      <c r="D1377" s="14" t="n">
        <f aca="false">D1376/D1363</f>
        <v>0.218879008327391</v>
      </c>
      <c r="E1377" s="14" t="n">
        <f aca="false">E1376/E1363</f>
        <v>0.222300163078642</v>
      </c>
      <c r="F1377" s="14" t="n">
        <f aca="false">F1376/F1363</f>
        <v>0.196865057010519</v>
      </c>
      <c r="G1377" s="14" t="n">
        <f aca="false">G1376/G1363</f>
        <v>0.207170561904091</v>
      </c>
    </row>
    <row r="1378" customFormat="false" ht="15" hidden="false" customHeight="false" outlineLevel="0" collapsed="false">
      <c r="A1378" s="4" t="s">
        <v>578</v>
      </c>
      <c r="B1378" s="0" t="s">
        <v>234</v>
      </c>
      <c r="C1378" s="30" t="n">
        <f aca="false">a25_opx</f>
        <v>63.437</v>
      </c>
      <c r="D1378" s="30" t="n">
        <f aca="false">a26_opx</f>
        <v>79.658</v>
      </c>
      <c r="E1378" s="30" t="n">
        <f aca="false">D1378*(1+phi*E1364)</f>
        <v>89.5135380998764</v>
      </c>
      <c r="F1378" s="30" t="n">
        <f aca="false">E1378*(1+phi*F1364)</f>
        <v>92.2213847687332</v>
      </c>
      <c r="G1378" s="30" t="n">
        <f aca="false">F1378*(1+phi*G1364)</f>
        <v>98.9660728195685</v>
      </c>
    </row>
    <row r="1379" customFormat="false" ht="15" hidden="false" customHeight="false" outlineLevel="0" collapsed="false">
      <c r="A1379" s="4" t="s">
        <v>455</v>
      </c>
      <c r="B1379" s="0" t="s">
        <v>234</v>
      </c>
      <c r="C1379" s="30" t="n">
        <f aca="false">C1376-C1378</f>
        <v>50.756</v>
      </c>
      <c r="D1379" s="30" t="n">
        <f aca="false">D1376-D1378</f>
        <v>111.022245860986</v>
      </c>
      <c r="E1379" s="30" t="n">
        <f aca="false">E1376-E1378</f>
        <v>144.080945270232</v>
      </c>
      <c r="F1379" s="30" t="n">
        <f aca="false">F1376-F1378</f>
        <v>125.075509972128</v>
      </c>
      <c r="G1379" s="30" t="n">
        <f aca="false">G1376-G1378</f>
        <v>157.579419677185</v>
      </c>
    </row>
    <row r="1380" customFormat="false" ht="15" hidden="false" customHeight="false" outlineLevel="0" collapsed="false">
      <c r="A1380" s="4" t="s">
        <v>537</v>
      </c>
      <c r="B1380" s="0" t="s">
        <v>76</v>
      </c>
      <c r="C1380" s="14" t="n">
        <f aca="false">C1379/C1363</f>
        <v>0.0786441644406156</v>
      </c>
      <c r="D1380" s="14" t="n">
        <f aca="false">D1379/D1363</f>
        <v>0.127440779020437</v>
      </c>
      <c r="E1380" s="14" t="n">
        <f aca="false">E1379/E1363</f>
        <v>0.137114614900174</v>
      </c>
      <c r="F1380" s="14" t="n">
        <f aca="false">F1379/F1363</f>
        <v>0.113314998958669</v>
      </c>
      <c r="G1380" s="14" t="n">
        <f aca="false">G1379/G1363</f>
        <v>0.127251570866934</v>
      </c>
    </row>
    <row r="1381" customFormat="false" ht="15" hidden="false" customHeight="false" outlineLevel="0" collapsed="false">
      <c r="A1381" s="4" t="s">
        <v>456</v>
      </c>
      <c r="B1381" s="0" t="s">
        <v>234</v>
      </c>
      <c r="C1381" s="30" t="n">
        <f aca="false">a25_nonop</f>
        <v>0.545</v>
      </c>
      <c r="D1381" s="30" t="n">
        <f aca="false">a26_nonop</f>
        <v>4.302</v>
      </c>
      <c r="E1381" s="30" t="n">
        <f aca="false">nonop_f</f>
        <v>-5</v>
      </c>
      <c r="F1381" s="30" t="n">
        <f aca="false">nonop_f</f>
        <v>-5</v>
      </c>
      <c r="G1381" s="30" t="n">
        <f aca="false">nonop_f</f>
        <v>-5</v>
      </c>
    </row>
    <row r="1382" customFormat="false" ht="15" hidden="false" customHeight="false" outlineLevel="0" collapsed="false">
      <c r="A1382" s="4" t="s">
        <v>459</v>
      </c>
      <c r="B1382" s="0" t="s">
        <v>234</v>
      </c>
      <c r="C1382" s="30" t="n">
        <f aca="false">C1379+C1381</f>
        <v>51.301</v>
      </c>
      <c r="D1382" s="30" t="n">
        <f aca="false">D1379+D1381</f>
        <v>115.324245860986</v>
      </c>
      <c r="E1382" s="30" t="n">
        <f aca="false">E1379+E1381</f>
        <v>139.080945270232</v>
      </c>
      <c r="F1382" s="30" t="n">
        <f aca="false">F1379+F1381</f>
        <v>120.075509972128</v>
      </c>
      <c r="G1382" s="30" t="n">
        <f aca="false">G1379+G1381</f>
        <v>152.579419677185</v>
      </c>
    </row>
    <row r="1383" customFormat="false" ht="15" hidden="false" customHeight="false" outlineLevel="0" collapsed="false">
      <c r="A1383" s="4" t="s">
        <v>460</v>
      </c>
      <c r="B1383" s="0" t="s">
        <v>234</v>
      </c>
      <c r="C1383" s="30" t="n">
        <f aca="false">a25_tax</f>
        <v>9.461</v>
      </c>
      <c r="D1383" s="30" t="n">
        <f aca="false">a26_tax</f>
        <v>19.2197317963676</v>
      </c>
      <c r="E1383" s="30" t="n">
        <f aca="false">E1382*tax</f>
        <v>23.6437606959395</v>
      </c>
      <c r="F1383" s="30" t="n">
        <f aca="false">F1382*tax</f>
        <v>20.4128366952618</v>
      </c>
      <c r="G1383" s="30" t="n">
        <f aca="false">G1382*tax</f>
        <v>25.9385013451215</v>
      </c>
    </row>
    <row r="1384" customFormat="false" ht="15" hidden="false" customHeight="false" outlineLevel="0" collapsed="false">
      <c r="A1384" s="4" t="s">
        <v>461</v>
      </c>
      <c r="B1384" s="0" t="s">
        <v>234</v>
      </c>
      <c r="C1384" s="30" t="n">
        <f aca="false">a25_nci</f>
        <v>1.182</v>
      </c>
      <c r="D1384" s="30" t="n">
        <f aca="false">a26_nci</f>
        <v>2.543</v>
      </c>
      <c r="E1384" s="30" t="n">
        <f aca="false">nci</f>
        <v>3</v>
      </c>
      <c r="F1384" s="30" t="n">
        <f aca="false">nci</f>
        <v>3</v>
      </c>
      <c r="G1384" s="30" t="n">
        <f aca="false">nci</f>
        <v>3</v>
      </c>
    </row>
    <row r="1385" customFormat="false" ht="15" hidden="false" customHeight="false" outlineLevel="0" collapsed="false">
      <c r="A1385" s="4" t="s">
        <v>462</v>
      </c>
      <c r="B1385" s="0" t="s">
        <v>234</v>
      </c>
      <c r="C1385" s="30" t="n">
        <f aca="false">C1382-C1383-C1384</f>
        <v>40.658</v>
      </c>
      <c r="D1385" s="30" t="n">
        <f aca="false">D1382-D1383-D1384</f>
        <v>93.5615140646185</v>
      </c>
      <c r="E1385" s="30" t="n">
        <f aca="false">E1382-E1383-E1384</f>
        <v>112.437184574293</v>
      </c>
      <c r="F1385" s="30" t="n">
        <f aca="false">F1382-F1383-F1384</f>
        <v>96.6626732768666</v>
      </c>
      <c r="G1385" s="30" t="n">
        <f aca="false">G1382-G1383-G1384</f>
        <v>123.640918332064</v>
      </c>
      <c r="H1385" s="31" t="n">
        <f aca="false">H1363*H1389</f>
        <v>134.622838401534</v>
      </c>
      <c r="I1385" s="31" t="n">
        <f aca="false">I1363*I1389</f>
        <v>142.920658828785</v>
      </c>
      <c r="J1385" s="31" t="n">
        <f aca="false">J1363*J1389</f>
        <v>147.845020623444</v>
      </c>
    </row>
    <row r="1386" customFormat="false" ht="15" hidden="false" customHeight="false" outlineLevel="0" collapsed="false">
      <c r="A1386" s="4" t="s">
        <v>579</v>
      </c>
      <c r="B1386" s="4" t="s">
        <v>580</v>
      </c>
      <c r="C1386" s="18" t="n">
        <f aca="false">a25_sh</f>
        <v>4339.16755602988</v>
      </c>
      <c r="D1386" s="18" t="n">
        <f aca="false">a26_sh</f>
        <v>4392.90105184664</v>
      </c>
      <c r="E1386" s="18" t="n">
        <f aca="false">D1386*(1+sh_g)</f>
        <v>4414.86555710588</v>
      </c>
      <c r="F1386" s="18" t="n">
        <f aca="false">E1386*(1+sh_g)</f>
        <v>4436.9398848914</v>
      </c>
      <c r="G1386" s="18" t="n">
        <f aca="false">F1386*(1+sh_g)</f>
        <v>4459.12458431586</v>
      </c>
      <c r="H1386" s="25" t="n">
        <f aca="false">G1386*(1+sh_g)</f>
        <v>4481.42020723744</v>
      </c>
      <c r="I1386" s="25" t="n">
        <f aca="false">H1386*(1+sh_g)</f>
        <v>4503.82730827363</v>
      </c>
      <c r="J1386" s="25" t="n">
        <f aca="false">I1386*(1+sh_g)</f>
        <v>4526.34644481499</v>
      </c>
    </row>
    <row r="1387" customFormat="false" ht="17.15" hidden="false" customHeight="false" outlineLevel="0" collapsed="false">
      <c r="A1387" s="0" t="s">
        <v>465</v>
      </c>
      <c r="B1387" s="0" t="s">
        <v>304</v>
      </c>
      <c r="C1387" s="19" t="n">
        <f aca="false">a25_eps</f>
        <v>9.37</v>
      </c>
      <c r="D1387" s="19" t="n">
        <f aca="false">a26_eps</f>
        <v>21.2828697294455</v>
      </c>
      <c r="E1387" s="19" t="n">
        <f aca="false">E1385/E1386*1000</f>
        <v>25.4678615056174</v>
      </c>
      <c r="F1387" s="19" t="n">
        <f aca="false">F1385/F1386*1000</f>
        <v>21.7858875226191</v>
      </c>
      <c r="G1387" s="19" t="n">
        <f aca="false">G1385/G1386*1000</f>
        <v>27.727621418551</v>
      </c>
      <c r="H1387" s="28" t="n">
        <f aca="false">H1385/H1386*1000</f>
        <v>30.0402176488872</v>
      </c>
      <c r="I1387" s="28" t="n">
        <f aca="false">I1385/I1386*1000</f>
        <v>31.7331569454798</v>
      </c>
      <c r="J1387" s="28" t="n">
        <f aca="false">J1385/J1386*1000</f>
        <v>32.6632135710255</v>
      </c>
    </row>
    <row r="1388" customFormat="false" ht="17.15" hidden="false" customHeight="false" outlineLevel="0" collapsed="false">
      <c r="A1388" s="0" t="s">
        <v>581</v>
      </c>
      <c r="B1388" s="0" t="s">
        <v>76</v>
      </c>
      <c r="D1388" s="21" t="n">
        <f aca="false">D1387/C1387-1</f>
        <v>1.27138417603474</v>
      </c>
      <c r="E1388" s="21" t="n">
        <f aca="false">E1387/D1387-1</f>
        <v>0.196636629804758</v>
      </c>
      <c r="F1388" s="21" t="n">
        <f aca="false">F1387/E1387-1</f>
        <v>-0.144573347164865</v>
      </c>
      <c r="G1388" s="21" t="n">
        <f aca="false">G1387/F1387-1</f>
        <v>0.272733157635323</v>
      </c>
      <c r="H1388" s="26" t="n">
        <f aca="false">H1387/G1387-1</f>
        <v>0.0834040610778477</v>
      </c>
      <c r="I1388" s="26" t="n">
        <f aca="false">I1387/H1387-1</f>
        <v>0.0563557600141178</v>
      </c>
      <c r="J1388" s="26" t="n">
        <f aca="false">J1387/I1387-1</f>
        <v>0.0293086700180403</v>
      </c>
    </row>
    <row r="1389" customFormat="false" ht="17.15" hidden="false" customHeight="false" outlineLevel="0" collapsed="false">
      <c r="A1389" s="4" t="s">
        <v>582</v>
      </c>
      <c r="B1389" s="0" t="s">
        <v>76</v>
      </c>
      <c r="C1389" s="14" t="n">
        <f aca="false">C1385/C1363</f>
        <v>0.0629977625862272</v>
      </c>
      <c r="D1389" s="14" t="n">
        <f aca="false">D1385/D1363</f>
        <v>0.107397865592237</v>
      </c>
      <c r="E1389" s="14" t="n">
        <f aca="false">E1385/E1363</f>
        <v>0.107000833694205</v>
      </c>
      <c r="F1389" s="14" t="n">
        <f aca="false">F1385/F1363</f>
        <v>0.087573744245785</v>
      </c>
      <c r="G1389" s="14" t="n">
        <f aca="false">G1385/G1363</f>
        <v>0.0998448979785353</v>
      </c>
      <c r="H1389" s="27" t="n">
        <f aca="false">$G1389+(fade_mB-$G1389)*1/3</f>
        <v>0.0993181886764416</v>
      </c>
      <c r="I1389" s="27" t="n">
        <f aca="false">$G1389+(fade_mB-$G1389)*2/3</f>
        <v>0.0987914793743478</v>
      </c>
      <c r="J1389" s="27" t="n">
        <f aca="false">$G1389+(fade_mB-$G1389)*3/3</f>
        <v>0.0982647700722541</v>
      </c>
    </row>
    <row r="1390" customFormat="false" ht="17.15" hidden="false" customHeight="false" outlineLevel="0" collapsed="false">
      <c r="A1390" s="4" t="s">
        <v>583</v>
      </c>
      <c r="B1390" s="0" t="s">
        <v>234</v>
      </c>
      <c r="C1390" s="30" t="n">
        <f aca="false">C1385+C1371-C1369</f>
        <v>-54.587</v>
      </c>
      <c r="D1390" s="30" t="n">
        <f aca="false">D1385+D1371-D1369</f>
        <v>-176.164485935382</v>
      </c>
      <c r="E1390" s="30" t="n">
        <f aca="false">E1385+E1371-E1369</f>
        <v>-172.723065425707</v>
      </c>
      <c r="F1390" s="30" t="n">
        <f aca="false">F1385+F1371-F1369</f>
        <v>-67.9883468803652</v>
      </c>
      <c r="G1390" s="30" t="n">
        <f aca="false">G1385+G1371-G1369</f>
        <v>-60.7918802871037</v>
      </c>
      <c r="K1390" s="4" t="s">
        <v>584</v>
      </c>
    </row>
    <row r="1391" customFormat="false" ht="17.15" hidden="false" customHeight="false" outlineLevel="0" collapsed="false">
      <c r="A1391" s="4" t="s">
        <v>585</v>
      </c>
      <c r="B1391" s="0" t="s">
        <v>76</v>
      </c>
      <c r="D1391" s="21" t="n">
        <f aca="false">(D1379-$C1379)/SUM($D1369:D1369)</f>
        <v>0.164280348537512</v>
      </c>
      <c r="E1391" s="21" t="n">
        <f aca="false">(E1379-$C1379)/SUM($D1369:E1369)</f>
        <v>0.119211784211832</v>
      </c>
      <c r="F1391" s="21" t="n">
        <f aca="false">(F1379-$C1379)/SUM($D1369:F1369)</f>
        <v>0.0667149526306754</v>
      </c>
      <c r="G1391" s="21" t="n">
        <f aca="false">(G1379-$C1379)/SUM($D1369:G1369)</f>
        <v>0.0719114881823243</v>
      </c>
      <c r="K1391" s="4" t="s">
        <v>586</v>
      </c>
    </row>
    <row r="1394" customFormat="false" ht="17.15" hidden="false" customHeight="false" outlineLevel="0" collapsed="false">
      <c r="A1394" s="1" t="s">
        <v>942</v>
      </c>
    </row>
    <row r="1395" customFormat="false" ht="17.15" hidden="false" customHeight="false" outlineLevel="0" collapsed="false">
      <c r="A1395" s="5" t="s">
        <v>21</v>
      </c>
      <c r="B1395" s="5" t="s">
        <v>22</v>
      </c>
      <c r="C1395" s="15" t="s">
        <v>424</v>
      </c>
      <c r="D1395" s="15" t="s">
        <v>524</v>
      </c>
      <c r="E1395" s="15" t="s">
        <v>525</v>
      </c>
      <c r="F1395" s="15" t="s">
        <v>526</v>
      </c>
      <c r="G1395" s="15" t="s">
        <v>527</v>
      </c>
      <c r="H1395" s="15" t="s">
        <v>528</v>
      </c>
      <c r="I1395" s="15" t="s">
        <v>529</v>
      </c>
      <c r="J1395" s="15" t="s">
        <v>530</v>
      </c>
      <c r="K1395" s="5" t="s">
        <v>382</v>
      </c>
    </row>
    <row r="1396" customFormat="false" ht="17.15" hidden="false" customHeight="false" outlineLevel="0" collapsed="false">
      <c r="A1396" s="6" t="s">
        <v>548</v>
      </c>
    </row>
    <row r="1397" customFormat="false" ht="17.15" hidden="false" customHeight="false" outlineLevel="0" collapsed="false">
      <c r="A1397" s="0" t="s">
        <v>549</v>
      </c>
      <c r="B1397" s="4" t="s">
        <v>32</v>
      </c>
      <c r="D1397" s="19" t="n">
        <f aca="false">units_26</f>
        <v>15.2</v>
      </c>
      <c r="E1397" s="19" t="n">
        <f aca="false">units_27*1</f>
        <v>23.7</v>
      </c>
      <c r="F1397" s="19" t="n">
        <f aca="false">units_28*um28_C*1</f>
        <v>15.9</v>
      </c>
      <c r="G1397" s="19" t="n">
        <f aca="false">units_29*um29_C*1</f>
        <v>18.09</v>
      </c>
    </row>
    <row r="1398" customFormat="false" ht="17.15" hidden="false" customHeight="false" outlineLevel="0" collapsed="false">
      <c r="A1398" s="4" t="s">
        <v>497</v>
      </c>
      <c r="B1398" s="0" t="s">
        <v>45</v>
      </c>
      <c r="D1398" s="22" t="n">
        <f aca="false">ar_26</f>
        <v>1</v>
      </c>
      <c r="E1398" s="22" t="n">
        <f aca="false">ar_27</f>
        <v>1.278156</v>
      </c>
      <c r="F1398" s="22" t="n">
        <f aca="false">ar_28</f>
        <v>1.428615</v>
      </c>
      <c r="G1398" s="22" t="n">
        <f aca="false">ar_29</f>
        <v>1.431796</v>
      </c>
    </row>
    <row r="1399" customFormat="false" ht="17.15" hidden="false" customHeight="false" outlineLevel="0" collapsed="false">
      <c r="A1399" s="4" t="s">
        <v>550</v>
      </c>
      <c r="B1399" s="0" t="s">
        <v>45</v>
      </c>
      <c r="D1399" s="19" t="n">
        <f aca="false">1</f>
        <v>1</v>
      </c>
      <c r="E1399" s="19" t="n">
        <f aca="false">rel27_C</f>
        <v>1</v>
      </c>
      <c r="F1399" s="19" t="n">
        <f aca="false">rel28_C</f>
        <v>0.95</v>
      </c>
      <c r="G1399" s="19" t="n">
        <f aca="false">rel29_C</f>
        <v>0.92</v>
      </c>
    </row>
    <row r="1400" customFormat="false" ht="17.15" hidden="false" customHeight="false" outlineLevel="0" collapsed="false">
      <c r="A1400" s="4" t="s">
        <v>551</v>
      </c>
      <c r="B1400" s="0" t="s">
        <v>502</v>
      </c>
      <c r="D1400" s="23" t="n">
        <f aca="false">D1401*1000/D1397</f>
        <v>236.842105263158</v>
      </c>
      <c r="E1400" s="23" t="n">
        <f aca="false">$D1400*E1398^el</f>
        <v>267.763172119488</v>
      </c>
      <c r="F1400" s="23" t="n">
        <f aca="false">$D1400*F1398^el</f>
        <v>283.084777049615</v>
      </c>
      <c r="G1400" s="23" t="n">
        <f aca="false">$D1400*G1398^el</f>
        <v>283.399764630809</v>
      </c>
      <c r="K1400" s="8" t="s">
        <v>552</v>
      </c>
    </row>
    <row r="1401" customFormat="false" ht="17.15" hidden="false" customHeight="false" outlineLevel="0" collapsed="false">
      <c r="A1401" s="0" t="s">
        <v>553</v>
      </c>
      <c r="B1401" s="0" t="s">
        <v>120</v>
      </c>
      <c r="D1401" s="22" t="n">
        <f aca="false">leap26-D1402-D1403</f>
        <v>3.6</v>
      </c>
      <c r="E1401" s="22" t="n">
        <f aca="false">E1397*E1399*E1400/1000</f>
        <v>6.34598717923185</v>
      </c>
      <c r="F1401" s="22" t="n">
        <f aca="false">F1397*F1399*F1400/1000</f>
        <v>4.27599555733443</v>
      </c>
      <c r="G1401" s="22" t="n">
        <f aca="false">G1397*G1399*G1400/1000</f>
        <v>4.71656560279762</v>
      </c>
      <c r="K1401" s="8" t="s">
        <v>554</v>
      </c>
    </row>
    <row r="1402" customFormat="false" ht="17.15" hidden="false" customHeight="false" outlineLevel="0" collapsed="false">
      <c r="A1402" s="4" t="s">
        <v>555</v>
      </c>
      <c r="B1402" s="0" t="s">
        <v>120</v>
      </c>
      <c r="D1402" s="22" t="n">
        <f aca="false">fp26</f>
        <v>0.3</v>
      </c>
      <c r="E1402" s="22" t="n">
        <f aca="false">fp27_C</f>
        <v>0.7</v>
      </c>
      <c r="F1402" s="22" t="n">
        <f aca="false">E1402*F1397/E1397*(1+fp_g)</f>
        <v>0.610506329113924</v>
      </c>
      <c r="G1402" s="22" t="n">
        <f aca="false">F1402*G1397/F1397*(1+fp_g)</f>
        <v>0.902973417721519</v>
      </c>
    </row>
    <row r="1403" customFormat="false" ht="17.15" hidden="false" customHeight="false" outlineLevel="0" collapsed="false">
      <c r="A1403" s="0" t="s">
        <v>556</v>
      </c>
      <c r="B1403" s="0" t="s">
        <v>120</v>
      </c>
      <c r="D1403" s="22" t="n">
        <f aca="false">cpo27*cpo_C_26/cpo_A_27</f>
        <v>0.1</v>
      </c>
      <c r="E1403" s="22" t="n">
        <f aca="false">cpo27*cpo_C_27/cpo_A_27</f>
        <v>0.2</v>
      </c>
      <c r="F1403" s="22" t="n">
        <f aca="false">cpo27*cpo_C_28/cpo_A_27*F1397/E1397</f>
        <v>0.20126582278481</v>
      </c>
      <c r="G1403" s="22" t="n">
        <f aca="false">cpo27*cpo_C_29/cpo_A_27*G1397/E1397</f>
        <v>0.381645569620253</v>
      </c>
      <c r="K1403" s="8" t="s">
        <v>557</v>
      </c>
    </row>
    <row r="1404" customFormat="false" ht="17.15" hidden="false" customHeight="false" outlineLevel="0" collapsed="false">
      <c r="A1404" s="0" t="s">
        <v>510</v>
      </c>
      <c r="B1404" s="0" t="s">
        <v>120</v>
      </c>
      <c r="C1404" s="22" t="n">
        <f aca="false">leap25</f>
        <v>1.6</v>
      </c>
      <c r="D1404" s="22" t="n">
        <f aca="false">D1401+D1402+D1403</f>
        <v>4</v>
      </c>
      <c r="E1404" s="22" t="n">
        <f aca="false">E1401+E1402+E1403</f>
        <v>7.24598717923186</v>
      </c>
      <c r="F1404" s="22" t="n">
        <f aca="false">F1401+F1402+F1403</f>
        <v>5.08776770923316</v>
      </c>
      <c r="G1404" s="22" t="n">
        <f aca="false">G1401+G1402+G1403</f>
        <v>6.0011845901394</v>
      </c>
    </row>
    <row r="1405" customFormat="false" ht="17.15" hidden="false" customHeight="false" outlineLevel="0" collapsed="false">
      <c r="A1405" s="4" t="s">
        <v>558</v>
      </c>
      <c r="B1405" s="0" t="s">
        <v>114</v>
      </c>
      <c r="C1405" s="19" t="n">
        <f aca="false">fx25</f>
        <v>31</v>
      </c>
      <c r="D1405" s="19" t="n">
        <f aca="false">a26_leap/D1404</f>
        <v>31.9</v>
      </c>
      <c r="E1405" s="19" t="n">
        <f aca="false">fx</f>
        <v>32</v>
      </c>
      <c r="F1405" s="19" t="n">
        <f aca="false">fx</f>
        <v>32</v>
      </c>
      <c r="G1405" s="19" t="n">
        <f aca="false">fx</f>
        <v>32</v>
      </c>
      <c r="K1405" s="8" t="s">
        <v>559</v>
      </c>
    </row>
    <row r="1406" customFormat="false" ht="17.15" hidden="false" customHeight="false" outlineLevel="0" collapsed="false">
      <c r="A1406" s="6" t="s">
        <v>560</v>
      </c>
    </row>
    <row r="1407" customFormat="false" ht="17.15" hidden="false" customHeight="false" outlineLevel="0" collapsed="false">
      <c r="A1407" s="0" t="s">
        <v>438</v>
      </c>
      <c r="B1407" s="0" t="s">
        <v>234</v>
      </c>
      <c r="C1407" s="30" t="n">
        <f aca="false">a25_leap</f>
        <v>49.6</v>
      </c>
      <c r="D1407" s="30" t="n">
        <f aca="false">a26_leap</f>
        <v>127.6</v>
      </c>
      <c r="E1407" s="30" t="n">
        <f aca="false">E1404*E1405</f>
        <v>231.871589735419</v>
      </c>
      <c r="F1407" s="30" t="n">
        <f aca="false">F1404*F1405</f>
        <v>162.808566695461</v>
      </c>
      <c r="G1407" s="30" t="n">
        <f aca="false">G1404*G1405</f>
        <v>192.037906884461</v>
      </c>
    </row>
    <row r="1408" customFormat="false" ht="15" hidden="false" customHeight="false" outlineLevel="0" collapsed="false">
      <c r="A1408" s="4" t="s">
        <v>561</v>
      </c>
      <c r="B1408" s="0" t="s">
        <v>234</v>
      </c>
      <c r="C1408" s="30" t="n">
        <f aca="false">a25_ms</f>
        <v>339.628</v>
      </c>
      <c r="D1408" s="30" t="n">
        <f aca="false">a26_ms</f>
        <v>432.1302</v>
      </c>
      <c r="E1408" s="30" t="n">
        <f aca="false">D1408*(1+g_ms27_lo)</f>
        <v>453.73671</v>
      </c>
      <c r="F1408" s="30" t="n">
        <f aca="false">E1408*(1+g_msL)</f>
        <v>485.4982797</v>
      </c>
      <c r="G1408" s="30" t="n">
        <f aca="false">F1408*(1+g_msL)</f>
        <v>519.483159279</v>
      </c>
    </row>
    <row r="1409" customFormat="false" ht="17.15" hidden="false" customHeight="false" outlineLevel="0" collapsed="false">
      <c r="A1409" s="4" t="s">
        <v>562</v>
      </c>
      <c r="B1409" s="0" t="s">
        <v>234</v>
      </c>
      <c r="C1409" s="30" t="n">
        <f aca="false">C1407+C1408</f>
        <v>389.228</v>
      </c>
      <c r="D1409" s="30" t="n">
        <f aca="false">D1407+D1408</f>
        <v>559.7302</v>
      </c>
      <c r="E1409" s="30" t="n">
        <f aca="false">E1407+E1408</f>
        <v>685.60829973542</v>
      </c>
      <c r="F1409" s="30" t="n">
        <f aca="false">F1407+F1408</f>
        <v>648.306846395461</v>
      </c>
      <c r="G1409" s="30" t="n">
        <f aca="false">G1407+G1408</f>
        <v>711.521066163461</v>
      </c>
    </row>
    <row r="1410" customFormat="false" ht="17.15" hidden="false" customHeight="false" outlineLevel="0" collapsed="false">
      <c r="A1410" s="0" t="s">
        <v>563</v>
      </c>
      <c r="B1410" s="0" t="s">
        <v>234</v>
      </c>
      <c r="C1410" s="30" t="n">
        <f aca="false">a25_ems</f>
        <v>259.079</v>
      </c>
      <c r="D1410" s="30" t="n">
        <f aca="false">a26_ems</f>
        <v>314.602</v>
      </c>
      <c r="E1410" s="30" t="n">
        <f aca="false">D1410*(1+g_ems27)</f>
        <v>346.0622</v>
      </c>
      <c r="F1410" s="30" t="n">
        <f aca="false">E1410*(1+g_emsL)</f>
        <v>363.36531</v>
      </c>
      <c r="G1410" s="30" t="n">
        <f aca="false">F1410*(1+g_emsL)</f>
        <v>381.5335755</v>
      </c>
    </row>
    <row r="1411" customFormat="false" ht="17.15" hidden="false" customHeight="false" outlineLevel="0" collapsed="false">
      <c r="A1411" s="4" t="s">
        <v>564</v>
      </c>
      <c r="B1411" s="0" t="s">
        <v>234</v>
      </c>
      <c r="C1411" s="30" t="n">
        <f aca="false">a25_elim</f>
        <v>-2.91899999999998</v>
      </c>
      <c r="D1411" s="30" t="n">
        <f aca="false">a26_elim</f>
        <v>-3.16484905982349</v>
      </c>
      <c r="E1411" s="30" t="n">
        <f aca="false">$D1411/($D1409+$D1410)*(E1409+E1410)</f>
        <v>-3.73437168519616</v>
      </c>
      <c r="F1411" s="30" t="n">
        <f aca="false">$D1411/($D1409+$D1410)*(F1409+F1410)</f>
        <v>-3.66198302317789</v>
      </c>
      <c r="G1411" s="30" t="n">
        <f aca="false">$D1411/($D1409+$D1410)*(G1409+G1410)</f>
        <v>-3.95656588537435</v>
      </c>
      <c r="K1411" s="4" t="s">
        <v>565</v>
      </c>
    </row>
    <row r="1412" customFormat="false" ht="17.15" hidden="false" customHeight="false" outlineLevel="0" collapsed="false">
      <c r="A1412" s="4" t="s">
        <v>431</v>
      </c>
      <c r="B1412" s="0" t="s">
        <v>234</v>
      </c>
      <c r="C1412" s="30" t="n">
        <f aca="false">C1409+C1410+C1411</f>
        <v>645.388</v>
      </c>
      <c r="D1412" s="30" t="n">
        <f aca="false">D1409+D1410+D1411</f>
        <v>871.167350940177</v>
      </c>
      <c r="E1412" s="30" t="n">
        <f aca="false">E1409+E1410+E1411</f>
        <v>1027.93612805022</v>
      </c>
      <c r="F1412" s="30" t="n">
        <f aca="false">F1409+F1410+F1411</f>
        <v>1008.01017337228</v>
      </c>
      <c r="G1412" s="30" t="n">
        <f aca="false">G1409+G1410+G1411</f>
        <v>1089.09807577809</v>
      </c>
      <c r="H1412" s="31" t="n">
        <f aca="false">G1412*(1+H1413)</f>
        <v>1154.76599627054</v>
      </c>
      <c r="I1412" s="31" t="n">
        <f aca="false">H1412*(1+I1413)</f>
        <v>1201.1273627841</v>
      </c>
      <c r="J1412" s="31" t="n">
        <f aca="false">I1412*(1+J1413)</f>
        <v>1225.14991003978</v>
      </c>
      <c r="K1412" s="8" t="s">
        <v>566</v>
      </c>
    </row>
    <row r="1413" customFormat="false" ht="15" hidden="false" customHeight="false" outlineLevel="0" collapsed="false">
      <c r="A1413" s="4" t="s">
        <v>567</v>
      </c>
      <c r="B1413" s="0" t="s">
        <v>76</v>
      </c>
      <c r="D1413" s="21" t="n">
        <f aca="false">D1412/C1412-1</f>
        <v>0.349835061916516</v>
      </c>
      <c r="E1413" s="21" t="n">
        <f aca="false">E1412/D1412-1</f>
        <v>0.17995253947575</v>
      </c>
      <c r="F1413" s="21" t="n">
        <f aca="false">F1412/E1412-1</f>
        <v>-0.0193844287929983</v>
      </c>
      <c r="G1413" s="21" t="n">
        <f aca="false">G1412/F1412-1</f>
        <v>0.0804435357378635</v>
      </c>
      <c r="H1413" s="26" t="n">
        <f aca="false">$G1413+(fade_gC-$G1413)*1/3</f>
        <v>0.060295690491909</v>
      </c>
      <c r="I1413" s="26" t="n">
        <f aca="false">$G1413+(fade_gC-$G1413)*2/3</f>
        <v>0.0401478452459545</v>
      </c>
      <c r="J1413" s="26" t="n">
        <f aca="false">$G1413+(fade_gC-$G1413)*3/3</f>
        <v>0.02</v>
      </c>
    </row>
    <row r="1414" customFormat="false" ht="17.15" hidden="false" customHeight="false" outlineLevel="0" collapsed="false">
      <c r="A1414" s="0" t="s">
        <v>475</v>
      </c>
      <c r="B1414" s="0" t="s">
        <v>76</v>
      </c>
      <c r="C1414" s="21" t="n">
        <f aca="false">C1407/C1409</f>
        <v>0.127431736668482</v>
      </c>
      <c r="D1414" s="21" t="n">
        <f aca="false">D1407/D1409</f>
        <v>0.227966974088588</v>
      </c>
      <c r="E1414" s="21" t="n">
        <f aca="false">E1407/E1409</f>
        <v>0.338198341275769</v>
      </c>
      <c r="F1414" s="21" t="n">
        <f aca="false">F1407/F1409</f>
        <v>0.251128871460582</v>
      </c>
      <c r="G1414" s="21" t="n">
        <f aca="false">G1407/G1409</f>
        <v>0.269897710717033</v>
      </c>
    </row>
    <row r="1415" customFormat="false" ht="15" hidden="false" customHeight="false" outlineLevel="0" collapsed="false">
      <c r="A1415" s="4" t="s">
        <v>568</v>
      </c>
      <c r="B1415" s="0" t="s">
        <v>76</v>
      </c>
      <c r="D1415" s="21" t="n">
        <f aca="false">D1409/C1409-1</f>
        <v>0.438052247012034</v>
      </c>
      <c r="E1415" s="21" t="n">
        <f aca="false">E1409/D1409-1</f>
        <v>0.224890670068221</v>
      </c>
      <c r="F1415" s="21" t="n">
        <f aca="false">F1409/E1409-1</f>
        <v>-0.054406361991757</v>
      </c>
      <c r="G1415" s="21" t="n">
        <f aca="false">G1409/F1409-1</f>
        <v>0.0975066361237214</v>
      </c>
    </row>
    <row r="1416" customFormat="false" ht="17.15" hidden="false" customHeight="false" outlineLevel="0" collapsed="false">
      <c r="A1416" s="6" t="s">
        <v>569</v>
      </c>
    </row>
    <row r="1417" customFormat="false" ht="17.15" hidden="false" customHeight="false" outlineLevel="0" collapsed="false">
      <c r="A1417" s="4" t="s">
        <v>570</v>
      </c>
      <c r="B1417" s="0" t="s">
        <v>120</v>
      </c>
      <c r="C1417" s="19" t="n">
        <f aca="false">capex25</f>
        <v>5.5</v>
      </c>
      <c r="D1417" s="19" t="n">
        <f aca="false">capex26</f>
        <v>11.5</v>
      </c>
      <c r="E1417" s="19" t="n">
        <f aca="false">capex27</f>
        <v>13</v>
      </c>
      <c r="F1417" s="19" t="n">
        <f aca="false">capi*F1412/F1405</f>
        <v>9.45009537536516</v>
      </c>
      <c r="G1417" s="19" t="n">
        <f aca="false">capi*G1412/G1405</f>
        <v>10.2102944604196</v>
      </c>
      <c r="K1417" s="8" t="s">
        <v>571</v>
      </c>
    </row>
    <row r="1418" customFormat="false" ht="15" hidden="false" customHeight="false" outlineLevel="0" collapsed="false">
      <c r="A1418" s="4" t="s">
        <v>572</v>
      </c>
      <c r="B1418" s="0" t="s">
        <v>234</v>
      </c>
      <c r="C1418" s="30" t="n">
        <f aca="false">C1417*C1405</f>
        <v>170.5</v>
      </c>
      <c r="D1418" s="30" t="n">
        <f aca="false">D1417*31.9</f>
        <v>366.85</v>
      </c>
      <c r="E1418" s="30" t="n">
        <f aca="false">E1417*E1405</f>
        <v>416</v>
      </c>
      <c r="F1418" s="30" t="n">
        <f aca="false">F1417*F1405</f>
        <v>302.403052011685</v>
      </c>
      <c r="G1418" s="30" t="n">
        <f aca="false">G1417*G1405</f>
        <v>326.729422733426</v>
      </c>
    </row>
    <row r="1419" customFormat="false" ht="17.15" hidden="false" customHeight="false" outlineLevel="0" collapsed="false">
      <c r="A1419" s="4" t="s">
        <v>473</v>
      </c>
      <c r="B1419" s="0" t="s">
        <v>76</v>
      </c>
      <c r="C1419" s="21" t="n">
        <f aca="false">C1418/C1412</f>
        <v>0.264182166386732</v>
      </c>
      <c r="D1419" s="21" t="n">
        <f aca="false">D1418/D1412</f>
        <v>0.421101639775745</v>
      </c>
      <c r="E1419" s="21" t="n">
        <f aca="false">E1418/E1412</f>
        <v>0.404694405273082</v>
      </c>
      <c r="F1419" s="21" t="n">
        <f aca="false">F1418/F1412</f>
        <v>0.3</v>
      </c>
      <c r="G1419" s="21" t="n">
        <f aca="false">G1418/G1412</f>
        <v>0.3</v>
      </c>
    </row>
    <row r="1420" customFormat="false" ht="17.15" hidden="false" customHeight="false" outlineLevel="0" collapsed="false">
      <c r="A1420" s="4" t="s">
        <v>573</v>
      </c>
      <c r="B1420" s="0" t="s">
        <v>234</v>
      </c>
      <c r="C1420" s="30" t="n">
        <f aca="false">a25_da</f>
        <v>75.255</v>
      </c>
      <c r="D1420" s="30" t="n">
        <f aca="false">a26_da</f>
        <v>97.124</v>
      </c>
      <c r="E1420" s="30" t="n">
        <f aca="false">D1420*(1-1/life)+D1418/life</f>
        <v>130.83975</v>
      </c>
      <c r="F1420" s="30" t="n">
        <f aca="false">E1420*(1-1/life)+E1418/life</f>
        <v>166.48478125</v>
      </c>
      <c r="G1420" s="30" t="n">
        <f aca="false">F1420*(1-1/life)+F1418/life</f>
        <v>183.474565095211</v>
      </c>
      <c r="K1420" s="4" t="s">
        <v>574</v>
      </c>
    </row>
    <row r="1421" customFormat="false" ht="17.15" hidden="false" customHeight="false" outlineLevel="0" collapsed="false">
      <c r="A1421" s="4" t="s">
        <v>575</v>
      </c>
      <c r="B1421" s="0" t="s">
        <v>234</v>
      </c>
      <c r="C1421" s="30" t="n">
        <f aca="false">a25_agp</f>
        <v>91.38</v>
      </c>
      <c r="D1421" s="30" t="n">
        <f aca="false">a26_agp</f>
        <v>164.623388</v>
      </c>
      <c r="E1421" s="30" t="n">
        <f aca="false">$D1421+ft*(E1409-$D1409)-(E1420-$D1420)</f>
        <v>193.84668786771</v>
      </c>
      <c r="F1421" s="30" t="n">
        <f aca="false">$D1421+ft*(F1409-$D1409)-(F1420-$D1420)</f>
        <v>139.550929947731</v>
      </c>
      <c r="G1421" s="30" t="n">
        <f aca="false">$D1421+ft*(G1409-$D1409)-(G1420-$D1420)</f>
        <v>154.16825598652</v>
      </c>
      <c r="K1421" s="4" t="s">
        <v>576</v>
      </c>
    </row>
    <row r="1422" customFormat="false" ht="15" hidden="false" customHeight="false" outlineLevel="0" collapsed="false">
      <c r="A1422" s="4" t="s">
        <v>447</v>
      </c>
      <c r="B1422" s="0" t="s">
        <v>76</v>
      </c>
      <c r="C1422" s="14" t="n">
        <f aca="false">C1421/C1409</f>
        <v>0.234772421305764</v>
      </c>
      <c r="D1422" s="14" t="n">
        <f aca="false">D1421/D1409</f>
        <v>0.294112034690999</v>
      </c>
      <c r="E1422" s="14" t="n">
        <f aca="false">E1421/E1409</f>
        <v>0.282736787087491</v>
      </c>
      <c r="F1422" s="14" t="n">
        <f aca="false">F1421/F1409</f>
        <v>0.215254444286102</v>
      </c>
      <c r="G1422" s="14" t="n">
        <f aca="false">G1421/G1409</f>
        <v>0.216674197459534</v>
      </c>
    </row>
    <row r="1423" customFormat="false" ht="17.15" hidden="false" customHeight="false" outlineLevel="0" collapsed="false">
      <c r="A1423" s="0" t="s">
        <v>449</v>
      </c>
      <c r="B1423" s="0" t="s">
        <v>234</v>
      </c>
      <c r="C1423" s="30" t="n">
        <f aca="false">a25_egp</f>
        <v>23.695</v>
      </c>
      <c r="D1423" s="30" t="n">
        <f aca="false">a26_egp</f>
        <v>27.00552</v>
      </c>
      <c r="E1423" s="30" t="n">
        <f aca="false">E1410*ems_gm</f>
        <v>29.415287</v>
      </c>
      <c r="F1423" s="30" t="n">
        <f aca="false">F1410*ems_gm</f>
        <v>30.88605135</v>
      </c>
      <c r="G1423" s="30" t="n">
        <f aca="false">G1410*ems_gm</f>
        <v>32.4303539175</v>
      </c>
    </row>
    <row r="1424" customFormat="false" ht="15" hidden="false" customHeight="false" outlineLevel="0" collapsed="false">
      <c r="A1424" s="4" t="s">
        <v>577</v>
      </c>
      <c r="B1424" s="0" t="s">
        <v>234</v>
      </c>
      <c r="C1424" s="30" t="n">
        <f aca="false">a25_lgp</f>
        <v>-0.881999999999998</v>
      </c>
      <c r="D1424" s="30" t="n">
        <f aca="false">a26_lgp</f>
        <v>-0.948662139013863</v>
      </c>
      <c r="E1424" s="30" t="n">
        <f aca="false">$D1424/$D1411*E1411</f>
        <v>-1.1193763000339</v>
      </c>
      <c r="F1424" s="30" t="n">
        <f aca="false">$D1424/$D1411*F1411</f>
        <v>-1.09767782985333</v>
      </c>
      <c r="G1424" s="30" t="n">
        <f aca="false">$D1424/$D1411*G1411</f>
        <v>-1.18597891558779</v>
      </c>
    </row>
    <row r="1425" customFormat="false" ht="15" hidden="false" customHeight="false" outlineLevel="0" collapsed="false">
      <c r="A1425" s="4" t="s">
        <v>451</v>
      </c>
      <c r="B1425" s="0" t="s">
        <v>234</v>
      </c>
      <c r="C1425" s="30" t="n">
        <f aca="false">C1421+C1423+C1424</f>
        <v>114.193</v>
      </c>
      <c r="D1425" s="30" t="n">
        <f aca="false">D1421+D1423+D1424</f>
        <v>190.680245860986</v>
      </c>
      <c r="E1425" s="30" t="n">
        <f aca="false">E1421+E1423+E1424</f>
        <v>222.142598567676</v>
      </c>
      <c r="F1425" s="30" t="n">
        <f aca="false">F1421+F1423+F1424</f>
        <v>169.339303467877</v>
      </c>
      <c r="G1425" s="30" t="n">
        <f aca="false">G1421+G1423+G1424</f>
        <v>185.412630988432</v>
      </c>
    </row>
    <row r="1426" customFormat="false" ht="15" hidden="false" customHeight="false" outlineLevel="0" collapsed="false">
      <c r="A1426" s="4" t="s">
        <v>452</v>
      </c>
      <c r="B1426" s="0" t="s">
        <v>76</v>
      </c>
      <c r="C1426" s="14" t="n">
        <f aca="false">C1425/C1412</f>
        <v>0.176936974347214</v>
      </c>
      <c r="D1426" s="14" t="n">
        <f aca="false">D1425/D1412</f>
        <v>0.218879008327391</v>
      </c>
      <c r="E1426" s="14" t="n">
        <f aca="false">E1425/E1412</f>
        <v>0.216105449070102</v>
      </c>
      <c r="F1426" s="14" t="n">
        <f aca="false">F1425/F1412</f>
        <v>0.167993645244031</v>
      </c>
      <c r="G1426" s="14" t="n">
        <f aca="false">G1425/G1412</f>
        <v>0.170244200326924</v>
      </c>
    </row>
    <row r="1427" customFormat="false" ht="15" hidden="false" customHeight="false" outlineLevel="0" collapsed="false">
      <c r="A1427" s="4" t="s">
        <v>578</v>
      </c>
      <c r="B1427" s="0" t="s">
        <v>234</v>
      </c>
      <c r="C1427" s="30" t="n">
        <f aca="false">a25_opx</f>
        <v>63.437</v>
      </c>
      <c r="D1427" s="30" t="n">
        <f aca="false">a26_opx</f>
        <v>79.658</v>
      </c>
      <c r="E1427" s="30" t="n">
        <f aca="false">D1427*(1+phi*E1413)</f>
        <v>88.2587956337356</v>
      </c>
      <c r="F1427" s="30" t="n">
        <f aca="false">E1427*(1+phi*F1413)</f>
        <v>87.2322878301448</v>
      </c>
      <c r="G1427" s="30" t="n">
        <f aca="false">F1427*(1+phi*G1413)</f>
        <v>91.4426520282807</v>
      </c>
    </row>
    <row r="1428" customFormat="false" ht="15" hidden="false" customHeight="false" outlineLevel="0" collapsed="false">
      <c r="A1428" s="4" t="s">
        <v>455</v>
      </c>
      <c r="B1428" s="0" t="s">
        <v>234</v>
      </c>
      <c r="C1428" s="30" t="n">
        <f aca="false">C1425-C1427</f>
        <v>50.756</v>
      </c>
      <c r="D1428" s="30" t="n">
        <f aca="false">D1425-D1427</f>
        <v>111.022245860986</v>
      </c>
      <c r="E1428" s="30" t="n">
        <f aca="false">E1425-E1427</f>
        <v>133.88380293394</v>
      </c>
      <c r="F1428" s="30" t="n">
        <f aca="false">F1425-F1427</f>
        <v>82.1070156377325</v>
      </c>
      <c r="G1428" s="30" t="n">
        <f aca="false">G1425-G1427</f>
        <v>93.9699789601513</v>
      </c>
    </row>
    <row r="1429" customFormat="false" ht="15" hidden="false" customHeight="false" outlineLevel="0" collapsed="false">
      <c r="A1429" s="4" t="s">
        <v>537</v>
      </c>
      <c r="B1429" s="0" t="s">
        <v>76</v>
      </c>
      <c r="C1429" s="14" t="n">
        <f aca="false">C1428/C1412</f>
        <v>0.0786441644406156</v>
      </c>
      <c r="D1429" s="14" t="n">
        <f aca="false">D1428/D1412</f>
        <v>0.127440779020437</v>
      </c>
      <c r="E1429" s="14" t="n">
        <f aca="false">E1428/E1412</f>
        <v>0.130245254817427</v>
      </c>
      <c r="F1429" s="14" t="n">
        <f aca="false">F1428/F1412</f>
        <v>0.0814545505657395</v>
      </c>
      <c r="G1429" s="14" t="n">
        <f aca="false">G1428/G1412</f>
        <v>0.0862823845253938</v>
      </c>
    </row>
    <row r="1430" customFormat="false" ht="15" hidden="false" customHeight="false" outlineLevel="0" collapsed="false">
      <c r="A1430" s="4" t="s">
        <v>456</v>
      </c>
      <c r="B1430" s="0" t="s">
        <v>234</v>
      </c>
      <c r="C1430" s="30" t="n">
        <f aca="false">a25_nonop</f>
        <v>0.545</v>
      </c>
      <c r="D1430" s="30" t="n">
        <f aca="false">a26_nonop</f>
        <v>4.302</v>
      </c>
      <c r="E1430" s="30" t="n">
        <f aca="false">nonop_f</f>
        <v>-5</v>
      </c>
      <c r="F1430" s="30" t="n">
        <f aca="false">nonop_f</f>
        <v>-5</v>
      </c>
      <c r="G1430" s="30" t="n">
        <f aca="false">nonop_f</f>
        <v>-5</v>
      </c>
    </row>
    <row r="1431" customFormat="false" ht="15" hidden="false" customHeight="false" outlineLevel="0" collapsed="false">
      <c r="A1431" s="4" t="s">
        <v>459</v>
      </c>
      <c r="B1431" s="0" t="s">
        <v>234</v>
      </c>
      <c r="C1431" s="30" t="n">
        <f aca="false">C1428+C1430</f>
        <v>51.301</v>
      </c>
      <c r="D1431" s="30" t="n">
        <f aca="false">D1428+D1430</f>
        <v>115.324245860986</v>
      </c>
      <c r="E1431" s="30" t="n">
        <f aca="false">E1428+E1430</f>
        <v>128.88380293394</v>
      </c>
      <c r="F1431" s="30" t="n">
        <f aca="false">F1428+F1430</f>
        <v>77.1070156377325</v>
      </c>
      <c r="G1431" s="30" t="n">
        <f aca="false">G1428+G1430</f>
        <v>88.9699789601513</v>
      </c>
    </row>
    <row r="1432" customFormat="false" ht="15" hidden="false" customHeight="false" outlineLevel="0" collapsed="false">
      <c r="A1432" s="4" t="s">
        <v>460</v>
      </c>
      <c r="B1432" s="0" t="s">
        <v>234</v>
      </c>
      <c r="C1432" s="30" t="n">
        <f aca="false">a25_tax</f>
        <v>9.461</v>
      </c>
      <c r="D1432" s="30" t="n">
        <f aca="false">a26_tax</f>
        <v>19.2197317963676</v>
      </c>
      <c r="E1432" s="30" t="n">
        <f aca="false">E1431*tax</f>
        <v>21.9102464987698</v>
      </c>
      <c r="F1432" s="30" t="n">
        <f aca="false">F1431*tax</f>
        <v>13.1081926584145</v>
      </c>
      <c r="G1432" s="30" t="n">
        <f aca="false">G1431*tax</f>
        <v>15.1248964232257</v>
      </c>
    </row>
    <row r="1433" customFormat="false" ht="15" hidden="false" customHeight="false" outlineLevel="0" collapsed="false">
      <c r="A1433" s="4" t="s">
        <v>461</v>
      </c>
      <c r="B1433" s="0" t="s">
        <v>234</v>
      </c>
      <c r="C1433" s="30" t="n">
        <f aca="false">a25_nci</f>
        <v>1.182</v>
      </c>
      <c r="D1433" s="30" t="n">
        <f aca="false">a26_nci</f>
        <v>2.543</v>
      </c>
      <c r="E1433" s="30" t="n">
        <f aca="false">nci</f>
        <v>3</v>
      </c>
      <c r="F1433" s="30" t="n">
        <f aca="false">nci</f>
        <v>3</v>
      </c>
      <c r="G1433" s="30" t="n">
        <f aca="false">nci</f>
        <v>3</v>
      </c>
    </row>
    <row r="1434" customFormat="false" ht="15" hidden="false" customHeight="false" outlineLevel="0" collapsed="false">
      <c r="A1434" s="4" t="s">
        <v>462</v>
      </c>
      <c r="B1434" s="0" t="s">
        <v>234</v>
      </c>
      <c r="C1434" s="30" t="n">
        <f aca="false">C1431-C1432-C1433</f>
        <v>40.658</v>
      </c>
      <c r="D1434" s="30" t="n">
        <f aca="false">D1431-D1432-D1433</f>
        <v>93.5615140646185</v>
      </c>
      <c r="E1434" s="30" t="n">
        <f aca="false">E1431-E1432-E1433</f>
        <v>103.97355643517</v>
      </c>
      <c r="F1434" s="30" t="n">
        <f aca="false">F1431-F1432-F1433</f>
        <v>60.998822979318</v>
      </c>
      <c r="G1434" s="30" t="n">
        <f aca="false">G1431-G1432-G1433</f>
        <v>70.8450825369256</v>
      </c>
      <c r="H1434" s="31" t="n">
        <f aca="false">H1412*H1438</f>
        <v>73.805592968093</v>
      </c>
      <c r="I1434" s="31" t="n">
        <f aca="false">I1412*I1438</f>
        <v>75.4049461987543</v>
      </c>
      <c r="J1434" s="31" t="n">
        <f aca="false">J1412*J1438</f>
        <v>75.5219871827398</v>
      </c>
    </row>
    <row r="1435" customFormat="false" ht="15" hidden="false" customHeight="false" outlineLevel="0" collapsed="false">
      <c r="A1435" s="4" t="s">
        <v>579</v>
      </c>
      <c r="B1435" s="4" t="s">
        <v>580</v>
      </c>
      <c r="C1435" s="18" t="n">
        <f aca="false">a25_sh</f>
        <v>4339.16755602988</v>
      </c>
      <c r="D1435" s="18" t="n">
        <f aca="false">a26_sh</f>
        <v>4392.90105184664</v>
      </c>
      <c r="E1435" s="18" t="n">
        <f aca="false">D1435*(1+sh_g)</f>
        <v>4414.86555710588</v>
      </c>
      <c r="F1435" s="18" t="n">
        <f aca="false">E1435*(1+sh_g)</f>
        <v>4436.9398848914</v>
      </c>
      <c r="G1435" s="18" t="n">
        <f aca="false">F1435*(1+sh_g)</f>
        <v>4459.12458431586</v>
      </c>
      <c r="H1435" s="25" t="n">
        <f aca="false">G1435*(1+sh_g)</f>
        <v>4481.42020723744</v>
      </c>
      <c r="I1435" s="25" t="n">
        <f aca="false">H1435*(1+sh_g)</f>
        <v>4503.82730827363</v>
      </c>
      <c r="J1435" s="25" t="n">
        <f aca="false">I1435*(1+sh_g)</f>
        <v>4526.34644481499</v>
      </c>
    </row>
    <row r="1436" customFormat="false" ht="17.15" hidden="false" customHeight="false" outlineLevel="0" collapsed="false">
      <c r="A1436" s="0" t="s">
        <v>465</v>
      </c>
      <c r="B1436" s="0" t="s">
        <v>304</v>
      </c>
      <c r="C1436" s="19" t="n">
        <f aca="false">a25_eps</f>
        <v>9.37</v>
      </c>
      <c r="D1436" s="19" t="n">
        <f aca="false">a26_eps</f>
        <v>21.2828697294455</v>
      </c>
      <c r="E1436" s="19" t="n">
        <f aca="false">E1434/E1435*1000</f>
        <v>23.5507865619648</v>
      </c>
      <c r="F1436" s="19" t="n">
        <f aca="false">F1434/F1435*1000</f>
        <v>13.7479489381928</v>
      </c>
      <c r="G1436" s="19" t="n">
        <f aca="false">G1434/G1435*1000</f>
        <v>15.8876661096463</v>
      </c>
      <c r="H1436" s="28" t="n">
        <f aca="false">H1434/H1435*1000</f>
        <v>16.469241792791</v>
      </c>
      <c r="I1436" s="28" t="n">
        <f aca="false">I1434/I1435*1000</f>
        <v>16.7424150700081</v>
      </c>
      <c r="J1436" s="28" t="n">
        <f aca="false">J1434/J1435*1000</f>
        <v>16.6849771893293</v>
      </c>
    </row>
    <row r="1437" customFormat="false" ht="17.15" hidden="false" customHeight="false" outlineLevel="0" collapsed="false">
      <c r="A1437" s="0" t="s">
        <v>581</v>
      </c>
      <c r="B1437" s="0" t="s">
        <v>76</v>
      </c>
      <c r="D1437" s="21" t="n">
        <f aca="false">D1436/C1436-1</f>
        <v>1.27138417603474</v>
      </c>
      <c r="E1437" s="21" t="n">
        <f aca="false">E1436/D1436-1</f>
        <v>0.106560668807814</v>
      </c>
      <c r="F1437" s="21" t="n">
        <f aca="false">F1436/E1436-1</f>
        <v>-0.41624247232591</v>
      </c>
      <c r="G1437" s="21" t="n">
        <f aca="false">G1436/F1436-1</f>
        <v>0.155639010667925</v>
      </c>
      <c r="H1437" s="26" t="n">
        <f aca="false">H1436/G1436-1</f>
        <v>0.0366054824623767</v>
      </c>
      <c r="I1437" s="26" t="n">
        <f aca="false">I1436/H1436-1</f>
        <v>0.0165868763513239</v>
      </c>
      <c r="J1437" s="26" t="n">
        <f aca="false">J1436/I1436-1</f>
        <v>-0.00343068072549013</v>
      </c>
    </row>
    <row r="1438" customFormat="false" ht="17.15" hidden="false" customHeight="false" outlineLevel="0" collapsed="false">
      <c r="A1438" s="4" t="s">
        <v>582</v>
      </c>
      <c r="B1438" s="0" t="s">
        <v>76</v>
      </c>
      <c r="C1438" s="14" t="n">
        <f aca="false">C1434/C1412</f>
        <v>0.0629977625862272</v>
      </c>
      <c r="D1438" s="14" t="n">
        <f aca="false">D1434/D1412</f>
        <v>0.107397865592237</v>
      </c>
      <c r="E1438" s="14" t="n">
        <f aca="false">E1434/E1412</f>
        <v>0.101147876407833</v>
      </c>
      <c r="F1438" s="14" t="n">
        <f aca="false">F1434/F1412</f>
        <v>0.0605140945901838</v>
      </c>
      <c r="G1438" s="14" t="n">
        <f aca="false">G1434/G1412</f>
        <v>0.0650493138428434</v>
      </c>
      <c r="H1438" s="27" t="n">
        <f aca="false">$G1438+(fade_mC-$G1438)*1/3</f>
        <v>0.0639138952882728</v>
      </c>
      <c r="I1438" s="27" t="n">
        <f aca="false">$G1438+(fade_mC-$G1438)*2/3</f>
        <v>0.0627784767337021</v>
      </c>
      <c r="J1438" s="27" t="n">
        <f aca="false">$G1438+(fade_mC-$G1438)*3/3</f>
        <v>0.0616430581791315</v>
      </c>
    </row>
    <row r="1439" customFormat="false" ht="17.15" hidden="false" customHeight="false" outlineLevel="0" collapsed="false">
      <c r="A1439" s="4" t="s">
        <v>583</v>
      </c>
      <c r="B1439" s="0" t="s">
        <v>234</v>
      </c>
      <c r="C1439" s="30" t="n">
        <f aca="false">C1434+C1420-C1418</f>
        <v>-54.587</v>
      </c>
      <c r="D1439" s="30" t="n">
        <f aca="false">D1434+D1420-D1418</f>
        <v>-176.164485935382</v>
      </c>
      <c r="E1439" s="30" t="n">
        <f aca="false">E1434+E1420-E1418</f>
        <v>-181.18669356483</v>
      </c>
      <c r="F1439" s="30" t="n">
        <f aca="false">F1434+F1420-F1418</f>
        <v>-74.9194477823671</v>
      </c>
      <c r="G1439" s="30" t="n">
        <f aca="false">G1434+G1420-G1418</f>
        <v>-72.4097751012898</v>
      </c>
      <c r="K1439" s="4" t="s">
        <v>584</v>
      </c>
    </row>
    <row r="1440" customFormat="false" ht="17.15" hidden="false" customHeight="false" outlineLevel="0" collapsed="false">
      <c r="A1440" s="4" t="s">
        <v>585</v>
      </c>
      <c r="B1440" s="0" t="s">
        <v>76</v>
      </c>
      <c r="D1440" s="21" t="n">
        <f aca="false">(D1428-$C1428)/SUM($D1418:D1418)</f>
        <v>0.164280348537512</v>
      </c>
      <c r="E1440" s="21" t="n">
        <f aca="false">(E1428-$C1428)/SUM($D1418:E1418)</f>
        <v>0.106186118584582</v>
      </c>
      <c r="F1440" s="21" t="n">
        <f aca="false">(F1428-$C1428)/SUM($D1418:F1418)</f>
        <v>0.0288882077591199</v>
      </c>
      <c r="G1440" s="21" t="n">
        <f aca="false">(G1428-$C1428)/SUM($D1418:G1418)</f>
        <v>0.0306051808241828</v>
      </c>
      <c r="K1440" s="4" t="s">
        <v>586</v>
      </c>
    </row>
    <row r="1443" customFormat="false" ht="17.15" hidden="false" customHeight="false" outlineLevel="0" collapsed="false">
      <c r="A1443" s="1" t="s">
        <v>943</v>
      </c>
    </row>
    <row r="1444" customFormat="false" ht="17.15" hidden="false" customHeight="false" outlineLevel="0" collapsed="false">
      <c r="A1444" s="5" t="s">
        <v>21</v>
      </c>
      <c r="B1444" s="5" t="s">
        <v>22</v>
      </c>
      <c r="C1444" s="15" t="s">
        <v>424</v>
      </c>
      <c r="D1444" s="15" t="s">
        <v>524</v>
      </c>
      <c r="E1444" s="15" t="s">
        <v>525</v>
      </c>
      <c r="F1444" s="15" t="s">
        <v>526</v>
      </c>
      <c r="G1444" s="15" t="s">
        <v>527</v>
      </c>
      <c r="H1444" s="15" t="s">
        <v>528</v>
      </c>
      <c r="I1444" s="15" t="s">
        <v>529</v>
      </c>
      <c r="J1444" s="15" t="s">
        <v>530</v>
      </c>
      <c r="K1444" s="5" t="s">
        <v>382</v>
      </c>
    </row>
    <row r="1445" customFormat="false" ht="17.15" hidden="false" customHeight="false" outlineLevel="0" collapsed="false">
      <c r="A1445" s="6" t="s">
        <v>548</v>
      </c>
    </row>
    <row r="1446" customFormat="false" ht="17.15" hidden="false" customHeight="false" outlineLevel="0" collapsed="false">
      <c r="A1446" s="0" t="s">
        <v>549</v>
      </c>
      <c r="B1446" s="4" t="s">
        <v>32</v>
      </c>
      <c r="D1446" s="19" t="n">
        <f aca="false">units_26</f>
        <v>15.2</v>
      </c>
      <c r="E1446" s="19" t="n">
        <f aca="false">units_27*1</f>
        <v>23.7</v>
      </c>
      <c r="F1446" s="19" t="n">
        <f aca="false">units_28*um28_A*1</f>
        <v>26.5</v>
      </c>
      <c r="G1446" s="19" t="n">
        <f aca="false">units_29*um29_A*1</f>
        <v>30.15</v>
      </c>
    </row>
    <row r="1447" customFormat="false" ht="17.15" hidden="false" customHeight="false" outlineLevel="0" collapsed="false">
      <c r="A1447" s="4" t="s">
        <v>497</v>
      </c>
      <c r="B1447" s="0" t="s">
        <v>45</v>
      </c>
      <c r="D1447" s="22" t="n">
        <f aca="false">ar_26</f>
        <v>1</v>
      </c>
      <c r="E1447" s="22" t="n">
        <f aca="false">ar_27</f>
        <v>1.278156</v>
      </c>
      <c r="F1447" s="22" t="n">
        <f aca="false">ar_28</f>
        <v>1.428615</v>
      </c>
      <c r="G1447" s="22" t="n">
        <f aca="false">ar_29</f>
        <v>1.431796</v>
      </c>
    </row>
    <row r="1448" customFormat="false" ht="17.15" hidden="false" customHeight="false" outlineLevel="0" collapsed="false">
      <c r="A1448" s="4" t="s">
        <v>550</v>
      </c>
      <c r="B1448" s="0" t="s">
        <v>45</v>
      </c>
      <c r="D1448" s="19" t="n">
        <f aca="false">1</f>
        <v>1</v>
      </c>
      <c r="E1448" s="19" t="n">
        <f aca="false">rel27_A</f>
        <v>1.1</v>
      </c>
      <c r="F1448" s="19" t="n">
        <f aca="false">rel28_A</f>
        <v>1.15</v>
      </c>
      <c r="G1448" s="19" t="n">
        <f aca="false">rel29_A</f>
        <v>1.2</v>
      </c>
    </row>
    <row r="1449" customFormat="false" ht="17.15" hidden="false" customHeight="false" outlineLevel="0" collapsed="false">
      <c r="A1449" s="4" t="s">
        <v>551</v>
      </c>
      <c r="B1449" s="0" t="s">
        <v>502</v>
      </c>
      <c r="D1449" s="23" t="n">
        <f aca="false">D1450*1000/D1446</f>
        <v>236.842105263158</v>
      </c>
      <c r="E1449" s="23" t="n">
        <f aca="false">$D1449*E1447^el</f>
        <v>267.763172119488</v>
      </c>
      <c r="F1449" s="23" t="n">
        <f aca="false">$D1449*F1447^el</f>
        <v>283.084777049615</v>
      </c>
      <c r="G1449" s="23" t="n">
        <f aca="false">$D1449*G1447^el</f>
        <v>283.399764630809</v>
      </c>
      <c r="K1449" s="8" t="s">
        <v>552</v>
      </c>
    </row>
    <row r="1450" customFormat="false" ht="17.15" hidden="false" customHeight="false" outlineLevel="0" collapsed="false">
      <c r="A1450" s="0" t="s">
        <v>553</v>
      </c>
      <c r="B1450" s="0" t="s">
        <v>120</v>
      </c>
      <c r="D1450" s="22" t="n">
        <f aca="false">leap26-D1451-D1452</f>
        <v>3.6</v>
      </c>
      <c r="E1450" s="22" t="n">
        <f aca="false">E1446*E1448*E1449/1000</f>
        <v>6.98058589715504</v>
      </c>
      <c r="F1450" s="22" t="n">
        <f aca="false">F1446*F1448*F1449/1000</f>
        <v>8.627008580587</v>
      </c>
      <c r="G1450" s="22" t="n">
        <f aca="false">G1446*G1448*G1449/1000</f>
        <v>10.2534034843427</v>
      </c>
      <c r="K1450" s="8" t="s">
        <v>554</v>
      </c>
    </row>
    <row r="1451" customFormat="false" ht="17.15" hidden="false" customHeight="false" outlineLevel="0" collapsed="false">
      <c r="A1451" s="4" t="s">
        <v>555</v>
      </c>
      <c r="B1451" s="0" t="s">
        <v>120</v>
      </c>
      <c r="D1451" s="22" t="n">
        <f aca="false">fp26</f>
        <v>0.3</v>
      </c>
      <c r="E1451" s="22" t="n">
        <f aca="false">fp27_A</f>
        <v>1.2</v>
      </c>
      <c r="F1451" s="22" t="n">
        <f aca="false">E1451*F1446/E1446*(1+fp_g)</f>
        <v>1.74430379746835</v>
      </c>
      <c r="G1451" s="22" t="n">
        <f aca="false">F1451*G1446/F1446*(1+fp_g)</f>
        <v>2.57992405063291</v>
      </c>
    </row>
    <row r="1452" customFormat="false" ht="17.15" hidden="false" customHeight="false" outlineLevel="0" collapsed="false">
      <c r="A1452" s="0" t="s">
        <v>556</v>
      </c>
      <c r="B1452" s="0" t="s">
        <v>120</v>
      </c>
      <c r="D1452" s="22" t="n">
        <f aca="false">cpo27*cpo_A_26/cpo_A_27</f>
        <v>0.1</v>
      </c>
      <c r="E1452" s="22" t="n">
        <f aca="false">cpo27*cpo_A_27/cpo_A_27</f>
        <v>0.5</v>
      </c>
      <c r="F1452" s="22" t="n">
        <f aca="false">cpo27*cpo_A_28/cpo_A_27*F1446/E1446</f>
        <v>1.11814345991561</v>
      </c>
      <c r="G1452" s="22" t="n">
        <f aca="false">cpo27*cpo_A_29/cpo_A_27*G1446/E1446</f>
        <v>2.03544303797468</v>
      </c>
      <c r="K1452" s="8" t="s">
        <v>557</v>
      </c>
    </row>
    <row r="1453" customFormat="false" ht="17.15" hidden="false" customHeight="false" outlineLevel="0" collapsed="false">
      <c r="A1453" s="0" t="s">
        <v>510</v>
      </c>
      <c r="B1453" s="0" t="s">
        <v>120</v>
      </c>
      <c r="C1453" s="22" t="n">
        <f aca="false">leap25</f>
        <v>1.6</v>
      </c>
      <c r="D1453" s="22" t="n">
        <f aca="false">D1450+D1451+D1452</f>
        <v>4</v>
      </c>
      <c r="E1453" s="22" t="n">
        <f aca="false">E1450+E1451+E1452</f>
        <v>8.68058589715504</v>
      </c>
      <c r="F1453" s="22" t="n">
        <f aca="false">F1450+F1451+F1452</f>
        <v>11.489455837971</v>
      </c>
      <c r="G1453" s="22" t="n">
        <f aca="false">G1450+G1451+G1452</f>
        <v>14.8687705729503</v>
      </c>
    </row>
    <row r="1454" customFormat="false" ht="17.15" hidden="false" customHeight="false" outlineLevel="0" collapsed="false">
      <c r="A1454" s="4" t="s">
        <v>558</v>
      </c>
      <c r="B1454" s="0" t="s">
        <v>114</v>
      </c>
      <c r="C1454" s="19" t="n">
        <f aca="false">fx25</f>
        <v>31</v>
      </c>
      <c r="D1454" s="19" t="n">
        <f aca="false">a26_leap/D1453</f>
        <v>31.9</v>
      </c>
      <c r="E1454" s="19" t="n">
        <f aca="false">fx</f>
        <v>32</v>
      </c>
      <c r="F1454" s="19" t="n">
        <f aca="false">fx</f>
        <v>32</v>
      </c>
      <c r="G1454" s="19" t="n">
        <f aca="false">fx</f>
        <v>32</v>
      </c>
      <c r="K1454" s="8" t="s">
        <v>559</v>
      </c>
    </row>
    <row r="1455" customFormat="false" ht="17.15" hidden="false" customHeight="false" outlineLevel="0" collapsed="false">
      <c r="A1455" s="6" t="s">
        <v>560</v>
      </c>
    </row>
    <row r="1456" customFormat="false" ht="17.15" hidden="false" customHeight="false" outlineLevel="0" collapsed="false">
      <c r="A1456" s="0" t="s">
        <v>438</v>
      </c>
      <c r="B1456" s="0" t="s">
        <v>234</v>
      </c>
      <c r="C1456" s="30" t="n">
        <f aca="false">a25_leap</f>
        <v>49.6</v>
      </c>
      <c r="D1456" s="30" t="n">
        <f aca="false">a26_leap</f>
        <v>127.6</v>
      </c>
      <c r="E1456" s="30" t="n">
        <f aca="false">E1453*E1454</f>
        <v>277.778748708961</v>
      </c>
      <c r="F1456" s="30" t="n">
        <f aca="false">F1453*F1454</f>
        <v>367.662586815071</v>
      </c>
      <c r="G1456" s="30" t="n">
        <f aca="false">G1453*G1454</f>
        <v>475.800658334408</v>
      </c>
    </row>
    <row r="1457" customFormat="false" ht="15" hidden="false" customHeight="false" outlineLevel="0" collapsed="false">
      <c r="A1457" s="4" t="s">
        <v>561</v>
      </c>
      <c r="B1457" s="0" t="s">
        <v>234</v>
      </c>
      <c r="C1457" s="30" t="n">
        <f aca="false">a25_ms</f>
        <v>339.628</v>
      </c>
      <c r="D1457" s="30" t="n">
        <f aca="false">a26_ms</f>
        <v>432.1302</v>
      </c>
      <c r="E1457" s="30" t="n">
        <f aca="false">D1457*(1+g_ms27_hi)</f>
        <v>527.198844</v>
      </c>
      <c r="F1457" s="30" t="n">
        <f aca="false">E1457*(1+g_msL)</f>
        <v>564.10276308</v>
      </c>
      <c r="G1457" s="30" t="n">
        <f aca="false">F1457*(1+g_msL)</f>
        <v>603.5899564956</v>
      </c>
    </row>
    <row r="1458" customFormat="false" ht="17.15" hidden="false" customHeight="false" outlineLevel="0" collapsed="false">
      <c r="A1458" s="4" t="s">
        <v>562</v>
      </c>
      <c r="B1458" s="0" t="s">
        <v>234</v>
      </c>
      <c r="C1458" s="30" t="n">
        <f aca="false">C1456+C1457</f>
        <v>389.228</v>
      </c>
      <c r="D1458" s="30" t="n">
        <f aca="false">D1456+D1457</f>
        <v>559.7302</v>
      </c>
      <c r="E1458" s="30" t="n">
        <f aca="false">E1456+E1457</f>
        <v>804.977592708961</v>
      </c>
      <c r="F1458" s="30" t="n">
        <f aca="false">F1456+F1457</f>
        <v>931.765349895071</v>
      </c>
      <c r="G1458" s="30" t="n">
        <f aca="false">G1456+G1457</f>
        <v>1079.39061483001</v>
      </c>
    </row>
    <row r="1459" customFormat="false" ht="17.15" hidden="false" customHeight="false" outlineLevel="0" collapsed="false">
      <c r="A1459" s="0" t="s">
        <v>563</v>
      </c>
      <c r="B1459" s="0" t="s">
        <v>234</v>
      </c>
      <c r="C1459" s="30" t="n">
        <f aca="false">a25_ems</f>
        <v>259.079</v>
      </c>
      <c r="D1459" s="30" t="n">
        <f aca="false">a26_ems</f>
        <v>314.602</v>
      </c>
      <c r="E1459" s="30" t="n">
        <f aca="false">D1459*(1+g_ems27)</f>
        <v>346.0622</v>
      </c>
      <c r="F1459" s="30" t="n">
        <f aca="false">E1459*(1+g_emsL)</f>
        <v>363.36531</v>
      </c>
      <c r="G1459" s="30" t="n">
        <f aca="false">F1459*(1+g_emsL)</f>
        <v>381.5335755</v>
      </c>
    </row>
    <row r="1460" customFormat="false" ht="17.15" hidden="false" customHeight="false" outlineLevel="0" collapsed="false">
      <c r="A1460" s="4" t="s">
        <v>564</v>
      </c>
      <c r="B1460" s="0" t="s">
        <v>234</v>
      </c>
      <c r="C1460" s="30" t="n">
        <f aca="false">a25_elim</f>
        <v>-2.91899999999998</v>
      </c>
      <c r="D1460" s="30" t="n">
        <f aca="false">a26_elim</f>
        <v>-3.16484905982349</v>
      </c>
      <c r="E1460" s="30" t="n">
        <f aca="false">$D1460/($D1458+$D1459)*(E1458+E1459)</f>
        <v>-4.16645664631175</v>
      </c>
      <c r="F1460" s="30" t="n">
        <f aca="false">$D1460/($D1458+$D1459)*(F1458+F1459)</f>
        <v>-4.68802710379131</v>
      </c>
      <c r="G1460" s="30" t="n">
        <f aca="false">$D1460/($D1458+$D1459)*(G1458+G1459)</f>
        <v>-5.2881554061938</v>
      </c>
      <c r="K1460" s="4" t="s">
        <v>565</v>
      </c>
    </row>
    <row r="1461" customFormat="false" ht="17.15" hidden="false" customHeight="false" outlineLevel="0" collapsed="false">
      <c r="A1461" s="4" t="s">
        <v>431</v>
      </c>
      <c r="B1461" s="0" t="s">
        <v>234</v>
      </c>
      <c r="C1461" s="30" t="n">
        <f aca="false">C1458+C1459+C1460</f>
        <v>645.388</v>
      </c>
      <c r="D1461" s="30" t="n">
        <f aca="false">D1458+D1459+D1460</f>
        <v>871.167350940177</v>
      </c>
      <c r="E1461" s="30" t="n">
        <f aca="false">E1458+E1459+E1460</f>
        <v>1146.87333606265</v>
      </c>
      <c r="F1461" s="30" t="n">
        <f aca="false">F1458+F1459+F1460</f>
        <v>1290.44263279128</v>
      </c>
      <c r="G1461" s="30" t="n">
        <f aca="false">G1458+G1459+G1460</f>
        <v>1455.63603492381</v>
      </c>
      <c r="H1461" s="31" t="n">
        <f aca="false">G1461*(1+H1462)</f>
        <v>1608.97562308903</v>
      </c>
      <c r="I1461" s="31" t="n">
        <f aca="false">H1461*(1+I1462)</f>
        <v>1741.99123409976</v>
      </c>
      <c r="J1461" s="31" t="n">
        <f aca="false">I1461*(1+J1462)</f>
        <v>1846.51070814575</v>
      </c>
      <c r="K1461" s="8" t="s">
        <v>566</v>
      </c>
    </row>
    <row r="1462" customFormat="false" ht="15" hidden="false" customHeight="false" outlineLevel="0" collapsed="false">
      <c r="A1462" s="4" t="s">
        <v>567</v>
      </c>
      <c r="B1462" s="0" t="s">
        <v>76</v>
      </c>
      <c r="D1462" s="21" t="n">
        <f aca="false">D1461/C1461-1</f>
        <v>0.349835061916516</v>
      </c>
      <c r="E1462" s="21" t="n">
        <f aca="false">E1461/D1461-1</f>
        <v>0.316478785419274</v>
      </c>
      <c r="F1462" s="21" t="n">
        <f aca="false">F1461/E1461-1</f>
        <v>0.125183219640907</v>
      </c>
      <c r="G1462" s="21" t="n">
        <f aca="false">G1461/F1461-1</f>
        <v>0.128012976272502</v>
      </c>
      <c r="H1462" s="26" t="n">
        <f aca="false">$G1462+(fade_gA-$G1462)*1/3</f>
        <v>0.105341984181668</v>
      </c>
      <c r="I1462" s="26" t="n">
        <f aca="false">$G1462+(fade_gA-$G1462)*2/3</f>
        <v>0.082670992090834</v>
      </c>
      <c r="J1462" s="26" t="n">
        <f aca="false">$G1462+(fade_gA-$G1462)*3/3</f>
        <v>0.06</v>
      </c>
    </row>
    <row r="1463" customFormat="false" ht="17.15" hidden="false" customHeight="false" outlineLevel="0" collapsed="false">
      <c r="A1463" s="0" t="s">
        <v>475</v>
      </c>
      <c r="B1463" s="0" t="s">
        <v>76</v>
      </c>
      <c r="C1463" s="21" t="n">
        <f aca="false">C1456/C1458</f>
        <v>0.127431736668482</v>
      </c>
      <c r="D1463" s="21" t="n">
        <f aca="false">D1456/D1458</f>
        <v>0.227966974088588</v>
      </c>
      <c r="E1463" s="21" t="n">
        <f aca="false">E1456/E1458</f>
        <v>0.345076373833168</v>
      </c>
      <c r="F1463" s="21" t="n">
        <f aca="false">F1456/F1458</f>
        <v>0.394587099484301</v>
      </c>
      <c r="G1463" s="21" t="n">
        <f aca="false">G1456/G1458</f>
        <v>0.440804887310736</v>
      </c>
    </row>
    <row r="1464" customFormat="false" ht="15" hidden="false" customHeight="false" outlineLevel="0" collapsed="false">
      <c r="A1464" s="4" t="s">
        <v>568</v>
      </c>
      <c r="B1464" s="0" t="s">
        <v>76</v>
      </c>
      <c r="D1464" s="21" t="n">
        <f aca="false">D1458/C1458-1</f>
        <v>0.438052247012034</v>
      </c>
      <c r="E1464" s="21" t="n">
        <f aca="false">E1458/D1458-1</f>
        <v>0.438152868487284</v>
      </c>
      <c r="F1464" s="21" t="n">
        <f aca="false">F1458/E1458-1</f>
        <v>0.157504703651981</v>
      </c>
      <c r="G1464" s="21" t="n">
        <f aca="false">G1458/F1458-1</f>
        <v>0.158436096546799</v>
      </c>
    </row>
    <row r="1465" customFormat="false" ht="17.15" hidden="false" customHeight="false" outlineLevel="0" collapsed="false">
      <c r="A1465" s="6" t="s">
        <v>569</v>
      </c>
    </row>
    <row r="1466" customFormat="false" ht="17.15" hidden="false" customHeight="false" outlineLevel="0" collapsed="false">
      <c r="A1466" s="4" t="s">
        <v>570</v>
      </c>
      <c r="B1466" s="0" t="s">
        <v>120</v>
      </c>
      <c r="C1466" s="19" t="n">
        <f aca="false">capex25</f>
        <v>5.5</v>
      </c>
      <c r="D1466" s="19" t="n">
        <f aca="false">capex26</f>
        <v>11.5</v>
      </c>
      <c r="E1466" s="19" t="n">
        <f aca="false">capex27</f>
        <v>13</v>
      </c>
      <c r="F1466" s="19" t="n">
        <f aca="false">capi*F1461/F1454</f>
        <v>12.0978996824182</v>
      </c>
      <c r="G1466" s="19" t="n">
        <f aca="false">capi*G1461/G1454</f>
        <v>13.6465878274108</v>
      </c>
      <c r="K1466" s="8" t="s">
        <v>571</v>
      </c>
    </row>
    <row r="1467" customFormat="false" ht="15" hidden="false" customHeight="false" outlineLevel="0" collapsed="false">
      <c r="A1467" s="4" t="s">
        <v>572</v>
      </c>
      <c r="B1467" s="0" t="s">
        <v>234</v>
      </c>
      <c r="C1467" s="30" t="n">
        <f aca="false">C1466*C1454</f>
        <v>170.5</v>
      </c>
      <c r="D1467" s="30" t="n">
        <f aca="false">D1466*31.9</f>
        <v>366.85</v>
      </c>
      <c r="E1467" s="30" t="n">
        <f aca="false">E1466*E1454</f>
        <v>416</v>
      </c>
      <c r="F1467" s="30" t="n">
        <f aca="false">F1466*F1454</f>
        <v>387.132789837384</v>
      </c>
      <c r="G1467" s="30" t="n">
        <f aca="false">G1466*G1454</f>
        <v>436.690810477144</v>
      </c>
    </row>
    <row r="1468" customFormat="false" ht="17.15" hidden="false" customHeight="false" outlineLevel="0" collapsed="false">
      <c r="A1468" s="4" t="s">
        <v>473</v>
      </c>
      <c r="B1468" s="0" t="s">
        <v>76</v>
      </c>
      <c r="C1468" s="21" t="n">
        <f aca="false">C1467/C1461</f>
        <v>0.264182166386732</v>
      </c>
      <c r="D1468" s="21" t="n">
        <f aca="false">D1467/D1461</f>
        <v>0.421101639775745</v>
      </c>
      <c r="E1468" s="21" t="n">
        <f aca="false">E1467/E1461</f>
        <v>0.362725321898386</v>
      </c>
      <c r="F1468" s="21" t="n">
        <f aca="false">F1467/F1461</f>
        <v>0.3</v>
      </c>
      <c r="G1468" s="21" t="n">
        <f aca="false">G1467/G1461</f>
        <v>0.3</v>
      </c>
    </row>
    <row r="1469" customFormat="false" ht="17.15" hidden="false" customHeight="false" outlineLevel="0" collapsed="false">
      <c r="A1469" s="4" t="s">
        <v>573</v>
      </c>
      <c r="B1469" s="0" t="s">
        <v>234</v>
      </c>
      <c r="C1469" s="30" t="n">
        <f aca="false">a25_da</f>
        <v>75.255</v>
      </c>
      <c r="D1469" s="30" t="n">
        <f aca="false">a26_da</f>
        <v>97.124</v>
      </c>
      <c r="E1469" s="30" t="n">
        <f aca="false">D1469*(1-1/life)+D1467/life</f>
        <v>130.83975</v>
      </c>
      <c r="F1469" s="30" t="n">
        <f aca="false">E1469*(1-1/life)+E1467/life</f>
        <v>166.48478125</v>
      </c>
      <c r="G1469" s="30" t="n">
        <f aca="false">F1469*(1-1/life)+F1467/life</f>
        <v>194.065782323423</v>
      </c>
      <c r="K1469" s="4" t="s">
        <v>574</v>
      </c>
    </row>
    <row r="1470" customFormat="false" ht="17.15" hidden="false" customHeight="false" outlineLevel="0" collapsed="false">
      <c r="A1470" s="4" t="s">
        <v>575</v>
      </c>
      <c r="B1470" s="0" t="s">
        <v>234</v>
      </c>
      <c r="C1470" s="30" t="n">
        <f aca="false">a25_agp</f>
        <v>91.38</v>
      </c>
      <c r="D1470" s="30" t="n">
        <f aca="false">a26_agp</f>
        <v>164.623388</v>
      </c>
      <c r="E1470" s="30" t="n">
        <f aca="false">$D1470+ft*(E1458-$D1458)-(E1469-$D1469)</f>
        <v>253.531334354481</v>
      </c>
      <c r="F1470" s="30" t="n">
        <f aca="false">$D1470+ft*(F1458-$D1458)-(F1469-$D1469)</f>
        <v>281.280181697536</v>
      </c>
      <c r="G1470" s="30" t="n">
        <f aca="false">$D1470+ft*(G1458-$D1458)-(G1469-$D1469)</f>
        <v>327.511813091581</v>
      </c>
      <c r="K1470" s="4" t="s">
        <v>576</v>
      </c>
    </row>
    <row r="1471" customFormat="false" ht="15" hidden="false" customHeight="false" outlineLevel="0" collapsed="false">
      <c r="A1471" s="4" t="s">
        <v>447</v>
      </c>
      <c r="B1471" s="0" t="s">
        <v>76</v>
      </c>
      <c r="C1471" s="14" t="n">
        <f aca="false">C1470/C1458</f>
        <v>0.234772421305764</v>
      </c>
      <c r="D1471" s="14" t="n">
        <f aca="false">D1470/D1458</f>
        <v>0.294112034690999</v>
      </c>
      <c r="E1471" s="14" t="n">
        <f aca="false">E1470/E1458</f>
        <v>0.314954523766657</v>
      </c>
      <c r="F1471" s="14" t="n">
        <f aca="false">F1470/F1458</f>
        <v>0.301878774231314</v>
      </c>
      <c r="G1471" s="14" t="n">
        <f aca="false">G1470/G1458</f>
        <v>0.303422883793705</v>
      </c>
    </row>
    <row r="1472" customFormat="false" ht="17.15" hidden="false" customHeight="false" outlineLevel="0" collapsed="false">
      <c r="A1472" s="0" t="s">
        <v>449</v>
      </c>
      <c r="B1472" s="0" t="s">
        <v>234</v>
      </c>
      <c r="C1472" s="30" t="n">
        <f aca="false">a25_egp</f>
        <v>23.695</v>
      </c>
      <c r="D1472" s="30" t="n">
        <f aca="false">a26_egp</f>
        <v>27.00552</v>
      </c>
      <c r="E1472" s="30" t="n">
        <f aca="false">E1459*ems_gm</f>
        <v>29.415287</v>
      </c>
      <c r="F1472" s="30" t="n">
        <f aca="false">F1459*ems_gm</f>
        <v>30.88605135</v>
      </c>
      <c r="G1472" s="30" t="n">
        <f aca="false">G1459*ems_gm</f>
        <v>32.4303539175</v>
      </c>
    </row>
    <row r="1473" customFormat="false" ht="15" hidden="false" customHeight="false" outlineLevel="0" collapsed="false">
      <c r="A1473" s="4" t="s">
        <v>577</v>
      </c>
      <c r="B1473" s="0" t="s">
        <v>234</v>
      </c>
      <c r="C1473" s="30" t="n">
        <f aca="false">a25_lgp</f>
        <v>-0.881999999999998</v>
      </c>
      <c r="D1473" s="30" t="n">
        <f aca="false">a26_lgp</f>
        <v>-0.948662139013863</v>
      </c>
      <c r="E1473" s="30" t="n">
        <f aca="false">$D1473/$D1460*E1460</f>
        <v>-1.24889358054222</v>
      </c>
      <c r="F1473" s="30" t="n">
        <f aca="false">$D1473/$D1460*F1460</f>
        <v>-1.40523409994336</v>
      </c>
      <c r="G1473" s="30" t="n">
        <f aca="false">$D1473/$D1460*G1460</f>
        <v>-1.58512229943671</v>
      </c>
    </row>
    <row r="1474" customFormat="false" ht="15" hidden="false" customHeight="false" outlineLevel="0" collapsed="false">
      <c r="A1474" s="4" t="s">
        <v>451</v>
      </c>
      <c r="B1474" s="0" t="s">
        <v>234</v>
      </c>
      <c r="C1474" s="30" t="n">
        <f aca="false">C1470+C1472+C1473</f>
        <v>114.193</v>
      </c>
      <c r="D1474" s="30" t="n">
        <f aca="false">D1470+D1472+D1473</f>
        <v>190.680245860986</v>
      </c>
      <c r="E1474" s="30" t="n">
        <f aca="false">E1470+E1472+E1473</f>
        <v>281.697727773938</v>
      </c>
      <c r="F1474" s="30" t="n">
        <f aca="false">F1470+F1472+F1473</f>
        <v>310.760998947592</v>
      </c>
      <c r="G1474" s="30" t="n">
        <f aca="false">G1470+G1472+G1473</f>
        <v>358.357044709645</v>
      </c>
    </row>
    <row r="1475" customFormat="false" ht="15" hidden="false" customHeight="false" outlineLevel="0" collapsed="false">
      <c r="A1475" s="4" t="s">
        <v>452</v>
      </c>
      <c r="B1475" s="0" t="s">
        <v>76</v>
      </c>
      <c r="C1475" s="14" t="n">
        <f aca="false">C1474/C1461</f>
        <v>0.176936974347214</v>
      </c>
      <c r="D1475" s="14" t="n">
        <f aca="false">D1474/D1461</f>
        <v>0.218879008327391</v>
      </c>
      <c r="E1475" s="14" t="n">
        <f aca="false">E1474/E1461</f>
        <v>0.245622353328956</v>
      </c>
      <c r="F1475" s="14" t="n">
        <f aca="false">F1474/F1461</f>
        <v>0.240817368436909</v>
      </c>
      <c r="G1475" s="14" t="n">
        <f aca="false">G1474/G1461</f>
        <v>0.246185884460053</v>
      </c>
    </row>
    <row r="1476" customFormat="false" ht="15" hidden="false" customHeight="false" outlineLevel="0" collapsed="false">
      <c r="A1476" s="4" t="s">
        <v>578</v>
      </c>
      <c r="B1476" s="0" t="s">
        <v>234</v>
      </c>
      <c r="C1476" s="30" t="n">
        <f aca="false">a25_opx</f>
        <v>63.437</v>
      </c>
      <c r="D1476" s="30" t="n">
        <f aca="false">a26_opx</f>
        <v>79.658</v>
      </c>
      <c r="E1476" s="30" t="n">
        <f aca="false">D1476*(1+phi*E1462)</f>
        <v>94.7840402533571</v>
      </c>
      <c r="F1476" s="30" t="n">
        <f aca="false">E1476*(1+phi*F1462)</f>
        <v>101.90326305105</v>
      </c>
      <c r="G1476" s="30" t="n">
        <f aca="false">F1476*(1+phi*G1462)</f>
        <v>109.730227048077</v>
      </c>
    </row>
    <row r="1477" customFormat="false" ht="15" hidden="false" customHeight="false" outlineLevel="0" collapsed="false">
      <c r="A1477" s="4" t="s">
        <v>455</v>
      </c>
      <c r="B1477" s="0" t="s">
        <v>234</v>
      </c>
      <c r="C1477" s="30" t="n">
        <f aca="false">C1474-C1476</f>
        <v>50.756</v>
      </c>
      <c r="D1477" s="30" t="n">
        <f aca="false">D1474-D1476</f>
        <v>111.022245860986</v>
      </c>
      <c r="E1477" s="30" t="n">
        <f aca="false">E1474-E1476</f>
        <v>186.913687520581</v>
      </c>
      <c r="F1477" s="30" t="n">
        <f aca="false">F1474-F1476</f>
        <v>208.857735896542</v>
      </c>
      <c r="G1477" s="30" t="n">
        <f aca="false">G1474-G1476</f>
        <v>248.626817661568</v>
      </c>
    </row>
    <row r="1478" customFormat="false" ht="15" hidden="false" customHeight="false" outlineLevel="0" collapsed="false">
      <c r="A1478" s="4" t="s">
        <v>537</v>
      </c>
      <c r="B1478" s="0" t="s">
        <v>76</v>
      </c>
      <c r="C1478" s="14" t="n">
        <f aca="false">C1477/C1461</f>
        <v>0.0786441644406156</v>
      </c>
      <c r="D1478" s="14" t="n">
        <f aca="false">D1477/D1461</f>
        <v>0.127440779020437</v>
      </c>
      <c r="E1478" s="14" t="n">
        <f aca="false">E1477/E1461</f>
        <v>0.162976748733455</v>
      </c>
      <c r="F1478" s="14" t="n">
        <f aca="false">F1477/F1461</f>
        <v>0.161849686758081</v>
      </c>
      <c r="G1478" s="14" t="n">
        <f aca="false">G1477/G1461</f>
        <v>0.170802873586858</v>
      </c>
    </row>
    <row r="1479" customFormat="false" ht="15" hidden="false" customHeight="false" outlineLevel="0" collapsed="false">
      <c r="A1479" s="4" t="s">
        <v>456</v>
      </c>
      <c r="B1479" s="0" t="s">
        <v>234</v>
      </c>
      <c r="C1479" s="30" t="n">
        <f aca="false">a25_nonop</f>
        <v>0.545</v>
      </c>
      <c r="D1479" s="30" t="n">
        <f aca="false">a26_nonop</f>
        <v>4.302</v>
      </c>
      <c r="E1479" s="30" t="n">
        <f aca="false">nonop_f</f>
        <v>-5</v>
      </c>
      <c r="F1479" s="30" t="n">
        <f aca="false">nonop_f</f>
        <v>-5</v>
      </c>
      <c r="G1479" s="30" t="n">
        <f aca="false">nonop_f</f>
        <v>-5</v>
      </c>
    </row>
    <row r="1480" customFormat="false" ht="15" hidden="false" customHeight="false" outlineLevel="0" collapsed="false">
      <c r="A1480" s="4" t="s">
        <v>459</v>
      </c>
      <c r="B1480" s="0" t="s">
        <v>234</v>
      </c>
      <c r="C1480" s="30" t="n">
        <f aca="false">C1477+C1479</f>
        <v>51.301</v>
      </c>
      <c r="D1480" s="30" t="n">
        <f aca="false">D1477+D1479</f>
        <v>115.324245860986</v>
      </c>
      <c r="E1480" s="30" t="n">
        <f aca="false">E1477+E1479</f>
        <v>181.913687520581</v>
      </c>
      <c r="F1480" s="30" t="n">
        <f aca="false">F1477+F1479</f>
        <v>203.857735896542</v>
      </c>
      <c r="G1480" s="30" t="n">
        <f aca="false">G1477+G1479</f>
        <v>243.626817661568</v>
      </c>
    </row>
    <row r="1481" customFormat="false" ht="15" hidden="false" customHeight="false" outlineLevel="0" collapsed="false">
      <c r="A1481" s="4" t="s">
        <v>460</v>
      </c>
      <c r="B1481" s="0" t="s">
        <v>234</v>
      </c>
      <c r="C1481" s="30" t="n">
        <f aca="false">a25_tax</f>
        <v>9.461</v>
      </c>
      <c r="D1481" s="30" t="n">
        <f aca="false">a26_tax</f>
        <v>19.2197317963676</v>
      </c>
      <c r="E1481" s="30" t="n">
        <f aca="false">E1480*tax</f>
        <v>30.9253268784988</v>
      </c>
      <c r="F1481" s="30" t="n">
        <f aca="false">F1480*tax</f>
        <v>34.6558151024121</v>
      </c>
      <c r="G1481" s="30" t="n">
        <f aca="false">G1480*tax</f>
        <v>41.4165590024665</v>
      </c>
    </row>
    <row r="1482" customFormat="false" ht="15" hidden="false" customHeight="false" outlineLevel="0" collapsed="false">
      <c r="A1482" s="4" t="s">
        <v>461</v>
      </c>
      <c r="B1482" s="0" t="s">
        <v>234</v>
      </c>
      <c r="C1482" s="30" t="n">
        <f aca="false">a25_nci</f>
        <v>1.182</v>
      </c>
      <c r="D1482" s="30" t="n">
        <f aca="false">a26_nci</f>
        <v>2.543</v>
      </c>
      <c r="E1482" s="30" t="n">
        <f aca="false">nci</f>
        <v>3</v>
      </c>
      <c r="F1482" s="30" t="n">
        <f aca="false">nci</f>
        <v>3</v>
      </c>
      <c r="G1482" s="30" t="n">
        <f aca="false">nci</f>
        <v>3</v>
      </c>
    </row>
    <row r="1483" customFormat="false" ht="15" hidden="false" customHeight="false" outlineLevel="0" collapsed="false">
      <c r="A1483" s="4" t="s">
        <v>462</v>
      </c>
      <c r="B1483" s="0" t="s">
        <v>234</v>
      </c>
      <c r="C1483" s="30" t="n">
        <f aca="false">C1480-C1481-C1482</f>
        <v>40.658</v>
      </c>
      <c r="D1483" s="30" t="n">
        <f aca="false">D1480-D1481-D1482</f>
        <v>93.5615140646185</v>
      </c>
      <c r="E1483" s="30" t="n">
        <f aca="false">E1480-E1481-E1482</f>
        <v>147.988360642083</v>
      </c>
      <c r="F1483" s="30" t="n">
        <f aca="false">F1480-F1481-F1482</f>
        <v>166.20192079413</v>
      </c>
      <c r="G1483" s="30" t="n">
        <f aca="false">G1480-G1481-G1482</f>
        <v>199.210258659101</v>
      </c>
      <c r="H1483" s="31" t="n">
        <f aca="false">H1461*H1487</f>
        <v>217.487766782692</v>
      </c>
      <c r="I1483" s="31" t="n">
        <f aca="false">I1461*I1487</f>
        <v>232.536152539856</v>
      </c>
      <c r="J1483" s="31" t="n">
        <f aca="false">J1461*J1487</f>
        <v>243.380885380443</v>
      </c>
    </row>
    <row r="1484" customFormat="false" ht="15" hidden="false" customHeight="false" outlineLevel="0" collapsed="false">
      <c r="A1484" s="4" t="s">
        <v>579</v>
      </c>
      <c r="B1484" s="4" t="s">
        <v>580</v>
      </c>
      <c r="C1484" s="18" t="n">
        <f aca="false">a25_sh</f>
        <v>4339.16755602988</v>
      </c>
      <c r="D1484" s="18" t="n">
        <f aca="false">a26_sh</f>
        <v>4392.90105184664</v>
      </c>
      <c r="E1484" s="18" t="n">
        <f aca="false">D1484*(1+sh_g)</f>
        <v>4414.86555710588</v>
      </c>
      <c r="F1484" s="18" t="n">
        <f aca="false">E1484*(1+sh_g)</f>
        <v>4436.9398848914</v>
      </c>
      <c r="G1484" s="18" t="n">
        <f aca="false">F1484*(1+sh_g)</f>
        <v>4459.12458431586</v>
      </c>
      <c r="H1484" s="25" t="n">
        <f aca="false">G1484*(1+sh_g)</f>
        <v>4481.42020723744</v>
      </c>
      <c r="I1484" s="25" t="n">
        <f aca="false">H1484*(1+sh_g)</f>
        <v>4503.82730827363</v>
      </c>
      <c r="J1484" s="25" t="n">
        <f aca="false">I1484*(1+sh_g)</f>
        <v>4526.34644481499</v>
      </c>
    </row>
    <row r="1485" customFormat="false" ht="17.15" hidden="false" customHeight="false" outlineLevel="0" collapsed="false">
      <c r="A1485" s="0" t="s">
        <v>465</v>
      </c>
      <c r="B1485" s="0" t="s">
        <v>304</v>
      </c>
      <c r="C1485" s="19" t="n">
        <f aca="false">a25_eps</f>
        <v>9.37</v>
      </c>
      <c r="D1485" s="19" t="n">
        <f aca="false">a26_eps</f>
        <v>21.2828697294455</v>
      </c>
      <c r="E1485" s="19" t="n">
        <f aca="false">E1483/E1484*1000</f>
        <v>33.5204682289567</v>
      </c>
      <c r="F1485" s="19" t="n">
        <f aca="false">F1483/F1484*1000</f>
        <v>37.4586821336205</v>
      </c>
      <c r="G1485" s="19" t="n">
        <f aca="false">G1483/G1484*1000</f>
        <v>44.6747461059478</v>
      </c>
      <c r="H1485" s="28" t="n">
        <f aca="false">H1483/H1484*1000</f>
        <v>48.5309916779176</v>
      </c>
      <c r="I1485" s="28" t="n">
        <f aca="false">I1483/I1484*1000</f>
        <v>51.6307879106914</v>
      </c>
      <c r="J1485" s="28" t="n">
        <f aca="false">J1483/J1484*1000</f>
        <v>53.7698314408169</v>
      </c>
    </row>
    <row r="1486" customFormat="false" ht="17.15" hidden="false" customHeight="false" outlineLevel="0" collapsed="false">
      <c r="A1486" s="0" t="s">
        <v>581</v>
      </c>
      <c r="B1486" s="0" t="s">
        <v>76</v>
      </c>
      <c r="D1486" s="21" t="n">
        <f aca="false">D1485/C1485-1</f>
        <v>1.27138417603474</v>
      </c>
      <c r="E1486" s="21" t="n">
        <f aca="false">E1485/D1485-1</f>
        <v>0.574997575753613</v>
      </c>
      <c r="F1486" s="21" t="n">
        <f aca="false">F1485/E1485-1</f>
        <v>0.117486840510832</v>
      </c>
      <c r="G1486" s="21" t="n">
        <f aca="false">G1485/F1485-1</f>
        <v>0.192640625919154</v>
      </c>
      <c r="H1486" s="26" t="n">
        <f aca="false">H1485/G1485-1</f>
        <v>0.0863182425888809</v>
      </c>
      <c r="I1486" s="26" t="n">
        <f aca="false">I1485/H1485-1</f>
        <v>0.0638725096191315</v>
      </c>
      <c r="J1486" s="26" t="n">
        <f aca="false">J1485/I1485-1</f>
        <v>0.04142961238216</v>
      </c>
    </row>
    <row r="1487" customFormat="false" ht="17.15" hidden="false" customHeight="false" outlineLevel="0" collapsed="false">
      <c r="A1487" s="4" t="s">
        <v>582</v>
      </c>
      <c r="B1487" s="0" t="s">
        <v>76</v>
      </c>
      <c r="C1487" s="14" t="n">
        <f aca="false">C1483/C1461</f>
        <v>0.0629977625862272</v>
      </c>
      <c r="D1487" s="14" t="n">
        <f aca="false">D1483/D1461</f>
        <v>0.107397865592237</v>
      </c>
      <c r="E1487" s="14" t="n">
        <f aca="false">E1483/E1461</f>
        <v>0.129036359978639</v>
      </c>
      <c r="F1487" s="14" t="n">
        <f aca="false">F1483/F1461</f>
        <v>0.128794505521434</v>
      </c>
      <c r="G1487" s="14" t="n">
        <f aca="false">G1483/G1461</f>
        <v>0.136854442923658</v>
      </c>
      <c r="H1487" s="27" t="n">
        <f aca="false">$G1487+(fade_mA-$G1487)*1/3</f>
        <v>0.135171573553827</v>
      </c>
      <c r="I1487" s="27" t="n">
        <f aca="false">$G1487+(fade_mA-$G1487)*2/3</f>
        <v>0.133488704183995</v>
      </c>
      <c r="J1487" s="27" t="n">
        <f aca="false">$G1487+(fade_mA-$G1487)*3/3</f>
        <v>0.131805834814164</v>
      </c>
    </row>
    <row r="1488" customFormat="false" ht="17.15" hidden="false" customHeight="false" outlineLevel="0" collapsed="false">
      <c r="A1488" s="4" t="s">
        <v>583</v>
      </c>
      <c r="B1488" s="0" t="s">
        <v>234</v>
      </c>
      <c r="C1488" s="30" t="n">
        <f aca="false">C1483+C1469-C1467</f>
        <v>-54.587</v>
      </c>
      <c r="D1488" s="30" t="n">
        <f aca="false">D1483+D1469-D1467</f>
        <v>-176.164485935382</v>
      </c>
      <c r="E1488" s="30" t="n">
        <f aca="false">E1483+E1469-E1467</f>
        <v>-137.171889357918</v>
      </c>
      <c r="F1488" s="30" t="n">
        <f aca="false">F1483+F1469-F1467</f>
        <v>-54.446087793254</v>
      </c>
      <c r="G1488" s="30" t="n">
        <f aca="false">G1483+G1469-G1467</f>
        <v>-43.4147694946204</v>
      </c>
      <c r="K1488" s="4" t="s">
        <v>584</v>
      </c>
    </row>
    <row r="1489" customFormat="false" ht="17.15" hidden="false" customHeight="false" outlineLevel="0" collapsed="false">
      <c r="A1489" s="4" t="s">
        <v>585</v>
      </c>
      <c r="B1489" s="0" t="s">
        <v>76</v>
      </c>
      <c r="D1489" s="21" t="n">
        <f aca="false">(D1477-$C1477)/SUM($D1467:D1467)</f>
        <v>0.164280348537512</v>
      </c>
      <c r="E1489" s="21" t="n">
        <f aca="false">(E1477-$C1477)/SUM($D1467:E1467)</f>
        <v>0.173925640314979</v>
      </c>
      <c r="F1489" s="21" t="n">
        <f aca="false">(F1477-$C1477)/SUM($D1467:F1467)</f>
        <v>0.135131676525359</v>
      </c>
      <c r="G1489" s="21" t="n">
        <f aca="false">(G1477-$C1477)/SUM($D1467:G1467)</f>
        <v>0.123155579093869</v>
      </c>
      <c r="K1489" s="4" t="s">
        <v>586</v>
      </c>
    </row>
    <row r="1492" customFormat="false" ht="17.15" hidden="false" customHeight="false" outlineLevel="0" collapsed="false">
      <c r="A1492" s="1" t="s">
        <v>944</v>
      </c>
    </row>
    <row r="1493" customFormat="false" ht="17.15" hidden="false" customHeight="false" outlineLevel="0" collapsed="false">
      <c r="A1493" s="5" t="s">
        <v>21</v>
      </c>
      <c r="B1493" s="5" t="s">
        <v>22</v>
      </c>
      <c r="C1493" s="15" t="s">
        <v>424</v>
      </c>
      <c r="D1493" s="15" t="s">
        <v>524</v>
      </c>
      <c r="E1493" s="15" t="s">
        <v>525</v>
      </c>
      <c r="F1493" s="15" t="s">
        <v>526</v>
      </c>
      <c r="G1493" s="15" t="s">
        <v>527</v>
      </c>
      <c r="H1493" s="15" t="s">
        <v>528</v>
      </c>
      <c r="I1493" s="15" t="s">
        <v>529</v>
      </c>
      <c r="J1493" s="15" t="s">
        <v>530</v>
      </c>
      <c r="K1493" s="5" t="s">
        <v>382</v>
      </c>
    </row>
    <row r="1494" customFormat="false" ht="17.15" hidden="false" customHeight="false" outlineLevel="0" collapsed="false">
      <c r="A1494" s="6" t="s">
        <v>548</v>
      </c>
    </row>
    <row r="1495" customFormat="false" ht="17.15" hidden="false" customHeight="false" outlineLevel="0" collapsed="false">
      <c r="A1495" s="0" t="s">
        <v>549</v>
      </c>
      <c r="B1495" s="4" t="s">
        <v>32</v>
      </c>
      <c r="D1495" s="19" t="n">
        <f aca="false">units_26</f>
        <v>15.2</v>
      </c>
      <c r="E1495" s="19" t="n">
        <f aca="false">units_27*1</f>
        <v>23.7</v>
      </c>
      <c r="F1495" s="19" t="n">
        <f aca="false">units_28*um28_B*1</f>
        <v>21.2</v>
      </c>
      <c r="G1495" s="19" t="n">
        <f aca="false">units_29*um29_B*1</f>
        <v>25.6275</v>
      </c>
    </row>
    <row r="1496" customFormat="false" ht="17.15" hidden="false" customHeight="false" outlineLevel="0" collapsed="false">
      <c r="A1496" s="4" t="s">
        <v>497</v>
      </c>
      <c r="B1496" s="0" t="s">
        <v>45</v>
      </c>
      <c r="D1496" s="22" t="n">
        <f aca="false">ar_26</f>
        <v>1</v>
      </c>
      <c r="E1496" s="22" t="n">
        <f aca="false">ar_27</f>
        <v>1.278156</v>
      </c>
      <c r="F1496" s="22" t="n">
        <f aca="false">ar_28</f>
        <v>1.428615</v>
      </c>
      <c r="G1496" s="22" t="n">
        <f aca="false">ar_29</f>
        <v>1.431796</v>
      </c>
    </row>
    <row r="1497" customFormat="false" ht="17.15" hidden="false" customHeight="false" outlineLevel="0" collapsed="false">
      <c r="A1497" s="4" t="s">
        <v>550</v>
      </c>
      <c r="B1497" s="0" t="s">
        <v>45</v>
      </c>
      <c r="D1497" s="19" t="n">
        <f aca="false">1</f>
        <v>1</v>
      </c>
      <c r="E1497" s="19" t="n">
        <f aca="false">rel27_B</f>
        <v>1.05</v>
      </c>
      <c r="F1497" s="19" t="n">
        <f aca="false">rel28_B</f>
        <v>1.08</v>
      </c>
      <c r="G1497" s="19" t="n">
        <f aca="false">rel29_B</f>
        <v>1.1</v>
      </c>
    </row>
    <row r="1498" customFormat="false" ht="17.15" hidden="false" customHeight="false" outlineLevel="0" collapsed="false">
      <c r="A1498" s="4" t="s">
        <v>551</v>
      </c>
      <c r="B1498" s="0" t="s">
        <v>502</v>
      </c>
      <c r="D1498" s="23" t="n">
        <f aca="false">D1499*1000/D1495</f>
        <v>236.842105263158</v>
      </c>
      <c r="E1498" s="23" t="n">
        <f aca="false">$D1498*E1496^el</f>
        <v>267.763172119488</v>
      </c>
      <c r="F1498" s="23" t="n">
        <f aca="false">$D1498*F1496^el</f>
        <v>283.084777049615</v>
      </c>
      <c r="G1498" s="23" t="n">
        <f aca="false">$D1498*G1496^el</f>
        <v>283.399764630809</v>
      </c>
      <c r="K1498" s="8" t="s">
        <v>552</v>
      </c>
    </row>
    <row r="1499" customFormat="false" ht="17.15" hidden="false" customHeight="false" outlineLevel="0" collapsed="false">
      <c r="A1499" s="0" t="s">
        <v>553</v>
      </c>
      <c r="B1499" s="0" t="s">
        <v>120</v>
      </c>
      <c r="D1499" s="22" t="n">
        <f aca="false">leap26-D1500-D1501</f>
        <v>3.6</v>
      </c>
      <c r="E1499" s="22" t="n">
        <f aca="false">E1495*E1497*E1498/1000</f>
        <v>6.66328653819345</v>
      </c>
      <c r="F1499" s="22" t="n">
        <f aca="false">F1495*F1497*F1498/1000</f>
        <v>6.48150905532798</v>
      </c>
      <c r="G1499" s="22" t="n">
        <f aca="false">G1495*G1497*G1498/1000</f>
        <v>7.98911021488366</v>
      </c>
      <c r="K1499" s="8" t="s">
        <v>554</v>
      </c>
    </row>
    <row r="1500" customFormat="false" ht="17.15" hidden="false" customHeight="false" outlineLevel="0" collapsed="false">
      <c r="A1500" s="4" t="s">
        <v>555</v>
      </c>
      <c r="B1500" s="0" t="s">
        <v>120</v>
      </c>
      <c r="D1500" s="22" t="n">
        <f aca="false">fp26</f>
        <v>0.3</v>
      </c>
      <c r="E1500" s="22" t="n">
        <f aca="false">fp27_B</f>
        <v>1</v>
      </c>
      <c r="F1500" s="22" t="n">
        <f aca="false">E1500*F1495/E1495*(1+fp_g)</f>
        <v>1.16286919831224</v>
      </c>
      <c r="G1500" s="22" t="n">
        <f aca="false">F1500*G1495/F1495*(1+fp_g)</f>
        <v>1.82744620253165</v>
      </c>
    </row>
    <row r="1501" customFormat="false" ht="17.15" hidden="false" customHeight="false" outlineLevel="0" collapsed="false">
      <c r="A1501" s="0" t="s">
        <v>556</v>
      </c>
      <c r="B1501" s="0" t="s">
        <v>120</v>
      </c>
      <c r="D1501" s="22" t="n">
        <f aca="false">cpo27*cpo_B_26/cpo_A_27</f>
        <v>0.1</v>
      </c>
      <c r="E1501" s="22" t="n">
        <f aca="false">cpo27*cpo_B_27/cpo_A_27</f>
        <v>0.3</v>
      </c>
      <c r="F1501" s="22" t="n">
        <f aca="false">cpo27*cpo_B_28/cpo_A_27*F1495/E1495</f>
        <v>0.447257383966245</v>
      </c>
      <c r="G1501" s="22" t="n">
        <f aca="false">cpo27*cpo_B_29/cpo_A_27*G1495/E1495</f>
        <v>0.86506329113924</v>
      </c>
      <c r="K1501" s="8" t="s">
        <v>557</v>
      </c>
    </row>
    <row r="1502" customFormat="false" ht="17.15" hidden="false" customHeight="false" outlineLevel="0" collapsed="false">
      <c r="A1502" s="0" t="s">
        <v>510</v>
      </c>
      <c r="B1502" s="0" t="s">
        <v>120</v>
      </c>
      <c r="C1502" s="22" t="n">
        <f aca="false">leap25</f>
        <v>1.6</v>
      </c>
      <c r="D1502" s="22" t="n">
        <f aca="false">D1499+D1500+D1501</f>
        <v>4</v>
      </c>
      <c r="E1502" s="22" t="n">
        <f aca="false">E1499+E1500+E1501</f>
        <v>7.96328653819345</v>
      </c>
      <c r="F1502" s="22" t="n">
        <f aca="false">F1499+F1500+F1501</f>
        <v>8.09163563760646</v>
      </c>
      <c r="G1502" s="22" t="n">
        <f aca="false">G1499+G1500+G1501</f>
        <v>10.6816197085545</v>
      </c>
    </row>
    <row r="1503" customFormat="false" ht="17.15" hidden="false" customHeight="false" outlineLevel="0" collapsed="false">
      <c r="A1503" s="4" t="s">
        <v>558</v>
      </c>
      <c r="B1503" s="0" t="s">
        <v>114</v>
      </c>
      <c r="C1503" s="19" t="n">
        <f aca="false">fx25</f>
        <v>31</v>
      </c>
      <c r="D1503" s="19" t="n">
        <f aca="false">a26_leap/D1502</f>
        <v>31.9</v>
      </c>
      <c r="E1503" s="19" t="n">
        <f aca="false">fx</f>
        <v>32</v>
      </c>
      <c r="F1503" s="19" t="n">
        <f aca="false">fx</f>
        <v>32</v>
      </c>
      <c r="G1503" s="19" t="n">
        <f aca="false">fx</f>
        <v>32</v>
      </c>
      <c r="K1503" s="8" t="s">
        <v>559</v>
      </c>
    </row>
    <row r="1504" customFormat="false" ht="17.15" hidden="false" customHeight="false" outlineLevel="0" collapsed="false">
      <c r="A1504" s="6" t="s">
        <v>560</v>
      </c>
    </row>
    <row r="1505" customFormat="false" ht="17.15" hidden="false" customHeight="false" outlineLevel="0" collapsed="false">
      <c r="A1505" s="0" t="s">
        <v>438</v>
      </c>
      <c r="B1505" s="0" t="s">
        <v>234</v>
      </c>
      <c r="C1505" s="30" t="n">
        <f aca="false">a25_leap</f>
        <v>49.6</v>
      </c>
      <c r="D1505" s="30" t="n">
        <f aca="false">a26_leap</f>
        <v>127.6</v>
      </c>
      <c r="E1505" s="30" t="n">
        <f aca="false">E1502*E1503</f>
        <v>254.82516922219</v>
      </c>
      <c r="F1505" s="30" t="n">
        <f aca="false">F1502*F1503</f>
        <v>258.932340403407</v>
      </c>
      <c r="G1505" s="30" t="n">
        <f aca="false">G1502*G1503</f>
        <v>341.811830673745</v>
      </c>
    </row>
    <row r="1506" customFormat="false" ht="15" hidden="false" customHeight="false" outlineLevel="0" collapsed="false">
      <c r="A1506" s="4" t="s">
        <v>561</v>
      </c>
      <c r="B1506" s="0" t="s">
        <v>234</v>
      </c>
      <c r="C1506" s="30" t="n">
        <f aca="false">a25_ms</f>
        <v>339.628</v>
      </c>
      <c r="D1506" s="30" t="n">
        <f aca="false">a26_ms</f>
        <v>432.1302</v>
      </c>
      <c r="E1506" s="30" t="n">
        <f aca="false">D1506*(1+g_ms27_hi)</f>
        <v>527.198844</v>
      </c>
      <c r="F1506" s="30" t="n">
        <f aca="false">E1506*(1+g_msL)</f>
        <v>564.10276308</v>
      </c>
      <c r="G1506" s="30" t="n">
        <f aca="false">F1506*(1+g_msL)</f>
        <v>603.5899564956</v>
      </c>
    </row>
    <row r="1507" customFormat="false" ht="17.15" hidden="false" customHeight="false" outlineLevel="0" collapsed="false">
      <c r="A1507" s="4" t="s">
        <v>562</v>
      </c>
      <c r="B1507" s="0" t="s">
        <v>234</v>
      </c>
      <c r="C1507" s="30" t="n">
        <f aca="false">C1505+C1506</f>
        <v>389.228</v>
      </c>
      <c r="D1507" s="30" t="n">
        <f aca="false">D1505+D1506</f>
        <v>559.7302</v>
      </c>
      <c r="E1507" s="30" t="n">
        <f aca="false">E1505+E1506</f>
        <v>782.02401322219</v>
      </c>
      <c r="F1507" s="30" t="n">
        <f aca="false">F1505+F1506</f>
        <v>823.035103483407</v>
      </c>
      <c r="G1507" s="30" t="n">
        <f aca="false">G1505+G1506</f>
        <v>945.401787169345</v>
      </c>
    </row>
    <row r="1508" customFormat="false" ht="17.15" hidden="false" customHeight="false" outlineLevel="0" collapsed="false">
      <c r="A1508" s="0" t="s">
        <v>563</v>
      </c>
      <c r="B1508" s="0" t="s">
        <v>234</v>
      </c>
      <c r="C1508" s="30" t="n">
        <f aca="false">a25_ems</f>
        <v>259.079</v>
      </c>
      <c r="D1508" s="30" t="n">
        <f aca="false">a26_ems</f>
        <v>314.602</v>
      </c>
      <c r="E1508" s="30" t="n">
        <f aca="false">D1508*(1+g_ems27)</f>
        <v>346.0622</v>
      </c>
      <c r="F1508" s="30" t="n">
        <f aca="false">E1508*(1+g_emsL)</f>
        <v>363.36531</v>
      </c>
      <c r="G1508" s="30" t="n">
        <f aca="false">F1508*(1+g_emsL)</f>
        <v>381.5335755</v>
      </c>
    </row>
    <row r="1509" customFormat="false" ht="17.15" hidden="false" customHeight="false" outlineLevel="0" collapsed="false">
      <c r="A1509" s="4" t="s">
        <v>564</v>
      </c>
      <c r="B1509" s="0" t="s">
        <v>234</v>
      </c>
      <c r="C1509" s="30" t="n">
        <f aca="false">a25_elim</f>
        <v>-2.91899999999998</v>
      </c>
      <c r="D1509" s="30" t="n">
        <f aca="false">a26_elim</f>
        <v>-3.16484905982349</v>
      </c>
      <c r="E1509" s="30" t="n">
        <f aca="false">$D1509/($D1507+$D1508)*(E1507+E1508)</f>
        <v>-4.08337081868435</v>
      </c>
      <c r="F1509" s="30" t="n">
        <f aca="false">$D1509/($D1507+$D1508)*(F1507+F1508)</f>
        <v>-4.29445264990487</v>
      </c>
      <c r="G1509" s="30" t="n">
        <f aca="false">$D1509/($D1507+$D1508)*(G1507+G1508)</f>
        <v>-4.80315163388769</v>
      </c>
      <c r="K1509" s="4" t="s">
        <v>565</v>
      </c>
    </row>
    <row r="1510" customFormat="false" ht="17.15" hidden="false" customHeight="false" outlineLevel="0" collapsed="false">
      <c r="A1510" s="4" t="s">
        <v>431</v>
      </c>
      <c r="B1510" s="0" t="s">
        <v>234</v>
      </c>
      <c r="C1510" s="30" t="n">
        <f aca="false">C1507+C1508+C1509</f>
        <v>645.388</v>
      </c>
      <c r="D1510" s="30" t="n">
        <f aca="false">D1507+D1508+D1509</f>
        <v>871.167350940177</v>
      </c>
      <c r="E1510" s="30" t="n">
        <f aca="false">E1507+E1508+E1509</f>
        <v>1124.00284240351</v>
      </c>
      <c r="F1510" s="30" t="n">
        <f aca="false">F1507+F1508+F1509</f>
        <v>1182.1059608335</v>
      </c>
      <c r="G1510" s="30" t="n">
        <f aca="false">G1507+G1508+G1509</f>
        <v>1322.13221103546</v>
      </c>
      <c r="H1510" s="31" t="n">
        <f aca="false">G1510*(1+H1511)</f>
        <v>1444.169338166</v>
      </c>
      <c r="I1510" s="31" t="n">
        <f aca="false">H1510*(1+I1511)</f>
        <v>1539.70350147374</v>
      </c>
      <c r="J1510" s="31" t="n">
        <f aca="false">I1510*(1+J1511)</f>
        <v>1601.29164153269</v>
      </c>
      <c r="K1510" s="8" t="s">
        <v>566</v>
      </c>
    </row>
    <row r="1511" customFormat="false" ht="15" hidden="false" customHeight="false" outlineLevel="0" collapsed="false">
      <c r="A1511" s="4" t="s">
        <v>567</v>
      </c>
      <c r="B1511" s="0" t="s">
        <v>76</v>
      </c>
      <c r="D1511" s="21" t="n">
        <f aca="false">D1510/C1510-1</f>
        <v>0.349835061916516</v>
      </c>
      <c r="E1511" s="21" t="n">
        <f aca="false">E1510/D1510-1</f>
        <v>0.290226087089313</v>
      </c>
      <c r="F1511" s="21" t="n">
        <f aca="false">F1510/E1510-1</f>
        <v>0.0516930351401528</v>
      </c>
      <c r="G1511" s="21" t="n">
        <f aca="false">G1510/F1510-1</f>
        <v>0.118454905771073</v>
      </c>
      <c r="H1511" s="26" t="n">
        <f aca="false">$G1511+(fade_gB-$G1511)*1/3</f>
        <v>0.0923032705140486</v>
      </c>
      <c r="I1511" s="26" t="n">
        <f aca="false">$G1511+(fade_gB-$G1511)*2/3</f>
        <v>0.0661516352570243</v>
      </c>
      <c r="J1511" s="26" t="n">
        <f aca="false">$G1511+(fade_gB-$G1511)*3/3</f>
        <v>0.04</v>
      </c>
    </row>
    <row r="1512" customFormat="false" ht="17.15" hidden="false" customHeight="false" outlineLevel="0" collapsed="false">
      <c r="A1512" s="0" t="s">
        <v>475</v>
      </c>
      <c r="B1512" s="0" t="s">
        <v>76</v>
      </c>
      <c r="C1512" s="21" t="n">
        <f aca="false">C1505/C1507</f>
        <v>0.127431736668482</v>
      </c>
      <c r="D1512" s="21" t="n">
        <f aca="false">D1505/D1507</f>
        <v>0.227966974088588</v>
      </c>
      <c r="E1512" s="21" t="n">
        <f aca="false">E1505/E1507</f>
        <v>0.325853381627284</v>
      </c>
      <c r="F1512" s="21" t="n">
        <f aca="false">F1505/F1507</f>
        <v>0.314606678752223</v>
      </c>
      <c r="G1512" s="21" t="n">
        <f aca="false">G1505/G1507</f>
        <v>0.36155191931377</v>
      </c>
    </row>
    <row r="1513" customFormat="false" ht="15" hidden="false" customHeight="false" outlineLevel="0" collapsed="false">
      <c r="A1513" s="4" t="s">
        <v>568</v>
      </c>
      <c r="B1513" s="0" t="s">
        <v>76</v>
      </c>
      <c r="D1513" s="21" t="n">
        <f aca="false">D1507/C1507-1</f>
        <v>0.438052247012034</v>
      </c>
      <c r="E1513" s="21" t="n">
        <f aca="false">E1507/D1507-1</f>
        <v>0.397144576480222</v>
      </c>
      <c r="F1513" s="21" t="n">
        <f aca="false">F1507/E1507-1</f>
        <v>0.0524422390717101</v>
      </c>
      <c r="G1513" s="21" t="n">
        <f aca="false">G1507/F1507-1</f>
        <v>0.148677356734889</v>
      </c>
    </row>
    <row r="1514" customFormat="false" ht="17.15" hidden="false" customHeight="false" outlineLevel="0" collapsed="false">
      <c r="A1514" s="6" t="s">
        <v>569</v>
      </c>
    </row>
    <row r="1515" customFormat="false" ht="17.15" hidden="false" customHeight="false" outlineLevel="0" collapsed="false">
      <c r="A1515" s="4" t="s">
        <v>570</v>
      </c>
      <c r="B1515" s="0" t="s">
        <v>120</v>
      </c>
      <c r="C1515" s="19" t="n">
        <f aca="false">capex25</f>
        <v>5.5</v>
      </c>
      <c r="D1515" s="19" t="n">
        <f aca="false">capex26</f>
        <v>11.5</v>
      </c>
      <c r="E1515" s="19" t="n">
        <f aca="false">capex27</f>
        <v>13</v>
      </c>
      <c r="F1515" s="19" t="n">
        <f aca="false">capi*F1510/F1503</f>
        <v>11.0822433828141</v>
      </c>
      <c r="G1515" s="19" t="n">
        <f aca="false">capi*G1510/G1503</f>
        <v>12.3949894784574</v>
      </c>
      <c r="K1515" s="8" t="s">
        <v>571</v>
      </c>
    </row>
    <row r="1516" customFormat="false" ht="15" hidden="false" customHeight="false" outlineLevel="0" collapsed="false">
      <c r="A1516" s="4" t="s">
        <v>572</v>
      </c>
      <c r="B1516" s="0" t="s">
        <v>234</v>
      </c>
      <c r="C1516" s="30" t="n">
        <f aca="false">C1515*C1503</f>
        <v>170.5</v>
      </c>
      <c r="D1516" s="30" t="n">
        <f aca="false">D1515*31.9</f>
        <v>366.85</v>
      </c>
      <c r="E1516" s="30" t="n">
        <f aca="false">E1515*E1503</f>
        <v>416</v>
      </c>
      <c r="F1516" s="30" t="n">
        <f aca="false">F1515*F1503</f>
        <v>354.631788250051</v>
      </c>
      <c r="G1516" s="30" t="n">
        <f aca="false">G1515*G1503</f>
        <v>396.639663310637</v>
      </c>
    </row>
    <row r="1517" customFormat="false" ht="17.15" hidden="false" customHeight="false" outlineLevel="0" collapsed="false">
      <c r="A1517" s="4" t="s">
        <v>473</v>
      </c>
      <c r="B1517" s="0" t="s">
        <v>76</v>
      </c>
      <c r="C1517" s="21" t="n">
        <f aca="false">C1516/C1510</f>
        <v>0.264182166386732</v>
      </c>
      <c r="D1517" s="21" t="n">
        <f aca="false">D1516/D1510</f>
        <v>0.421101639775745</v>
      </c>
      <c r="E1517" s="21" t="n">
        <f aca="false">E1516/E1510</f>
        <v>0.370105825631587</v>
      </c>
      <c r="F1517" s="21" t="n">
        <f aca="false">F1516/F1510</f>
        <v>0.3</v>
      </c>
      <c r="G1517" s="21" t="n">
        <f aca="false">G1516/G1510</f>
        <v>0.3</v>
      </c>
    </row>
    <row r="1518" customFormat="false" ht="17.15" hidden="false" customHeight="false" outlineLevel="0" collapsed="false">
      <c r="A1518" s="4" t="s">
        <v>573</v>
      </c>
      <c r="B1518" s="0" t="s">
        <v>234</v>
      </c>
      <c r="C1518" s="30" t="n">
        <f aca="false">a25_da</f>
        <v>75.255</v>
      </c>
      <c r="D1518" s="30" t="n">
        <f aca="false">a26_da</f>
        <v>97.124</v>
      </c>
      <c r="E1518" s="30" t="n">
        <f aca="false">D1518*(1-1/life)+D1516/life</f>
        <v>130.83975</v>
      </c>
      <c r="F1518" s="30" t="n">
        <f aca="false">E1518*(1-1/life)+E1516/life</f>
        <v>166.48478125</v>
      </c>
      <c r="G1518" s="30" t="n">
        <f aca="false">F1518*(1-1/life)+F1516/life</f>
        <v>190.003157125006</v>
      </c>
      <c r="K1518" s="4" t="s">
        <v>574</v>
      </c>
    </row>
    <row r="1519" customFormat="false" ht="17.15" hidden="false" customHeight="false" outlineLevel="0" collapsed="false">
      <c r="A1519" s="4" t="s">
        <v>575</v>
      </c>
      <c r="B1519" s="0" t="s">
        <v>234</v>
      </c>
      <c r="C1519" s="30" t="n">
        <f aca="false">a25_agp</f>
        <v>91.38</v>
      </c>
      <c r="D1519" s="30" t="n">
        <f aca="false">a26_agp</f>
        <v>164.623388</v>
      </c>
      <c r="E1519" s="30" t="n">
        <f aca="false">$D1519+ft*(E1507-$D1507)-(E1518-$D1518)</f>
        <v>242.054544611095</v>
      </c>
      <c r="F1519" s="30" t="n">
        <f aca="false">$D1519+ft*(F1507-$D1507)-(F1518-$D1518)</f>
        <v>226.915058491703</v>
      </c>
      <c r="G1519" s="30" t="n">
        <f aca="false">$D1519+ft*(G1507-$D1507)-(G1518-$D1518)</f>
        <v>264.580024459666</v>
      </c>
      <c r="K1519" s="4" t="s">
        <v>576</v>
      </c>
    </row>
    <row r="1520" customFormat="false" ht="15" hidden="false" customHeight="false" outlineLevel="0" collapsed="false">
      <c r="A1520" s="4" t="s">
        <v>447</v>
      </c>
      <c r="B1520" s="0" t="s">
        <v>76</v>
      </c>
      <c r="C1520" s="14" t="n">
        <f aca="false">C1519/C1507</f>
        <v>0.234772421305764</v>
      </c>
      <c r="D1520" s="14" t="n">
        <f aca="false">D1519/D1507</f>
        <v>0.294112034690999</v>
      </c>
      <c r="E1520" s="14" t="n">
        <f aca="false">E1519/E1507</f>
        <v>0.309523161077564</v>
      </c>
      <c r="F1520" s="14" t="n">
        <f aca="false">F1519/F1507</f>
        <v>0.27570520082474</v>
      </c>
      <c r="G1520" s="14" t="n">
        <f aca="false">G1519/G1507</f>
        <v>0.279859873389761</v>
      </c>
    </row>
    <row r="1521" customFormat="false" ht="17.15" hidden="false" customHeight="false" outlineLevel="0" collapsed="false">
      <c r="A1521" s="0" t="s">
        <v>449</v>
      </c>
      <c r="B1521" s="0" t="s">
        <v>234</v>
      </c>
      <c r="C1521" s="30" t="n">
        <f aca="false">a25_egp</f>
        <v>23.695</v>
      </c>
      <c r="D1521" s="30" t="n">
        <f aca="false">a26_egp</f>
        <v>27.00552</v>
      </c>
      <c r="E1521" s="30" t="n">
        <f aca="false">E1508*ems_gm</f>
        <v>29.415287</v>
      </c>
      <c r="F1521" s="30" t="n">
        <f aca="false">F1508*ems_gm</f>
        <v>30.88605135</v>
      </c>
      <c r="G1521" s="30" t="n">
        <f aca="false">G1508*ems_gm</f>
        <v>32.4303539175</v>
      </c>
    </row>
    <row r="1522" customFormat="false" ht="15" hidden="false" customHeight="false" outlineLevel="0" collapsed="false">
      <c r="A1522" s="4" t="s">
        <v>577</v>
      </c>
      <c r="B1522" s="0" t="s">
        <v>234</v>
      </c>
      <c r="C1522" s="30" t="n">
        <f aca="false">a25_lgp</f>
        <v>-0.881999999999998</v>
      </c>
      <c r="D1522" s="30" t="n">
        <f aca="false">a26_lgp</f>
        <v>-0.948662139013863</v>
      </c>
      <c r="E1522" s="30" t="n">
        <f aca="false">$D1522/$D1509*E1509</f>
        <v>-1.22398863958963</v>
      </c>
      <c r="F1522" s="30" t="n">
        <f aca="false">$D1522/$D1509*F1509</f>
        <v>-1.28726032734709</v>
      </c>
      <c r="G1522" s="30" t="n">
        <f aca="false">$D1522/$D1509*G1509</f>
        <v>-1.43974262812583</v>
      </c>
    </row>
    <row r="1523" customFormat="false" ht="15" hidden="false" customHeight="false" outlineLevel="0" collapsed="false">
      <c r="A1523" s="4" t="s">
        <v>451</v>
      </c>
      <c r="B1523" s="0" t="s">
        <v>234</v>
      </c>
      <c r="C1523" s="30" t="n">
        <f aca="false">C1519+C1521+C1522</f>
        <v>114.193</v>
      </c>
      <c r="D1523" s="30" t="n">
        <f aca="false">D1519+D1521+D1522</f>
        <v>190.680245860986</v>
      </c>
      <c r="E1523" s="30" t="n">
        <f aca="false">E1519+E1521+E1522</f>
        <v>270.245842971506</v>
      </c>
      <c r="F1523" s="30" t="n">
        <f aca="false">F1519+F1521+F1522</f>
        <v>256.513849514356</v>
      </c>
      <c r="G1523" s="30" t="n">
        <f aca="false">G1519+G1521+G1522</f>
        <v>295.570635749041</v>
      </c>
    </row>
    <row r="1524" customFormat="false" ht="15" hidden="false" customHeight="false" outlineLevel="0" collapsed="false">
      <c r="A1524" s="4" t="s">
        <v>452</v>
      </c>
      <c r="B1524" s="0" t="s">
        <v>76</v>
      </c>
      <c r="C1524" s="14" t="n">
        <f aca="false">C1523/C1510</f>
        <v>0.176936974347214</v>
      </c>
      <c r="D1524" s="14" t="n">
        <f aca="false">D1523/D1510</f>
        <v>0.218879008327391</v>
      </c>
      <c r="E1524" s="14" t="n">
        <f aca="false">E1523/E1510</f>
        <v>0.240431636626138</v>
      </c>
      <c r="F1524" s="14" t="n">
        <f aca="false">F1523/F1510</f>
        <v>0.216997340351358</v>
      </c>
      <c r="G1524" s="14" t="n">
        <f aca="false">G1523/G1510</f>
        <v>0.223556035683873</v>
      </c>
    </row>
    <row r="1525" customFormat="false" ht="15" hidden="false" customHeight="false" outlineLevel="0" collapsed="false">
      <c r="A1525" s="4" t="s">
        <v>578</v>
      </c>
      <c r="B1525" s="0" t="s">
        <v>234</v>
      </c>
      <c r="C1525" s="30" t="n">
        <f aca="false">a25_opx</f>
        <v>63.437</v>
      </c>
      <c r="D1525" s="30" t="n">
        <f aca="false">a26_opx</f>
        <v>79.658</v>
      </c>
      <c r="E1525" s="30" t="n">
        <f aca="false">D1525*(1+phi*E1511)</f>
        <v>93.5292977872163</v>
      </c>
      <c r="F1525" s="30" t="n">
        <f aca="false">E1525*(1+phi*F1511)</f>
        <v>96.4301857535053</v>
      </c>
      <c r="G1525" s="30" t="n">
        <f aca="false">F1525*(1+phi*G1511)</f>
        <v>103.283762893656</v>
      </c>
    </row>
    <row r="1526" customFormat="false" ht="15" hidden="false" customHeight="false" outlineLevel="0" collapsed="false">
      <c r="A1526" s="4" t="s">
        <v>455</v>
      </c>
      <c r="B1526" s="0" t="s">
        <v>234</v>
      </c>
      <c r="C1526" s="30" t="n">
        <f aca="false">C1523-C1525</f>
        <v>50.756</v>
      </c>
      <c r="D1526" s="30" t="n">
        <f aca="false">D1523-D1525</f>
        <v>111.022245860986</v>
      </c>
      <c r="E1526" s="30" t="n">
        <f aca="false">E1523-E1525</f>
        <v>176.716545184289</v>
      </c>
      <c r="F1526" s="30" t="n">
        <f aca="false">F1523-F1525</f>
        <v>160.083663760851</v>
      </c>
      <c r="G1526" s="30" t="n">
        <f aca="false">G1523-G1525</f>
        <v>192.286872855384</v>
      </c>
    </row>
    <row r="1527" customFormat="false" ht="15" hidden="false" customHeight="false" outlineLevel="0" collapsed="false">
      <c r="A1527" s="4" t="s">
        <v>537</v>
      </c>
      <c r="B1527" s="0" t="s">
        <v>76</v>
      </c>
      <c r="C1527" s="14" t="n">
        <f aca="false">C1526/C1510</f>
        <v>0.0786441644406156</v>
      </c>
      <c r="D1527" s="14" t="n">
        <f aca="false">D1526/D1510</f>
        <v>0.127440779020437</v>
      </c>
      <c r="E1527" s="14" t="n">
        <f aca="false">E1526/E1510</f>
        <v>0.157220728024502</v>
      </c>
      <c r="F1527" s="14" t="n">
        <f aca="false">F1526/F1510</f>
        <v>0.135422431714984</v>
      </c>
      <c r="G1527" s="14" t="n">
        <f aca="false">G1526/G1510</f>
        <v>0.145436947417528</v>
      </c>
    </row>
    <row r="1528" customFormat="false" ht="15" hidden="false" customHeight="false" outlineLevel="0" collapsed="false">
      <c r="A1528" s="4" t="s">
        <v>456</v>
      </c>
      <c r="B1528" s="0" t="s">
        <v>234</v>
      </c>
      <c r="C1528" s="30" t="n">
        <f aca="false">a25_nonop</f>
        <v>0.545</v>
      </c>
      <c r="D1528" s="30" t="n">
        <f aca="false">a26_nonop</f>
        <v>4.302</v>
      </c>
      <c r="E1528" s="30" t="n">
        <f aca="false">nonop_f</f>
        <v>-5</v>
      </c>
      <c r="F1528" s="30" t="n">
        <f aca="false">nonop_f</f>
        <v>-5</v>
      </c>
      <c r="G1528" s="30" t="n">
        <f aca="false">nonop_f</f>
        <v>-5</v>
      </c>
    </row>
    <row r="1529" customFormat="false" ht="15" hidden="false" customHeight="false" outlineLevel="0" collapsed="false">
      <c r="A1529" s="4" t="s">
        <v>459</v>
      </c>
      <c r="B1529" s="0" t="s">
        <v>234</v>
      </c>
      <c r="C1529" s="30" t="n">
        <f aca="false">C1526+C1528</f>
        <v>51.301</v>
      </c>
      <c r="D1529" s="30" t="n">
        <f aca="false">D1526+D1528</f>
        <v>115.324245860986</v>
      </c>
      <c r="E1529" s="30" t="n">
        <f aca="false">E1526+E1528</f>
        <v>171.716545184289</v>
      </c>
      <c r="F1529" s="30" t="n">
        <f aca="false">F1526+F1528</f>
        <v>155.083663760851</v>
      </c>
      <c r="G1529" s="30" t="n">
        <f aca="false">G1526+G1528</f>
        <v>187.286872855384</v>
      </c>
    </row>
    <row r="1530" customFormat="false" ht="15" hidden="false" customHeight="false" outlineLevel="0" collapsed="false">
      <c r="A1530" s="4" t="s">
        <v>460</v>
      </c>
      <c r="B1530" s="0" t="s">
        <v>234</v>
      </c>
      <c r="C1530" s="30" t="n">
        <f aca="false">a25_tax</f>
        <v>9.461</v>
      </c>
      <c r="D1530" s="30" t="n">
        <f aca="false">a26_tax</f>
        <v>19.2197317963676</v>
      </c>
      <c r="E1530" s="30" t="n">
        <f aca="false">E1529*tax</f>
        <v>29.1918126813292</v>
      </c>
      <c r="F1530" s="30" t="n">
        <f aca="false">F1529*tax</f>
        <v>26.3642228393447</v>
      </c>
      <c r="G1530" s="30" t="n">
        <f aca="false">G1529*tax</f>
        <v>31.8387683854153</v>
      </c>
    </row>
    <row r="1531" customFormat="false" ht="15" hidden="false" customHeight="false" outlineLevel="0" collapsed="false">
      <c r="A1531" s="4" t="s">
        <v>461</v>
      </c>
      <c r="B1531" s="0" t="s">
        <v>234</v>
      </c>
      <c r="C1531" s="30" t="n">
        <f aca="false">a25_nci</f>
        <v>1.182</v>
      </c>
      <c r="D1531" s="30" t="n">
        <f aca="false">a26_nci</f>
        <v>2.543</v>
      </c>
      <c r="E1531" s="30" t="n">
        <f aca="false">nci</f>
        <v>3</v>
      </c>
      <c r="F1531" s="30" t="n">
        <f aca="false">nci</f>
        <v>3</v>
      </c>
      <c r="G1531" s="30" t="n">
        <f aca="false">nci</f>
        <v>3</v>
      </c>
    </row>
    <row r="1532" customFormat="false" ht="15" hidden="false" customHeight="false" outlineLevel="0" collapsed="false">
      <c r="A1532" s="4" t="s">
        <v>462</v>
      </c>
      <c r="B1532" s="0" t="s">
        <v>234</v>
      </c>
      <c r="C1532" s="30" t="n">
        <f aca="false">C1529-C1530-C1531</f>
        <v>40.658</v>
      </c>
      <c r="D1532" s="30" t="n">
        <f aca="false">D1529-D1530-D1531</f>
        <v>93.5615140646185</v>
      </c>
      <c r="E1532" s="30" t="n">
        <f aca="false">E1529-E1530-E1531</f>
        <v>139.52473250296</v>
      </c>
      <c r="F1532" s="30" t="n">
        <f aca="false">F1529-F1530-F1531</f>
        <v>125.719440921506</v>
      </c>
      <c r="G1532" s="30" t="n">
        <f aca="false">G1529-G1530-G1531</f>
        <v>152.448104469969</v>
      </c>
      <c r="H1532" s="31" t="n">
        <f aca="false">H1510*H1536</f>
        <v>158.316698050903</v>
      </c>
      <c r="I1532" s="31" t="n">
        <f aca="false">I1510*I1536</f>
        <v>160.044108533612</v>
      </c>
      <c r="J1532" s="31" t="n">
        <f aca="false">J1510*J1536</f>
        <v>157.350554973832</v>
      </c>
    </row>
    <row r="1533" customFormat="false" ht="15" hidden="false" customHeight="false" outlineLevel="0" collapsed="false">
      <c r="A1533" s="4" t="s">
        <v>579</v>
      </c>
      <c r="B1533" s="4" t="s">
        <v>580</v>
      </c>
      <c r="C1533" s="18" t="n">
        <f aca="false">a25_sh</f>
        <v>4339.16755602988</v>
      </c>
      <c r="D1533" s="18" t="n">
        <f aca="false">a26_sh</f>
        <v>4392.90105184664</v>
      </c>
      <c r="E1533" s="18" t="n">
        <f aca="false">D1533*(1+sh_g)</f>
        <v>4414.86555710588</v>
      </c>
      <c r="F1533" s="18" t="n">
        <f aca="false">E1533*(1+sh_g)</f>
        <v>4436.9398848914</v>
      </c>
      <c r="G1533" s="18" t="n">
        <f aca="false">F1533*(1+sh_g)</f>
        <v>4459.12458431586</v>
      </c>
      <c r="H1533" s="25" t="n">
        <f aca="false">G1533*(1+sh_g)</f>
        <v>4481.42020723744</v>
      </c>
      <c r="I1533" s="25" t="n">
        <f aca="false">H1533*(1+sh_g)</f>
        <v>4503.82730827363</v>
      </c>
      <c r="J1533" s="25" t="n">
        <f aca="false">I1533*(1+sh_g)</f>
        <v>4526.34644481499</v>
      </c>
    </row>
    <row r="1534" customFormat="false" ht="17.15" hidden="false" customHeight="false" outlineLevel="0" collapsed="false">
      <c r="A1534" s="0" t="s">
        <v>465</v>
      </c>
      <c r="B1534" s="0" t="s">
        <v>304</v>
      </c>
      <c r="C1534" s="19" t="n">
        <f aca="false">a25_eps</f>
        <v>9.37</v>
      </c>
      <c r="D1534" s="19" t="n">
        <f aca="false">a26_eps</f>
        <v>21.2828697294455</v>
      </c>
      <c r="E1534" s="19" t="n">
        <f aca="false">E1532/E1533*1000</f>
        <v>31.6033932853041</v>
      </c>
      <c r="F1534" s="19" t="n">
        <f aca="false">F1532/F1533*1000</f>
        <v>28.3347181127254</v>
      </c>
      <c r="G1534" s="19" t="n">
        <f aca="false">G1532/G1533*1000</f>
        <v>34.1878997967845</v>
      </c>
      <c r="H1534" s="28" t="n">
        <f aca="false">H1532/H1533*1000</f>
        <v>35.3273495297816</v>
      </c>
      <c r="I1534" s="28" t="n">
        <f aca="false">I1532/I1533*1000</f>
        <v>35.5351343599715</v>
      </c>
      <c r="J1534" s="28" t="n">
        <f aca="false">J1532/J1533*1000</f>
        <v>34.763259262684</v>
      </c>
    </row>
    <row r="1535" customFormat="false" ht="17.15" hidden="false" customHeight="false" outlineLevel="0" collapsed="false">
      <c r="A1535" s="0" t="s">
        <v>581</v>
      </c>
      <c r="B1535" s="0" t="s">
        <v>76</v>
      </c>
      <c r="D1535" s="21" t="n">
        <f aca="false">D1534/C1534-1</f>
        <v>1.27138417603474</v>
      </c>
      <c r="E1535" s="21" t="n">
        <f aca="false">E1534/D1534-1</f>
        <v>0.484921614756669</v>
      </c>
      <c r="F1535" s="21" t="n">
        <f aca="false">F1534/E1534-1</f>
        <v>-0.10342798139017</v>
      </c>
      <c r="G1535" s="21" t="n">
        <f aca="false">G1534/F1534-1</f>
        <v>0.206572786811326</v>
      </c>
      <c r="H1535" s="26" t="n">
        <f aca="false">H1534/G1534-1</f>
        <v>0.0333290357047409</v>
      </c>
      <c r="I1535" s="26" t="n">
        <f aca="false">I1534/H1534-1</f>
        <v>0.00588169882415746</v>
      </c>
      <c r="J1535" s="26" t="n">
        <f aca="false">J1534/I1534-1</f>
        <v>-0.0217214627491882</v>
      </c>
    </row>
    <row r="1536" customFormat="false" ht="17.15" hidden="false" customHeight="false" outlineLevel="0" collapsed="false">
      <c r="A1536" s="4" t="s">
        <v>582</v>
      </c>
      <c r="B1536" s="0" t="s">
        <v>76</v>
      </c>
      <c r="C1536" s="14" t="n">
        <f aca="false">C1532/C1510</f>
        <v>0.0629977625862272</v>
      </c>
      <c r="D1536" s="14" t="n">
        <f aca="false">D1532/D1510</f>
        <v>0.107397865592237</v>
      </c>
      <c r="E1536" s="14" t="n">
        <f aca="false">E1532/E1510</f>
        <v>0.124132010382294</v>
      </c>
      <c r="F1536" s="14" t="n">
        <f aca="false">F1532/F1510</f>
        <v>0.106352091171981</v>
      </c>
      <c r="G1536" s="14" t="n">
        <f aca="false">G1532/G1510</f>
        <v>0.115304735182706</v>
      </c>
      <c r="H1536" s="27" t="n">
        <f aca="false">$G1536+(fade_mB-$G1536)*1/3</f>
        <v>0.109624746812555</v>
      </c>
      <c r="I1536" s="27" t="n">
        <f aca="false">$G1536+(fade_mB-$G1536)*2/3</f>
        <v>0.103944758442405</v>
      </c>
      <c r="J1536" s="27" t="n">
        <f aca="false">$G1536+(fade_mB-$G1536)*3/3</f>
        <v>0.0982647700722541</v>
      </c>
    </row>
    <row r="1537" customFormat="false" ht="17.15" hidden="false" customHeight="false" outlineLevel="0" collapsed="false">
      <c r="A1537" s="4" t="s">
        <v>583</v>
      </c>
      <c r="B1537" s="0" t="s">
        <v>234</v>
      </c>
      <c r="C1537" s="30" t="n">
        <f aca="false">C1532+C1518-C1516</f>
        <v>-54.587</v>
      </c>
      <c r="D1537" s="30" t="n">
        <f aca="false">D1532+D1518-D1516</f>
        <v>-176.164485935382</v>
      </c>
      <c r="E1537" s="30" t="n">
        <f aca="false">E1532+E1518-E1516</f>
        <v>-145.63551749704</v>
      </c>
      <c r="F1537" s="30" t="n">
        <f aca="false">F1532+F1518-F1516</f>
        <v>-62.4275660785443</v>
      </c>
      <c r="G1537" s="30" t="n">
        <f aca="false">G1532+G1518-G1516</f>
        <v>-54.1884017156622</v>
      </c>
      <c r="K1537" s="4" t="s">
        <v>584</v>
      </c>
    </row>
    <row r="1538" customFormat="false" ht="17.15" hidden="false" customHeight="false" outlineLevel="0" collapsed="false">
      <c r="A1538" s="4" t="s">
        <v>585</v>
      </c>
      <c r="B1538" s="0" t="s">
        <v>76</v>
      </c>
      <c r="D1538" s="21" t="n">
        <f aca="false">(D1526-$C1526)/SUM($D1516:D1516)</f>
        <v>0.164280348537512</v>
      </c>
      <c r="E1538" s="21" t="n">
        <f aca="false">(E1526-$C1526)/SUM($D1516:E1516)</f>
        <v>0.16089997468773</v>
      </c>
      <c r="F1538" s="21" t="n">
        <f aca="false">(F1526-$C1526)/SUM($D1516:F1516)</f>
        <v>0.0961137706908216</v>
      </c>
      <c r="G1538" s="21" t="n">
        <f aca="false">(G1526-$C1526)/SUM($D1516:G1516)</f>
        <v>0.0922553248384621</v>
      </c>
      <c r="K1538" s="4" t="s">
        <v>586</v>
      </c>
    </row>
    <row r="1541" customFormat="false" ht="17.15" hidden="false" customHeight="false" outlineLevel="0" collapsed="false">
      <c r="A1541" s="1" t="s">
        <v>945</v>
      </c>
    </row>
    <row r="1542" customFormat="false" ht="17.15" hidden="false" customHeight="false" outlineLevel="0" collapsed="false">
      <c r="A1542" s="5" t="s">
        <v>21</v>
      </c>
      <c r="B1542" s="5" t="s">
        <v>22</v>
      </c>
      <c r="C1542" s="15" t="s">
        <v>424</v>
      </c>
      <c r="D1542" s="15" t="s">
        <v>524</v>
      </c>
      <c r="E1542" s="15" t="s">
        <v>525</v>
      </c>
      <c r="F1542" s="15" t="s">
        <v>526</v>
      </c>
      <c r="G1542" s="15" t="s">
        <v>527</v>
      </c>
      <c r="H1542" s="15" t="s">
        <v>528</v>
      </c>
      <c r="I1542" s="15" t="s">
        <v>529</v>
      </c>
      <c r="J1542" s="15" t="s">
        <v>530</v>
      </c>
      <c r="K1542" s="5" t="s">
        <v>382</v>
      </c>
    </row>
    <row r="1543" customFormat="false" ht="17.15" hidden="false" customHeight="false" outlineLevel="0" collapsed="false">
      <c r="A1543" s="6" t="s">
        <v>548</v>
      </c>
    </row>
    <row r="1544" customFormat="false" ht="17.15" hidden="false" customHeight="false" outlineLevel="0" collapsed="false">
      <c r="A1544" s="0" t="s">
        <v>549</v>
      </c>
      <c r="B1544" s="4" t="s">
        <v>32</v>
      </c>
      <c r="D1544" s="19" t="n">
        <f aca="false">units_26</f>
        <v>15.2</v>
      </c>
      <c r="E1544" s="19" t="n">
        <f aca="false">units_27*1</f>
        <v>23.7</v>
      </c>
      <c r="F1544" s="19" t="n">
        <f aca="false">units_28*um28_C*1</f>
        <v>15.9</v>
      </c>
      <c r="G1544" s="19" t="n">
        <f aca="false">units_29*um29_C*1</f>
        <v>18.09</v>
      </c>
    </row>
    <row r="1545" customFormat="false" ht="17.15" hidden="false" customHeight="false" outlineLevel="0" collapsed="false">
      <c r="A1545" s="4" t="s">
        <v>497</v>
      </c>
      <c r="B1545" s="0" t="s">
        <v>45</v>
      </c>
      <c r="D1545" s="22" t="n">
        <f aca="false">ar_26</f>
        <v>1</v>
      </c>
      <c r="E1545" s="22" t="n">
        <f aca="false">ar_27</f>
        <v>1.278156</v>
      </c>
      <c r="F1545" s="22" t="n">
        <f aca="false">ar_28</f>
        <v>1.428615</v>
      </c>
      <c r="G1545" s="22" t="n">
        <f aca="false">ar_29</f>
        <v>1.431796</v>
      </c>
    </row>
    <row r="1546" customFormat="false" ht="17.15" hidden="false" customHeight="false" outlineLevel="0" collapsed="false">
      <c r="A1546" s="4" t="s">
        <v>550</v>
      </c>
      <c r="B1546" s="0" t="s">
        <v>45</v>
      </c>
      <c r="D1546" s="19" t="n">
        <f aca="false">1</f>
        <v>1</v>
      </c>
      <c r="E1546" s="19" t="n">
        <f aca="false">rel27_C</f>
        <v>1</v>
      </c>
      <c r="F1546" s="19" t="n">
        <f aca="false">rel28_C</f>
        <v>0.95</v>
      </c>
      <c r="G1546" s="19" t="n">
        <f aca="false">rel29_C</f>
        <v>0.92</v>
      </c>
    </row>
    <row r="1547" customFormat="false" ht="17.15" hidden="false" customHeight="false" outlineLevel="0" collapsed="false">
      <c r="A1547" s="4" t="s">
        <v>551</v>
      </c>
      <c r="B1547" s="0" t="s">
        <v>502</v>
      </c>
      <c r="D1547" s="23" t="n">
        <f aca="false">D1548*1000/D1544</f>
        <v>236.842105263158</v>
      </c>
      <c r="E1547" s="23" t="n">
        <f aca="false">$D1547*E1545^el</f>
        <v>267.763172119488</v>
      </c>
      <c r="F1547" s="23" t="n">
        <f aca="false">$D1547*F1545^el</f>
        <v>283.084777049615</v>
      </c>
      <c r="G1547" s="23" t="n">
        <f aca="false">$D1547*G1545^el</f>
        <v>283.399764630809</v>
      </c>
      <c r="K1547" s="8" t="s">
        <v>552</v>
      </c>
    </row>
    <row r="1548" customFormat="false" ht="17.15" hidden="false" customHeight="false" outlineLevel="0" collapsed="false">
      <c r="A1548" s="0" t="s">
        <v>553</v>
      </c>
      <c r="B1548" s="0" t="s">
        <v>120</v>
      </c>
      <c r="D1548" s="22" t="n">
        <f aca="false">leap26-D1549-D1550</f>
        <v>3.6</v>
      </c>
      <c r="E1548" s="22" t="n">
        <f aca="false">E1544*E1546*E1547/1000</f>
        <v>6.34598717923185</v>
      </c>
      <c r="F1548" s="22" t="n">
        <f aca="false">F1544*F1546*F1547/1000</f>
        <v>4.27599555733443</v>
      </c>
      <c r="G1548" s="22" t="n">
        <f aca="false">G1544*G1546*G1547/1000</f>
        <v>4.71656560279762</v>
      </c>
      <c r="K1548" s="8" t="s">
        <v>554</v>
      </c>
    </row>
    <row r="1549" customFormat="false" ht="17.15" hidden="false" customHeight="false" outlineLevel="0" collapsed="false">
      <c r="A1549" s="4" t="s">
        <v>555</v>
      </c>
      <c r="B1549" s="0" t="s">
        <v>120</v>
      </c>
      <c r="D1549" s="22" t="n">
        <f aca="false">fp26</f>
        <v>0.3</v>
      </c>
      <c r="E1549" s="22" t="n">
        <f aca="false">fp27_C</f>
        <v>0.7</v>
      </c>
      <c r="F1549" s="22" t="n">
        <f aca="false">E1549*F1544/E1544*(1+fp_g)</f>
        <v>0.610506329113924</v>
      </c>
      <c r="G1549" s="22" t="n">
        <f aca="false">F1549*G1544/F1544*(1+fp_g)</f>
        <v>0.902973417721519</v>
      </c>
    </row>
    <row r="1550" customFormat="false" ht="17.15" hidden="false" customHeight="false" outlineLevel="0" collapsed="false">
      <c r="A1550" s="0" t="s">
        <v>556</v>
      </c>
      <c r="B1550" s="0" t="s">
        <v>120</v>
      </c>
      <c r="D1550" s="22" t="n">
        <f aca="false">cpo27*cpo_C_26/cpo_A_27</f>
        <v>0.1</v>
      </c>
      <c r="E1550" s="22" t="n">
        <f aca="false">cpo27*cpo_C_27/cpo_A_27</f>
        <v>0.2</v>
      </c>
      <c r="F1550" s="22" t="n">
        <f aca="false">cpo27*cpo_C_28/cpo_A_27*F1544/E1544</f>
        <v>0.20126582278481</v>
      </c>
      <c r="G1550" s="22" t="n">
        <f aca="false">cpo27*cpo_C_29/cpo_A_27*G1544/E1544</f>
        <v>0.381645569620253</v>
      </c>
      <c r="K1550" s="8" t="s">
        <v>557</v>
      </c>
    </row>
    <row r="1551" customFormat="false" ht="17.15" hidden="false" customHeight="false" outlineLevel="0" collapsed="false">
      <c r="A1551" s="0" t="s">
        <v>510</v>
      </c>
      <c r="B1551" s="0" t="s">
        <v>120</v>
      </c>
      <c r="C1551" s="22" t="n">
        <f aca="false">leap25</f>
        <v>1.6</v>
      </c>
      <c r="D1551" s="22" t="n">
        <f aca="false">D1548+D1549+D1550</f>
        <v>4</v>
      </c>
      <c r="E1551" s="22" t="n">
        <f aca="false">E1548+E1549+E1550</f>
        <v>7.24598717923186</v>
      </c>
      <c r="F1551" s="22" t="n">
        <f aca="false">F1548+F1549+F1550</f>
        <v>5.08776770923316</v>
      </c>
      <c r="G1551" s="22" t="n">
        <f aca="false">G1548+G1549+G1550</f>
        <v>6.0011845901394</v>
      </c>
    </row>
    <row r="1552" customFormat="false" ht="17.15" hidden="false" customHeight="false" outlineLevel="0" collapsed="false">
      <c r="A1552" s="4" t="s">
        <v>558</v>
      </c>
      <c r="B1552" s="0" t="s">
        <v>114</v>
      </c>
      <c r="C1552" s="19" t="n">
        <f aca="false">fx25</f>
        <v>31</v>
      </c>
      <c r="D1552" s="19" t="n">
        <f aca="false">a26_leap/D1551</f>
        <v>31.9</v>
      </c>
      <c r="E1552" s="19" t="n">
        <f aca="false">fx</f>
        <v>32</v>
      </c>
      <c r="F1552" s="19" t="n">
        <f aca="false">fx</f>
        <v>32</v>
      </c>
      <c r="G1552" s="19" t="n">
        <f aca="false">fx</f>
        <v>32</v>
      </c>
      <c r="K1552" s="8" t="s">
        <v>559</v>
      </c>
    </row>
    <row r="1553" customFormat="false" ht="17.15" hidden="false" customHeight="false" outlineLevel="0" collapsed="false">
      <c r="A1553" s="6" t="s">
        <v>560</v>
      </c>
    </row>
    <row r="1554" customFormat="false" ht="17.15" hidden="false" customHeight="false" outlineLevel="0" collapsed="false">
      <c r="A1554" s="0" t="s">
        <v>438</v>
      </c>
      <c r="B1554" s="0" t="s">
        <v>234</v>
      </c>
      <c r="C1554" s="30" t="n">
        <f aca="false">a25_leap</f>
        <v>49.6</v>
      </c>
      <c r="D1554" s="30" t="n">
        <f aca="false">a26_leap</f>
        <v>127.6</v>
      </c>
      <c r="E1554" s="30" t="n">
        <f aca="false">E1551*E1552</f>
        <v>231.871589735419</v>
      </c>
      <c r="F1554" s="30" t="n">
        <f aca="false">F1551*F1552</f>
        <v>162.808566695461</v>
      </c>
      <c r="G1554" s="30" t="n">
        <f aca="false">G1551*G1552</f>
        <v>192.037906884461</v>
      </c>
    </row>
    <row r="1555" customFormat="false" ht="15" hidden="false" customHeight="false" outlineLevel="0" collapsed="false">
      <c r="A1555" s="4" t="s">
        <v>561</v>
      </c>
      <c r="B1555" s="0" t="s">
        <v>234</v>
      </c>
      <c r="C1555" s="30" t="n">
        <f aca="false">a25_ms</f>
        <v>339.628</v>
      </c>
      <c r="D1555" s="30" t="n">
        <f aca="false">a26_ms</f>
        <v>432.1302</v>
      </c>
      <c r="E1555" s="30" t="n">
        <f aca="false">D1555*(1+g_ms27_hi)</f>
        <v>527.198844</v>
      </c>
      <c r="F1555" s="30" t="n">
        <f aca="false">E1555*(1+g_msL)</f>
        <v>564.10276308</v>
      </c>
      <c r="G1555" s="30" t="n">
        <f aca="false">F1555*(1+g_msL)</f>
        <v>603.5899564956</v>
      </c>
    </row>
    <row r="1556" customFormat="false" ht="17.15" hidden="false" customHeight="false" outlineLevel="0" collapsed="false">
      <c r="A1556" s="4" t="s">
        <v>562</v>
      </c>
      <c r="B1556" s="0" t="s">
        <v>234</v>
      </c>
      <c r="C1556" s="30" t="n">
        <f aca="false">C1554+C1555</f>
        <v>389.228</v>
      </c>
      <c r="D1556" s="30" t="n">
        <f aca="false">D1554+D1555</f>
        <v>559.7302</v>
      </c>
      <c r="E1556" s="30" t="n">
        <f aca="false">E1554+E1555</f>
        <v>759.070433735419</v>
      </c>
      <c r="F1556" s="30" t="n">
        <f aca="false">F1554+F1555</f>
        <v>726.911329775461</v>
      </c>
      <c r="G1556" s="30" t="n">
        <f aca="false">G1554+G1555</f>
        <v>795.627863380061</v>
      </c>
    </row>
    <row r="1557" customFormat="false" ht="17.15" hidden="false" customHeight="false" outlineLevel="0" collapsed="false">
      <c r="A1557" s="0" t="s">
        <v>563</v>
      </c>
      <c r="B1557" s="0" t="s">
        <v>234</v>
      </c>
      <c r="C1557" s="30" t="n">
        <f aca="false">a25_ems</f>
        <v>259.079</v>
      </c>
      <c r="D1557" s="30" t="n">
        <f aca="false">a26_ems</f>
        <v>314.602</v>
      </c>
      <c r="E1557" s="30" t="n">
        <f aca="false">D1557*(1+g_ems27)</f>
        <v>346.0622</v>
      </c>
      <c r="F1557" s="30" t="n">
        <f aca="false">E1557*(1+g_emsL)</f>
        <v>363.36531</v>
      </c>
      <c r="G1557" s="30" t="n">
        <f aca="false">F1557*(1+g_emsL)</f>
        <v>381.5335755</v>
      </c>
    </row>
    <row r="1558" customFormat="false" ht="17.15" hidden="false" customHeight="false" outlineLevel="0" collapsed="false">
      <c r="A1558" s="4" t="s">
        <v>564</v>
      </c>
      <c r="B1558" s="0" t="s">
        <v>234</v>
      </c>
      <c r="C1558" s="30" t="n">
        <f aca="false">a25_elim</f>
        <v>-2.91899999999998</v>
      </c>
      <c r="D1558" s="30" t="n">
        <f aca="false">a26_elim</f>
        <v>-3.16484905982349</v>
      </c>
      <c r="E1558" s="30" t="n">
        <f aca="false">$D1558/($D1556+$D1557)*(E1556+E1557)</f>
        <v>-4.00028499105694</v>
      </c>
      <c r="F1558" s="30" t="n">
        <f aca="false">$D1558/($D1556+$D1557)*(F1556+F1557)</f>
        <v>-3.94651026044892</v>
      </c>
      <c r="G1558" s="30" t="n">
        <f aca="false">$D1558/($D1556+$D1557)*(G1556+G1557)</f>
        <v>-4.26101002925435</v>
      </c>
      <c r="K1558" s="4" t="s">
        <v>565</v>
      </c>
    </row>
    <row r="1559" customFormat="false" ht="17.15" hidden="false" customHeight="false" outlineLevel="0" collapsed="false">
      <c r="A1559" s="4" t="s">
        <v>431</v>
      </c>
      <c r="B1559" s="0" t="s">
        <v>234</v>
      </c>
      <c r="C1559" s="30" t="n">
        <f aca="false">C1556+C1557+C1558</f>
        <v>645.388</v>
      </c>
      <c r="D1559" s="30" t="n">
        <f aca="false">D1556+D1557+D1558</f>
        <v>871.167350940177</v>
      </c>
      <c r="E1559" s="30" t="n">
        <f aca="false">E1556+E1557+E1558</f>
        <v>1101.13234874436</v>
      </c>
      <c r="F1559" s="30" t="n">
        <f aca="false">F1556+F1557+F1558</f>
        <v>1086.33012951501</v>
      </c>
      <c r="G1559" s="30" t="n">
        <f aca="false">G1556+G1557+G1558</f>
        <v>1172.90042885081</v>
      </c>
      <c r="H1559" s="31" t="n">
        <f aca="false">G1559*(1+H1560)</f>
        <v>1243.03252397216</v>
      </c>
      <c r="I1559" s="31" t="n">
        <f aca="false">H1559*(1+I1560)</f>
        <v>1292.62562665906</v>
      </c>
      <c r="J1559" s="31" t="n">
        <f aca="false">I1559*(1+J1560)</f>
        <v>1318.47813919224</v>
      </c>
      <c r="K1559" s="8" t="s">
        <v>566</v>
      </c>
    </row>
    <row r="1560" customFormat="false" ht="15" hidden="false" customHeight="false" outlineLevel="0" collapsed="false">
      <c r="A1560" s="4" t="s">
        <v>567</v>
      </c>
      <c r="B1560" s="0" t="s">
        <v>76</v>
      </c>
      <c r="D1560" s="21" t="n">
        <f aca="false">D1559/C1559-1</f>
        <v>0.349835061916516</v>
      </c>
      <c r="E1560" s="21" t="n">
        <f aca="false">E1559/D1559-1</f>
        <v>0.263973388759352</v>
      </c>
      <c r="F1560" s="21" t="n">
        <f aca="false">F1559/E1559-1</f>
        <v>-0.0134427248879114</v>
      </c>
      <c r="G1560" s="21" t="n">
        <f aca="false">G1559/F1559-1</f>
        <v>0.0796905995550756</v>
      </c>
      <c r="H1560" s="26" t="n">
        <f aca="false">$G1560+(fade_gC-$G1560)*1/3</f>
        <v>0.0597937330367171</v>
      </c>
      <c r="I1560" s="26" t="n">
        <f aca="false">$G1560+(fade_gC-$G1560)*2/3</f>
        <v>0.0398968665183586</v>
      </c>
      <c r="J1560" s="26" t="n">
        <f aca="false">$G1560+(fade_gC-$G1560)*3/3</f>
        <v>0.02</v>
      </c>
    </row>
    <row r="1561" customFormat="false" ht="17.15" hidden="false" customHeight="false" outlineLevel="0" collapsed="false">
      <c r="A1561" s="0" t="s">
        <v>475</v>
      </c>
      <c r="B1561" s="0" t="s">
        <v>76</v>
      </c>
      <c r="C1561" s="21" t="n">
        <f aca="false">C1554/C1556</f>
        <v>0.127431736668482</v>
      </c>
      <c r="D1561" s="21" t="n">
        <f aca="false">D1554/D1556</f>
        <v>0.227966974088588</v>
      </c>
      <c r="E1561" s="21" t="n">
        <f aca="false">E1554/E1556</f>
        <v>0.305467818835163</v>
      </c>
      <c r="F1561" s="21" t="n">
        <f aca="false">F1554/F1556</f>
        <v>0.223973076256428</v>
      </c>
      <c r="G1561" s="21" t="n">
        <f aca="false">G1554/G1556</f>
        <v>0.241366492707567</v>
      </c>
    </row>
    <row r="1562" customFormat="false" ht="15" hidden="false" customHeight="false" outlineLevel="0" collapsed="false">
      <c r="A1562" s="4" t="s">
        <v>568</v>
      </c>
      <c r="B1562" s="0" t="s">
        <v>76</v>
      </c>
      <c r="D1562" s="21" t="n">
        <f aca="false">D1556/C1556-1</f>
        <v>0.438052247012034</v>
      </c>
      <c r="E1562" s="21" t="n">
        <f aca="false">E1556/D1556-1</f>
        <v>0.356136284473161</v>
      </c>
      <c r="F1562" s="21" t="n">
        <f aca="false">F1556/E1556-1</f>
        <v>-0.0423664294256619</v>
      </c>
      <c r="G1562" s="21" t="n">
        <f aca="false">G1556/F1556-1</f>
        <v>0.094532208798872</v>
      </c>
    </row>
    <row r="1563" customFormat="false" ht="17.15" hidden="false" customHeight="false" outlineLevel="0" collapsed="false">
      <c r="A1563" s="6" t="s">
        <v>569</v>
      </c>
    </row>
    <row r="1564" customFormat="false" ht="17.15" hidden="false" customHeight="false" outlineLevel="0" collapsed="false">
      <c r="A1564" s="4" t="s">
        <v>570</v>
      </c>
      <c r="B1564" s="0" t="s">
        <v>120</v>
      </c>
      <c r="C1564" s="19" t="n">
        <f aca="false">capex25</f>
        <v>5.5</v>
      </c>
      <c r="D1564" s="19" t="n">
        <f aca="false">capex26</f>
        <v>11.5</v>
      </c>
      <c r="E1564" s="19" t="n">
        <f aca="false">capex27</f>
        <v>13</v>
      </c>
      <c r="F1564" s="19" t="n">
        <f aca="false">capi*F1559/F1552</f>
        <v>10.1843449642032</v>
      </c>
      <c r="G1564" s="19" t="n">
        <f aca="false">capi*G1559/G1552</f>
        <v>10.9959415204763</v>
      </c>
      <c r="K1564" s="8" t="s">
        <v>571</v>
      </c>
    </row>
    <row r="1565" customFormat="false" ht="15" hidden="false" customHeight="false" outlineLevel="0" collapsed="false">
      <c r="A1565" s="4" t="s">
        <v>572</v>
      </c>
      <c r="B1565" s="0" t="s">
        <v>234</v>
      </c>
      <c r="C1565" s="30" t="n">
        <f aca="false">C1564*C1552</f>
        <v>170.5</v>
      </c>
      <c r="D1565" s="30" t="n">
        <f aca="false">D1564*31.9</f>
        <v>366.85</v>
      </c>
      <c r="E1565" s="30" t="n">
        <f aca="false">E1564*E1552</f>
        <v>416</v>
      </c>
      <c r="F1565" s="30" t="n">
        <f aca="false">F1564*F1552</f>
        <v>325.899038854504</v>
      </c>
      <c r="G1565" s="30" t="n">
        <f aca="false">G1564*G1552</f>
        <v>351.870128655242</v>
      </c>
    </row>
    <row r="1566" customFormat="false" ht="17.15" hidden="false" customHeight="false" outlineLevel="0" collapsed="false">
      <c r="A1566" s="4" t="s">
        <v>473</v>
      </c>
      <c r="B1566" s="0" t="s">
        <v>76</v>
      </c>
      <c r="C1566" s="21" t="n">
        <f aca="false">C1565/C1559</f>
        <v>0.264182166386732</v>
      </c>
      <c r="D1566" s="21" t="n">
        <f aca="false">D1565/D1559</f>
        <v>0.421101639775745</v>
      </c>
      <c r="E1566" s="21" t="n">
        <f aca="false">E1565/E1559</f>
        <v>0.377792915151726</v>
      </c>
      <c r="F1566" s="21" t="n">
        <f aca="false">F1565/F1559</f>
        <v>0.3</v>
      </c>
      <c r="G1566" s="21" t="n">
        <f aca="false">G1565/G1559</f>
        <v>0.3</v>
      </c>
    </row>
    <row r="1567" customFormat="false" ht="17.15" hidden="false" customHeight="false" outlineLevel="0" collapsed="false">
      <c r="A1567" s="4" t="s">
        <v>573</v>
      </c>
      <c r="B1567" s="0" t="s">
        <v>234</v>
      </c>
      <c r="C1567" s="30" t="n">
        <f aca="false">a25_da</f>
        <v>75.255</v>
      </c>
      <c r="D1567" s="30" t="n">
        <f aca="false">a26_da</f>
        <v>97.124</v>
      </c>
      <c r="E1567" s="30" t="n">
        <f aca="false">D1567*(1-1/life)+D1565/life</f>
        <v>130.83975</v>
      </c>
      <c r="F1567" s="30" t="n">
        <f aca="false">E1567*(1-1/life)+E1565/life</f>
        <v>166.48478125</v>
      </c>
      <c r="G1567" s="30" t="n">
        <f aca="false">F1567*(1-1/life)+F1565/life</f>
        <v>186.411563450563</v>
      </c>
      <c r="K1567" s="4" t="s">
        <v>574</v>
      </c>
    </row>
    <row r="1568" customFormat="false" ht="17.15" hidden="false" customHeight="false" outlineLevel="0" collapsed="false">
      <c r="A1568" s="4" t="s">
        <v>575</v>
      </c>
      <c r="B1568" s="0" t="s">
        <v>234</v>
      </c>
      <c r="C1568" s="30" t="n">
        <f aca="false">a25_agp</f>
        <v>91.38</v>
      </c>
      <c r="D1568" s="30" t="n">
        <f aca="false">a26_agp</f>
        <v>164.623388</v>
      </c>
      <c r="E1568" s="30" t="n">
        <f aca="false">$D1568+ft*(E1556-$D1556)-(E1567-$D1567)</f>
        <v>230.57775486771</v>
      </c>
      <c r="F1568" s="30" t="n">
        <f aca="false">$D1568+ft*(F1556-$D1556)-(F1567-$D1567)</f>
        <v>178.853171637731</v>
      </c>
      <c r="G1568" s="30" t="n">
        <f aca="false">$D1568+ft*(G1556-$D1556)-(G1567-$D1567)</f>
        <v>193.284656239467</v>
      </c>
      <c r="K1568" s="4" t="s">
        <v>576</v>
      </c>
    </row>
    <row r="1569" customFormat="false" ht="15" hidden="false" customHeight="false" outlineLevel="0" collapsed="false">
      <c r="A1569" s="4" t="s">
        <v>447</v>
      </c>
      <c r="B1569" s="0" t="s">
        <v>76</v>
      </c>
      <c r="C1569" s="14" t="n">
        <f aca="false">C1568/C1556</f>
        <v>0.234772421305764</v>
      </c>
      <c r="D1569" s="14" t="n">
        <f aca="false">D1568/D1556</f>
        <v>0.294112034690999</v>
      </c>
      <c r="E1569" s="14" t="n">
        <f aca="false">E1568/E1556</f>
        <v>0.30376331973968</v>
      </c>
      <c r="F1569" s="14" t="n">
        <f aca="false">F1568/F1556</f>
        <v>0.246045376253769</v>
      </c>
      <c r="G1569" s="14" t="n">
        <f aca="false">G1568/G1556</f>
        <v>0.242933493327317</v>
      </c>
    </row>
    <row r="1570" customFormat="false" ht="17.15" hidden="false" customHeight="false" outlineLevel="0" collapsed="false">
      <c r="A1570" s="0" t="s">
        <v>449</v>
      </c>
      <c r="B1570" s="0" t="s">
        <v>234</v>
      </c>
      <c r="C1570" s="30" t="n">
        <f aca="false">a25_egp</f>
        <v>23.695</v>
      </c>
      <c r="D1570" s="30" t="n">
        <f aca="false">a26_egp</f>
        <v>27.00552</v>
      </c>
      <c r="E1570" s="30" t="n">
        <f aca="false">E1557*ems_gm</f>
        <v>29.415287</v>
      </c>
      <c r="F1570" s="30" t="n">
        <f aca="false">F1557*ems_gm</f>
        <v>30.88605135</v>
      </c>
      <c r="G1570" s="30" t="n">
        <f aca="false">G1557*ems_gm</f>
        <v>32.4303539175</v>
      </c>
    </row>
    <row r="1571" customFormat="false" ht="15" hidden="false" customHeight="false" outlineLevel="0" collapsed="false">
      <c r="A1571" s="4" t="s">
        <v>577</v>
      </c>
      <c r="B1571" s="0" t="s">
        <v>234</v>
      </c>
      <c r="C1571" s="30" t="n">
        <f aca="false">a25_lgp</f>
        <v>-0.881999999999998</v>
      </c>
      <c r="D1571" s="30" t="n">
        <f aca="false">a26_lgp</f>
        <v>-0.948662139013863</v>
      </c>
      <c r="E1571" s="30" t="n">
        <f aca="false">$D1571/$D1558*E1558</f>
        <v>-1.19908369863705</v>
      </c>
      <c r="F1571" s="30" t="n">
        <f aca="false">$D1571/$D1558*F1558</f>
        <v>-1.18296474635869</v>
      </c>
      <c r="G1571" s="30" t="n">
        <f aca="false">$D1571/$D1558*G1558</f>
        <v>-1.27723591624853</v>
      </c>
    </row>
    <row r="1572" customFormat="false" ht="15" hidden="false" customHeight="false" outlineLevel="0" collapsed="false">
      <c r="A1572" s="4" t="s">
        <v>451</v>
      </c>
      <c r="B1572" s="0" t="s">
        <v>234</v>
      </c>
      <c r="C1572" s="30" t="n">
        <f aca="false">C1568+C1570+C1571</f>
        <v>114.193</v>
      </c>
      <c r="D1572" s="30" t="n">
        <f aca="false">D1568+D1570+D1571</f>
        <v>190.680245860986</v>
      </c>
      <c r="E1572" s="30" t="n">
        <f aca="false">E1568+E1570+E1571</f>
        <v>258.793958169073</v>
      </c>
      <c r="F1572" s="30" t="n">
        <f aca="false">F1568+F1570+F1571</f>
        <v>208.556258241372</v>
      </c>
      <c r="G1572" s="30" t="n">
        <f aca="false">G1568+G1570+G1571</f>
        <v>224.437774240719</v>
      </c>
    </row>
    <row r="1573" customFormat="false" ht="15" hidden="false" customHeight="false" outlineLevel="0" collapsed="false">
      <c r="A1573" s="4" t="s">
        <v>452</v>
      </c>
      <c r="B1573" s="0" t="s">
        <v>76</v>
      </c>
      <c r="C1573" s="14" t="n">
        <f aca="false">C1572/C1559</f>
        <v>0.176936974347214</v>
      </c>
      <c r="D1573" s="14" t="n">
        <f aca="false">D1572/D1559</f>
        <v>0.218879008327391</v>
      </c>
      <c r="E1573" s="14" t="n">
        <f aca="false">E1572/E1559</f>
        <v>0.235025297789298</v>
      </c>
      <c r="F1573" s="14" t="n">
        <f aca="false">F1572/F1559</f>
        <v>0.19198239335816</v>
      </c>
      <c r="G1573" s="14" t="n">
        <f aca="false">G1572/G1559</f>
        <v>0.19135279408212</v>
      </c>
    </row>
    <row r="1574" customFormat="false" ht="15" hidden="false" customHeight="false" outlineLevel="0" collapsed="false">
      <c r="A1574" s="4" t="s">
        <v>578</v>
      </c>
      <c r="B1574" s="0" t="s">
        <v>234</v>
      </c>
      <c r="C1574" s="30" t="n">
        <f aca="false">a25_opx</f>
        <v>63.437</v>
      </c>
      <c r="D1574" s="30" t="n">
        <f aca="false">a26_opx</f>
        <v>79.658</v>
      </c>
      <c r="E1574" s="30" t="n">
        <f aca="false">D1574*(1+phi*E1560)</f>
        <v>92.2745553210755</v>
      </c>
      <c r="F1574" s="30" t="n">
        <f aca="false">E1574*(1+phi*F1560)</f>
        <v>91.5303024442741</v>
      </c>
      <c r="G1574" s="30" t="n">
        <f aca="false">F1574*(1+phi*G1560)</f>
        <v>95.9067652518191</v>
      </c>
    </row>
    <row r="1575" customFormat="false" ht="15" hidden="false" customHeight="false" outlineLevel="0" collapsed="false">
      <c r="A1575" s="4" t="s">
        <v>455</v>
      </c>
      <c r="B1575" s="0" t="s">
        <v>234</v>
      </c>
      <c r="C1575" s="30" t="n">
        <f aca="false">C1572-C1574</f>
        <v>50.756</v>
      </c>
      <c r="D1575" s="30" t="n">
        <f aca="false">D1572-D1574</f>
        <v>111.022245860986</v>
      </c>
      <c r="E1575" s="30" t="n">
        <f aca="false">E1572-E1574</f>
        <v>166.519402847997</v>
      </c>
      <c r="F1575" s="30" t="n">
        <f aca="false">F1572-F1574</f>
        <v>117.025955797098</v>
      </c>
      <c r="G1575" s="30" t="n">
        <f aca="false">G1572-G1574</f>
        <v>128.5310089889</v>
      </c>
    </row>
    <row r="1576" customFormat="false" ht="15" hidden="false" customHeight="false" outlineLevel="0" collapsed="false">
      <c r="A1576" s="4" t="s">
        <v>537</v>
      </c>
      <c r="B1576" s="0" t="s">
        <v>76</v>
      </c>
      <c r="C1576" s="14" t="n">
        <f aca="false">C1575/C1559</f>
        <v>0.0786441644406156</v>
      </c>
      <c r="D1576" s="14" t="n">
        <f aca="false">D1575/D1559</f>
        <v>0.127440779020437</v>
      </c>
      <c r="E1576" s="14" t="n">
        <f aca="false">E1575/E1559</f>
        <v>0.151225602479013</v>
      </c>
      <c r="F1576" s="14" t="n">
        <f aca="false">F1575/F1559</f>
        <v>0.107725959740566</v>
      </c>
      <c r="G1576" s="14" t="n">
        <f aca="false">G1575/G1559</f>
        <v>0.109583904845898</v>
      </c>
    </row>
    <row r="1577" customFormat="false" ht="15" hidden="false" customHeight="false" outlineLevel="0" collapsed="false">
      <c r="A1577" s="4" t="s">
        <v>456</v>
      </c>
      <c r="B1577" s="0" t="s">
        <v>234</v>
      </c>
      <c r="C1577" s="30" t="n">
        <f aca="false">a25_nonop</f>
        <v>0.545</v>
      </c>
      <c r="D1577" s="30" t="n">
        <f aca="false">a26_nonop</f>
        <v>4.302</v>
      </c>
      <c r="E1577" s="30" t="n">
        <f aca="false">nonop_f</f>
        <v>-5</v>
      </c>
      <c r="F1577" s="30" t="n">
        <f aca="false">nonop_f</f>
        <v>-5</v>
      </c>
      <c r="G1577" s="30" t="n">
        <f aca="false">nonop_f</f>
        <v>-5</v>
      </c>
    </row>
    <row r="1578" customFormat="false" ht="15" hidden="false" customHeight="false" outlineLevel="0" collapsed="false">
      <c r="A1578" s="4" t="s">
        <v>459</v>
      </c>
      <c r="B1578" s="0" t="s">
        <v>234</v>
      </c>
      <c r="C1578" s="30" t="n">
        <f aca="false">C1575+C1577</f>
        <v>51.301</v>
      </c>
      <c r="D1578" s="30" t="n">
        <f aca="false">D1575+D1577</f>
        <v>115.324245860986</v>
      </c>
      <c r="E1578" s="30" t="n">
        <f aca="false">E1575+E1577</f>
        <v>161.519402847997</v>
      </c>
      <c r="F1578" s="30" t="n">
        <f aca="false">F1575+F1577</f>
        <v>112.025955797098</v>
      </c>
      <c r="G1578" s="30" t="n">
        <f aca="false">G1575+G1577</f>
        <v>123.5310089889</v>
      </c>
    </row>
    <row r="1579" customFormat="false" ht="15" hidden="false" customHeight="false" outlineLevel="0" collapsed="false">
      <c r="A1579" s="4" t="s">
        <v>460</v>
      </c>
      <c r="B1579" s="0" t="s">
        <v>234</v>
      </c>
      <c r="C1579" s="30" t="n">
        <f aca="false">a25_tax</f>
        <v>9.461</v>
      </c>
      <c r="D1579" s="30" t="n">
        <f aca="false">a26_tax</f>
        <v>19.2197317963676</v>
      </c>
      <c r="E1579" s="30" t="n">
        <f aca="false">E1578*tax</f>
        <v>27.4582984841595</v>
      </c>
      <c r="F1579" s="30" t="n">
        <f aca="false">F1578*tax</f>
        <v>19.0444124855066</v>
      </c>
      <c r="G1579" s="30" t="n">
        <f aca="false">G1578*tax</f>
        <v>21.000271528113</v>
      </c>
    </row>
    <row r="1580" customFormat="false" ht="15" hidden="false" customHeight="false" outlineLevel="0" collapsed="false">
      <c r="A1580" s="4" t="s">
        <v>461</v>
      </c>
      <c r="B1580" s="0" t="s">
        <v>234</v>
      </c>
      <c r="C1580" s="30" t="n">
        <f aca="false">a25_nci</f>
        <v>1.182</v>
      </c>
      <c r="D1580" s="30" t="n">
        <f aca="false">a26_nci</f>
        <v>2.543</v>
      </c>
      <c r="E1580" s="30" t="n">
        <f aca="false">nci</f>
        <v>3</v>
      </c>
      <c r="F1580" s="30" t="n">
        <f aca="false">nci</f>
        <v>3</v>
      </c>
      <c r="G1580" s="30" t="n">
        <f aca="false">nci</f>
        <v>3</v>
      </c>
    </row>
    <row r="1581" customFormat="false" ht="15" hidden="false" customHeight="false" outlineLevel="0" collapsed="false">
      <c r="A1581" s="4" t="s">
        <v>462</v>
      </c>
      <c r="B1581" s="0" t="s">
        <v>234</v>
      </c>
      <c r="C1581" s="30" t="n">
        <f aca="false">C1578-C1579-C1580</f>
        <v>40.658</v>
      </c>
      <c r="D1581" s="30" t="n">
        <f aca="false">D1578-D1579-D1580</f>
        <v>93.5615140646185</v>
      </c>
      <c r="E1581" s="30" t="n">
        <f aca="false">E1578-E1579-E1580</f>
        <v>131.061104363838</v>
      </c>
      <c r="F1581" s="30" t="n">
        <f aca="false">F1578-F1579-F1580</f>
        <v>89.9815433115911</v>
      </c>
      <c r="G1581" s="30" t="n">
        <f aca="false">G1578-G1579-G1580</f>
        <v>99.5307374607868</v>
      </c>
      <c r="H1581" s="31" t="n">
        <f aca="false">H1559*H1585</f>
        <v>95.8628099348994</v>
      </c>
      <c r="I1581" s="31" t="n">
        <f aca="false">I1559*I1585</f>
        <v>89.6844161874638</v>
      </c>
      <c r="J1581" s="31" t="n">
        <f aca="false">J1559*J1585</f>
        <v>81.2750246421403</v>
      </c>
    </row>
    <row r="1582" customFormat="false" ht="15" hidden="false" customHeight="false" outlineLevel="0" collapsed="false">
      <c r="A1582" s="4" t="s">
        <v>579</v>
      </c>
      <c r="B1582" s="4" t="s">
        <v>580</v>
      </c>
      <c r="C1582" s="18" t="n">
        <f aca="false">a25_sh</f>
        <v>4339.16755602988</v>
      </c>
      <c r="D1582" s="18" t="n">
        <f aca="false">a26_sh</f>
        <v>4392.90105184664</v>
      </c>
      <c r="E1582" s="18" t="n">
        <f aca="false">D1582*(1+sh_g)</f>
        <v>4414.86555710588</v>
      </c>
      <c r="F1582" s="18" t="n">
        <f aca="false">E1582*(1+sh_g)</f>
        <v>4436.9398848914</v>
      </c>
      <c r="G1582" s="18" t="n">
        <f aca="false">F1582*(1+sh_g)</f>
        <v>4459.12458431586</v>
      </c>
      <c r="H1582" s="25" t="n">
        <f aca="false">G1582*(1+sh_g)</f>
        <v>4481.42020723744</v>
      </c>
      <c r="I1582" s="25" t="n">
        <f aca="false">H1582*(1+sh_g)</f>
        <v>4503.82730827363</v>
      </c>
      <c r="J1582" s="25" t="n">
        <f aca="false">I1582*(1+sh_g)</f>
        <v>4526.34644481499</v>
      </c>
    </row>
    <row r="1583" customFormat="false" ht="17.15" hidden="false" customHeight="false" outlineLevel="0" collapsed="false">
      <c r="A1583" s="0" t="s">
        <v>465</v>
      </c>
      <c r="B1583" s="0" t="s">
        <v>304</v>
      </c>
      <c r="C1583" s="19" t="n">
        <f aca="false">a25_eps</f>
        <v>9.37</v>
      </c>
      <c r="D1583" s="19" t="n">
        <f aca="false">a26_eps</f>
        <v>21.2828697294455</v>
      </c>
      <c r="E1583" s="19" t="n">
        <f aca="false">E1581/E1582*1000</f>
        <v>29.6863183416515</v>
      </c>
      <c r="F1583" s="19" t="n">
        <f aca="false">F1581/F1582*1000</f>
        <v>20.2800907035037</v>
      </c>
      <c r="G1583" s="19" t="n">
        <f aca="false">G1581/G1582*1000</f>
        <v>22.3206899871934</v>
      </c>
      <c r="H1583" s="28" t="n">
        <f aca="false">H1581/H1582*1000</f>
        <v>21.3911674205606</v>
      </c>
      <c r="I1583" s="28" t="n">
        <f aca="false">I1581/I1582*1000</f>
        <v>19.9129340556001</v>
      </c>
      <c r="J1583" s="28" t="n">
        <f aca="false">J1581/J1582*1000</f>
        <v>17.9559884849827</v>
      </c>
    </row>
    <row r="1584" customFormat="false" ht="17.15" hidden="false" customHeight="false" outlineLevel="0" collapsed="false">
      <c r="A1584" s="0" t="s">
        <v>581</v>
      </c>
      <c r="B1584" s="0" t="s">
        <v>76</v>
      </c>
      <c r="D1584" s="21" t="n">
        <f aca="false">D1583/C1583-1</f>
        <v>1.27138417603474</v>
      </c>
      <c r="E1584" s="21" t="n">
        <f aca="false">E1583/D1583-1</f>
        <v>0.394845653759725</v>
      </c>
      <c r="F1584" s="21" t="n">
        <f aca="false">F1583/E1583-1</f>
        <v>-0.316853963832569</v>
      </c>
      <c r="G1584" s="21" t="n">
        <f aca="false">G1583/F1583-1</f>
        <v>0.100620816421549</v>
      </c>
      <c r="H1584" s="26" t="n">
        <f aca="false">H1583/G1583-1</f>
        <v>-0.0416439889253473</v>
      </c>
      <c r="I1584" s="26" t="n">
        <f aca="false">I1583/H1583-1</f>
        <v>-0.0691048476176021</v>
      </c>
      <c r="J1584" s="26" t="n">
        <f aca="false">J1583/I1583-1</f>
        <v>-0.0982750992472203</v>
      </c>
    </row>
    <row r="1585" customFormat="false" ht="17.15" hidden="false" customHeight="false" outlineLevel="0" collapsed="false">
      <c r="A1585" s="4" t="s">
        <v>582</v>
      </c>
      <c r="B1585" s="0" t="s">
        <v>76</v>
      </c>
      <c r="C1585" s="14" t="n">
        <f aca="false">C1581/C1559</f>
        <v>0.0629977625862272</v>
      </c>
      <c r="D1585" s="14" t="n">
        <f aca="false">D1581/D1559</f>
        <v>0.107397865592237</v>
      </c>
      <c r="E1585" s="14" t="n">
        <f aca="false">E1581/E1559</f>
        <v>0.119023934328411</v>
      </c>
      <c r="F1585" s="14" t="n">
        <f aca="false">F1581/F1559</f>
        <v>0.0828307536234524</v>
      </c>
      <c r="G1585" s="14" t="n">
        <f aca="false">G1581/G1559</f>
        <v>0.084858641886853</v>
      </c>
      <c r="H1585" s="27" t="n">
        <f aca="false">$G1585+(fade_mC-$G1585)*1/3</f>
        <v>0.0771201139842791</v>
      </c>
      <c r="I1585" s="27" t="n">
        <f aca="false">$G1585+(fade_mC-$G1585)*2/3</f>
        <v>0.0693815860817053</v>
      </c>
      <c r="J1585" s="27" t="n">
        <f aca="false">$G1585+(fade_mC-$G1585)*3/3</f>
        <v>0.0616430581791315</v>
      </c>
    </row>
    <row r="1586" customFormat="false" ht="17.15" hidden="false" customHeight="false" outlineLevel="0" collapsed="false">
      <c r="A1586" s="4" t="s">
        <v>583</v>
      </c>
      <c r="B1586" s="0" t="s">
        <v>234</v>
      </c>
      <c r="C1586" s="30" t="n">
        <f aca="false">C1581+C1567-C1565</f>
        <v>-54.587</v>
      </c>
      <c r="D1586" s="30" t="n">
        <f aca="false">D1581+D1567-D1565</f>
        <v>-176.164485935382</v>
      </c>
      <c r="E1586" s="30" t="n">
        <f aca="false">E1581+E1567-E1565</f>
        <v>-154.099145636162</v>
      </c>
      <c r="F1586" s="30" t="n">
        <f aca="false">F1581+F1567-F1565</f>
        <v>-69.4327142929125</v>
      </c>
      <c r="G1586" s="30" t="n">
        <f aca="false">G1581+G1567-G1565</f>
        <v>-65.9278277438922</v>
      </c>
      <c r="K1586" s="4" t="s">
        <v>584</v>
      </c>
    </row>
    <row r="1587" customFormat="false" ht="17.15" hidden="false" customHeight="false" outlineLevel="0" collapsed="false">
      <c r="A1587" s="4" t="s">
        <v>585</v>
      </c>
      <c r="B1587" s="0" t="s">
        <v>76</v>
      </c>
      <c r="D1587" s="21" t="n">
        <f aca="false">(D1575-$C1575)/SUM($D1565:D1565)</f>
        <v>0.164280348537512</v>
      </c>
      <c r="E1587" s="21" t="n">
        <f aca="false">(E1575-$C1575)/SUM($D1565:E1565)</f>
        <v>0.147874309060481</v>
      </c>
      <c r="F1587" s="21" t="n">
        <f aca="false">(F1575-$C1575)/SUM($D1565:F1565)</f>
        <v>0.0597700232196495</v>
      </c>
      <c r="G1587" s="21" t="n">
        <f aca="false">(G1575-$C1575)/SUM($D1565:G1565)</f>
        <v>0.053247972311291</v>
      </c>
      <c r="K1587" s="4" t="s">
        <v>586</v>
      </c>
    </row>
    <row r="1590" customFormat="false" ht="17.15" hidden="false" customHeight="false" outlineLevel="0" collapsed="false">
      <c r="A1590" s="1" t="s">
        <v>946</v>
      </c>
    </row>
    <row r="1591" customFormat="false" ht="17.15" hidden="false" customHeight="false" outlineLevel="0" collapsed="false">
      <c r="A1591" s="5" t="s">
        <v>21</v>
      </c>
      <c r="B1591" s="5" t="s">
        <v>22</v>
      </c>
      <c r="C1591" s="15" t="s">
        <v>424</v>
      </c>
      <c r="D1591" s="15" t="s">
        <v>524</v>
      </c>
      <c r="E1591" s="15" t="s">
        <v>525</v>
      </c>
      <c r="F1591" s="15" t="s">
        <v>526</v>
      </c>
      <c r="G1591" s="15" t="s">
        <v>527</v>
      </c>
      <c r="H1591" s="15" t="s">
        <v>528</v>
      </c>
      <c r="I1591" s="15" t="s">
        <v>529</v>
      </c>
      <c r="J1591" s="15" t="s">
        <v>530</v>
      </c>
      <c r="K1591" s="5" t="s">
        <v>382</v>
      </c>
    </row>
    <row r="1592" customFormat="false" ht="17.15" hidden="false" customHeight="false" outlineLevel="0" collapsed="false">
      <c r="A1592" s="6" t="s">
        <v>548</v>
      </c>
    </row>
    <row r="1593" customFormat="false" ht="17.15" hidden="false" customHeight="false" outlineLevel="0" collapsed="false">
      <c r="A1593" s="0" t="s">
        <v>549</v>
      </c>
      <c r="B1593" s="4" t="s">
        <v>32</v>
      </c>
      <c r="D1593" s="19" t="n">
        <f aca="false">units_26</f>
        <v>15.2</v>
      </c>
      <c r="E1593" s="19" t="n">
        <f aca="false">units_27*1</f>
        <v>23.7</v>
      </c>
      <c r="F1593" s="19" t="n">
        <f aca="false">units_28*um28_A*1</f>
        <v>26.5</v>
      </c>
      <c r="G1593" s="19" t="n">
        <f aca="false">units_29*um29_A*1</f>
        <v>30.15</v>
      </c>
    </row>
    <row r="1594" customFormat="false" ht="17.15" hidden="false" customHeight="false" outlineLevel="0" collapsed="false">
      <c r="A1594" s="4" t="s">
        <v>497</v>
      </c>
      <c r="B1594" s="0" t="s">
        <v>45</v>
      </c>
      <c r="D1594" s="22" t="n">
        <f aca="false">ar_26</f>
        <v>1</v>
      </c>
      <c r="E1594" s="22" t="n">
        <f aca="false">ar_27</f>
        <v>1.278156</v>
      </c>
      <c r="F1594" s="22" t="n">
        <f aca="false">ar_28</f>
        <v>1.428615</v>
      </c>
      <c r="G1594" s="22" t="n">
        <f aca="false">ar_29</f>
        <v>1.431796</v>
      </c>
    </row>
    <row r="1595" customFormat="false" ht="17.15" hidden="false" customHeight="false" outlineLevel="0" collapsed="false">
      <c r="A1595" s="4" t="s">
        <v>550</v>
      </c>
      <c r="B1595" s="0" t="s">
        <v>45</v>
      </c>
      <c r="D1595" s="19" t="n">
        <f aca="false">1</f>
        <v>1</v>
      </c>
      <c r="E1595" s="19" t="n">
        <f aca="false">rel27_A</f>
        <v>1.1</v>
      </c>
      <c r="F1595" s="19" t="n">
        <f aca="false">rel28_A</f>
        <v>1.15</v>
      </c>
      <c r="G1595" s="19" t="n">
        <f aca="false">rel29_A</f>
        <v>1.2</v>
      </c>
    </row>
    <row r="1596" customFormat="false" ht="17.15" hidden="false" customHeight="false" outlineLevel="0" collapsed="false">
      <c r="A1596" s="4" t="s">
        <v>551</v>
      </c>
      <c r="B1596" s="0" t="s">
        <v>502</v>
      </c>
      <c r="D1596" s="23" t="n">
        <f aca="false">D1597*1000/D1593</f>
        <v>236.842105263158</v>
      </c>
      <c r="E1596" s="23" t="n">
        <f aca="false">$D1596*E1594^el</f>
        <v>267.763172119488</v>
      </c>
      <c r="F1596" s="23" t="n">
        <f aca="false">$D1596*F1594^el</f>
        <v>283.084777049615</v>
      </c>
      <c r="G1596" s="23" t="n">
        <f aca="false">$D1596*G1594^el</f>
        <v>283.399764630809</v>
      </c>
      <c r="K1596" s="8" t="s">
        <v>552</v>
      </c>
    </row>
    <row r="1597" customFormat="false" ht="17.15" hidden="false" customHeight="false" outlineLevel="0" collapsed="false">
      <c r="A1597" s="0" t="s">
        <v>553</v>
      </c>
      <c r="B1597" s="0" t="s">
        <v>120</v>
      </c>
      <c r="D1597" s="22" t="n">
        <f aca="false">leap26-D1598-D1599</f>
        <v>3.6</v>
      </c>
      <c r="E1597" s="22" t="n">
        <f aca="false">E1593*E1595*E1596/1000</f>
        <v>6.98058589715504</v>
      </c>
      <c r="F1597" s="22" t="n">
        <f aca="false">F1593*F1595*F1596/1000</f>
        <v>8.627008580587</v>
      </c>
      <c r="G1597" s="22" t="n">
        <f aca="false">G1593*G1595*G1596/1000</f>
        <v>10.2534034843427</v>
      </c>
      <c r="K1597" s="8" t="s">
        <v>554</v>
      </c>
    </row>
    <row r="1598" customFormat="false" ht="17.15" hidden="false" customHeight="false" outlineLevel="0" collapsed="false">
      <c r="A1598" s="4" t="s">
        <v>555</v>
      </c>
      <c r="B1598" s="0" t="s">
        <v>120</v>
      </c>
      <c r="D1598" s="22" t="n">
        <f aca="false">fp26</f>
        <v>0.3</v>
      </c>
      <c r="E1598" s="22" t="n">
        <f aca="false">fp27_A</f>
        <v>1.2</v>
      </c>
      <c r="F1598" s="22" t="n">
        <f aca="false">E1598*F1593/E1593*(1+fp_g)</f>
        <v>1.74430379746835</v>
      </c>
      <c r="G1598" s="22" t="n">
        <f aca="false">F1598*G1593/F1593*(1+fp_g)</f>
        <v>2.57992405063291</v>
      </c>
    </row>
    <row r="1599" customFormat="false" ht="17.15" hidden="false" customHeight="false" outlineLevel="0" collapsed="false">
      <c r="A1599" s="0" t="s">
        <v>556</v>
      </c>
      <c r="B1599" s="0" t="s">
        <v>120</v>
      </c>
      <c r="D1599" s="22" t="n">
        <f aca="false">cpo27*cpo_A_26/cpo_A_27</f>
        <v>0.1</v>
      </c>
      <c r="E1599" s="22" t="n">
        <f aca="false">cpo27*cpo_A_27/cpo_A_27</f>
        <v>0.5</v>
      </c>
      <c r="F1599" s="22" t="n">
        <f aca="false">cpo27*cpo_A_28/cpo_A_27*F1593/E1593</f>
        <v>1.11814345991561</v>
      </c>
      <c r="G1599" s="22" t="n">
        <f aca="false">cpo27*cpo_A_29/cpo_A_27*G1593/E1593</f>
        <v>2.03544303797468</v>
      </c>
      <c r="K1599" s="8" t="s">
        <v>557</v>
      </c>
    </row>
    <row r="1600" customFormat="false" ht="17.15" hidden="false" customHeight="false" outlineLevel="0" collapsed="false">
      <c r="A1600" s="0" t="s">
        <v>510</v>
      </c>
      <c r="B1600" s="0" t="s">
        <v>120</v>
      </c>
      <c r="C1600" s="22" t="n">
        <f aca="false">leap25</f>
        <v>1.6</v>
      </c>
      <c r="D1600" s="22" t="n">
        <f aca="false">D1597+D1598+D1599</f>
        <v>4</v>
      </c>
      <c r="E1600" s="22" t="n">
        <f aca="false">E1597+E1598+E1599</f>
        <v>8.68058589715504</v>
      </c>
      <c r="F1600" s="22" t="n">
        <f aca="false">F1597+F1598+F1599</f>
        <v>11.489455837971</v>
      </c>
      <c r="G1600" s="22" t="n">
        <f aca="false">G1597+G1598+G1599</f>
        <v>14.8687705729503</v>
      </c>
    </row>
    <row r="1601" customFormat="false" ht="17.15" hidden="false" customHeight="false" outlineLevel="0" collapsed="false">
      <c r="A1601" s="4" t="s">
        <v>558</v>
      </c>
      <c r="B1601" s="0" t="s">
        <v>114</v>
      </c>
      <c r="C1601" s="19" t="n">
        <f aca="false">fx25</f>
        <v>31</v>
      </c>
      <c r="D1601" s="19" t="n">
        <f aca="false">a26_leap/D1600</f>
        <v>31.9</v>
      </c>
      <c r="E1601" s="19" t="n">
        <f aca="false">fx</f>
        <v>32</v>
      </c>
      <c r="F1601" s="19" t="n">
        <f aca="false">fx</f>
        <v>32</v>
      </c>
      <c r="G1601" s="19" t="n">
        <f aca="false">fx</f>
        <v>32</v>
      </c>
      <c r="K1601" s="8" t="s">
        <v>559</v>
      </c>
    </row>
    <row r="1602" customFormat="false" ht="17.15" hidden="false" customHeight="false" outlineLevel="0" collapsed="false">
      <c r="A1602" s="6" t="s">
        <v>560</v>
      </c>
    </row>
    <row r="1603" customFormat="false" ht="17.15" hidden="false" customHeight="false" outlineLevel="0" collapsed="false">
      <c r="A1603" s="0" t="s">
        <v>438</v>
      </c>
      <c r="B1603" s="0" t="s">
        <v>234</v>
      </c>
      <c r="C1603" s="30" t="n">
        <f aca="false">a25_leap</f>
        <v>49.6</v>
      </c>
      <c r="D1603" s="30" t="n">
        <f aca="false">a26_leap</f>
        <v>127.6</v>
      </c>
      <c r="E1603" s="30" t="n">
        <f aca="false">E1600*E1601</f>
        <v>277.778748708961</v>
      </c>
      <c r="F1603" s="30" t="n">
        <f aca="false">F1600*F1601</f>
        <v>367.662586815071</v>
      </c>
      <c r="G1603" s="30" t="n">
        <f aca="false">G1600*G1601</f>
        <v>475.800658334408</v>
      </c>
    </row>
    <row r="1604" customFormat="false" ht="15" hidden="false" customHeight="false" outlineLevel="0" collapsed="false">
      <c r="A1604" s="4" t="s">
        <v>561</v>
      </c>
      <c r="B1604" s="0" t="s">
        <v>234</v>
      </c>
      <c r="C1604" s="30" t="n">
        <f aca="false">a25_ms</f>
        <v>339.628</v>
      </c>
      <c r="D1604" s="30" t="n">
        <f aca="false">a26_ms</f>
        <v>432.1302</v>
      </c>
      <c r="E1604" s="30" t="n">
        <f aca="false">D1604*(1+g_ms27)</f>
        <v>496.94973</v>
      </c>
      <c r="F1604" s="30" t="n">
        <f aca="false">E1604*(1+g_msL_lo)</f>
        <v>506.8887246</v>
      </c>
      <c r="G1604" s="30" t="n">
        <f aca="false">F1604*(1+g_msL_lo)</f>
        <v>517.026499092</v>
      </c>
    </row>
    <row r="1605" customFormat="false" ht="17.15" hidden="false" customHeight="false" outlineLevel="0" collapsed="false">
      <c r="A1605" s="4" t="s">
        <v>562</v>
      </c>
      <c r="B1605" s="0" t="s">
        <v>234</v>
      </c>
      <c r="C1605" s="30" t="n">
        <f aca="false">C1603+C1604</f>
        <v>389.228</v>
      </c>
      <c r="D1605" s="30" t="n">
        <f aca="false">D1603+D1604</f>
        <v>559.7302</v>
      </c>
      <c r="E1605" s="30" t="n">
        <f aca="false">E1603+E1604</f>
        <v>774.728478708961</v>
      </c>
      <c r="F1605" s="30" t="n">
        <f aca="false">F1603+F1604</f>
        <v>874.551311415071</v>
      </c>
      <c r="G1605" s="30" t="n">
        <f aca="false">G1603+G1604</f>
        <v>992.827157426408</v>
      </c>
    </row>
    <row r="1606" customFormat="false" ht="17.15" hidden="false" customHeight="false" outlineLevel="0" collapsed="false">
      <c r="A1606" s="0" t="s">
        <v>563</v>
      </c>
      <c r="B1606" s="0" t="s">
        <v>234</v>
      </c>
      <c r="C1606" s="30" t="n">
        <f aca="false">a25_ems</f>
        <v>259.079</v>
      </c>
      <c r="D1606" s="30" t="n">
        <f aca="false">a26_ems</f>
        <v>314.602</v>
      </c>
      <c r="E1606" s="30" t="n">
        <f aca="false">D1606*(1+g_ems27)</f>
        <v>346.0622</v>
      </c>
      <c r="F1606" s="30" t="n">
        <f aca="false">E1606*(1+g_emsL)</f>
        <v>363.36531</v>
      </c>
      <c r="G1606" s="30" t="n">
        <f aca="false">F1606*(1+g_emsL)</f>
        <v>381.5335755</v>
      </c>
    </row>
    <row r="1607" customFormat="false" ht="17.15" hidden="false" customHeight="false" outlineLevel="0" collapsed="false">
      <c r="A1607" s="4" t="s">
        <v>564</v>
      </c>
      <c r="B1607" s="0" t="s">
        <v>234</v>
      </c>
      <c r="C1607" s="30" t="n">
        <f aca="false">a25_elim</f>
        <v>-2.91899999999998</v>
      </c>
      <c r="D1607" s="30" t="n">
        <f aca="false">a26_elim</f>
        <v>-3.16484905982349</v>
      </c>
      <c r="E1607" s="30" t="n">
        <f aca="false">$D1607/($D1605+$D1606)*(E1605+E1606)</f>
        <v>-4.05696293213379</v>
      </c>
      <c r="F1607" s="30" t="n">
        <f aca="false">$D1607/($D1605+$D1606)*(F1605+F1606)</f>
        <v>-4.48092756440327</v>
      </c>
      <c r="G1607" s="30" t="n">
        <f aca="false">$D1607/($D1605+$D1606)*(G1605+G1606)</f>
        <v>-4.97481880852662</v>
      </c>
      <c r="K1607" s="4" t="s">
        <v>565</v>
      </c>
    </row>
    <row r="1608" customFormat="false" ht="17.15" hidden="false" customHeight="false" outlineLevel="0" collapsed="false">
      <c r="A1608" s="4" t="s">
        <v>431</v>
      </c>
      <c r="B1608" s="0" t="s">
        <v>234</v>
      </c>
      <c r="C1608" s="30" t="n">
        <f aca="false">C1605+C1606+C1607</f>
        <v>645.388</v>
      </c>
      <c r="D1608" s="30" t="n">
        <f aca="false">D1605+D1606+D1607</f>
        <v>871.167350940177</v>
      </c>
      <c r="E1608" s="30" t="n">
        <f aca="false">E1605+E1606+E1607</f>
        <v>1116.73371577683</v>
      </c>
      <c r="F1608" s="30" t="n">
        <f aca="false">F1605+F1606+F1607</f>
        <v>1233.43569385067</v>
      </c>
      <c r="G1608" s="30" t="n">
        <f aca="false">G1605+G1606+G1607</f>
        <v>1369.38591411788</v>
      </c>
      <c r="H1608" s="31" t="n">
        <f aca="false">G1608*(1+H1609)</f>
        <v>1497.39680369502</v>
      </c>
      <c r="I1608" s="31" t="n">
        <f aca="false">H1608*(1+I1609)</f>
        <v>1612.30741402622</v>
      </c>
      <c r="J1608" s="31" t="n">
        <f aca="false">I1608*(1+J1609)</f>
        <v>1709.04585886779</v>
      </c>
      <c r="K1608" s="8" t="s">
        <v>566</v>
      </c>
    </row>
    <row r="1609" customFormat="false" ht="15" hidden="false" customHeight="false" outlineLevel="0" collapsed="false">
      <c r="A1609" s="4" t="s">
        <v>567</v>
      </c>
      <c r="B1609" s="0" t="s">
        <v>76</v>
      </c>
      <c r="D1609" s="21" t="n">
        <f aca="false">D1608/C1608-1</f>
        <v>0.349835061916516</v>
      </c>
      <c r="E1609" s="21" t="n">
        <f aca="false">E1608/D1608-1</f>
        <v>0.281881965126026</v>
      </c>
      <c r="F1609" s="21" t="n">
        <f aca="false">F1608/E1608-1</f>
        <v>0.104502959322455</v>
      </c>
      <c r="G1609" s="21" t="n">
        <f aca="false">G1608/F1608-1</f>
        <v>0.110220760551197</v>
      </c>
      <c r="H1609" s="26" t="n">
        <f aca="false">$G1609+(fade_gA-$G1609)*1/3</f>
        <v>0.0934805070341316</v>
      </c>
      <c r="I1609" s="26" t="n">
        <f aca="false">$G1609+(fade_gA-$G1609)*2/3</f>
        <v>0.0767402535170658</v>
      </c>
      <c r="J1609" s="26" t="n">
        <f aca="false">$G1609+(fade_gA-$G1609)*3/3</f>
        <v>0.06</v>
      </c>
    </row>
    <row r="1610" customFormat="false" ht="17.15" hidden="false" customHeight="false" outlineLevel="0" collapsed="false">
      <c r="A1610" s="0" t="s">
        <v>475</v>
      </c>
      <c r="B1610" s="0" t="s">
        <v>76</v>
      </c>
      <c r="C1610" s="21" t="n">
        <f aca="false">C1603/C1605</f>
        <v>0.127431736668482</v>
      </c>
      <c r="D1610" s="21" t="n">
        <f aca="false">D1603/D1605</f>
        <v>0.227966974088588</v>
      </c>
      <c r="E1610" s="21" t="n">
        <f aca="false">E1603/E1605</f>
        <v>0.35854980982739</v>
      </c>
      <c r="F1610" s="21" t="n">
        <f aca="false">F1603/F1605</f>
        <v>0.420401389851183</v>
      </c>
      <c r="G1610" s="21" t="n">
        <f aca="false">G1603/G1605</f>
        <v>0.479238158198424</v>
      </c>
    </row>
    <row r="1611" customFormat="false" ht="15" hidden="false" customHeight="false" outlineLevel="0" collapsed="false">
      <c r="A1611" s="4" t="s">
        <v>568</v>
      </c>
      <c r="B1611" s="0" t="s">
        <v>76</v>
      </c>
      <c r="D1611" s="21" t="n">
        <f aca="false">D1605/C1605-1</f>
        <v>0.438052247012034</v>
      </c>
      <c r="E1611" s="21" t="n">
        <f aca="false">E1605/D1605-1</f>
        <v>0.384110556673485</v>
      </c>
      <c r="F1611" s="21" t="n">
        <f aca="false">F1605/E1605-1</f>
        <v>0.12884879728761</v>
      </c>
      <c r="G1611" s="21" t="n">
        <f aca="false">G1605/F1605-1</f>
        <v>0.135241745644359</v>
      </c>
    </row>
    <row r="1612" customFormat="false" ht="17.15" hidden="false" customHeight="false" outlineLevel="0" collapsed="false">
      <c r="A1612" s="6" t="s">
        <v>569</v>
      </c>
    </row>
    <row r="1613" customFormat="false" ht="17.15" hidden="false" customHeight="false" outlineLevel="0" collapsed="false">
      <c r="A1613" s="4" t="s">
        <v>570</v>
      </c>
      <c r="B1613" s="0" t="s">
        <v>120</v>
      </c>
      <c r="C1613" s="19" t="n">
        <f aca="false">capex25</f>
        <v>5.5</v>
      </c>
      <c r="D1613" s="19" t="n">
        <f aca="false">capex26</f>
        <v>11.5</v>
      </c>
      <c r="E1613" s="19" t="n">
        <f aca="false">capex27</f>
        <v>13</v>
      </c>
      <c r="F1613" s="19" t="n">
        <f aca="false">capi*F1608/F1601</f>
        <v>11.56345962985</v>
      </c>
      <c r="G1613" s="19" t="n">
        <f aca="false">capi*G1608/G1601</f>
        <v>12.8379929448551</v>
      </c>
      <c r="K1613" s="8" t="s">
        <v>571</v>
      </c>
    </row>
    <row r="1614" customFormat="false" ht="15" hidden="false" customHeight="false" outlineLevel="0" collapsed="false">
      <c r="A1614" s="4" t="s">
        <v>572</v>
      </c>
      <c r="B1614" s="0" t="s">
        <v>234</v>
      </c>
      <c r="C1614" s="30" t="n">
        <f aca="false">C1613*C1601</f>
        <v>170.5</v>
      </c>
      <c r="D1614" s="30" t="n">
        <f aca="false">D1613*31.9</f>
        <v>366.85</v>
      </c>
      <c r="E1614" s="30" t="n">
        <f aca="false">E1613*E1601</f>
        <v>416</v>
      </c>
      <c r="F1614" s="30" t="n">
        <f aca="false">F1613*F1601</f>
        <v>370.0307081552</v>
      </c>
      <c r="G1614" s="30" t="n">
        <f aca="false">G1613*G1601</f>
        <v>410.815774235365</v>
      </c>
    </row>
    <row r="1615" customFormat="false" ht="17.15" hidden="false" customHeight="false" outlineLevel="0" collapsed="false">
      <c r="A1615" s="4" t="s">
        <v>473</v>
      </c>
      <c r="B1615" s="0" t="s">
        <v>76</v>
      </c>
      <c r="C1615" s="21" t="n">
        <f aca="false">C1614/C1608</f>
        <v>0.264182166386732</v>
      </c>
      <c r="D1615" s="21" t="n">
        <f aca="false">D1614/D1608</f>
        <v>0.421101639775745</v>
      </c>
      <c r="E1615" s="21" t="n">
        <f aca="false">E1614/E1608</f>
        <v>0.372514946153139</v>
      </c>
      <c r="F1615" s="21" t="n">
        <f aca="false">F1614/F1608</f>
        <v>0.3</v>
      </c>
      <c r="G1615" s="21" t="n">
        <f aca="false">G1614/G1608</f>
        <v>0.3</v>
      </c>
    </row>
    <row r="1616" customFormat="false" ht="17.15" hidden="false" customHeight="false" outlineLevel="0" collapsed="false">
      <c r="A1616" s="4" t="s">
        <v>573</v>
      </c>
      <c r="B1616" s="0" t="s">
        <v>234</v>
      </c>
      <c r="C1616" s="30" t="n">
        <f aca="false">a25_da</f>
        <v>75.255</v>
      </c>
      <c r="D1616" s="30" t="n">
        <f aca="false">a26_da</f>
        <v>97.124</v>
      </c>
      <c r="E1616" s="30" t="n">
        <f aca="false">D1616*(1-1/life)+D1614/life</f>
        <v>130.83975</v>
      </c>
      <c r="F1616" s="30" t="n">
        <f aca="false">E1616*(1-1/life)+E1614/life</f>
        <v>166.48478125</v>
      </c>
      <c r="G1616" s="30" t="n">
        <f aca="false">F1616*(1-1/life)+F1614/life</f>
        <v>191.92802211315</v>
      </c>
      <c r="K1616" s="4" t="s">
        <v>574</v>
      </c>
    </row>
    <row r="1617" customFormat="false" ht="17.15" hidden="false" customHeight="false" outlineLevel="0" collapsed="false">
      <c r="A1617" s="4" t="s">
        <v>575</v>
      </c>
      <c r="B1617" s="0" t="s">
        <v>234</v>
      </c>
      <c r="C1617" s="30" t="n">
        <f aca="false">a25_agp</f>
        <v>91.38</v>
      </c>
      <c r="D1617" s="30" t="n">
        <f aca="false">a26_agp</f>
        <v>164.623388</v>
      </c>
      <c r="E1617" s="30" t="n">
        <f aca="false">$D1617+ft*(E1605-$D1605)-(E1616-$D1616)</f>
        <v>238.406777354481</v>
      </c>
      <c r="F1617" s="30" t="n">
        <f aca="false">$D1617+ft*(F1605-$D1605)-(F1616-$D1616)</f>
        <v>252.673162457536</v>
      </c>
      <c r="G1617" s="30" t="n">
        <f aca="false">$D1617+ft*(G1605-$D1605)-(G1616-$D1616)</f>
        <v>286.367844600054</v>
      </c>
      <c r="K1617" s="4" t="s">
        <v>576</v>
      </c>
    </row>
    <row r="1618" customFormat="false" ht="15" hidden="false" customHeight="false" outlineLevel="0" collapsed="false">
      <c r="A1618" s="4" t="s">
        <v>447</v>
      </c>
      <c r="B1618" s="0" t="s">
        <v>76</v>
      </c>
      <c r="C1618" s="14" t="n">
        <f aca="false">C1617/C1605</f>
        <v>0.234772421305764</v>
      </c>
      <c r="D1618" s="14" t="n">
        <f aca="false">D1617/D1605</f>
        <v>0.294112034690999</v>
      </c>
      <c r="E1618" s="14" t="n">
        <f aca="false">E1617/E1605</f>
        <v>0.307729461232368</v>
      </c>
      <c r="F1618" s="14" t="n">
        <f aca="false">F1617/F1605</f>
        <v>0.288917481638324</v>
      </c>
      <c r="G1618" s="14" t="n">
        <f aca="false">G1617/G1605</f>
        <v>0.288436756043592</v>
      </c>
    </row>
    <row r="1619" customFormat="false" ht="17.15" hidden="false" customHeight="false" outlineLevel="0" collapsed="false">
      <c r="A1619" s="0" t="s">
        <v>449</v>
      </c>
      <c r="B1619" s="0" t="s">
        <v>234</v>
      </c>
      <c r="C1619" s="30" t="n">
        <f aca="false">a25_egp</f>
        <v>23.695</v>
      </c>
      <c r="D1619" s="30" t="n">
        <f aca="false">a26_egp</f>
        <v>27.00552</v>
      </c>
      <c r="E1619" s="30" t="n">
        <f aca="false">E1606*ems_gm</f>
        <v>29.415287</v>
      </c>
      <c r="F1619" s="30" t="n">
        <f aca="false">F1606*ems_gm</f>
        <v>30.88605135</v>
      </c>
      <c r="G1619" s="30" t="n">
        <f aca="false">G1606*ems_gm</f>
        <v>32.4303539175</v>
      </c>
    </row>
    <row r="1620" customFormat="false" ht="15" hidden="false" customHeight="false" outlineLevel="0" collapsed="false">
      <c r="A1620" s="4" t="s">
        <v>577</v>
      </c>
      <c r="B1620" s="0" t="s">
        <v>234</v>
      </c>
      <c r="C1620" s="30" t="n">
        <f aca="false">a25_lgp</f>
        <v>-0.881999999999998</v>
      </c>
      <c r="D1620" s="30" t="n">
        <f aca="false">a26_lgp</f>
        <v>-0.948662139013863</v>
      </c>
      <c r="E1620" s="30" t="n">
        <f aca="false">$D1620/$D1607*E1607</f>
        <v>-1.21607288699975</v>
      </c>
      <c r="F1620" s="30" t="n">
        <f aca="false">$D1620/$D1607*F1607</f>
        <v>-1.34315610244302</v>
      </c>
      <c r="G1620" s="30" t="n">
        <f aca="false">$D1620/$D1607*G1607</f>
        <v>-1.49119978959328</v>
      </c>
    </row>
    <row r="1621" customFormat="false" ht="15" hidden="false" customHeight="false" outlineLevel="0" collapsed="false">
      <c r="A1621" s="4" t="s">
        <v>451</v>
      </c>
      <c r="B1621" s="0" t="s">
        <v>234</v>
      </c>
      <c r="C1621" s="30" t="n">
        <f aca="false">C1617+C1619+C1620</f>
        <v>114.193</v>
      </c>
      <c r="D1621" s="30" t="n">
        <f aca="false">D1617+D1619+D1620</f>
        <v>190.680245860986</v>
      </c>
      <c r="E1621" s="30" t="n">
        <f aca="false">E1617+E1619+E1620</f>
        <v>266.605991467481</v>
      </c>
      <c r="F1621" s="30" t="n">
        <f aca="false">F1617+F1619+F1620</f>
        <v>282.216057705093</v>
      </c>
      <c r="G1621" s="30" t="n">
        <f aca="false">G1617+G1619+G1620</f>
        <v>317.306998727961</v>
      </c>
    </row>
    <row r="1622" customFormat="false" ht="15" hidden="false" customHeight="false" outlineLevel="0" collapsed="false">
      <c r="A1622" s="4" t="s">
        <v>452</v>
      </c>
      <c r="B1622" s="0" t="s">
        <v>76</v>
      </c>
      <c r="C1622" s="14" t="n">
        <f aca="false">C1621/C1608</f>
        <v>0.176936974347214</v>
      </c>
      <c r="D1622" s="14" t="n">
        <f aca="false">D1621/D1608</f>
        <v>0.218879008327391</v>
      </c>
      <c r="E1622" s="14" t="n">
        <f aca="false">E1621/E1608</f>
        <v>0.238737299412531</v>
      </c>
      <c r="F1622" s="14" t="n">
        <f aca="false">F1621/F1608</f>
        <v>0.22880484091071</v>
      </c>
      <c r="G1622" s="14" t="n">
        <f aca="false">G1621/G1608</f>
        <v>0.231714811330129</v>
      </c>
    </row>
    <row r="1623" customFormat="false" ht="15" hidden="false" customHeight="false" outlineLevel="0" collapsed="false">
      <c r="A1623" s="4" t="s">
        <v>578</v>
      </c>
      <c r="B1623" s="0" t="s">
        <v>234</v>
      </c>
      <c r="C1623" s="30" t="n">
        <f aca="false">a25_opx</f>
        <v>63.437</v>
      </c>
      <c r="D1623" s="30" t="n">
        <f aca="false">a26_opx</f>
        <v>79.658</v>
      </c>
      <c r="E1623" s="30" t="n">
        <f aca="false">D1623*(1+phi*E1609)</f>
        <v>93.1304921468054</v>
      </c>
      <c r="F1623" s="30" t="n">
        <f aca="false">E1623*(1+phi*F1609)</f>
        <v>98.9699393663041</v>
      </c>
      <c r="G1623" s="30" t="n">
        <f aca="false">F1623*(1+phi*G1609)</f>
        <v>105.5150645595</v>
      </c>
    </row>
    <row r="1624" customFormat="false" ht="15" hidden="false" customHeight="false" outlineLevel="0" collapsed="false">
      <c r="A1624" s="4" t="s">
        <v>455</v>
      </c>
      <c r="B1624" s="0" t="s">
        <v>234</v>
      </c>
      <c r="C1624" s="30" t="n">
        <f aca="false">C1621-C1623</f>
        <v>50.756</v>
      </c>
      <c r="D1624" s="30" t="n">
        <f aca="false">D1621-D1623</f>
        <v>111.022245860986</v>
      </c>
      <c r="E1624" s="30" t="n">
        <f aca="false">E1621-E1623</f>
        <v>173.475499320676</v>
      </c>
      <c r="F1624" s="30" t="n">
        <f aca="false">F1621-F1623</f>
        <v>183.246118338789</v>
      </c>
      <c r="G1624" s="30" t="n">
        <f aca="false">G1621-G1623</f>
        <v>211.791934168461</v>
      </c>
    </row>
    <row r="1625" customFormat="false" ht="15" hidden="false" customHeight="false" outlineLevel="0" collapsed="false">
      <c r="A1625" s="4" t="s">
        <v>537</v>
      </c>
      <c r="B1625" s="0" t="s">
        <v>76</v>
      </c>
      <c r="C1625" s="14" t="n">
        <f aca="false">C1624/C1608</f>
        <v>0.0786441644406156</v>
      </c>
      <c r="D1625" s="14" t="n">
        <f aca="false">D1624/D1608</f>
        <v>0.127440779020437</v>
      </c>
      <c r="E1625" s="14" t="n">
        <f aca="false">E1624/E1608</f>
        <v>0.155341866077717</v>
      </c>
      <c r="F1625" s="14" t="n">
        <f aca="false">F1624/F1608</f>
        <v>0.148565603583849</v>
      </c>
      <c r="G1625" s="14" t="n">
        <f aca="false">G1624/G1608</f>
        <v>0.154661978033337</v>
      </c>
    </row>
    <row r="1626" customFormat="false" ht="15" hidden="false" customHeight="false" outlineLevel="0" collapsed="false">
      <c r="A1626" s="4" t="s">
        <v>456</v>
      </c>
      <c r="B1626" s="0" t="s">
        <v>234</v>
      </c>
      <c r="C1626" s="30" t="n">
        <f aca="false">a25_nonop</f>
        <v>0.545</v>
      </c>
      <c r="D1626" s="30" t="n">
        <f aca="false">a26_nonop</f>
        <v>4.302</v>
      </c>
      <c r="E1626" s="30" t="n">
        <f aca="false">nonop_f</f>
        <v>-5</v>
      </c>
      <c r="F1626" s="30" t="n">
        <f aca="false">nonop_f</f>
        <v>-5</v>
      </c>
      <c r="G1626" s="30" t="n">
        <f aca="false">nonop_f</f>
        <v>-5</v>
      </c>
    </row>
    <row r="1627" customFormat="false" ht="15" hidden="false" customHeight="false" outlineLevel="0" collapsed="false">
      <c r="A1627" s="4" t="s">
        <v>459</v>
      </c>
      <c r="B1627" s="0" t="s">
        <v>234</v>
      </c>
      <c r="C1627" s="30" t="n">
        <f aca="false">C1624+C1626</f>
        <v>51.301</v>
      </c>
      <c r="D1627" s="30" t="n">
        <f aca="false">D1624+D1626</f>
        <v>115.324245860986</v>
      </c>
      <c r="E1627" s="30" t="n">
        <f aca="false">E1624+E1626</f>
        <v>168.475499320676</v>
      </c>
      <c r="F1627" s="30" t="n">
        <f aca="false">F1624+F1626</f>
        <v>178.246118338789</v>
      </c>
      <c r="G1627" s="30" t="n">
        <f aca="false">G1624+G1626</f>
        <v>206.791934168461</v>
      </c>
    </row>
    <row r="1628" customFormat="false" ht="15" hidden="false" customHeight="false" outlineLevel="0" collapsed="false">
      <c r="A1628" s="4" t="s">
        <v>460</v>
      </c>
      <c r="B1628" s="0" t="s">
        <v>234</v>
      </c>
      <c r="C1628" s="30" t="n">
        <f aca="false">a25_tax</f>
        <v>9.461</v>
      </c>
      <c r="D1628" s="30" t="n">
        <f aca="false">a26_tax</f>
        <v>19.2197317963676</v>
      </c>
      <c r="E1628" s="30" t="n">
        <f aca="false">E1627*tax</f>
        <v>28.6408348845149</v>
      </c>
      <c r="F1628" s="30" t="n">
        <f aca="false">F1627*tax</f>
        <v>30.301840117594</v>
      </c>
      <c r="G1628" s="30" t="n">
        <f aca="false">G1627*tax</f>
        <v>35.1546288086383</v>
      </c>
    </row>
    <row r="1629" customFormat="false" ht="15" hidden="false" customHeight="false" outlineLevel="0" collapsed="false">
      <c r="A1629" s="4" t="s">
        <v>461</v>
      </c>
      <c r="B1629" s="0" t="s">
        <v>234</v>
      </c>
      <c r="C1629" s="30" t="n">
        <f aca="false">a25_nci</f>
        <v>1.182</v>
      </c>
      <c r="D1629" s="30" t="n">
        <f aca="false">a26_nci</f>
        <v>2.543</v>
      </c>
      <c r="E1629" s="30" t="n">
        <f aca="false">nci</f>
        <v>3</v>
      </c>
      <c r="F1629" s="30" t="n">
        <f aca="false">nci</f>
        <v>3</v>
      </c>
      <c r="G1629" s="30" t="n">
        <f aca="false">nci</f>
        <v>3</v>
      </c>
    </row>
    <row r="1630" customFormat="false" ht="15" hidden="false" customHeight="false" outlineLevel="0" collapsed="false">
      <c r="A1630" s="4" t="s">
        <v>462</v>
      </c>
      <c r="B1630" s="0" t="s">
        <v>234</v>
      </c>
      <c r="C1630" s="30" t="n">
        <f aca="false">C1627-C1628-C1629</f>
        <v>40.658</v>
      </c>
      <c r="D1630" s="30" t="n">
        <f aca="false">D1627-D1628-D1629</f>
        <v>93.5615140646185</v>
      </c>
      <c r="E1630" s="30" t="n">
        <f aca="false">E1627-E1628-E1629</f>
        <v>136.834664436161</v>
      </c>
      <c r="F1630" s="30" t="n">
        <f aca="false">F1627-F1628-F1629</f>
        <v>144.944278221194</v>
      </c>
      <c r="G1630" s="30" t="n">
        <f aca="false">G1627-G1628-G1629</f>
        <v>168.637305359822</v>
      </c>
      <c r="H1630" s="31" t="n">
        <f aca="false">H1608*H1634</f>
        <v>188.72294936618</v>
      </c>
      <c r="I1630" s="31" t="n">
        <f aca="false">I1608*I1634</f>
        <v>207.85856051391</v>
      </c>
      <c r="J1630" s="31" t="n">
        <f aca="false">J1608*J1634</f>
        <v>225.262216163759</v>
      </c>
    </row>
    <row r="1631" customFormat="false" ht="15" hidden="false" customHeight="false" outlineLevel="0" collapsed="false">
      <c r="A1631" s="4" t="s">
        <v>579</v>
      </c>
      <c r="B1631" s="4" t="s">
        <v>580</v>
      </c>
      <c r="C1631" s="18" t="n">
        <f aca="false">a25_sh</f>
        <v>4339.16755602988</v>
      </c>
      <c r="D1631" s="18" t="n">
        <f aca="false">a26_sh</f>
        <v>4392.90105184664</v>
      </c>
      <c r="E1631" s="18" t="n">
        <f aca="false">D1631*(1+sh_g)</f>
        <v>4414.86555710588</v>
      </c>
      <c r="F1631" s="18" t="n">
        <f aca="false">E1631*(1+sh_g)</f>
        <v>4436.9398848914</v>
      </c>
      <c r="G1631" s="18" t="n">
        <f aca="false">F1631*(1+sh_g)</f>
        <v>4459.12458431586</v>
      </c>
      <c r="H1631" s="25" t="n">
        <f aca="false">G1631*(1+sh_g)</f>
        <v>4481.42020723744</v>
      </c>
      <c r="I1631" s="25" t="n">
        <f aca="false">H1631*(1+sh_g)</f>
        <v>4503.82730827363</v>
      </c>
      <c r="J1631" s="25" t="n">
        <f aca="false">I1631*(1+sh_g)</f>
        <v>4526.34644481499</v>
      </c>
    </row>
    <row r="1632" customFormat="false" ht="17.15" hidden="false" customHeight="false" outlineLevel="0" collapsed="false">
      <c r="A1632" s="0" t="s">
        <v>465</v>
      </c>
      <c r="B1632" s="0" t="s">
        <v>304</v>
      </c>
      <c r="C1632" s="19" t="n">
        <f aca="false">a25_eps</f>
        <v>9.37</v>
      </c>
      <c r="D1632" s="19" t="n">
        <f aca="false">a26_eps</f>
        <v>21.2828697294455</v>
      </c>
      <c r="E1632" s="19" t="n">
        <f aca="false">E1630/E1631*1000</f>
        <v>30.9940727902621</v>
      </c>
      <c r="F1632" s="19" t="n">
        <f aca="false">F1630/F1631*1000</f>
        <v>32.6676227268159</v>
      </c>
      <c r="G1632" s="19" t="n">
        <f aca="false">G1630/G1631*1000</f>
        <v>37.8184780826651</v>
      </c>
      <c r="H1632" s="28" t="n">
        <f aca="false">H1630/H1631*1000</f>
        <v>42.1123082949004</v>
      </c>
      <c r="I1632" s="28" t="n">
        <f aca="false">I1630/I1631*1000</f>
        <v>46.1515387439633</v>
      </c>
      <c r="J1632" s="28" t="n">
        <f aca="false">J1630/J1631*1000</f>
        <v>49.7668967477733</v>
      </c>
    </row>
    <row r="1633" customFormat="false" ht="17.15" hidden="false" customHeight="false" outlineLevel="0" collapsed="false">
      <c r="A1633" s="0" t="s">
        <v>581</v>
      </c>
      <c r="B1633" s="0" t="s">
        <v>76</v>
      </c>
      <c r="D1633" s="21" t="n">
        <f aca="false">D1632/C1632-1</f>
        <v>1.27138417603474</v>
      </c>
      <c r="E1633" s="21" t="n">
        <f aca="false">E1632/D1632-1</f>
        <v>0.456291993714591</v>
      </c>
      <c r="F1633" s="21" t="n">
        <f aca="false">F1632/E1632-1</f>
        <v>0.0539958058393533</v>
      </c>
      <c r="G1633" s="21" t="n">
        <f aca="false">G1632/F1632-1</f>
        <v>0.157674630900552</v>
      </c>
      <c r="H1633" s="26" t="n">
        <f aca="false">H1632/G1632-1</f>
        <v>0.113537890204088</v>
      </c>
      <c r="I1633" s="26" t="n">
        <f aca="false">I1632/H1632-1</f>
        <v>0.0959156743624035</v>
      </c>
      <c r="J1633" s="26" t="n">
        <f aca="false">J1632/I1632-1</f>
        <v>0.0783366731035158</v>
      </c>
    </row>
    <row r="1634" customFormat="false" ht="17.15" hidden="false" customHeight="false" outlineLevel="0" collapsed="false">
      <c r="A1634" s="4" t="s">
        <v>582</v>
      </c>
      <c r="B1634" s="0" t="s">
        <v>76</v>
      </c>
      <c r="C1634" s="14" t="n">
        <f aca="false">C1630/C1608</f>
        <v>0.0629977625862272</v>
      </c>
      <c r="D1634" s="14" t="n">
        <f aca="false">D1630/D1608</f>
        <v>0.107397865592237</v>
      </c>
      <c r="E1634" s="14" t="n">
        <f aca="false">E1630/E1608</f>
        <v>0.122531148207498</v>
      </c>
      <c r="F1634" s="14" t="n">
        <f aca="false">F1630/F1608</f>
        <v>0.117512634784139</v>
      </c>
      <c r="G1634" s="14" t="n">
        <f aca="false">G1630/G1608</f>
        <v>0.123148123272798</v>
      </c>
      <c r="H1634" s="27" t="n">
        <f aca="false">$G1634+(fade_mA-$G1634)*1/3</f>
        <v>0.12603402711992</v>
      </c>
      <c r="I1634" s="27" t="n">
        <f aca="false">$G1634+(fade_mA-$G1634)*2/3</f>
        <v>0.128919930967042</v>
      </c>
      <c r="J1634" s="27" t="n">
        <f aca="false">$G1634+(fade_mA-$G1634)*3/3</f>
        <v>0.131805834814164</v>
      </c>
    </row>
    <row r="1635" customFormat="false" ht="17.15" hidden="false" customHeight="false" outlineLevel="0" collapsed="false">
      <c r="A1635" s="4" t="s">
        <v>583</v>
      </c>
      <c r="B1635" s="0" t="s">
        <v>234</v>
      </c>
      <c r="C1635" s="30" t="n">
        <f aca="false">C1630+C1616-C1614</f>
        <v>-54.587</v>
      </c>
      <c r="D1635" s="30" t="n">
        <f aca="false">D1630+D1616-D1614</f>
        <v>-176.164485935382</v>
      </c>
      <c r="E1635" s="30" t="n">
        <f aca="false">E1630+E1616-E1614</f>
        <v>-148.325585563839</v>
      </c>
      <c r="F1635" s="30" t="n">
        <f aca="false">F1630+F1616-F1614</f>
        <v>-58.6016486840059</v>
      </c>
      <c r="G1635" s="30" t="n">
        <f aca="false">G1630+G1616-G1614</f>
        <v>-50.250446762392</v>
      </c>
      <c r="K1635" s="4" t="s">
        <v>584</v>
      </c>
    </row>
    <row r="1636" customFormat="false" ht="17.15" hidden="false" customHeight="false" outlineLevel="0" collapsed="false">
      <c r="A1636" s="4" t="s">
        <v>585</v>
      </c>
      <c r="B1636" s="0" t="s">
        <v>76</v>
      </c>
      <c r="D1636" s="21" t="n">
        <f aca="false">(D1624-$C1624)/SUM($D1614:D1614)</f>
        <v>0.164280348537512</v>
      </c>
      <c r="E1636" s="21" t="n">
        <f aca="false">(E1624-$C1624)/SUM($D1614:E1614)</f>
        <v>0.156759914824903</v>
      </c>
      <c r="F1636" s="21" t="n">
        <f aca="false">(F1624-$C1624)/SUM($D1614:F1614)</f>
        <v>0.114920925817897</v>
      </c>
      <c r="G1636" s="21" t="n">
        <f aca="false">(G1624-$C1624)/SUM($D1614:G1614)</f>
        <v>0.102984137895016</v>
      </c>
      <c r="K1636" s="4" t="s">
        <v>586</v>
      </c>
    </row>
    <row r="1639" customFormat="false" ht="17.15" hidden="false" customHeight="false" outlineLevel="0" collapsed="false">
      <c r="A1639" s="1" t="s">
        <v>947</v>
      </c>
    </row>
    <row r="1640" customFormat="false" ht="17.15" hidden="false" customHeight="false" outlineLevel="0" collapsed="false">
      <c r="A1640" s="5" t="s">
        <v>21</v>
      </c>
      <c r="B1640" s="5" t="s">
        <v>22</v>
      </c>
      <c r="C1640" s="15" t="s">
        <v>424</v>
      </c>
      <c r="D1640" s="15" t="s">
        <v>524</v>
      </c>
      <c r="E1640" s="15" t="s">
        <v>525</v>
      </c>
      <c r="F1640" s="15" t="s">
        <v>526</v>
      </c>
      <c r="G1640" s="15" t="s">
        <v>527</v>
      </c>
      <c r="H1640" s="15" t="s">
        <v>528</v>
      </c>
      <c r="I1640" s="15" t="s">
        <v>529</v>
      </c>
      <c r="J1640" s="15" t="s">
        <v>530</v>
      </c>
      <c r="K1640" s="5" t="s">
        <v>382</v>
      </c>
    </row>
    <row r="1641" customFormat="false" ht="17.15" hidden="false" customHeight="false" outlineLevel="0" collapsed="false">
      <c r="A1641" s="6" t="s">
        <v>548</v>
      </c>
    </row>
    <row r="1642" customFormat="false" ht="17.15" hidden="false" customHeight="false" outlineLevel="0" collapsed="false">
      <c r="A1642" s="0" t="s">
        <v>549</v>
      </c>
      <c r="B1642" s="4" t="s">
        <v>32</v>
      </c>
      <c r="D1642" s="19" t="n">
        <f aca="false">units_26</f>
        <v>15.2</v>
      </c>
      <c r="E1642" s="19" t="n">
        <f aca="false">units_27*1</f>
        <v>23.7</v>
      </c>
      <c r="F1642" s="19" t="n">
        <f aca="false">units_28*um28_B*1</f>
        <v>21.2</v>
      </c>
      <c r="G1642" s="19" t="n">
        <f aca="false">units_29*um29_B*1</f>
        <v>25.6275</v>
      </c>
    </row>
    <row r="1643" customFormat="false" ht="17.15" hidden="false" customHeight="false" outlineLevel="0" collapsed="false">
      <c r="A1643" s="4" t="s">
        <v>497</v>
      </c>
      <c r="B1643" s="0" t="s">
        <v>45</v>
      </c>
      <c r="D1643" s="22" t="n">
        <f aca="false">ar_26</f>
        <v>1</v>
      </c>
      <c r="E1643" s="22" t="n">
        <f aca="false">ar_27</f>
        <v>1.278156</v>
      </c>
      <c r="F1643" s="22" t="n">
        <f aca="false">ar_28</f>
        <v>1.428615</v>
      </c>
      <c r="G1643" s="22" t="n">
        <f aca="false">ar_29</f>
        <v>1.431796</v>
      </c>
    </row>
    <row r="1644" customFormat="false" ht="17.15" hidden="false" customHeight="false" outlineLevel="0" collapsed="false">
      <c r="A1644" s="4" t="s">
        <v>550</v>
      </c>
      <c r="B1644" s="0" t="s">
        <v>45</v>
      </c>
      <c r="D1644" s="19" t="n">
        <f aca="false">1</f>
        <v>1</v>
      </c>
      <c r="E1644" s="19" t="n">
        <f aca="false">rel27_B</f>
        <v>1.05</v>
      </c>
      <c r="F1644" s="19" t="n">
        <f aca="false">rel28_B</f>
        <v>1.08</v>
      </c>
      <c r="G1644" s="19" t="n">
        <f aca="false">rel29_B</f>
        <v>1.1</v>
      </c>
    </row>
    <row r="1645" customFormat="false" ht="17.15" hidden="false" customHeight="false" outlineLevel="0" collapsed="false">
      <c r="A1645" s="4" t="s">
        <v>551</v>
      </c>
      <c r="B1645" s="0" t="s">
        <v>502</v>
      </c>
      <c r="D1645" s="23" t="n">
        <f aca="false">D1646*1000/D1642</f>
        <v>236.842105263158</v>
      </c>
      <c r="E1645" s="23" t="n">
        <f aca="false">$D1645*E1643^el</f>
        <v>267.763172119488</v>
      </c>
      <c r="F1645" s="23" t="n">
        <f aca="false">$D1645*F1643^el</f>
        <v>283.084777049615</v>
      </c>
      <c r="G1645" s="23" t="n">
        <f aca="false">$D1645*G1643^el</f>
        <v>283.399764630809</v>
      </c>
      <c r="K1645" s="8" t="s">
        <v>552</v>
      </c>
    </row>
    <row r="1646" customFormat="false" ht="17.15" hidden="false" customHeight="false" outlineLevel="0" collapsed="false">
      <c r="A1646" s="0" t="s">
        <v>553</v>
      </c>
      <c r="B1646" s="0" t="s">
        <v>120</v>
      </c>
      <c r="D1646" s="22" t="n">
        <f aca="false">leap26-D1647-D1648</f>
        <v>3.6</v>
      </c>
      <c r="E1646" s="22" t="n">
        <f aca="false">E1642*E1644*E1645/1000</f>
        <v>6.66328653819345</v>
      </c>
      <c r="F1646" s="22" t="n">
        <f aca="false">F1642*F1644*F1645/1000</f>
        <v>6.48150905532798</v>
      </c>
      <c r="G1646" s="22" t="n">
        <f aca="false">G1642*G1644*G1645/1000</f>
        <v>7.98911021488366</v>
      </c>
      <c r="K1646" s="8" t="s">
        <v>554</v>
      </c>
    </row>
    <row r="1647" customFormat="false" ht="17.15" hidden="false" customHeight="false" outlineLevel="0" collapsed="false">
      <c r="A1647" s="4" t="s">
        <v>555</v>
      </c>
      <c r="B1647" s="0" t="s">
        <v>120</v>
      </c>
      <c r="D1647" s="22" t="n">
        <f aca="false">fp26</f>
        <v>0.3</v>
      </c>
      <c r="E1647" s="22" t="n">
        <f aca="false">fp27_B</f>
        <v>1</v>
      </c>
      <c r="F1647" s="22" t="n">
        <f aca="false">E1647*F1642/E1642*(1+fp_g)</f>
        <v>1.16286919831224</v>
      </c>
      <c r="G1647" s="22" t="n">
        <f aca="false">F1647*G1642/F1642*(1+fp_g)</f>
        <v>1.82744620253165</v>
      </c>
    </row>
    <row r="1648" customFormat="false" ht="17.15" hidden="false" customHeight="false" outlineLevel="0" collapsed="false">
      <c r="A1648" s="0" t="s">
        <v>556</v>
      </c>
      <c r="B1648" s="0" t="s">
        <v>120</v>
      </c>
      <c r="D1648" s="22" t="n">
        <f aca="false">cpo27*cpo_B_26/cpo_A_27</f>
        <v>0.1</v>
      </c>
      <c r="E1648" s="22" t="n">
        <f aca="false">cpo27*cpo_B_27/cpo_A_27</f>
        <v>0.3</v>
      </c>
      <c r="F1648" s="22" t="n">
        <f aca="false">cpo27*cpo_B_28/cpo_A_27*F1642/E1642</f>
        <v>0.447257383966245</v>
      </c>
      <c r="G1648" s="22" t="n">
        <f aca="false">cpo27*cpo_B_29/cpo_A_27*G1642/E1642</f>
        <v>0.86506329113924</v>
      </c>
      <c r="K1648" s="8" t="s">
        <v>557</v>
      </c>
    </row>
    <row r="1649" customFormat="false" ht="17.15" hidden="false" customHeight="false" outlineLevel="0" collapsed="false">
      <c r="A1649" s="0" t="s">
        <v>510</v>
      </c>
      <c r="B1649" s="0" t="s">
        <v>120</v>
      </c>
      <c r="C1649" s="22" t="n">
        <f aca="false">leap25</f>
        <v>1.6</v>
      </c>
      <c r="D1649" s="22" t="n">
        <f aca="false">D1646+D1647+D1648</f>
        <v>4</v>
      </c>
      <c r="E1649" s="22" t="n">
        <f aca="false">E1646+E1647+E1648</f>
        <v>7.96328653819345</v>
      </c>
      <c r="F1649" s="22" t="n">
        <f aca="false">F1646+F1647+F1648</f>
        <v>8.09163563760646</v>
      </c>
      <c r="G1649" s="22" t="n">
        <f aca="false">G1646+G1647+G1648</f>
        <v>10.6816197085545</v>
      </c>
    </row>
    <row r="1650" customFormat="false" ht="17.15" hidden="false" customHeight="false" outlineLevel="0" collapsed="false">
      <c r="A1650" s="4" t="s">
        <v>558</v>
      </c>
      <c r="B1650" s="0" t="s">
        <v>114</v>
      </c>
      <c r="C1650" s="19" t="n">
        <f aca="false">fx25</f>
        <v>31</v>
      </c>
      <c r="D1650" s="19" t="n">
        <f aca="false">a26_leap/D1649</f>
        <v>31.9</v>
      </c>
      <c r="E1650" s="19" t="n">
        <f aca="false">fx</f>
        <v>32</v>
      </c>
      <c r="F1650" s="19" t="n">
        <f aca="false">fx</f>
        <v>32</v>
      </c>
      <c r="G1650" s="19" t="n">
        <f aca="false">fx</f>
        <v>32</v>
      </c>
      <c r="K1650" s="8" t="s">
        <v>559</v>
      </c>
    </row>
    <row r="1651" customFormat="false" ht="17.15" hidden="false" customHeight="false" outlineLevel="0" collapsed="false">
      <c r="A1651" s="6" t="s">
        <v>560</v>
      </c>
    </row>
    <row r="1652" customFormat="false" ht="17.15" hidden="false" customHeight="false" outlineLevel="0" collapsed="false">
      <c r="A1652" s="0" t="s">
        <v>438</v>
      </c>
      <c r="B1652" s="0" t="s">
        <v>234</v>
      </c>
      <c r="C1652" s="30" t="n">
        <f aca="false">a25_leap</f>
        <v>49.6</v>
      </c>
      <c r="D1652" s="30" t="n">
        <f aca="false">a26_leap</f>
        <v>127.6</v>
      </c>
      <c r="E1652" s="30" t="n">
        <f aca="false">E1649*E1650</f>
        <v>254.82516922219</v>
      </c>
      <c r="F1652" s="30" t="n">
        <f aca="false">F1649*F1650</f>
        <v>258.932340403407</v>
      </c>
      <c r="G1652" s="30" t="n">
        <f aca="false">G1649*G1650</f>
        <v>341.811830673745</v>
      </c>
    </row>
    <row r="1653" customFormat="false" ht="15" hidden="false" customHeight="false" outlineLevel="0" collapsed="false">
      <c r="A1653" s="4" t="s">
        <v>561</v>
      </c>
      <c r="B1653" s="0" t="s">
        <v>234</v>
      </c>
      <c r="C1653" s="30" t="n">
        <f aca="false">a25_ms</f>
        <v>339.628</v>
      </c>
      <c r="D1653" s="30" t="n">
        <f aca="false">a26_ms</f>
        <v>432.1302</v>
      </c>
      <c r="E1653" s="30" t="n">
        <f aca="false">D1653*(1+g_ms27)</f>
        <v>496.94973</v>
      </c>
      <c r="F1653" s="30" t="n">
        <f aca="false">E1653*(1+g_msL_lo)</f>
        <v>506.8887246</v>
      </c>
      <c r="G1653" s="30" t="n">
        <f aca="false">F1653*(1+g_msL_lo)</f>
        <v>517.026499092</v>
      </c>
    </row>
    <row r="1654" customFormat="false" ht="17.15" hidden="false" customHeight="false" outlineLevel="0" collapsed="false">
      <c r="A1654" s="4" t="s">
        <v>562</v>
      </c>
      <c r="B1654" s="0" t="s">
        <v>234</v>
      </c>
      <c r="C1654" s="30" t="n">
        <f aca="false">C1652+C1653</f>
        <v>389.228</v>
      </c>
      <c r="D1654" s="30" t="n">
        <f aca="false">D1652+D1653</f>
        <v>559.7302</v>
      </c>
      <c r="E1654" s="30" t="n">
        <f aca="false">E1652+E1653</f>
        <v>751.77489922219</v>
      </c>
      <c r="F1654" s="30" t="n">
        <f aca="false">F1652+F1653</f>
        <v>765.821065003407</v>
      </c>
      <c r="G1654" s="30" t="n">
        <f aca="false">G1652+G1653</f>
        <v>858.838329765745</v>
      </c>
    </row>
    <row r="1655" customFormat="false" ht="17.15" hidden="false" customHeight="false" outlineLevel="0" collapsed="false">
      <c r="A1655" s="0" t="s">
        <v>563</v>
      </c>
      <c r="B1655" s="0" t="s">
        <v>234</v>
      </c>
      <c r="C1655" s="30" t="n">
        <f aca="false">a25_ems</f>
        <v>259.079</v>
      </c>
      <c r="D1655" s="30" t="n">
        <f aca="false">a26_ems</f>
        <v>314.602</v>
      </c>
      <c r="E1655" s="30" t="n">
        <f aca="false">D1655*(1+g_ems27)</f>
        <v>346.0622</v>
      </c>
      <c r="F1655" s="30" t="n">
        <f aca="false">E1655*(1+g_emsL)</f>
        <v>363.36531</v>
      </c>
      <c r="G1655" s="30" t="n">
        <f aca="false">F1655*(1+g_emsL)</f>
        <v>381.5335755</v>
      </c>
    </row>
    <row r="1656" customFormat="false" ht="17.15" hidden="false" customHeight="false" outlineLevel="0" collapsed="false">
      <c r="A1656" s="4" t="s">
        <v>564</v>
      </c>
      <c r="B1656" s="0" t="s">
        <v>234</v>
      </c>
      <c r="C1656" s="30" t="n">
        <f aca="false">a25_elim</f>
        <v>-2.91899999999998</v>
      </c>
      <c r="D1656" s="30" t="n">
        <f aca="false">a26_elim</f>
        <v>-3.16484905982349</v>
      </c>
      <c r="E1656" s="30" t="n">
        <f aca="false">$D1656/($D1654+$D1655)*(E1654+E1655)</f>
        <v>-3.97387710450638</v>
      </c>
      <c r="F1656" s="30" t="n">
        <f aca="false">$D1656/($D1654+$D1655)*(F1654+F1655)</f>
        <v>-4.08735311051683</v>
      </c>
      <c r="G1656" s="30" t="n">
        <f aca="false">$D1656/($D1654+$D1655)*(G1654+G1655)</f>
        <v>-4.48981503622051</v>
      </c>
      <c r="K1656" s="4" t="s">
        <v>565</v>
      </c>
    </row>
    <row r="1657" customFormat="false" ht="17.15" hidden="false" customHeight="false" outlineLevel="0" collapsed="false">
      <c r="A1657" s="4" t="s">
        <v>431</v>
      </c>
      <c r="B1657" s="0" t="s">
        <v>234</v>
      </c>
      <c r="C1657" s="30" t="n">
        <f aca="false">C1654+C1655+C1656</f>
        <v>645.388</v>
      </c>
      <c r="D1657" s="30" t="n">
        <f aca="false">D1654+D1655+D1656</f>
        <v>871.167350940177</v>
      </c>
      <c r="E1657" s="30" t="n">
        <f aca="false">E1654+E1655+E1656</f>
        <v>1093.86322211768</v>
      </c>
      <c r="F1657" s="30" t="n">
        <f aca="false">F1654+F1655+F1656</f>
        <v>1125.09902189289</v>
      </c>
      <c r="G1657" s="30" t="n">
        <f aca="false">G1654+G1655+G1656</f>
        <v>1235.88209022953</v>
      </c>
      <c r="H1657" s="31" t="n">
        <f aca="false">G1657*(1+H1658)</f>
        <v>1333.48807955162</v>
      </c>
      <c r="I1657" s="31" t="n">
        <f aca="false">H1657*(1+I1658)</f>
        <v>1412.81513923073</v>
      </c>
      <c r="J1657" s="31" t="n">
        <f aca="false">I1657*(1+J1658)</f>
        <v>1469.32774479995</v>
      </c>
      <c r="K1657" s="8" t="s">
        <v>566</v>
      </c>
    </row>
    <row r="1658" customFormat="false" ht="15" hidden="false" customHeight="false" outlineLevel="0" collapsed="false">
      <c r="A1658" s="4" t="s">
        <v>567</v>
      </c>
      <c r="B1658" s="0" t="s">
        <v>76</v>
      </c>
      <c r="D1658" s="21" t="n">
        <f aca="false">D1657/C1657-1</f>
        <v>0.349835061916516</v>
      </c>
      <c r="E1658" s="21" t="n">
        <f aca="false">E1657/D1657-1</f>
        <v>0.255629266796065</v>
      </c>
      <c r="F1658" s="21" t="n">
        <f aca="false">F1657/E1657-1</f>
        <v>0.0285554895197357</v>
      </c>
      <c r="G1658" s="21" t="n">
        <f aca="false">G1657/F1657-1</f>
        <v>0.0984651716701801</v>
      </c>
      <c r="H1658" s="26" t="n">
        <f aca="false">$G1658+(fade_gB-$G1658)*1/3</f>
        <v>0.0789767811134534</v>
      </c>
      <c r="I1658" s="26" t="n">
        <f aca="false">$G1658+(fade_gB-$G1658)*2/3</f>
        <v>0.0594883905567267</v>
      </c>
      <c r="J1658" s="26" t="n">
        <f aca="false">$G1658+(fade_gB-$G1658)*3/3</f>
        <v>0.04</v>
      </c>
    </row>
    <row r="1659" customFormat="false" ht="17.15" hidden="false" customHeight="false" outlineLevel="0" collapsed="false">
      <c r="A1659" s="0" t="s">
        <v>475</v>
      </c>
      <c r="B1659" s="0" t="s">
        <v>76</v>
      </c>
      <c r="C1659" s="21" t="n">
        <f aca="false">C1652/C1654</f>
        <v>0.127431736668482</v>
      </c>
      <c r="D1659" s="21" t="n">
        <f aca="false">D1652/D1654</f>
        <v>0.227966974088588</v>
      </c>
      <c r="E1659" s="21" t="n">
        <f aca="false">E1652/E1654</f>
        <v>0.338964721335922</v>
      </c>
      <c r="F1659" s="21" t="n">
        <f aca="false">F1652/F1654</f>
        <v>0.338110757507375</v>
      </c>
      <c r="G1659" s="21" t="n">
        <f aca="false">G1652/G1654</f>
        <v>0.397993218079795</v>
      </c>
    </row>
    <row r="1660" customFormat="false" ht="15" hidden="false" customHeight="false" outlineLevel="0" collapsed="false">
      <c r="A1660" s="4" t="s">
        <v>568</v>
      </c>
      <c r="B1660" s="0" t="s">
        <v>76</v>
      </c>
      <c r="D1660" s="21" t="n">
        <f aca="false">D1654/C1654-1</f>
        <v>0.438052247012034</v>
      </c>
      <c r="E1660" s="21" t="n">
        <f aca="false">E1654/D1654-1</f>
        <v>0.343102264666424</v>
      </c>
      <c r="F1660" s="21" t="n">
        <f aca="false">F1654/E1654-1</f>
        <v>0.0186840047409789</v>
      </c>
      <c r="G1660" s="21" t="n">
        <f aca="false">G1654/F1654-1</f>
        <v>0.121460833363111</v>
      </c>
    </row>
    <row r="1661" customFormat="false" ht="17.15" hidden="false" customHeight="false" outlineLevel="0" collapsed="false">
      <c r="A1661" s="6" t="s">
        <v>569</v>
      </c>
    </row>
    <row r="1662" customFormat="false" ht="17.15" hidden="false" customHeight="false" outlineLevel="0" collapsed="false">
      <c r="A1662" s="4" t="s">
        <v>570</v>
      </c>
      <c r="B1662" s="0" t="s">
        <v>120</v>
      </c>
      <c r="C1662" s="19" t="n">
        <f aca="false">capex25</f>
        <v>5.5</v>
      </c>
      <c r="D1662" s="19" t="n">
        <f aca="false">capex26</f>
        <v>11.5</v>
      </c>
      <c r="E1662" s="19" t="n">
        <f aca="false">capex27</f>
        <v>13</v>
      </c>
      <c r="F1662" s="19" t="n">
        <f aca="false">capi*F1657/F1650</f>
        <v>10.5478033302458</v>
      </c>
      <c r="G1662" s="19" t="n">
        <f aca="false">capi*G1657/G1650</f>
        <v>11.5863945959018</v>
      </c>
      <c r="K1662" s="8" t="s">
        <v>571</v>
      </c>
    </row>
    <row r="1663" customFormat="false" ht="15" hidden="false" customHeight="false" outlineLevel="0" collapsed="false">
      <c r="A1663" s="4" t="s">
        <v>572</v>
      </c>
      <c r="B1663" s="0" t="s">
        <v>234</v>
      </c>
      <c r="C1663" s="30" t="n">
        <f aca="false">C1662*C1650</f>
        <v>170.5</v>
      </c>
      <c r="D1663" s="30" t="n">
        <f aca="false">D1662*31.9</f>
        <v>366.85</v>
      </c>
      <c r="E1663" s="30" t="n">
        <f aca="false">E1662*E1650</f>
        <v>416</v>
      </c>
      <c r="F1663" s="30" t="n">
        <f aca="false">F1662*F1650</f>
        <v>337.529706567867</v>
      </c>
      <c r="G1663" s="30" t="n">
        <f aca="false">G1662*G1650</f>
        <v>370.764627068857</v>
      </c>
    </row>
    <row r="1664" customFormat="false" ht="17.15" hidden="false" customHeight="false" outlineLevel="0" collapsed="false">
      <c r="A1664" s="4" t="s">
        <v>473</v>
      </c>
      <c r="B1664" s="0" t="s">
        <v>76</v>
      </c>
      <c r="C1664" s="21" t="n">
        <f aca="false">C1663/C1657</f>
        <v>0.264182166386732</v>
      </c>
      <c r="D1664" s="21" t="n">
        <f aca="false">D1663/D1657</f>
        <v>0.421101639775745</v>
      </c>
      <c r="E1664" s="21" t="n">
        <f aca="false">E1663/E1657</f>
        <v>0.380303489127861</v>
      </c>
      <c r="F1664" s="21" t="n">
        <f aca="false">F1663/F1657</f>
        <v>0.3</v>
      </c>
      <c r="G1664" s="21" t="n">
        <f aca="false">G1663/G1657</f>
        <v>0.3</v>
      </c>
    </row>
    <row r="1665" customFormat="false" ht="17.15" hidden="false" customHeight="false" outlineLevel="0" collapsed="false">
      <c r="A1665" s="4" t="s">
        <v>573</v>
      </c>
      <c r="B1665" s="0" t="s">
        <v>234</v>
      </c>
      <c r="C1665" s="30" t="n">
        <f aca="false">a25_da</f>
        <v>75.255</v>
      </c>
      <c r="D1665" s="30" t="n">
        <f aca="false">a26_da</f>
        <v>97.124</v>
      </c>
      <c r="E1665" s="30" t="n">
        <f aca="false">D1665*(1-1/life)+D1663/life</f>
        <v>130.83975</v>
      </c>
      <c r="F1665" s="30" t="n">
        <f aca="false">E1665*(1-1/life)+E1663/life</f>
        <v>166.48478125</v>
      </c>
      <c r="G1665" s="30" t="n">
        <f aca="false">F1665*(1-1/life)+F1663/life</f>
        <v>187.865396914733</v>
      </c>
      <c r="K1665" s="4" t="s">
        <v>574</v>
      </c>
    </row>
    <row r="1666" customFormat="false" ht="17.15" hidden="false" customHeight="false" outlineLevel="0" collapsed="false">
      <c r="A1666" s="4" t="s">
        <v>575</v>
      </c>
      <c r="B1666" s="0" t="s">
        <v>234</v>
      </c>
      <c r="C1666" s="30" t="n">
        <f aca="false">a25_agp</f>
        <v>91.38</v>
      </c>
      <c r="D1666" s="30" t="n">
        <f aca="false">a26_agp</f>
        <v>164.623388</v>
      </c>
      <c r="E1666" s="30" t="n">
        <f aca="false">$D1666+ft*(E1654-$D1654)-(E1665-$D1665)</f>
        <v>226.929987611095</v>
      </c>
      <c r="F1666" s="30" t="n">
        <f aca="false">$D1666+ft*(F1654-$D1654)-(F1665-$D1665)</f>
        <v>198.308039251703</v>
      </c>
      <c r="G1666" s="30" t="n">
        <f aca="false">$D1666+ft*(G1654-$D1654)-(G1665-$D1665)</f>
        <v>223.436055968139</v>
      </c>
      <c r="K1666" s="4" t="s">
        <v>576</v>
      </c>
    </row>
    <row r="1667" customFormat="false" ht="15" hidden="false" customHeight="false" outlineLevel="0" collapsed="false">
      <c r="A1667" s="4" t="s">
        <v>447</v>
      </c>
      <c r="B1667" s="0" t="s">
        <v>76</v>
      </c>
      <c r="C1667" s="14" t="n">
        <f aca="false">C1666/C1654</f>
        <v>0.234772421305764</v>
      </c>
      <c r="D1667" s="14" t="n">
        <f aca="false">D1666/D1654</f>
        <v>0.294112034690999</v>
      </c>
      <c r="E1667" s="14" t="n">
        <f aca="false">E1666/E1654</f>
        <v>0.301858957842147</v>
      </c>
      <c r="F1667" s="14" t="n">
        <f aca="false">F1666/F1654</f>
        <v>0.258948269137545</v>
      </c>
      <c r="G1667" s="14" t="n">
        <f aca="false">G1666/G1654</f>
        <v>0.260160787221832</v>
      </c>
    </row>
    <row r="1668" customFormat="false" ht="17.15" hidden="false" customHeight="false" outlineLevel="0" collapsed="false">
      <c r="A1668" s="0" t="s">
        <v>449</v>
      </c>
      <c r="B1668" s="0" t="s">
        <v>234</v>
      </c>
      <c r="C1668" s="30" t="n">
        <f aca="false">a25_egp</f>
        <v>23.695</v>
      </c>
      <c r="D1668" s="30" t="n">
        <f aca="false">a26_egp</f>
        <v>27.00552</v>
      </c>
      <c r="E1668" s="30" t="n">
        <f aca="false">E1655*ems_gm</f>
        <v>29.415287</v>
      </c>
      <c r="F1668" s="30" t="n">
        <f aca="false">F1655*ems_gm</f>
        <v>30.88605135</v>
      </c>
      <c r="G1668" s="30" t="n">
        <f aca="false">G1655*ems_gm</f>
        <v>32.4303539175</v>
      </c>
    </row>
    <row r="1669" customFormat="false" ht="15" hidden="false" customHeight="false" outlineLevel="0" collapsed="false">
      <c r="A1669" s="4" t="s">
        <v>577</v>
      </c>
      <c r="B1669" s="0" t="s">
        <v>234</v>
      </c>
      <c r="C1669" s="30" t="n">
        <f aca="false">a25_lgp</f>
        <v>-0.881999999999998</v>
      </c>
      <c r="D1669" s="30" t="n">
        <f aca="false">a26_lgp</f>
        <v>-0.948662139013863</v>
      </c>
      <c r="E1669" s="30" t="n">
        <f aca="false">$D1669/$D1656*E1656</f>
        <v>-1.19116794604716</v>
      </c>
      <c r="F1669" s="30" t="n">
        <f aca="false">$D1669/$D1656*F1656</f>
        <v>-1.22518232984676</v>
      </c>
      <c r="G1669" s="30" t="n">
        <f aca="false">$D1669/$D1656*G1656</f>
        <v>-1.34582011828239</v>
      </c>
    </row>
    <row r="1670" customFormat="false" ht="15" hidden="false" customHeight="false" outlineLevel="0" collapsed="false">
      <c r="A1670" s="4" t="s">
        <v>451</v>
      </c>
      <c r="B1670" s="0" t="s">
        <v>234</v>
      </c>
      <c r="C1670" s="30" t="n">
        <f aca="false">C1666+C1668+C1669</f>
        <v>114.193</v>
      </c>
      <c r="D1670" s="30" t="n">
        <f aca="false">D1666+D1668+D1669</f>
        <v>190.680245860986</v>
      </c>
      <c r="E1670" s="30" t="n">
        <f aca="false">E1666+E1668+E1669</f>
        <v>255.154106665048</v>
      </c>
      <c r="F1670" s="30" t="n">
        <f aca="false">F1666+F1668+F1669</f>
        <v>227.968908271857</v>
      </c>
      <c r="G1670" s="30" t="n">
        <f aca="false">G1666+G1668+G1669</f>
        <v>254.520589767357</v>
      </c>
    </row>
    <row r="1671" customFormat="false" ht="15" hidden="false" customHeight="false" outlineLevel="0" collapsed="false">
      <c r="A1671" s="4" t="s">
        <v>452</v>
      </c>
      <c r="B1671" s="0" t="s">
        <v>76</v>
      </c>
      <c r="C1671" s="14" t="n">
        <f aca="false">C1670/C1657</f>
        <v>0.176936974347214</v>
      </c>
      <c r="D1671" s="14" t="n">
        <f aca="false">D1670/D1657</f>
        <v>0.218879008327391</v>
      </c>
      <c r="E1671" s="14" t="n">
        <f aca="false">E1670/E1657</f>
        <v>0.233259608245241</v>
      </c>
      <c r="F1671" s="14" t="n">
        <f aca="false">F1670/F1657</f>
        <v>0.202621194966748</v>
      </c>
      <c r="G1671" s="14" t="n">
        <f aca="false">G1670/G1657</f>
        <v>0.205942453393825</v>
      </c>
    </row>
    <row r="1672" customFormat="false" ht="15" hidden="false" customHeight="false" outlineLevel="0" collapsed="false">
      <c r="A1672" s="4" t="s">
        <v>578</v>
      </c>
      <c r="B1672" s="0" t="s">
        <v>234</v>
      </c>
      <c r="C1672" s="30" t="n">
        <f aca="false">a25_opx</f>
        <v>63.437</v>
      </c>
      <c r="D1672" s="30" t="n">
        <f aca="false">a26_opx</f>
        <v>79.658</v>
      </c>
      <c r="E1672" s="30" t="n">
        <f aca="false">D1672*(1+phi*E1658)</f>
        <v>91.8757496806646</v>
      </c>
      <c r="F1672" s="30" t="n">
        <f aca="false">E1672*(1+phi*F1658)</f>
        <v>93.449883884939</v>
      </c>
      <c r="G1672" s="30" t="n">
        <f aca="false">F1672*(1+phi*G1658)</f>
        <v>98.9708192005124</v>
      </c>
    </row>
    <row r="1673" customFormat="false" ht="15" hidden="false" customHeight="false" outlineLevel="0" collapsed="false">
      <c r="A1673" s="4" t="s">
        <v>455</v>
      </c>
      <c r="B1673" s="0" t="s">
        <v>234</v>
      </c>
      <c r="C1673" s="30" t="n">
        <f aca="false">C1670-C1672</f>
        <v>50.756</v>
      </c>
      <c r="D1673" s="30" t="n">
        <f aca="false">D1670-D1672</f>
        <v>111.022245860986</v>
      </c>
      <c r="E1673" s="30" t="n">
        <f aca="false">E1670-E1672</f>
        <v>163.278356984383</v>
      </c>
      <c r="F1673" s="30" t="n">
        <f aca="false">F1670-F1672</f>
        <v>134.519024386918</v>
      </c>
      <c r="G1673" s="30" t="n">
        <f aca="false">G1670-G1672</f>
        <v>155.549770566845</v>
      </c>
    </row>
    <row r="1674" customFormat="false" ht="15" hidden="false" customHeight="false" outlineLevel="0" collapsed="false">
      <c r="A1674" s="4" t="s">
        <v>537</v>
      </c>
      <c r="B1674" s="0" t="s">
        <v>76</v>
      </c>
      <c r="C1674" s="14" t="n">
        <f aca="false">C1673/C1657</f>
        <v>0.0786441644406156</v>
      </c>
      <c r="D1674" s="14" t="n">
        <f aca="false">D1673/D1657</f>
        <v>0.127440779020437</v>
      </c>
      <c r="E1674" s="14" t="n">
        <f aca="false">E1673/E1657</f>
        <v>0.149267617452465</v>
      </c>
      <c r="F1674" s="14" t="n">
        <f aca="false">F1673/F1657</f>
        <v>0.119561942344061</v>
      </c>
      <c r="G1674" s="14" t="n">
        <f aca="false">G1673/G1657</f>
        <v>0.125861335637574</v>
      </c>
    </row>
    <row r="1675" customFormat="false" ht="15" hidden="false" customHeight="false" outlineLevel="0" collapsed="false">
      <c r="A1675" s="4" t="s">
        <v>456</v>
      </c>
      <c r="B1675" s="0" t="s">
        <v>234</v>
      </c>
      <c r="C1675" s="30" t="n">
        <f aca="false">a25_nonop</f>
        <v>0.545</v>
      </c>
      <c r="D1675" s="30" t="n">
        <f aca="false">a26_nonop</f>
        <v>4.302</v>
      </c>
      <c r="E1675" s="30" t="n">
        <f aca="false">nonop_f</f>
        <v>-5</v>
      </c>
      <c r="F1675" s="30" t="n">
        <f aca="false">nonop_f</f>
        <v>-5</v>
      </c>
      <c r="G1675" s="30" t="n">
        <f aca="false">nonop_f</f>
        <v>-5</v>
      </c>
    </row>
    <row r="1676" customFormat="false" ht="15" hidden="false" customHeight="false" outlineLevel="0" collapsed="false">
      <c r="A1676" s="4" t="s">
        <v>459</v>
      </c>
      <c r="B1676" s="0" t="s">
        <v>234</v>
      </c>
      <c r="C1676" s="30" t="n">
        <f aca="false">C1673+C1675</f>
        <v>51.301</v>
      </c>
      <c r="D1676" s="30" t="n">
        <f aca="false">D1673+D1675</f>
        <v>115.324245860986</v>
      </c>
      <c r="E1676" s="30" t="n">
        <f aca="false">E1673+E1675</f>
        <v>158.278356984383</v>
      </c>
      <c r="F1676" s="30" t="n">
        <f aca="false">F1673+F1675</f>
        <v>129.519024386918</v>
      </c>
      <c r="G1676" s="30" t="n">
        <f aca="false">G1673+G1675</f>
        <v>150.549770566845</v>
      </c>
    </row>
    <row r="1677" customFormat="false" ht="15" hidden="false" customHeight="false" outlineLevel="0" collapsed="false">
      <c r="A1677" s="4" t="s">
        <v>460</v>
      </c>
      <c r="B1677" s="0" t="s">
        <v>234</v>
      </c>
      <c r="C1677" s="30" t="n">
        <f aca="false">a25_tax</f>
        <v>9.461</v>
      </c>
      <c r="D1677" s="30" t="n">
        <f aca="false">a26_tax</f>
        <v>19.2197317963676</v>
      </c>
      <c r="E1677" s="30" t="n">
        <f aca="false">E1676*tax</f>
        <v>26.9073206873452</v>
      </c>
      <c r="F1677" s="30" t="n">
        <f aca="false">F1676*tax</f>
        <v>22.018234145776</v>
      </c>
      <c r="G1677" s="30" t="n">
        <f aca="false">G1676*tax</f>
        <v>25.5934609963636</v>
      </c>
    </row>
    <row r="1678" customFormat="false" ht="15" hidden="false" customHeight="false" outlineLevel="0" collapsed="false">
      <c r="A1678" s="4" t="s">
        <v>461</v>
      </c>
      <c r="B1678" s="0" t="s">
        <v>234</v>
      </c>
      <c r="C1678" s="30" t="n">
        <f aca="false">a25_nci</f>
        <v>1.182</v>
      </c>
      <c r="D1678" s="30" t="n">
        <f aca="false">a26_nci</f>
        <v>2.543</v>
      </c>
      <c r="E1678" s="30" t="n">
        <f aca="false">nci</f>
        <v>3</v>
      </c>
      <c r="F1678" s="30" t="n">
        <f aca="false">nci</f>
        <v>3</v>
      </c>
      <c r="G1678" s="30" t="n">
        <f aca="false">nci</f>
        <v>3</v>
      </c>
    </row>
    <row r="1679" customFormat="false" ht="15" hidden="false" customHeight="false" outlineLevel="0" collapsed="false">
      <c r="A1679" s="4" t="s">
        <v>462</v>
      </c>
      <c r="B1679" s="0" t="s">
        <v>234</v>
      </c>
      <c r="C1679" s="30" t="n">
        <f aca="false">C1676-C1677-C1678</f>
        <v>40.658</v>
      </c>
      <c r="D1679" s="30" t="n">
        <f aca="false">D1676-D1677-D1678</f>
        <v>93.5615140646185</v>
      </c>
      <c r="E1679" s="30" t="n">
        <f aca="false">E1676-E1677-E1678</f>
        <v>128.371036297038</v>
      </c>
      <c r="F1679" s="30" t="n">
        <f aca="false">F1676-F1677-F1678</f>
        <v>104.500790241142</v>
      </c>
      <c r="G1679" s="30" t="n">
        <f aca="false">G1676-G1677-G1678</f>
        <v>121.956309570481</v>
      </c>
      <c r="H1679" s="31" t="n">
        <f aca="false">H1657*H1683</f>
        <v>131.403650734966</v>
      </c>
      <c r="I1679" s="31" t="n">
        <f aca="false">I1657*I1683</f>
        <v>139.025298620787</v>
      </c>
      <c r="J1679" s="31" t="n">
        <f aca="false">J1657*J1683</f>
        <v>144.383153003551</v>
      </c>
    </row>
    <row r="1680" customFormat="false" ht="15" hidden="false" customHeight="false" outlineLevel="0" collapsed="false">
      <c r="A1680" s="4" t="s">
        <v>579</v>
      </c>
      <c r="B1680" s="4" t="s">
        <v>580</v>
      </c>
      <c r="C1680" s="18" t="n">
        <f aca="false">a25_sh</f>
        <v>4339.16755602988</v>
      </c>
      <c r="D1680" s="18" t="n">
        <f aca="false">a26_sh</f>
        <v>4392.90105184664</v>
      </c>
      <c r="E1680" s="18" t="n">
        <f aca="false">D1680*(1+sh_g)</f>
        <v>4414.86555710588</v>
      </c>
      <c r="F1680" s="18" t="n">
        <f aca="false">E1680*(1+sh_g)</f>
        <v>4436.9398848914</v>
      </c>
      <c r="G1680" s="18" t="n">
        <f aca="false">F1680*(1+sh_g)</f>
        <v>4459.12458431586</v>
      </c>
      <c r="H1680" s="25" t="n">
        <f aca="false">G1680*(1+sh_g)</f>
        <v>4481.42020723744</v>
      </c>
      <c r="I1680" s="25" t="n">
        <f aca="false">H1680*(1+sh_g)</f>
        <v>4503.82730827363</v>
      </c>
      <c r="J1680" s="25" t="n">
        <f aca="false">I1680*(1+sh_g)</f>
        <v>4526.34644481499</v>
      </c>
    </row>
    <row r="1681" customFormat="false" ht="17.15" hidden="false" customHeight="false" outlineLevel="0" collapsed="false">
      <c r="A1681" s="0" t="s">
        <v>465</v>
      </c>
      <c r="B1681" s="0" t="s">
        <v>304</v>
      </c>
      <c r="C1681" s="19" t="n">
        <f aca="false">a25_eps</f>
        <v>9.37</v>
      </c>
      <c r="D1681" s="19" t="n">
        <f aca="false">a26_eps</f>
        <v>21.2828697294455</v>
      </c>
      <c r="E1681" s="19" t="n">
        <f aca="false">E1679/E1680*1000</f>
        <v>29.0769978466096</v>
      </c>
      <c r="F1681" s="19" t="n">
        <f aca="false">F1679/F1680*1000</f>
        <v>23.5524467205395</v>
      </c>
      <c r="G1681" s="19" t="n">
        <f aca="false">G1679/G1680*1000</f>
        <v>27.3498322965543</v>
      </c>
      <c r="H1681" s="28" t="n">
        <f aca="false">H1679/H1680*1000</f>
        <v>29.3218766949707</v>
      </c>
      <c r="I1681" s="28" t="n">
        <f aca="false">I1679/I1680*1000</f>
        <v>30.8682569523469</v>
      </c>
      <c r="J1681" s="28" t="n">
        <f aca="false">J1679/J1680*1000</f>
        <v>31.898387532608</v>
      </c>
    </row>
    <row r="1682" customFormat="false" ht="17.15" hidden="false" customHeight="false" outlineLevel="0" collapsed="false">
      <c r="A1682" s="0" t="s">
        <v>581</v>
      </c>
      <c r="B1682" s="0" t="s">
        <v>76</v>
      </c>
      <c r="D1682" s="21" t="n">
        <f aca="false">D1681/C1681-1</f>
        <v>1.27138417603474</v>
      </c>
      <c r="E1682" s="21" t="n">
        <f aca="false">E1681/D1681-1</f>
        <v>0.366216032717646</v>
      </c>
      <c r="F1682" s="21" t="n">
        <f aca="false">F1681/E1681-1</f>
        <v>-0.18999730148256</v>
      </c>
      <c r="G1682" s="21" t="n">
        <f aca="false">G1681/F1681-1</f>
        <v>0.161231044106476</v>
      </c>
      <c r="H1682" s="26" t="n">
        <f aca="false">H1681/G1681-1</f>
        <v>0.0721044420687316</v>
      </c>
      <c r="I1682" s="26" t="n">
        <f aca="false">I1681/H1681-1</f>
        <v>0.0527381065496899</v>
      </c>
      <c r="J1682" s="26" t="n">
        <f aca="false">J1681/I1681-1</f>
        <v>0.0333718415604536</v>
      </c>
    </row>
    <row r="1683" customFormat="false" ht="17.15" hidden="false" customHeight="false" outlineLevel="0" collapsed="false">
      <c r="A1683" s="4" t="s">
        <v>582</v>
      </c>
      <c r="B1683" s="0" t="s">
        <v>76</v>
      </c>
      <c r="C1683" s="14" t="n">
        <f aca="false">C1679/C1657</f>
        <v>0.0629977625862272</v>
      </c>
      <c r="D1683" s="14" t="n">
        <f aca="false">D1679/D1657</f>
        <v>0.107397865592237</v>
      </c>
      <c r="E1683" s="14" t="n">
        <f aca="false">E1679/E1657</f>
        <v>0.117355656266161</v>
      </c>
      <c r="F1683" s="14" t="n">
        <f aca="false">F1679/F1657</f>
        <v>0.0928814159533508</v>
      </c>
      <c r="G1683" s="14" t="n">
        <f aca="false">G1679/G1657</f>
        <v>0.0986795670352595</v>
      </c>
      <c r="H1683" s="27" t="n">
        <f aca="false">$G1683+(fade_mB-$G1683)*1/3</f>
        <v>0.0985413013809244</v>
      </c>
      <c r="I1683" s="27" t="n">
        <f aca="false">$G1683+(fade_mB-$G1683)*2/3</f>
        <v>0.0984030357265892</v>
      </c>
      <c r="J1683" s="27" t="n">
        <f aca="false">$G1683+(fade_mB-$G1683)*3/3</f>
        <v>0.0982647700722541</v>
      </c>
    </row>
    <row r="1684" customFormat="false" ht="17.15" hidden="false" customHeight="false" outlineLevel="0" collapsed="false">
      <c r="A1684" s="4" t="s">
        <v>583</v>
      </c>
      <c r="B1684" s="0" t="s">
        <v>234</v>
      </c>
      <c r="C1684" s="30" t="n">
        <f aca="false">C1679+C1665-C1663</f>
        <v>-54.587</v>
      </c>
      <c r="D1684" s="30" t="n">
        <f aca="false">D1679+D1665-D1663</f>
        <v>-176.164485935382</v>
      </c>
      <c r="E1684" s="30" t="n">
        <f aca="false">E1679+E1665-E1663</f>
        <v>-156.789213702962</v>
      </c>
      <c r="F1684" s="30" t="n">
        <f aca="false">F1679+F1665-F1663</f>
        <v>-66.5441350767254</v>
      </c>
      <c r="G1684" s="30" t="n">
        <f aca="false">G1679+G1665-G1663</f>
        <v>-60.9429205836431</v>
      </c>
      <c r="K1684" s="4" t="s">
        <v>584</v>
      </c>
    </row>
    <row r="1685" customFormat="false" ht="17.15" hidden="false" customHeight="false" outlineLevel="0" collapsed="false">
      <c r="A1685" s="4" t="s">
        <v>585</v>
      </c>
      <c r="B1685" s="0" t="s">
        <v>76</v>
      </c>
      <c r="D1685" s="21" t="n">
        <f aca="false">(D1673-$C1673)/SUM($D1663:D1663)</f>
        <v>0.164280348537512</v>
      </c>
      <c r="E1685" s="21" t="n">
        <f aca="false">(E1673-$C1673)/SUM($D1663:E1663)</f>
        <v>0.143734249197654</v>
      </c>
      <c r="F1685" s="21" t="n">
        <f aca="false">(F1673-$C1673)/SUM($D1663:F1663)</f>
        <v>0.0747630681775863</v>
      </c>
      <c r="G1685" s="21" t="n">
        <f aca="false">(G1673-$C1673)/SUM($D1663:G1663)</f>
        <v>0.0702774159435425</v>
      </c>
      <c r="K1685" s="4" t="s">
        <v>586</v>
      </c>
    </row>
    <row r="1688" customFormat="false" ht="17.15" hidden="false" customHeight="false" outlineLevel="0" collapsed="false">
      <c r="A1688" s="1" t="s">
        <v>948</v>
      </c>
    </row>
    <row r="1689" customFormat="false" ht="17.15" hidden="false" customHeight="false" outlineLevel="0" collapsed="false">
      <c r="A1689" s="5" t="s">
        <v>21</v>
      </c>
      <c r="B1689" s="5" t="s">
        <v>22</v>
      </c>
      <c r="C1689" s="15" t="s">
        <v>424</v>
      </c>
      <c r="D1689" s="15" t="s">
        <v>524</v>
      </c>
      <c r="E1689" s="15" t="s">
        <v>525</v>
      </c>
      <c r="F1689" s="15" t="s">
        <v>526</v>
      </c>
      <c r="G1689" s="15" t="s">
        <v>527</v>
      </c>
      <c r="H1689" s="15" t="s">
        <v>528</v>
      </c>
      <c r="I1689" s="15" t="s">
        <v>529</v>
      </c>
      <c r="J1689" s="15" t="s">
        <v>530</v>
      </c>
      <c r="K1689" s="5" t="s">
        <v>382</v>
      </c>
    </row>
    <row r="1690" customFormat="false" ht="17.15" hidden="false" customHeight="false" outlineLevel="0" collapsed="false">
      <c r="A1690" s="6" t="s">
        <v>548</v>
      </c>
    </row>
    <row r="1691" customFormat="false" ht="17.15" hidden="false" customHeight="false" outlineLevel="0" collapsed="false">
      <c r="A1691" s="0" t="s">
        <v>549</v>
      </c>
      <c r="B1691" s="4" t="s">
        <v>32</v>
      </c>
      <c r="D1691" s="19" t="n">
        <f aca="false">units_26</f>
        <v>15.2</v>
      </c>
      <c r="E1691" s="19" t="n">
        <f aca="false">units_27*1</f>
        <v>23.7</v>
      </c>
      <c r="F1691" s="19" t="n">
        <f aca="false">units_28*um28_C*1</f>
        <v>15.9</v>
      </c>
      <c r="G1691" s="19" t="n">
        <f aca="false">units_29*um29_C*1</f>
        <v>18.09</v>
      </c>
    </row>
    <row r="1692" customFormat="false" ht="17.15" hidden="false" customHeight="false" outlineLevel="0" collapsed="false">
      <c r="A1692" s="4" t="s">
        <v>497</v>
      </c>
      <c r="B1692" s="0" t="s">
        <v>45</v>
      </c>
      <c r="D1692" s="22" t="n">
        <f aca="false">ar_26</f>
        <v>1</v>
      </c>
      <c r="E1692" s="22" t="n">
        <f aca="false">ar_27</f>
        <v>1.278156</v>
      </c>
      <c r="F1692" s="22" t="n">
        <f aca="false">ar_28</f>
        <v>1.428615</v>
      </c>
      <c r="G1692" s="22" t="n">
        <f aca="false">ar_29</f>
        <v>1.431796</v>
      </c>
    </row>
    <row r="1693" customFormat="false" ht="17.15" hidden="false" customHeight="false" outlineLevel="0" collapsed="false">
      <c r="A1693" s="4" t="s">
        <v>550</v>
      </c>
      <c r="B1693" s="0" t="s">
        <v>45</v>
      </c>
      <c r="D1693" s="19" t="n">
        <f aca="false">1</f>
        <v>1</v>
      </c>
      <c r="E1693" s="19" t="n">
        <f aca="false">rel27_C</f>
        <v>1</v>
      </c>
      <c r="F1693" s="19" t="n">
        <f aca="false">rel28_C</f>
        <v>0.95</v>
      </c>
      <c r="G1693" s="19" t="n">
        <f aca="false">rel29_C</f>
        <v>0.92</v>
      </c>
    </row>
    <row r="1694" customFormat="false" ht="17.15" hidden="false" customHeight="false" outlineLevel="0" collapsed="false">
      <c r="A1694" s="4" t="s">
        <v>551</v>
      </c>
      <c r="B1694" s="0" t="s">
        <v>502</v>
      </c>
      <c r="D1694" s="23" t="n">
        <f aca="false">D1695*1000/D1691</f>
        <v>236.842105263158</v>
      </c>
      <c r="E1694" s="23" t="n">
        <f aca="false">$D1694*E1692^el</f>
        <v>267.763172119488</v>
      </c>
      <c r="F1694" s="23" t="n">
        <f aca="false">$D1694*F1692^el</f>
        <v>283.084777049615</v>
      </c>
      <c r="G1694" s="23" t="n">
        <f aca="false">$D1694*G1692^el</f>
        <v>283.399764630809</v>
      </c>
      <c r="K1694" s="8" t="s">
        <v>552</v>
      </c>
    </row>
    <row r="1695" customFormat="false" ht="17.15" hidden="false" customHeight="false" outlineLevel="0" collapsed="false">
      <c r="A1695" s="0" t="s">
        <v>553</v>
      </c>
      <c r="B1695" s="0" t="s">
        <v>120</v>
      </c>
      <c r="D1695" s="22" t="n">
        <f aca="false">leap26-D1696-D1697</f>
        <v>3.6</v>
      </c>
      <c r="E1695" s="22" t="n">
        <f aca="false">E1691*E1693*E1694/1000</f>
        <v>6.34598717923185</v>
      </c>
      <c r="F1695" s="22" t="n">
        <f aca="false">F1691*F1693*F1694/1000</f>
        <v>4.27599555733443</v>
      </c>
      <c r="G1695" s="22" t="n">
        <f aca="false">G1691*G1693*G1694/1000</f>
        <v>4.71656560279762</v>
      </c>
      <c r="K1695" s="8" t="s">
        <v>554</v>
      </c>
    </row>
    <row r="1696" customFormat="false" ht="17.15" hidden="false" customHeight="false" outlineLevel="0" collapsed="false">
      <c r="A1696" s="4" t="s">
        <v>555</v>
      </c>
      <c r="B1696" s="0" t="s">
        <v>120</v>
      </c>
      <c r="D1696" s="22" t="n">
        <f aca="false">fp26</f>
        <v>0.3</v>
      </c>
      <c r="E1696" s="22" t="n">
        <f aca="false">fp27_C</f>
        <v>0.7</v>
      </c>
      <c r="F1696" s="22" t="n">
        <f aca="false">E1696*F1691/E1691*(1+fp_g)</f>
        <v>0.610506329113924</v>
      </c>
      <c r="G1696" s="22" t="n">
        <f aca="false">F1696*G1691/F1691*(1+fp_g)</f>
        <v>0.902973417721519</v>
      </c>
    </row>
    <row r="1697" customFormat="false" ht="17.15" hidden="false" customHeight="false" outlineLevel="0" collapsed="false">
      <c r="A1697" s="0" t="s">
        <v>556</v>
      </c>
      <c r="B1697" s="0" t="s">
        <v>120</v>
      </c>
      <c r="D1697" s="22" t="n">
        <f aca="false">cpo27*cpo_C_26/cpo_A_27</f>
        <v>0.1</v>
      </c>
      <c r="E1697" s="22" t="n">
        <f aca="false">cpo27*cpo_C_27/cpo_A_27</f>
        <v>0.2</v>
      </c>
      <c r="F1697" s="22" t="n">
        <f aca="false">cpo27*cpo_C_28/cpo_A_27*F1691/E1691</f>
        <v>0.20126582278481</v>
      </c>
      <c r="G1697" s="22" t="n">
        <f aca="false">cpo27*cpo_C_29/cpo_A_27*G1691/E1691</f>
        <v>0.381645569620253</v>
      </c>
      <c r="K1697" s="8" t="s">
        <v>557</v>
      </c>
    </row>
    <row r="1698" customFormat="false" ht="17.15" hidden="false" customHeight="false" outlineLevel="0" collapsed="false">
      <c r="A1698" s="0" t="s">
        <v>510</v>
      </c>
      <c r="B1698" s="0" t="s">
        <v>120</v>
      </c>
      <c r="C1698" s="22" t="n">
        <f aca="false">leap25</f>
        <v>1.6</v>
      </c>
      <c r="D1698" s="22" t="n">
        <f aca="false">D1695+D1696+D1697</f>
        <v>4</v>
      </c>
      <c r="E1698" s="22" t="n">
        <f aca="false">E1695+E1696+E1697</f>
        <v>7.24598717923186</v>
      </c>
      <c r="F1698" s="22" t="n">
        <f aca="false">F1695+F1696+F1697</f>
        <v>5.08776770923316</v>
      </c>
      <c r="G1698" s="22" t="n">
        <f aca="false">G1695+G1696+G1697</f>
        <v>6.0011845901394</v>
      </c>
    </row>
    <row r="1699" customFormat="false" ht="17.15" hidden="false" customHeight="false" outlineLevel="0" collapsed="false">
      <c r="A1699" s="4" t="s">
        <v>558</v>
      </c>
      <c r="B1699" s="0" t="s">
        <v>114</v>
      </c>
      <c r="C1699" s="19" t="n">
        <f aca="false">fx25</f>
        <v>31</v>
      </c>
      <c r="D1699" s="19" t="n">
        <f aca="false">a26_leap/D1698</f>
        <v>31.9</v>
      </c>
      <c r="E1699" s="19" t="n">
        <f aca="false">fx</f>
        <v>32</v>
      </c>
      <c r="F1699" s="19" t="n">
        <f aca="false">fx</f>
        <v>32</v>
      </c>
      <c r="G1699" s="19" t="n">
        <f aca="false">fx</f>
        <v>32</v>
      </c>
      <c r="K1699" s="8" t="s">
        <v>559</v>
      </c>
    </row>
    <row r="1700" customFormat="false" ht="17.15" hidden="false" customHeight="false" outlineLevel="0" collapsed="false">
      <c r="A1700" s="6" t="s">
        <v>560</v>
      </c>
    </row>
    <row r="1701" customFormat="false" ht="17.15" hidden="false" customHeight="false" outlineLevel="0" collapsed="false">
      <c r="A1701" s="0" t="s">
        <v>438</v>
      </c>
      <c r="B1701" s="0" t="s">
        <v>234</v>
      </c>
      <c r="C1701" s="30" t="n">
        <f aca="false">a25_leap</f>
        <v>49.6</v>
      </c>
      <c r="D1701" s="30" t="n">
        <f aca="false">a26_leap</f>
        <v>127.6</v>
      </c>
      <c r="E1701" s="30" t="n">
        <f aca="false">E1698*E1699</f>
        <v>231.871589735419</v>
      </c>
      <c r="F1701" s="30" t="n">
        <f aca="false">F1698*F1699</f>
        <v>162.808566695461</v>
      </c>
      <c r="G1701" s="30" t="n">
        <f aca="false">G1698*G1699</f>
        <v>192.037906884461</v>
      </c>
    </row>
    <row r="1702" customFormat="false" ht="15" hidden="false" customHeight="false" outlineLevel="0" collapsed="false">
      <c r="A1702" s="4" t="s">
        <v>561</v>
      </c>
      <c r="B1702" s="0" t="s">
        <v>234</v>
      </c>
      <c r="C1702" s="30" t="n">
        <f aca="false">a25_ms</f>
        <v>339.628</v>
      </c>
      <c r="D1702" s="30" t="n">
        <f aca="false">a26_ms</f>
        <v>432.1302</v>
      </c>
      <c r="E1702" s="30" t="n">
        <f aca="false">D1702*(1+g_ms27)</f>
        <v>496.94973</v>
      </c>
      <c r="F1702" s="30" t="n">
        <f aca="false">E1702*(1+g_msL_lo)</f>
        <v>506.8887246</v>
      </c>
      <c r="G1702" s="30" t="n">
        <f aca="false">F1702*(1+g_msL_lo)</f>
        <v>517.026499092</v>
      </c>
    </row>
    <row r="1703" customFormat="false" ht="17.15" hidden="false" customHeight="false" outlineLevel="0" collapsed="false">
      <c r="A1703" s="4" t="s">
        <v>562</v>
      </c>
      <c r="B1703" s="0" t="s">
        <v>234</v>
      </c>
      <c r="C1703" s="30" t="n">
        <f aca="false">C1701+C1702</f>
        <v>389.228</v>
      </c>
      <c r="D1703" s="30" t="n">
        <f aca="false">D1701+D1702</f>
        <v>559.7302</v>
      </c>
      <c r="E1703" s="30" t="n">
        <f aca="false">E1701+E1702</f>
        <v>728.821319735419</v>
      </c>
      <c r="F1703" s="30" t="n">
        <f aca="false">F1701+F1702</f>
        <v>669.697291295461</v>
      </c>
      <c r="G1703" s="30" t="n">
        <f aca="false">G1701+G1702</f>
        <v>709.064405976461</v>
      </c>
    </row>
    <row r="1704" customFormat="false" ht="17.15" hidden="false" customHeight="false" outlineLevel="0" collapsed="false">
      <c r="A1704" s="0" t="s">
        <v>563</v>
      </c>
      <c r="B1704" s="0" t="s">
        <v>234</v>
      </c>
      <c r="C1704" s="30" t="n">
        <f aca="false">a25_ems</f>
        <v>259.079</v>
      </c>
      <c r="D1704" s="30" t="n">
        <f aca="false">a26_ems</f>
        <v>314.602</v>
      </c>
      <c r="E1704" s="30" t="n">
        <f aca="false">D1704*(1+g_ems27)</f>
        <v>346.0622</v>
      </c>
      <c r="F1704" s="30" t="n">
        <f aca="false">E1704*(1+g_emsL)</f>
        <v>363.36531</v>
      </c>
      <c r="G1704" s="30" t="n">
        <f aca="false">F1704*(1+g_emsL)</f>
        <v>381.5335755</v>
      </c>
    </row>
    <row r="1705" customFormat="false" ht="17.15" hidden="false" customHeight="false" outlineLevel="0" collapsed="false">
      <c r="A1705" s="4" t="s">
        <v>564</v>
      </c>
      <c r="B1705" s="0" t="s">
        <v>234</v>
      </c>
      <c r="C1705" s="30" t="n">
        <f aca="false">a25_elim</f>
        <v>-2.91899999999998</v>
      </c>
      <c r="D1705" s="30" t="n">
        <f aca="false">a26_elim</f>
        <v>-3.16484905982349</v>
      </c>
      <c r="E1705" s="30" t="n">
        <f aca="false">$D1705/($D1703+$D1704)*(E1703+E1704)</f>
        <v>-3.89079127687897</v>
      </c>
      <c r="F1705" s="30" t="n">
        <f aca="false">$D1705/($D1703+$D1704)*(F1703+F1704)</f>
        <v>-3.73941072106088</v>
      </c>
      <c r="G1705" s="30" t="n">
        <f aca="false">$D1705/($D1703+$D1704)*(G1703+G1704)</f>
        <v>-3.94767343158718</v>
      </c>
      <c r="K1705" s="4" t="s">
        <v>565</v>
      </c>
    </row>
    <row r="1706" customFormat="false" ht="17.15" hidden="false" customHeight="false" outlineLevel="0" collapsed="false">
      <c r="A1706" s="4" t="s">
        <v>431</v>
      </c>
      <c r="B1706" s="0" t="s">
        <v>234</v>
      </c>
      <c r="C1706" s="30" t="n">
        <f aca="false">C1703+C1704+C1705</f>
        <v>645.388</v>
      </c>
      <c r="D1706" s="30" t="n">
        <f aca="false">D1703+D1704+D1705</f>
        <v>871.167350940177</v>
      </c>
      <c r="E1706" s="30" t="n">
        <f aca="false">E1703+E1704+E1705</f>
        <v>1070.99272845854</v>
      </c>
      <c r="F1706" s="30" t="n">
        <f aca="false">F1703+F1704+F1705</f>
        <v>1029.3231905744</v>
      </c>
      <c r="G1706" s="30" t="n">
        <f aca="false">G1703+G1704+G1705</f>
        <v>1086.65030804487</v>
      </c>
      <c r="H1706" s="31" t="n">
        <f aca="false">G1706*(1+H1707)</f>
        <v>1134.24123909072</v>
      </c>
      <c r="I1706" s="31" t="n">
        <f aca="false">H1706*(1+I1707)</f>
        <v>1170.42126308459</v>
      </c>
      <c r="J1706" s="31" t="n">
        <f aca="false">I1706*(1+J1707)</f>
        <v>1193.82968834628</v>
      </c>
      <c r="K1706" s="8" t="s">
        <v>566</v>
      </c>
    </row>
    <row r="1707" customFormat="false" ht="15" hidden="false" customHeight="false" outlineLevel="0" collapsed="false">
      <c r="A1707" s="4" t="s">
        <v>567</v>
      </c>
      <c r="B1707" s="0" t="s">
        <v>76</v>
      </c>
      <c r="D1707" s="21" t="n">
        <f aca="false">D1706/C1706-1</f>
        <v>0.349835061916516</v>
      </c>
      <c r="E1707" s="21" t="n">
        <f aca="false">E1706/D1706-1</f>
        <v>0.229376568466104</v>
      </c>
      <c r="F1707" s="21" t="n">
        <f aca="false">F1706/E1706-1</f>
        <v>-0.0389073957057714</v>
      </c>
      <c r="G1707" s="21" t="n">
        <f aca="false">G1706/F1706-1</f>
        <v>0.0556939919312249</v>
      </c>
      <c r="H1707" s="26" t="n">
        <f aca="false">$G1707+(fade_gC-$G1707)*1/3</f>
        <v>0.0437959946208166</v>
      </c>
      <c r="I1707" s="26" t="n">
        <f aca="false">$G1707+(fade_gC-$G1707)*2/3</f>
        <v>0.0318979973104083</v>
      </c>
      <c r="J1707" s="26" t="n">
        <f aca="false">$G1707+(fade_gC-$G1707)*3/3</f>
        <v>0.02</v>
      </c>
    </row>
    <row r="1708" customFormat="false" ht="17.15" hidden="false" customHeight="false" outlineLevel="0" collapsed="false">
      <c r="A1708" s="0" t="s">
        <v>475</v>
      </c>
      <c r="B1708" s="0" t="s">
        <v>76</v>
      </c>
      <c r="C1708" s="21" t="n">
        <f aca="false">C1701/C1703</f>
        <v>0.127431736668482</v>
      </c>
      <c r="D1708" s="21" t="n">
        <f aca="false">D1701/D1703</f>
        <v>0.227966974088588</v>
      </c>
      <c r="E1708" s="21" t="n">
        <f aca="false">E1701/E1703</f>
        <v>0.31814600294568</v>
      </c>
      <c r="F1708" s="21" t="n">
        <f aca="false">F1701/F1703</f>
        <v>0.243107697778685</v>
      </c>
      <c r="G1708" s="21" t="n">
        <f aca="false">G1701/G1703</f>
        <v>0.270832811893869</v>
      </c>
    </row>
    <row r="1709" customFormat="false" ht="15" hidden="false" customHeight="false" outlineLevel="0" collapsed="false">
      <c r="A1709" s="4" t="s">
        <v>568</v>
      </c>
      <c r="B1709" s="0" t="s">
        <v>76</v>
      </c>
      <c r="D1709" s="21" t="n">
        <f aca="false">D1703/C1703-1</f>
        <v>0.438052247012034</v>
      </c>
      <c r="E1709" s="21" t="n">
        <f aca="false">E1703/D1703-1</f>
        <v>0.302093972659362</v>
      </c>
      <c r="F1709" s="21" t="n">
        <f aca="false">F1703/E1703-1</f>
        <v>-0.081122803132902</v>
      </c>
      <c r="G1709" s="21" t="n">
        <f aca="false">G1703/F1703-1</f>
        <v>0.0587834461818533</v>
      </c>
    </row>
    <row r="1710" customFormat="false" ht="17.15" hidden="false" customHeight="false" outlineLevel="0" collapsed="false">
      <c r="A1710" s="6" t="s">
        <v>569</v>
      </c>
    </row>
    <row r="1711" customFormat="false" ht="17.15" hidden="false" customHeight="false" outlineLevel="0" collapsed="false">
      <c r="A1711" s="4" t="s">
        <v>570</v>
      </c>
      <c r="B1711" s="0" t="s">
        <v>120</v>
      </c>
      <c r="C1711" s="19" t="n">
        <f aca="false">capex25</f>
        <v>5.5</v>
      </c>
      <c r="D1711" s="19" t="n">
        <f aca="false">capex26</f>
        <v>11.5</v>
      </c>
      <c r="E1711" s="19" t="n">
        <f aca="false">capex27</f>
        <v>13</v>
      </c>
      <c r="F1711" s="19" t="n">
        <f aca="false">capi*F1706/F1699</f>
        <v>9.649904911635</v>
      </c>
      <c r="G1711" s="19" t="n">
        <f aca="false">capi*G1706/G1699</f>
        <v>10.1873466379207</v>
      </c>
      <c r="K1711" s="8" t="s">
        <v>571</v>
      </c>
    </row>
    <row r="1712" customFormat="false" ht="15" hidden="false" customHeight="false" outlineLevel="0" collapsed="false">
      <c r="A1712" s="4" t="s">
        <v>572</v>
      </c>
      <c r="B1712" s="0" t="s">
        <v>234</v>
      </c>
      <c r="C1712" s="30" t="n">
        <f aca="false">C1711*C1699</f>
        <v>170.5</v>
      </c>
      <c r="D1712" s="30" t="n">
        <f aca="false">D1711*31.9</f>
        <v>366.85</v>
      </c>
      <c r="E1712" s="30" t="n">
        <f aca="false">E1711*E1699</f>
        <v>416</v>
      </c>
      <c r="F1712" s="30" t="n">
        <f aca="false">F1711*F1699</f>
        <v>308.79695717232</v>
      </c>
      <c r="G1712" s="30" t="n">
        <f aca="false">G1711*G1699</f>
        <v>325.995092413462</v>
      </c>
    </row>
    <row r="1713" customFormat="false" ht="17.15" hidden="false" customHeight="false" outlineLevel="0" collapsed="false">
      <c r="A1713" s="4" t="s">
        <v>473</v>
      </c>
      <c r="B1713" s="0" t="s">
        <v>76</v>
      </c>
      <c r="C1713" s="21" t="n">
        <f aca="false">C1712/C1706</f>
        <v>0.264182166386732</v>
      </c>
      <c r="D1713" s="21" t="n">
        <f aca="false">D1712/D1706</f>
        <v>0.421101639775745</v>
      </c>
      <c r="E1713" s="21" t="n">
        <f aca="false">E1712/E1706</f>
        <v>0.388424672685445</v>
      </c>
      <c r="F1713" s="21" t="n">
        <f aca="false">F1712/F1706</f>
        <v>0.3</v>
      </c>
      <c r="G1713" s="21" t="n">
        <f aca="false">G1712/G1706</f>
        <v>0.3</v>
      </c>
    </row>
    <row r="1714" customFormat="false" ht="17.15" hidden="false" customHeight="false" outlineLevel="0" collapsed="false">
      <c r="A1714" s="4" t="s">
        <v>573</v>
      </c>
      <c r="B1714" s="0" t="s">
        <v>234</v>
      </c>
      <c r="C1714" s="30" t="n">
        <f aca="false">a25_da</f>
        <v>75.255</v>
      </c>
      <c r="D1714" s="30" t="n">
        <f aca="false">a26_da</f>
        <v>97.124</v>
      </c>
      <c r="E1714" s="30" t="n">
        <f aca="false">D1714*(1-1/life)+D1712/life</f>
        <v>130.83975</v>
      </c>
      <c r="F1714" s="30" t="n">
        <f aca="false">E1714*(1-1/life)+E1712/life</f>
        <v>166.48478125</v>
      </c>
      <c r="G1714" s="30" t="n">
        <f aca="false">F1714*(1-1/life)+F1712/life</f>
        <v>184.27380324029</v>
      </c>
      <c r="K1714" s="4" t="s">
        <v>574</v>
      </c>
    </row>
    <row r="1715" customFormat="false" ht="17.15" hidden="false" customHeight="false" outlineLevel="0" collapsed="false">
      <c r="A1715" s="4" t="s">
        <v>575</v>
      </c>
      <c r="B1715" s="0" t="s">
        <v>234</v>
      </c>
      <c r="C1715" s="30" t="n">
        <f aca="false">a25_agp</f>
        <v>91.38</v>
      </c>
      <c r="D1715" s="30" t="n">
        <f aca="false">a26_agp</f>
        <v>164.623388</v>
      </c>
      <c r="E1715" s="30" t="n">
        <f aca="false">$D1715+ft*(E1703-$D1703)-(E1714-$D1714)</f>
        <v>215.45319786771</v>
      </c>
      <c r="F1715" s="30" t="n">
        <f aca="false">$D1715+ft*(F1703-$D1703)-(F1714-$D1714)</f>
        <v>150.246152397731</v>
      </c>
      <c r="G1715" s="30" t="n">
        <f aca="false">$D1715+ft*(G1703-$D1703)-(G1714-$D1714)</f>
        <v>152.14068774794</v>
      </c>
      <c r="K1715" s="4" t="s">
        <v>576</v>
      </c>
    </row>
    <row r="1716" customFormat="false" ht="15" hidden="false" customHeight="false" outlineLevel="0" collapsed="false">
      <c r="A1716" s="4" t="s">
        <v>447</v>
      </c>
      <c r="B1716" s="0" t="s">
        <v>76</v>
      </c>
      <c r="C1716" s="14" t="n">
        <f aca="false">C1715/C1703</f>
        <v>0.234772421305764</v>
      </c>
      <c r="D1716" s="14" t="n">
        <f aca="false">D1715/D1703</f>
        <v>0.294112034690999</v>
      </c>
      <c r="E1716" s="14" t="n">
        <f aca="false">E1715/E1703</f>
        <v>0.295618681882035</v>
      </c>
      <c r="F1716" s="14" t="n">
        <f aca="false">F1715/F1703</f>
        <v>0.224349350595542</v>
      </c>
      <c r="G1716" s="14" t="n">
        <f aca="false">G1715/G1703</f>
        <v>0.214565399793867</v>
      </c>
    </row>
    <row r="1717" customFormat="false" ht="17.15" hidden="false" customHeight="false" outlineLevel="0" collapsed="false">
      <c r="A1717" s="0" t="s">
        <v>449</v>
      </c>
      <c r="B1717" s="0" t="s">
        <v>234</v>
      </c>
      <c r="C1717" s="30" t="n">
        <f aca="false">a25_egp</f>
        <v>23.695</v>
      </c>
      <c r="D1717" s="30" t="n">
        <f aca="false">a26_egp</f>
        <v>27.00552</v>
      </c>
      <c r="E1717" s="30" t="n">
        <f aca="false">E1704*ems_gm</f>
        <v>29.415287</v>
      </c>
      <c r="F1717" s="30" t="n">
        <f aca="false">F1704*ems_gm</f>
        <v>30.88605135</v>
      </c>
      <c r="G1717" s="30" t="n">
        <f aca="false">G1704*ems_gm</f>
        <v>32.4303539175</v>
      </c>
    </row>
    <row r="1718" customFormat="false" ht="15" hidden="false" customHeight="false" outlineLevel="0" collapsed="false">
      <c r="A1718" s="4" t="s">
        <v>577</v>
      </c>
      <c r="B1718" s="0" t="s">
        <v>234</v>
      </c>
      <c r="C1718" s="30" t="n">
        <f aca="false">a25_lgp</f>
        <v>-0.881999999999998</v>
      </c>
      <c r="D1718" s="30" t="n">
        <f aca="false">a26_lgp</f>
        <v>-0.948662139013863</v>
      </c>
      <c r="E1718" s="30" t="n">
        <f aca="false">$D1718/$D1705*E1705</f>
        <v>-1.16626300509458</v>
      </c>
      <c r="F1718" s="30" t="n">
        <f aca="false">$D1718/$D1705*F1705</f>
        <v>-1.12088674885836</v>
      </c>
      <c r="G1718" s="30" t="n">
        <f aca="false">$D1718/$D1705*G1705</f>
        <v>-1.18331340640509</v>
      </c>
    </row>
    <row r="1719" customFormat="false" ht="15" hidden="false" customHeight="false" outlineLevel="0" collapsed="false">
      <c r="A1719" s="4" t="s">
        <v>451</v>
      </c>
      <c r="B1719" s="0" t="s">
        <v>234</v>
      </c>
      <c r="C1719" s="30" t="n">
        <f aca="false">C1715+C1717+C1718</f>
        <v>114.193</v>
      </c>
      <c r="D1719" s="30" t="n">
        <f aca="false">D1715+D1717+D1718</f>
        <v>190.680245860986</v>
      </c>
      <c r="E1719" s="30" t="n">
        <f aca="false">E1715+E1717+E1718</f>
        <v>243.702221862615</v>
      </c>
      <c r="F1719" s="30" t="n">
        <f aca="false">F1715+F1717+F1718</f>
        <v>180.011316998872</v>
      </c>
      <c r="G1719" s="30" t="n">
        <f aca="false">G1715+G1717+G1718</f>
        <v>183.387728259035</v>
      </c>
    </row>
    <row r="1720" customFormat="false" ht="15" hidden="false" customHeight="false" outlineLevel="0" collapsed="false">
      <c r="A1720" s="4" t="s">
        <v>452</v>
      </c>
      <c r="B1720" s="0" t="s">
        <v>76</v>
      </c>
      <c r="C1720" s="14" t="n">
        <f aca="false">C1719/C1706</f>
        <v>0.176936974347214</v>
      </c>
      <c r="D1720" s="14" t="n">
        <f aca="false">D1719/D1706</f>
        <v>0.218879008327391</v>
      </c>
      <c r="E1720" s="14" t="n">
        <f aca="false">E1719/E1706</f>
        <v>0.227547970576207</v>
      </c>
      <c r="F1720" s="14" t="n">
        <f aca="false">F1719/F1706</f>
        <v>0.174883184064297</v>
      </c>
      <c r="G1720" s="14" t="n">
        <f aca="false">G1719/G1706</f>
        <v>0.168764253689847</v>
      </c>
    </row>
    <row r="1721" customFormat="false" ht="15" hidden="false" customHeight="false" outlineLevel="0" collapsed="false">
      <c r="A1721" s="4" t="s">
        <v>578</v>
      </c>
      <c r="B1721" s="0" t="s">
        <v>234</v>
      </c>
      <c r="C1721" s="30" t="n">
        <f aca="false">a25_opx</f>
        <v>63.437</v>
      </c>
      <c r="D1721" s="30" t="n">
        <f aca="false">a26_opx</f>
        <v>79.658</v>
      </c>
      <c r="E1721" s="30" t="n">
        <f aca="false">D1721*(1+phi*E1707)</f>
        <v>90.6210072145237</v>
      </c>
      <c r="F1721" s="30" t="n">
        <f aca="false">E1721*(1+phi*F1707)</f>
        <v>88.5055107823531</v>
      </c>
      <c r="G1721" s="30" t="n">
        <f aca="false">F1721*(1+phi*G1707)</f>
        <v>91.4630459043819</v>
      </c>
    </row>
    <row r="1722" customFormat="false" ht="15" hidden="false" customHeight="false" outlineLevel="0" collapsed="false">
      <c r="A1722" s="4" t="s">
        <v>455</v>
      </c>
      <c r="B1722" s="0" t="s">
        <v>234</v>
      </c>
      <c r="C1722" s="30" t="n">
        <f aca="false">C1719-C1721</f>
        <v>50.756</v>
      </c>
      <c r="D1722" s="30" t="n">
        <f aca="false">D1719-D1721</f>
        <v>111.022245860986</v>
      </c>
      <c r="E1722" s="30" t="n">
        <f aca="false">E1719-E1721</f>
        <v>153.081214648091</v>
      </c>
      <c r="F1722" s="30" t="n">
        <f aca="false">F1719-F1721</f>
        <v>91.5058062165191</v>
      </c>
      <c r="G1722" s="30" t="n">
        <f aca="false">G1719-G1721</f>
        <v>91.9246823546534</v>
      </c>
    </row>
    <row r="1723" customFormat="false" ht="15" hidden="false" customHeight="false" outlineLevel="0" collapsed="false">
      <c r="A1723" s="4" t="s">
        <v>537</v>
      </c>
      <c r="B1723" s="0" t="s">
        <v>76</v>
      </c>
      <c r="C1723" s="14" t="n">
        <f aca="false">C1722/C1706</f>
        <v>0.0786441644406156</v>
      </c>
      <c r="D1723" s="14" t="n">
        <f aca="false">D1722/D1706</f>
        <v>0.127440779020437</v>
      </c>
      <c r="E1723" s="14" t="n">
        <f aca="false">E1722/E1706</f>
        <v>0.142933943975902</v>
      </c>
      <c r="F1723" s="14" t="n">
        <f aca="false">F1722/F1706</f>
        <v>0.08889900378661</v>
      </c>
      <c r="G1723" s="14" t="n">
        <f aca="false">G1722/G1706</f>
        <v>0.0845945394522055</v>
      </c>
    </row>
    <row r="1724" customFormat="false" ht="15" hidden="false" customHeight="false" outlineLevel="0" collapsed="false">
      <c r="A1724" s="4" t="s">
        <v>456</v>
      </c>
      <c r="B1724" s="0" t="s">
        <v>234</v>
      </c>
      <c r="C1724" s="30" t="n">
        <f aca="false">a25_nonop</f>
        <v>0.545</v>
      </c>
      <c r="D1724" s="30" t="n">
        <f aca="false">a26_nonop</f>
        <v>4.302</v>
      </c>
      <c r="E1724" s="30" t="n">
        <f aca="false">nonop_f</f>
        <v>-5</v>
      </c>
      <c r="F1724" s="30" t="n">
        <f aca="false">nonop_f</f>
        <v>-5</v>
      </c>
      <c r="G1724" s="30" t="n">
        <f aca="false">nonop_f</f>
        <v>-5</v>
      </c>
    </row>
    <row r="1725" customFormat="false" ht="15" hidden="false" customHeight="false" outlineLevel="0" collapsed="false">
      <c r="A1725" s="4" t="s">
        <v>459</v>
      </c>
      <c r="B1725" s="0" t="s">
        <v>234</v>
      </c>
      <c r="C1725" s="30" t="n">
        <f aca="false">C1722+C1724</f>
        <v>51.301</v>
      </c>
      <c r="D1725" s="30" t="n">
        <f aca="false">D1722+D1724</f>
        <v>115.324245860986</v>
      </c>
      <c r="E1725" s="30" t="n">
        <f aca="false">E1722+E1724</f>
        <v>148.081214648091</v>
      </c>
      <c r="F1725" s="30" t="n">
        <f aca="false">F1722+F1724</f>
        <v>86.5058062165191</v>
      </c>
      <c r="G1725" s="30" t="n">
        <f aca="false">G1722+G1724</f>
        <v>86.9246823546534</v>
      </c>
    </row>
    <row r="1726" customFormat="false" ht="15" hidden="false" customHeight="false" outlineLevel="0" collapsed="false">
      <c r="A1726" s="4" t="s">
        <v>460</v>
      </c>
      <c r="B1726" s="0" t="s">
        <v>234</v>
      </c>
      <c r="C1726" s="30" t="n">
        <f aca="false">a25_tax</f>
        <v>9.461</v>
      </c>
      <c r="D1726" s="30" t="n">
        <f aca="false">a26_tax</f>
        <v>19.2197317963676</v>
      </c>
      <c r="E1726" s="30" t="n">
        <f aca="false">E1725*tax</f>
        <v>25.1738064901755</v>
      </c>
      <c r="F1726" s="30" t="n">
        <f aca="false">F1725*tax</f>
        <v>14.7059870568082</v>
      </c>
      <c r="G1726" s="30" t="n">
        <f aca="false">G1725*tax</f>
        <v>14.7771960002911</v>
      </c>
    </row>
    <row r="1727" customFormat="false" ht="15" hidden="false" customHeight="false" outlineLevel="0" collapsed="false">
      <c r="A1727" s="4" t="s">
        <v>461</v>
      </c>
      <c r="B1727" s="0" t="s">
        <v>234</v>
      </c>
      <c r="C1727" s="30" t="n">
        <f aca="false">a25_nci</f>
        <v>1.182</v>
      </c>
      <c r="D1727" s="30" t="n">
        <f aca="false">a26_nci</f>
        <v>2.543</v>
      </c>
      <c r="E1727" s="30" t="n">
        <f aca="false">nci</f>
        <v>3</v>
      </c>
      <c r="F1727" s="30" t="n">
        <f aca="false">nci</f>
        <v>3</v>
      </c>
      <c r="G1727" s="30" t="n">
        <f aca="false">nci</f>
        <v>3</v>
      </c>
    </row>
    <row r="1728" customFormat="false" ht="15" hidden="false" customHeight="false" outlineLevel="0" collapsed="false">
      <c r="A1728" s="4" t="s">
        <v>462</v>
      </c>
      <c r="B1728" s="0" t="s">
        <v>234</v>
      </c>
      <c r="C1728" s="30" t="n">
        <f aca="false">C1725-C1726-C1727</f>
        <v>40.658</v>
      </c>
      <c r="D1728" s="30" t="n">
        <f aca="false">D1725-D1726-D1727</f>
        <v>93.5615140646185</v>
      </c>
      <c r="E1728" s="30" t="n">
        <f aca="false">E1725-E1726-E1727</f>
        <v>119.907408157916</v>
      </c>
      <c r="F1728" s="30" t="n">
        <f aca="false">F1725-F1726-F1727</f>
        <v>68.7998191597108</v>
      </c>
      <c r="G1728" s="30" t="n">
        <f aca="false">G1725-G1726-G1727</f>
        <v>69.1474863543623</v>
      </c>
      <c r="H1728" s="31" t="n">
        <f aca="false">H1706*H1732</f>
        <v>71.4232790933337</v>
      </c>
      <c r="I1728" s="31" t="n">
        <f aca="false">I1706*I1732</f>
        <v>72.9249423360845</v>
      </c>
      <c r="J1728" s="31" t="n">
        <f aca="false">J1706*J1732</f>
        <v>73.591312934704</v>
      </c>
    </row>
    <row r="1729" customFormat="false" ht="15" hidden="false" customHeight="false" outlineLevel="0" collapsed="false">
      <c r="A1729" s="4" t="s">
        <v>579</v>
      </c>
      <c r="B1729" s="4" t="s">
        <v>580</v>
      </c>
      <c r="C1729" s="18" t="n">
        <f aca="false">a25_sh</f>
        <v>4339.16755602988</v>
      </c>
      <c r="D1729" s="18" t="n">
        <f aca="false">a26_sh</f>
        <v>4392.90105184664</v>
      </c>
      <c r="E1729" s="18" t="n">
        <f aca="false">D1729*(1+sh_g)</f>
        <v>4414.86555710588</v>
      </c>
      <c r="F1729" s="18" t="n">
        <f aca="false">E1729*(1+sh_g)</f>
        <v>4436.9398848914</v>
      </c>
      <c r="G1729" s="18" t="n">
        <f aca="false">F1729*(1+sh_g)</f>
        <v>4459.12458431586</v>
      </c>
      <c r="H1729" s="25" t="n">
        <f aca="false">G1729*(1+sh_g)</f>
        <v>4481.42020723744</v>
      </c>
      <c r="I1729" s="25" t="n">
        <f aca="false">H1729*(1+sh_g)</f>
        <v>4503.82730827363</v>
      </c>
      <c r="J1729" s="25" t="n">
        <f aca="false">I1729*(1+sh_g)</f>
        <v>4526.34644481499</v>
      </c>
    </row>
    <row r="1730" customFormat="false" ht="17.15" hidden="false" customHeight="false" outlineLevel="0" collapsed="false">
      <c r="A1730" s="0" t="s">
        <v>465</v>
      </c>
      <c r="B1730" s="0" t="s">
        <v>304</v>
      </c>
      <c r="C1730" s="19" t="n">
        <f aca="false">a25_eps</f>
        <v>9.37</v>
      </c>
      <c r="D1730" s="19" t="n">
        <f aca="false">a26_eps</f>
        <v>21.2828697294455</v>
      </c>
      <c r="E1730" s="19" t="n">
        <f aca="false">E1728/E1729*1000</f>
        <v>27.159922902957</v>
      </c>
      <c r="F1730" s="19" t="n">
        <f aca="false">F1728/F1729*1000</f>
        <v>15.5061418330203</v>
      </c>
      <c r="G1730" s="19" t="n">
        <f aca="false">G1728/G1729*1000</f>
        <v>15.5069644381715</v>
      </c>
      <c r="H1730" s="28" t="n">
        <f aca="false">H1728/H1729*1000</f>
        <v>15.9376438250504</v>
      </c>
      <c r="I1730" s="28" t="n">
        <f aca="false">I1728/I1729*1000</f>
        <v>16.1917714300723</v>
      </c>
      <c r="J1730" s="28" t="n">
        <f aca="false">J1728/J1729*1000</f>
        <v>16.2584357675502</v>
      </c>
    </row>
    <row r="1731" customFormat="false" ht="17.15" hidden="false" customHeight="false" outlineLevel="0" collapsed="false">
      <c r="A1731" s="0" t="s">
        <v>581</v>
      </c>
      <c r="B1731" s="0" t="s">
        <v>76</v>
      </c>
      <c r="D1731" s="21" t="n">
        <f aca="false">D1730/C1730-1</f>
        <v>1.27138417603474</v>
      </c>
      <c r="E1731" s="21" t="n">
        <f aca="false">E1730/D1730-1</f>
        <v>0.276140071720703</v>
      </c>
      <c r="F1731" s="21" t="n">
        <f aca="false">F1730/E1730-1</f>
        <v>-0.429080049732686</v>
      </c>
      <c r="G1731" s="21" t="n">
        <f aca="false">G1730/F1730-1</f>
        <v>5.30502790483389E-005</v>
      </c>
      <c r="H1731" s="26" t="n">
        <f aca="false">H1730/G1730-1</f>
        <v>0.027773287840831</v>
      </c>
      <c r="I1731" s="26" t="n">
        <f aca="false">I1730/H1730-1</f>
        <v>0.0159451175977816</v>
      </c>
      <c r="J1731" s="26" t="n">
        <f aca="false">J1730/I1730-1</f>
        <v>0.00411717382287691</v>
      </c>
    </row>
    <row r="1732" customFormat="false" ht="17.15" hidden="false" customHeight="false" outlineLevel="0" collapsed="false">
      <c r="A1732" s="4" t="s">
        <v>582</v>
      </c>
      <c r="B1732" s="0" t="s">
        <v>76</v>
      </c>
      <c r="C1732" s="14" t="n">
        <f aca="false">C1728/C1706</f>
        <v>0.0629977625862272</v>
      </c>
      <c r="D1732" s="14" t="n">
        <f aca="false">D1728/D1706</f>
        <v>0.107397865592237</v>
      </c>
      <c r="E1732" s="14" t="n">
        <f aca="false">E1728/E1706</f>
        <v>0.111959124438218</v>
      </c>
      <c r="F1732" s="14" t="n">
        <f aca="false">F1728/F1706</f>
        <v>0.0668398611725808</v>
      </c>
      <c r="G1732" s="14" t="n">
        <f aca="false">G1728/G1706</f>
        <v>0.0636336140913392</v>
      </c>
      <c r="H1732" s="27" t="n">
        <f aca="false">$G1732+(fade_mC-$G1732)*1/3</f>
        <v>0.0629700954539366</v>
      </c>
      <c r="I1732" s="27" t="n">
        <f aca="false">$G1732+(fade_mC-$G1732)*2/3</f>
        <v>0.0623065768165341</v>
      </c>
      <c r="J1732" s="27" t="n">
        <f aca="false">$G1732+(fade_mC-$G1732)*3/3</f>
        <v>0.0616430581791315</v>
      </c>
    </row>
    <row r="1733" customFormat="false" ht="17.15" hidden="false" customHeight="false" outlineLevel="0" collapsed="false">
      <c r="A1733" s="4" t="s">
        <v>583</v>
      </c>
      <c r="B1733" s="0" t="s">
        <v>234</v>
      </c>
      <c r="C1733" s="30" t="n">
        <f aca="false">C1728+C1714-C1712</f>
        <v>-54.587</v>
      </c>
      <c r="D1733" s="30" t="n">
        <f aca="false">D1728+D1714-D1712</f>
        <v>-176.164485935382</v>
      </c>
      <c r="E1733" s="30" t="n">
        <f aca="false">E1728+E1714-E1712</f>
        <v>-165.252841842084</v>
      </c>
      <c r="F1733" s="30" t="n">
        <f aca="false">F1728+F1714-F1712</f>
        <v>-73.5123567626093</v>
      </c>
      <c r="G1733" s="30" t="n">
        <f aca="false">G1728+G1714-G1712</f>
        <v>-72.5738028188098</v>
      </c>
      <c r="K1733" s="4" t="s">
        <v>584</v>
      </c>
    </row>
    <row r="1734" customFormat="false" ht="17.15" hidden="false" customHeight="false" outlineLevel="0" collapsed="false">
      <c r="A1734" s="4" t="s">
        <v>585</v>
      </c>
      <c r="B1734" s="0" t="s">
        <v>76</v>
      </c>
      <c r="D1734" s="21" t="n">
        <f aca="false">(D1722-$C1722)/SUM($D1712:D1712)</f>
        <v>0.164280348537512</v>
      </c>
      <c r="E1734" s="21" t="n">
        <f aca="false">(E1722-$C1722)/SUM($D1712:E1712)</f>
        <v>0.130708583570405</v>
      </c>
      <c r="F1734" s="21" t="n">
        <f aca="false">(F1722-$C1722)/SUM($D1712:F1712)</f>
        <v>0.037328740714922</v>
      </c>
      <c r="G1734" s="21" t="n">
        <f aca="false">(G1722-$C1722)/SUM($D1712:G1712)</f>
        <v>0.0290402519921601</v>
      </c>
      <c r="K1734" s="4" t="s">
        <v>586</v>
      </c>
    </row>
    <row r="1737" customFormat="false" ht="17.15" hidden="false" customHeight="false" outlineLevel="0" collapsed="false">
      <c r="A1737" s="1" t="s">
        <v>949</v>
      </c>
    </row>
    <row r="1738" customFormat="false" ht="17.15" hidden="false" customHeight="false" outlineLevel="0" collapsed="false">
      <c r="A1738" s="5" t="s">
        <v>21</v>
      </c>
      <c r="B1738" s="5" t="s">
        <v>22</v>
      </c>
      <c r="C1738" s="15" t="s">
        <v>424</v>
      </c>
      <c r="D1738" s="15" t="s">
        <v>524</v>
      </c>
      <c r="E1738" s="15" t="s">
        <v>525</v>
      </c>
      <c r="F1738" s="15" t="s">
        <v>526</v>
      </c>
      <c r="G1738" s="15" t="s">
        <v>527</v>
      </c>
      <c r="H1738" s="15" t="s">
        <v>528</v>
      </c>
      <c r="I1738" s="15" t="s">
        <v>529</v>
      </c>
      <c r="J1738" s="15" t="s">
        <v>530</v>
      </c>
      <c r="K1738" s="5" t="s">
        <v>382</v>
      </c>
    </row>
    <row r="1739" customFormat="false" ht="17.15" hidden="false" customHeight="false" outlineLevel="0" collapsed="false">
      <c r="A1739" s="6" t="s">
        <v>548</v>
      </c>
    </row>
    <row r="1740" customFormat="false" ht="17.15" hidden="false" customHeight="false" outlineLevel="0" collapsed="false">
      <c r="A1740" s="0" t="s">
        <v>549</v>
      </c>
      <c r="B1740" s="4" t="s">
        <v>32</v>
      </c>
      <c r="D1740" s="19" t="n">
        <f aca="false">units_26</f>
        <v>15.2</v>
      </c>
      <c r="E1740" s="19" t="n">
        <f aca="false">units_27*1</f>
        <v>23.7</v>
      </c>
      <c r="F1740" s="19" t="n">
        <f aca="false">units_28*um28_A*1</f>
        <v>26.5</v>
      </c>
      <c r="G1740" s="19" t="n">
        <f aca="false">units_29*um29_A*1</f>
        <v>30.15</v>
      </c>
    </row>
    <row r="1741" customFormat="false" ht="17.15" hidden="false" customHeight="false" outlineLevel="0" collapsed="false">
      <c r="A1741" s="4" t="s">
        <v>497</v>
      </c>
      <c r="B1741" s="0" t="s">
        <v>45</v>
      </c>
      <c r="D1741" s="22" t="n">
        <f aca="false">ar_26</f>
        <v>1</v>
      </c>
      <c r="E1741" s="22" t="n">
        <f aca="false">ar_27</f>
        <v>1.278156</v>
      </c>
      <c r="F1741" s="22" t="n">
        <f aca="false">ar_28</f>
        <v>1.428615</v>
      </c>
      <c r="G1741" s="22" t="n">
        <f aca="false">ar_29</f>
        <v>1.431796</v>
      </c>
    </row>
    <row r="1742" customFormat="false" ht="17.15" hidden="false" customHeight="false" outlineLevel="0" collapsed="false">
      <c r="A1742" s="4" t="s">
        <v>550</v>
      </c>
      <c r="B1742" s="0" t="s">
        <v>45</v>
      </c>
      <c r="D1742" s="19" t="n">
        <f aca="false">1</f>
        <v>1</v>
      </c>
      <c r="E1742" s="19" t="n">
        <f aca="false">rel27_A</f>
        <v>1.1</v>
      </c>
      <c r="F1742" s="19" t="n">
        <f aca="false">rel28_A</f>
        <v>1.15</v>
      </c>
      <c r="G1742" s="19" t="n">
        <f aca="false">rel29_A</f>
        <v>1.2</v>
      </c>
    </row>
    <row r="1743" customFormat="false" ht="17.15" hidden="false" customHeight="false" outlineLevel="0" collapsed="false">
      <c r="A1743" s="4" t="s">
        <v>551</v>
      </c>
      <c r="B1743" s="0" t="s">
        <v>502</v>
      </c>
      <c r="D1743" s="23" t="n">
        <f aca="false">D1744*1000/D1740</f>
        <v>236.842105263158</v>
      </c>
      <c r="E1743" s="23" t="n">
        <f aca="false">$D1743*E1741^el</f>
        <v>267.763172119488</v>
      </c>
      <c r="F1743" s="23" t="n">
        <f aca="false">$D1743*F1741^el</f>
        <v>283.084777049615</v>
      </c>
      <c r="G1743" s="23" t="n">
        <f aca="false">$D1743*G1741^el</f>
        <v>283.399764630809</v>
      </c>
      <c r="K1743" s="8" t="s">
        <v>552</v>
      </c>
    </row>
    <row r="1744" customFormat="false" ht="17.15" hidden="false" customHeight="false" outlineLevel="0" collapsed="false">
      <c r="A1744" s="0" t="s">
        <v>553</v>
      </c>
      <c r="B1744" s="0" t="s">
        <v>120</v>
      </c>
      <c r="D1744" s="22" t="n">
        <f aca="false">leap26-D1745-D1746</f>
        <v>3.6</v>
      </c>
      <c r="E1744" s="22" t="n">
        <f aca="false">E1740*E1742*E1743/1000</f>
        <v>6.98058589715504</v>
      </c>
      <c r="F1744" s="22" t="n">
        <f aca="false">F1740*F1742*F1743/1000</f>
        <v>8.627008580587</v>
      </c>
      <c r="G1744" s="22" t="n">
        <f aca="false">G1740*G1742*G1743/1000</f>
        <v>10.2534034843427</v>
      </c>
      <c r="K1744" s="8" t="s">
        <v>554</v>
      </c>
    </row>
    <row r="1745" customFormat="false" ht="17.15" hidden="false" customHeight="false" outlineLevel="0" collapsed="false">
      <c r="A1745" s="4" t="s">
        <v>555</v>
      </c>
      <c r="B1745" s="0" t="s">
        <v>120</v>
      </c>
      <c r="D1745" s="22" t="n">
        <f aca="false">fp26</f>
        <v>0.3</v>
      </c>
      <c r="E1745" s="22" t="n">
        <f aca="false">fp27_A</f>
        <v>1.2</v>
      </c>
      <c r="F1745" s="22" t="n">
        <f aca="false">E1745*F1740/E1740*(1+fp_g)</f>
        <v>1.74430379746835</v>
      </c>
      <c r="G1745" s="22" t="n">
        <f aca="false">F1745*G1740/F1740*(1+fp_g)</f>
        <v>2.57992405063291</v>
      </c>
    </row>
    <row r="1746" customFormat="false" ht="17.15" hidden="false" customHeight="false" outlineLevel="0" collapsed="false">
      <c r="A1746" s="0" t="s">
        <v>556</v>
      </c>
      <c r="B1746" s="0" t="s">
        <v>120</v>
      </c>
      <c r="D1746" s="22" t="n">
        <f aca="false">cpo27*cpo_A_26/cpo_A_27</f>
        <v>0.1</v>
      </c>
      <c r="E1746" s="22" t="n">
        <f aca="false">cpo27*cpo_A_27/cpo_A_27</f>
        <v>0.5</v>
      </c>
      <c r="F1746" s="22" t="n">
        <f aca="false">cpo27*cpo_A_28/cpo_A_27*F1740/E1740</f>
        <v>1.11814345991561</v>
      </c>
      <c r="G1746" s="22" t="n">
        <f aca="false">cpo27*cpo_A_29/cpo_A_27*G1740/E1740</f>
        <v>2.03544303797468</v>
      </c>
      <c r="K1746" s="8" t="s">
        <v>557</v>
      </c>
    </row>
    <row r="1747" customFormat="false" ht="17.15" hidden="false" customHeight="false" outlineLevel="0" collapsed="false">
      <c r="A1747" s="0" t="s">
        <v>510</v>
      </c>
      <c r="B1747" s="0" t="s">
        <v>120</v>
      </c>
      <c r="C1747" s="22" t="n">
        <f aca="false">leap25</f>
        <v>1.6</v>
      </c>
      <c r="D1747" s="22" t="n">
        <f aca="false">D1744+D1745+D1746</f>
        <v>4</v>
      </c>
      <c r="E1747" s="22" t="n">
        <f aca="false">E1744+E1745+E1746</f>
        <v>8.68058589715504</v>
      </c>
      <c r="F1747" s="22" t="n">
        <f aca="false">F1744+F1745+F1746</f>
        <v>11.489455837971</v>
      </c>
      <c r="G1747" s="22" t="n">
        <f aca="false">G1744+G1745+G1746</f>
        <v>14.8687705729503</v>
      </c>
    </row>
    <row r="1748" customFormat="false" ht="17.15" hidden="false" customHeight="false" outlineLevel="0" collapsed="false">
      <c r="A1748" s="4" t="s">
        <v>558</v>
      </c>
      <c r="B1748" s="0" t="s">
        <v>114</v>
      </c>
      <c r="C1748" s="19" t="n">
        <f aca="false">fx25</f>
        <v>31</v>
      </c>
      <c r="D1748" s="19" t="n">
        <f aca="false">a26_leap/D1747</f>
        <v>31.9</v>
      </c>
      <c r="E1748" s="19" t="n">
        <f aca="false">fx</f>
        <v>32</v>
      </c>
      <c r="F1748" s="19" t="n">
        <f aca="false">fx</f>
        <v>32</v>
      </c>
      <c r="G1748" s="19" t="n">
        <f aca="false">fx</f>
        <v>32</v>
      </c>
      <c r="K1748" s="8" t="s">
        <v>559</v>
      </c>
    </row>
    <row r="1749" customFormat="false" ht="17.15" hidden="false" customHeight="false" outlineLevel="0" collapsed="false">
      <c r="A1749" s="6" t="s">
        <v>560</v>
      </c>
    </row>
    <row r="1750" customFormat="false" ht="17.15" hidden="false" customHeight="false" outlineLevel="0" collapsed="false">
      <c r="A1750" s="0" t="s">
        <v>438</v>
      </c>
      <c r="B1750" s="0" t="s">
        <v>234</v>
      </c>
      <c r="C1750" s="30" t="n">
        <f aca="false">a25_leap</f>
        <v>49.6</v>
      </c>
      <c r="D1750" s="30" t="n">
        <f aca="false">a26_leap</f>
        <v>127.6</v>
      </c>
      <c r="E1750" s="30" t="n">
        <f aca="false">E1747*E1748</f>
        <v>277.778748708961</v>
      </c>
      <c r="F1750" s="30" t="n">
        <f aca="false">F1747*F1748</f>
        <v>367.662586815071</v>
      </c>
      <c r="G1750" s="30" t="n">
        <f aca="false">G1747*G1748</f>
        <v>475.800658334408</v>
      </c>
    </row>
    <row r="1751" customFormat="false" ht="15" hidden="false" customHeight="false" outlineLevel="0" collapsed="false">
      <c r="A1751" s="4" t="s">
        <v>561</v>
      </c>
      <c r="B1751" s="0" t="s">
        <v>234</v>
      </c>
      <c r="C1751" s="30" t="n">
        <f aca="false">a25_ms</f>
        <v>339.628</v>
      </c>
      <c r="D1751" s="30" t="n">
        <f aca="false">a26_ms</f>
        <v>432.1302</v>
      </c>
      <c r="E1751" s="30" t="n">
        <f aca="false">D1751*(1+g_ms27)</f>
        <v>496.94973</v>
      </c>
      <c r="F1751" s="30" t="n">
        <f aca="false">E1751*(1+g_msL_hi)</f>
        <v>556.5836976</v>
      </c>
      <c r="G1751" s="30" t="n">
        <f aca="false">F1751*(1+g_msL_hi)</f>
        <v>623.373741312</v>
      </c>
    </row>
    <row r="1752" customFormat="false" ht="17.15" hidden="false" customHeight="false" outlineLevel="0" collapsed="false">
      <c r="A1752" s="4" t="s">
        <v>562</v>
      </c>
      <c r="B1752" s="0" t="s">
        <v>234</v>
      </c>
      <c r="C1752" s="30" t="n">
        <f aca="false">C1750+C1751</f>
        <v>389.228</v>
      </c>
      <c r="D1752" s="30" t="n">
        <f aca="false">D1750+D1751</f>
        <v>559.7302</v>
      </c>
      <c r="E1752" s="30" t="n">
        <f aca="false">E1750+E1751</f>
        <v>774.728478708961</v>
      </c>
      <c r="F1752" s="30" t="n">
        <f aca="false">F1750+F1751</f>
        <v>924.246284415071</v>
      </c>
      <c r="G1752" s="30" t="n">
        <f aca="false">G1750+G1751</f>
        <v>1099.17439964641</v>
      </c>
    </row>
    <row r="1753" customFormat="false" ht="17.15" hidden="false" customHeight="false" outlineLevel="0" collapsed="false">
      <c r="A1753" s="0" t="s">
        <v>563</v>
      </c>
      <c r="B1753" s="0" t="s">
        <v>234</v>
      </c>
      <c r="C1753" s="30" t="n">
        <f aca="false">a25_ems</f>
        <v>259.079</v>
      </c>
      <c r="D1753" s="30" t="n">
        <f aca="false">a26_ems</f>
        <v>314.602</v>
      </c>
      <c r="E1753" s="30" t="n">
        <f aca="false">D1753*(1+g_ems27)</f>
        <v>346.0622</v>
      </c>
      <c r="F1753" s="30" t="n">
        <f aca="false">E1753*(1+g_emsL)</f>
        <v>363.36531</v>
      </c>
      <c r="G1753" s="30" t="n">
        <f aca="false">F1753*(1+g_emsL)</f>
        <v>381.5335755</v>
      </c>
    </row>
    <row r="1754" customFormat="false" ht="17.15" hidden="false" customHeight="false" outlineLevel="0" collapsed="false">
      <c r="A1754" s="4" t="s">
        <v>564</v>
      </c>
      <c r="B1754" s="0" t="s">
        <v>234</v>
      </c>
      <c r="C1754" s="30" t="n">
        <f aca="false">a25_elim</f>
        <v>-2.91899999999998</v>
      </c>
      <c r="D1754" s="30" t="n">
        <f aca="false">a26_elim</f>
        <v>-3.16484905982349</v>
      </c>
      <c r="E1754" s="30" t="n">
        <f aca="false">$D1754/($D1752+$D1753)*(E1752+E1753)</f>
        <v>-4.05696293213379</v>
      </c>
      <c r="F1754" s="30" t="n">
        <f aca="false">$D1754/($D1752+$D1753)*(F1752+F1753)</f>
        <v>-4.6608100948385</v>
      </c>
      <c r="G1754" s="30" t="n">
        <f aca="false">$D1754/($D1752+$D1753)*(G1752+G1753)</f>
        <v>-5.35976742365802</v>
      </c>
      <c r="K1754" s="4" t="s">
        <v>565</v>
      </c>
    </row>
    <row r="1755" customFormat="false" ht="17.15" hidden="false" customHeight="false" outlineLevel="0" collapsed="false">
      <c r="A1755" s="4" t="s">
        <v>431</v>
      </c>
      <c r="B1755" s="0" t="s">
        <v>234</v>
      </c>
      <c r="C1755" s="30" t="n">
        <f aca="false">C1752+C1753+C1754</f>
        <v>645.388</v>
      </c>
      <c r="D1755" s="30" t="n">
        <f aca="false">D1752+D1753+D1754</f>
        <v>871.167350940177</v>
      </c>
      <c r="E1755" s="30" t="n">
        <f aca="false">E1752+E1753+E1754</f>
        <v>1116.73371577683</v>
      </c>
      <c r="F1755" s="30" t="n">
        <f aca="false">F1752+F1753+F1754</f>
        <v>1282.95078432023</v>
      </c>
      <c r="G1755" s="30" t="n">
        <f aca="false">G1752+G1753+G1754</f>
        <v>1475.34820772275</v>
      </c>
      <c r="H1755" s="31" t="n">
        <f aca="false">G1755*(1+H1756)</f>
        <v>1652.35534478928</v>
      </c>
      <c r="I1755" s="31" t="n">
        <f aca="false">H1755*(1+I1756)</f>
        <v>1801.04792342545</v>
      </c>
      <c r="J1755" s="31" t="n">
        <f aca="false">I1755*(1+J1756)</f>
        <v>1909.11079883098</v>
      </c>
      <c r="K1755" s="8" t="s">
        <v>566</v>
      </c>
    </row>
    <row r="1756" customFormat="false" ht="15" hidden="false" customHeight="false" outlineLevel="0" collapsed="false">
      <c r="A1756" s="4" t="s">
        <v>567</v>
      </c>
      <c r="B1756" s="0" t="s">
        <v>76</v>
      </c>
      <c r="D1756" s="21" t="n">
        <f aca="false">D1755/C1755-1</f>
        <v>0.349835061916516</v>
      </c>
      <c r="E1756" s="21" t="n">
        <f aca="false">E1755/D1755-1</f>
        <v>0.281881965126026</v>
      </c>
      <c r="F1756" s="21" t="n">
        <f aca="false">F1755/E1755-1</f>
        <v>0.148842169082161</v>
      </c>
      <c r="G1756" s="21" t="n">
        <f aca="false">G1755/F1755-1</f>
        <v>0.149964773204031</v>
      </c>
      <c r="H1756" s="26" t="n">
        <f aca="false">$G1756+(fade_gA-$G1756)*1/3</f>
        <v>0.119976515469354</v>
      </c>
      <c r="I1756" s="26" t="n">
        <f aca="false">$G1756+(fade_gA-$G1756)*2/3</f>
        <v>0.0899882577346771</v>
      </c>
      <c r="J1756" s="26" t="n">
        <f aca="false">$G1756+(fade_gA-$G1756)*3/3</f>
        <v>0.06</v>
      </c>
    </row>
    <row r="1757" customFormat="false" ht="17.15" hidden="false" customHeight="false" outlineLevel="0" collapsed="false">
      <c r="A1757" s="0" t="s">
        <v>475</v>
      </c>
      <c r="B1757" s="0" t="s">
        <v>76</v>
      </c>
      <c r="C1757" s="21" t="n">
        <f aca="false">C1750/C1752</f>
        <v>0.127431736668482</v>
      </c>
      <c r="D1757" s="21" t="n">
        <f aca="false">D1750/D1752</f>
        <v>0.227966974088588</v>
      </c>
      <c r="E1757" s="21" t="n">
        <f aca="false">E1750/E1752</f>
        <v>0.35854980982739</v>
      </c>
      <c r="F1757" s="21" t="n">
        <f aca="false">F1750/F1752</f>
        <v>0.397797202990926</v>
      </c>
      <c r="G1757" s="21" t="n">
        <f aca="false">G1750/G1752</f>
        <v>0.432870942488715</v>
      </c>
    </row>
    <row r="1758" customFormat="false" ht="15" hidden="false" customHeight="false" outlineLevel="0" collapsed="false">
      <c r="A1758" s="4" t="s">
        <v>568</v>
      </c>
      <c r="B1758" s="0" t="s">
        <v>76</v>
      </c>
      <c r="D1758" s="21" t="n">
        <f aca="false">D1752/C1752-1</f>
        <v>0.438052247012034</v>
      </c>
      <c r="E1758" s="21" t="n">
        <f aca="false">E1752/D1752-1</f>
        <v>0.384110556673485</v>
      </c>
      <c r="F1758" s="21" t="n">
        <f aca="false">F1752/E1752-1</f>
        <v>0.192993816304871</v>
      </c>
      <c r="G1758" s="21" t="n">
        <f aca="false">G1752/F1752-1</f>
        <v>0.189265694848905</v>
      </c>
    </row>
    <row r="1759" customFormat="false" ht="17.15" hidden="false" customHeight="false" outlineLevel="0" collapsed="false">
      <c r="A1759" s="6" t="s">
        <v>569</v>
      </c>
    </row>
    <row r="1760" customFormat="false" ht="17.15" hidden="false" customHeight="false" outlineLevel="0" collapsed="false">
      <c r="A1760" s="4" t="s">
        <v>570</v>
      </c>
      <c r="B1760" s="0" t="s">
        <v>120</v>
      </c>
      <c r="C1760" s="19" t="n">
        <f aca="false">capex25</f>
        <v>5.5</v>
      </c>
      <c r="D1760" s="19" t="n">
        <f aca="false">capex26</f>
        <v>11.5</v>
      </c>
      <c r="E1760" s="19" t="n">
        <f aca="false">capex27</f>
        <v>13</v>
      </c>
      <c r="F1760" s="19" t="n">
        <f aca="false">capi*F1755/F1748</f>
        <v>12.0276636030022</v>
      </c>
      <c r="G1760" s="19" t="n">
        <f aca="false">capi*G1755/G1748</f>
        <v>13.8313894474008</v>
      </c>
      <c r="K1760" s="8" t="s">
        <v>571</v>
      </c>
    </row>
    <row r="1761" customFormat="false" ht="15" hidden="false" customHeight="false" outlineLevel="0" collapsed="false">
      <c r="A1761" s="4" t="s">
        <v>572</v>
      </c>
      <c r="B1761" s="0" t="s">
        <v>234</v>
      </c>
      <c r="C1761" s="30" t="n">
        <f aca="false">C1760*C1748</f>
        <v>170.5</v>
      </c>
      <c r="D1761" s="30" t="n">
        <f aca="false">D1760*31.9</f>
        <v>366.85</v>
      </c>
      <c r="E1761" s="30" t="n">
        <f aca="false">E1760*E1748</f>
        <v>416</v>
      </c>
      <c r="F1761" s="30" t="n">
        <f aca="false">F1760*F1748</f>
        <v>384.88523529607</v>
      </c>
      <c r="G1761" s="30" t="n">
        <f aca="false">G1760*G1748</f>
        <v>442.604462316825</v>
      </c>
    </row>
    <row r="1762" customFormat="false" ht="17.15" hidden="false" customHeight="false" outlineLevel="0" collapsed="false">
      <c r="A1762" s="4" t="s">
        <v>473</v>
      </c>
      <c r="B1762" s="0" t="s">
        <v>76</v>
      </c>
      <c r="C1762" s="21" t="n">
        <f aca="false">C1761/C1755</f>
        <v>0.264182166386732</v>
      </c>
      <c r="D1762" s="21" t="n">
        <f aca="false">D1761/D1755</f>
        <v>0.421101639775745</v>
      </c>
      <c r="E1762" s="21" t="n">
        <f aca="false">E1761/E1755</f>
        <v>0.372514946153139</v>
      </c>
      <c r="F1762" s="21" t="n">
        <f aca="false">F1761/F1755</f>
        <v>0.3</v>
      </c>
      <c r="G1762" s="21" t="n">
        <f aca="false">G1761/G1755</f>
        <v>0.3</v>
      </c>
    </row>
    <row r="1763" customFormat="false" ht="17.15" hidden="false" customHeight="false" outlineLevel="0" collapsed="false">
      <c r="A1763" s="4" t="s">
        <v>573</v>
      </c>
      <c r="B1763" s="0" t="s">
        <v>234</v>
      </c>
      <c r="C1763" s="30" t="n">
        <f aca="false">a25_da</f>
        <v>75.255</v>
      </c>
      <c r="D1763" s="30" t="n">
        <f aca="false">a26_da</f>
        <v>97.124</v>
      </c>
      <c r="E1763" s="30" t="n">
        <f aca="false">D1763*(1-1/life)+D1761/life</f>
        <v>130.83975</v>
      </c>
      <c r="F1763" s="30" t="n">
        <f aca="false">E1763*(1-1/life)+E1761/life</f>
        <v>166.48478125</v>
      </c>
      <c r="G1763" s="30" t="n">
        <f aca="false">F1763*(1-1/life)+F1761/life</f>
        <v>193.784838005759</v>
      </c>
      <c r="K1763" s="4" t="s">
        <v>574</v>
      </c>
    </row>
    <row r="1764" customFormat="false" ht="17.15" hidden="false" customHeight="false" outlineLevel="0" collapsed="false">
      <c r="A1764" s="4" t="s">
        <v>575</v>
      </c>
      <c r="B1764" s="0" t="s">
        <v>234</v>
      </c>
      <c r="C1764" s="30" t="n">
        <f aca="false">a25_agp</f>
        <v>91.38</v>
      </c>
      <c r="D1764" s="30" t="n">
        <f aca="false">a26_agp</f>
        <v>164.623388</v>
      </c>
      <c r="E1764" s="30" t="n">
        <f aca="false">$D1764+ft*(E1752-$D1752)-(E1763-$D1763)</f>
        <v>238.406777354481</v>
      </c>
      <c r="F1764" s="30" t="n">
        <f aca="false">$D1764+ft*(F1752-$D1752)-(F1763-$D1763)</f>
        <v>277.520648957536</v>
      </c>
      <c r="G1764" s="30" t="n">
        <f aca="false">$D1764+ft*(G1752-$D1752)-(G1763-$D1763)</f>
        <v>337.684649817445</v>
      </c>
      <c r="K1764" s="4" t="s">
        <v>576</v>
      </c>
    </row>
    <row r="1765" customFormat="false" ht="15" hidden="false" customHeight="false" outlineLevel="0" collapsed="false">
      <c r="A1765" s="4" t="s">
        <v>447</v>
      </c>
      <c r="B1765" s="0" t="s">
        <v>76</v>
      </c>
      <c r="C1765" s="14" t="n">
        <f aca="false">C1764/C1752</f>
        <v>0.234772421305764</v>
      </c>
      <c r="D1765" s="14" t="n">
        <f aca="false">D1764/D1752</f>
        <v>0.294112034690999</v>
      </c>
      <c r="E1765" s="14" t="n">
        <f aca="false">E1764/E1752</f>
        <v>0.307729461232368</v>
      </c>
      <c r="F1765" s="14" t="n">
        <f aca="false">F1764/F1752</f>
        <v>0.300266989045209</v>
      </c>
      <c r="G1765" s="14" t="n">
        <f aca="false">G1764/G1752</f>
        <v>0.307216625429117</v>
      </c>
    </row>
    <row r="1766" customFormat="false" ht="17.15" hidden="false" customHeight="false" outlineLevel="0" collapsed="false">
      <c r="A1766" s="0" t="s">
        <v>449</v>
      </c>
      <c r="B1766" s="0" t="s">
        <v>234</v>
      </c>
      <c r="C1766" s="30" t="n">
        <f aca="false">a25_egp</f>
        <v>23.695</v>
      </c>
      <c r="D1766" s="30" t="n">
        <f aca="false">a26_egp</f>
        <v>27.00552</v>
      </c>
      <c r="E1766" s="30" t="n">
        <f aca="false">E1753*ems_gm</f>
        <v>29.415287</v>
      </c>
      <c r="F1766" s="30" t="n">
        <f aca="false">F1753*ems_gm</f>
        <v>30.88605135</v>
      </c>
      <c r="G1766" s="30" t="n">
        <f aca="false">G1753*ems_gm</f>
        <v>32.4303539175</v>
      </c>
    </row>
    <row r="1767" customFormat="false" ht="15" hidden="false" customHeight="false" outlineLevel="0" collapsed="false">
      <c r="A1767" s="4" t="s">
        <v>577</v>
      </c>
      <c r="B1767" s="0" t="s">
        <v>234</v>
      </c>
      <c r="C1767" s="30" t="n">
        <f aca="false">a25_lgp</f>
        <v>-0.881999999999998</v>
      </c>
      <c r="D1767" s="30" t="n">
        <f aca="false">a26_lgp</f>
        <v>-0.948662139013863</v>
      </c>
      <c r="E1767" s="30" t="n">
        <f aca="false">$D1767/$D1754*E1754</f>
        <v>-1.21607288699975</v>
      </c>
      <c r="F1767" s="30" t="n">
        <f aca="false">$D1767/$D1754*F1754</f>
        <v>-1.3970758132628</v>
      </c>
      <c r="G1767" s="30" t="n">
        <f aca="false">$D1767/$D1754*G1754</f>
        <v>-1.60658797074759</v>
      </c>
    </row>
    <row r="1768" customFormat="false" ht="15" hidden="false" customHeight="false" outlineLevel="0" collapsed="false">
      <c r="A1768" s="4" t="s">
        <v>451</v>
      </c>
      <c r="B1768" s="0" t="s">
        <v>234</v>
      </c>
      <c r="C1768" s="30" t="n">
        <f aca="false">C1764+C1766+C1767</f>
        <v>114.193</v>
      </c>
      <c r="D1768" s="30" t="n">
        <f aca="false">D1764+D1766+D1767</f>
        <v>190.680245860986</v>
      </c>
      <c r="E1768" s="30" t="n">
        <f aca="false">E1764+E1766+E1767</f>
        <v>266.605991467481</v>
      </c>
      <c r="F1768" s="30" t="n">
        <f aca="false">F1764+F1766+F1767</f>
        <v>307.009624494273</v>
      </c>
      <c r="G1768" s="30" t="n">
        <f aca="false">G1764+G1766+G1767</f>
        <v>368.508415764198</v>
      </c>
    </row>
    <row r="1769" customFormat="false" ht="15" hidden="false" customHeight="false" outlineLevel="0" collapsed="false">
      <c r="A1769" s="4" t="s">
        <v>452</v>
      </c>
      <c r="B1769" s="0" t="s">
        <v>76</v>
      </c>
      <c r="C1769" s="14" t="n">
        <f aca="false">C1768/C1755</f>
        <v>0.176936974347214</v>
      </c>
      <c r="D1769" s="14" t="n">
        <f aca="false">D1768/D1755</f>
        <v>0.218879008327391</v>
      </c>
      <c r="E1769" s="14" t="n">
        <f aca="false">E1768/E1755</f>
        <v>0.238737299412531</v>
      </c>
      <c r="F1769" s="14" t="n">
        <f aca="false">F1768/F1755</f>
        <v>0.239299611681473</v>
      </c>
      <c r="G1769" s="14" t="n">
        <f aca="false">G1768/G1755</f>
        <v>0.249777248404974</v>
      </c>
    </row>
    <row r="1770" customFormat="false" ht="15" hidden="false" customHeight="false" outlineLevel="0" collapsed="false">
      <c r="A1770" s="4" t="s">
        <v>578</v>
      </c>
      <c r="B1770" s="0" t="s">
        <v>234</v>
      </c>
      <c r="C1770" s="30" t="n">
        <f aca="false">a25_opx</f>
        <v>63.437</v>
      </c>
      <c r="D1770" s="30" t="n">
        <f aca="false">a26_opx</f>
        <v>79.658</v>
      </c>
      <c r="E1770" s="30" t="n">
        <f aca="false">D1770*(1+phi*E1756)</f>
        <v>93.1304921468054</v>
      </c>
      <c r="F1770" s="30" t="n">
        <f aca="false">E1770*(1+phi*F1756)</f>
        <v>101.447538822097</v>
      </c>
      <c r="G1770" s="30" t="n">
        <f aca="false">F1770*(1+phi*G1756)</f>
        <v>110.575673113035</v>
      </c>
    </row>
    <row r="1771" customFormat="false" ht="15" hidden="false" customHeight="false" outlineLevel="0" collapsed="false">
      <c r="A1771" s="4" t="s">
        <v>455</v>
      </c>
      <c r="B1771" s="0" t="s">
        <v>234</v>
      </c>
      <c r="C1771" s="30" t="n">
        <f aca="false">C1768-C1770</f>
        <v>50.756</v>
      </c>
      <c r="D1771" s="30" t="n">
        <f aca="false">D1768-D1770</f>
        <v>111.022245860986</v>
      </c>
      <c r="E1771" s="30" t="n">
        <f aca="false">E1768-E1770</f>
        <v>173.475499320676</v>
      </c>
      <c r="F1771" s="30" t="n">
        <f aca="false">F1768-F1770</f>
        <v>205.562085672176</v>
      </c>
      <c r="G1771" s="30" t="n">
        <f aca="false">G1768-G1770</f>
        <v>257.932742651163</v>
      </c>
    </row>
    <row r="1772" customFormat="false" ht="15" hidden="false" customHeight="false" outlineLevel="0" collapsed="false">
      <c r="A1772" s="4" t="s">
        <v>537</v>
      </c>
      <c r="B1772" s="0" t="s">
        <v>76</v>
      </c>
      <c r="C1772" s="14" t="n">
        <f aca="false">C1771/C1755</f>
        <v>0.0786441644406156</v>
      </c>
      <c r="D1772" s="14" t="n">
        <f aca="false">D1771/D1755</f>
        <v>0.127440779020437</v>
      </c>
      <c r="E1772" s="14" t="n">
        <f aca="false">E1771/E1755</f>
        <v>0.155341866077717</v>
      </c>
      <c r="F1772" s="14" t="n">
        <f aca="false">F1771/F1755</f>
        <v>0.160226010369597</v>
      </c>
      <c r="G1772" s="14" t="n">
        <f aca="false">G1771/G1755</f>
        <v>0.174828383767986</v>
      </c>
    </row>
    <row r="1773" customFormat="false" ht="15" hidden="false" customHeight="false" outlineLevel="0" collapsed="false">
      <c r="A1773" s="4" t="s">
        <v>456</v>
      </c>
      <c r="B1773" s="0" t="s">
        <v>234</v>
      </c>
      <c r="C1773" s="30" t="n">
        <f aca="false">a25_nonop</f>
        <v>0.545</v>
      </c>
      <c r="D1773" s="30" t="n">
        <f aca="false">a26_nonop</f>
        <v>4.302</v>
      </c>
      <c r="E1773" s="30" t="n">
        <f aca="false">nonop_f</f>
        <v>-5</v>
      </c>
      <c r="F1773" s="30" t="n">
        <f aca="false">nonop_f</f>
        <v>-5</v>
      </c>
      <c r="G1773" s="30" t="n">
        <f aca="false">nonop_f</f>
        <v>-5</v>
      </c>
    </row>
    <row r="1774" customFormat="false" ht="15" hidden="false" customHeight="false" outlineLevel="0" collapsed="false">
      <c r="A1774" s="4" t="s">
        <v>459</v>
      </c>
      <c r="B1774" s="0" t="s">
        <v>234</v>
      </c>
      <c r="C1774" s="30" t="n">
        <f aca="false">C1771+C1773</f>
        <v>51.301</v>
      </c>
      <c r="D1774" s="30" t="n">
        <f aca="false">D1771+D1773</f>
        <v>115.324245860986</v>
      </c>
      <c r="E1774" s="30" t="n">
        <f aca="false">E1771+E1773</f>
        <v>168.475499320676</v>
      </c>
      <c r="F1774" s="30" t="n">
        <f aca="false">F1771+F1773</f>
        <v>200.562085672176</v>
      </c>
      <c r="G1774" s="30" t="n">
        <f aca="false">G1771+G1773</f>
        <v>252.932742651163</v>
      </c>
    </row>
    <row r="1775" customFormat="false" ht="15" hidden="false" customHeight="false" outlineLevel="0" collapsed="false">
      <c r="A1775" s="4" t="s">
        <v>460</v>
      </c>
      <c r="B1775" s="0" t="s">
        <v>234</v>
      </c>
      <c r="C1775" s="30" t="n">
        <f aca="false">a25_tax</f>
        <v>9.461</v>
      </c>
      <c r="D1775" s="30" t="n">
        <f aca="false">a26_tax</f>
        <v>19.2197317963676</v>
      </c>
      <c r="E1775" s="30" t="n">
        <f aca="false">E1774*tax</f>
        <v>28.6408348845149</v>
      </c>
      <c r="F1775" s="30" t="n">
        <f aca="false">F1774*tax</f>
        <v>34.0955545642698</v>
      </c>
      <c r="G1775" s="30" t="n">
        <f aca="false">G1774*tax</f>
        <v>42.9985662506977</v>
      </c>
    </row>
    <row r="1776" customFormat="false" ht="15" hidden="false" customHeight="false" outlineLevel="0" collapsed="false">
      <c r="A1776" s="4" t="s">
        <v>461</v>
      </c>
      <c r="B1776" s="0" t="s">
        <v>234</v>
      </c>
      <c r="C1776" s="30" t="n">
        <f aca="false">a25_nci</f>
        <v>1.182</v>
      </c>
      <c r="D1776" s="30" t="n">
        <f aca="false">a26_nci</f>
        <v>2.543</v>
      </c>
      <c r="E1776" s="30" t="n">
        <f aca="false">nci</f>
        <v>3</v>
      </c>
      <c r="F1776" s="30" t="n">
        <f aca="false">nci</f>
        <v>3</v>
      </c>
      <c r="G1776" s="30" t="n">
        <f aca="false">nci</f>
        <v>3</v>
      </c>
    </row>
    <row r="1777" customFormat="false" ht="15" hidden="false" customHeight="false" outlineLevel="0" collapsed="false">
      <c r="A1777" s="4" t="s">
        <v>462</v>
      </c>
      <c r="B1777" s="0" t="s">
        <v>234</v>
      </c>
      <c r="C1777" s="30" t="n">
        <f aca="false">C1774-C1775-C1776</f>
        <v>40.658</v>
      </c>
      <c r="D1777" s="30" t="n">
        <f aca="false">D1774-D1775-D1776</f>
        <v>93.5615140646185</v>
      </c>
      <c r="E1777" s="30" t="n">
        <f aca="false">E1774-E1775-E1776</f>
        <v>136.834664436161</v>
      </c>
      <c r="F1777" s="30" t="n">
        <f aca="false">F1774-F1775-F1776</f>
        <v>163.466531107906</v>
      </c>
      <c r="G1777" s="30" t="n">
        <f aca="false">G1774-G1775-G1776</f>
        <v>206.934176400465</v>
      </c>
      <c r="H1777" s="31" t="n">
        <f aca="false">H1755*H1781</f>
        <v>227.104303754208</v>
      </c>
      <c r="I1777" s="31" t="n">
        <f aca="false">I1755*I1781</f>
        <v>242.464824730252</v>
      </c>
      <c r="J1777" s="31" t="n">
        <f aca="false">J1755*J1781</f>
        <v>251.631942592652</v>
      </c>
    </row>
    <row r="1778" customFormat="false" ht="15" hidden="false" customHeight="false" outlineLevel="0" collapsed="false">
      <c r="A1778" s="4" t="s">
        <v>579</v>
      </c>
      <c r="B1778" s="4" t="s">
        <v>580</v>
      </c>
      <c r="C1778" s="18" t="n">
        <f aca="false">a25_sh</f>
        <v>4339.16755602988</v>
      </c>
      <c r="D1778" s="18" t="n">
        <f aca="false">a26_sh</f>
        <v>4392.90105184664</v>
      </c>
      <c r="E1778" s="18" t="n">
        <f aca="false">D1778*(1+sh_g)</f>
        <v>4414.86555710588</v>
      </c>
      <c r="F1778" s="18" t="n">
        <f aca="false">E1778*(1+sh_g)</f>
        <v>4436.9398848914</v>
      </c>
      <c r="G1778" s="18" t="n">
        <f aca="false">F1778*(1+sh_g)</f>
        <v>4459.12458431586</v>
      </c>
      <c r="H1778" s="25" t="n">
        <f aca="false">G1778*(1+sh_g)</f>
        <v>4481.42020723744</v>
      </c>
      <c r="I1778" s="25" t="n">
        <f aca="false">H1778*(1+sh_g)</f>
        <v>4503.82730827363</v>
      </c>
      <c r="J1778" s="25" t="n">
        <f aca="false">I1778*(1+sh_g)</f>
        <v>4526.34644481499</v>
      </c>
    </row>
    <row r="1779" customFormat="false" ht="17.15" hidden="false" customHeight="false" outlineLevel="0" collapsed="false">
      <c r="A1779" s="0" t="s">
        <v>465</v>
      </c>
      <c r="B1779" s="0" t="s">
        <v>304</v>
      </c>
      <c r="C1779" s="19" t="n">
        <f aca="false">a25_eps</f>
        <v>9.37</v>
      </c>
      <c r="D1779" s="19" t="n">
        <f aca="false">a26_eps</f>
        <v>21.2828697294455</v>
      </c>
      <c r="E1779" s="19" t="n">
        <f aca="false">E1777/E1778*1000</f>
        <v>30.9940727902621</v>
      </c>
      <c r="F1779" s="19" t="n">
        <f aca="false">F1777/F1778*1000</f>
        <v>36.84217847182</v>
      </c>
      <c r="G1779" s="19" t="n">
        <f aca="false">G1777/G1778*1000</f>
        <v>46.4069062183904</v>
      </c>
      <c r="H1779" s="28" t="n">
        <f aca="false">H1777/H1778*1000</f>
        <v>50.6768598462241</v>
      </c>
      <c r="I1779" s="28" t="n">
        <f aca="false">I1777/I1778*1000</f>
        <v>53.8352845556132</v>
      </c>
      <c r="J1779" s="28" t="n">
        <f aca="false">J1777/J1778*1000</f>
        <v>55.5927270836506</v>
      </c>
    </row>
    <row r="1780" customFormat="false" ht="17.15" hidden="false" customHeight="false" outlineLevel="0" collapsed="false">
      <c r="A1780" s="0" t="s">
        <v>581</v>
      </c>
      <c r="B1780" s="0" t="s">
        <v>76</v>
      </c>
      <c r="D1780" s="21" t="n">
        <f aca="false">D1779/C1779-1</f>
        <v>1.27138417603474</v>
      </c>
      <c r="E1780" s="21" t="n">
        <f aca="false">E1779/D1779-1</f>
        <v>0.456291993714591</v>
      </c>
      <c r="F1780" s="21" t="n">
        <f aca="false">F1779/E1779-1</f>
        <v>0.1886846469366</v>
      </c>
      <c r="G1780" s="21" t="n">
        <f aca="false">G1779/F1779-1</f>
        <v>0.25961352295946</v>
      </c>
      <c r="H1780" s="26" t="n">
        <f aca="false">H1779/G1779-1</f>
        <v>0.0920111676425768</v>
      </c>
      <c r="I1780" s="26" t="n">
        <f aca="false">I1779/H1779-1</f>
        <v>0.0623247912158165</v>
      </c>
      <c r="J1780" s="26" t="n">
        <f aca="false">J1779/I1779-1</f>
        <v>0.0326448080017479</v>
      </c>
    </row>
    <row r="1781" customFormat="false" ht="17.15" hidden="false" customHeight="false" outlineLevel="0" collapsed="false">
      <c r="A1781" s="4" t="s">
        <v>582</v>
      </c>
      <c r="B1781" s="0" t="s">
        <v>76</v>
      </c>
      <c r="C1781" s="14" t="n">
        <f aca="false">C1777/C1755</f>
        <v>0.0629977625862272</v>
      </c>
      <c r="D1781" s="14" t="n">
        <f aca="false">D1777/D1755</f>
        <v>0.107397865592237</v>
      </c>
      <c r="E1781" s="14" t="n">
        <f aca="false">E1777/E1755</f>
        <v>0.122531148207498</v>
      </c>
      <c r="F1781" s="14" t="n">
        <f aca="false">F1777/F1755</f>
        <v>0.127414498752201</v>
      </c>
      <c r="G1781" s="14" t="n">
        <f aca="false">G1777/G1755</f>
        <v>0.140261244984243</v>
      </c>
      <c r="H1781" s="27" t="n">
        <f aca="false">$G1781+(fade_mA-$G1781)*1/3</f>
        <v>0.13744277492755</v>
      </c>
      <c r="I1781" s="27" t="n">
        <f aca="false">$G1781+(fade_mA-$G1781)*2/3</f>
        <v>0.134624304870857</v>
      </c>
      <c r="J1781" s="27" t="n">
        <f aca="false">$G1781+(fade_mA-$G1781)*3/3</f>
        <v>0.131805834814164</v>
      </c>
    </row>
    <row r="1782" customFormat="false" ht="17.15" hidden="false" customHeight="false" outlineLevel="0" collapsed="false">
      <c r="A1782" s="4" t="s">
        <v>583</v>
      </c>
      <c r="B1782" s="0" t="s">
        <v>234</v>
      </c>
      <c r="C1782" s="30" t="n">
        <f aca="false">C1777+C1763-C1761</f>
        <v>-54.587</v>
      </c>
      <c r="D1782" s="30" t="n">
        <f aca="false">D1777+D1763-D1761</f>
        <v>-176.164485935382</v>
      </c>
      <c r="E1782" s="30" t="n">
        <f aca="false">E1777+E1763-E1761</f>
        <v>-148.325585563839</v>
      </c>
      <c r="F1782" s="30" t="n">
        <f aca="false">F1777+F1763-F1761</f>
        <v>-54.9339229381641</v>
      </c>
      <c r="G1782" s="30" t="n">
        <f aca="false">G1777+G1763-G1761</f>
        <v>-41.8854479106012</v>
      </c>
      <c r="K1782" s="4" t="s">
        <v>584</v>
      </c>
    </row>
    <row r="1783" customFormat="false" ht="17.15" hidden="false" customHeight="false" outlineLevel="0" collapsed="false">
      <c r="A1783" s="4" t="s">
        <v>585</v>
      </c>
      <c r="B1783" s="0" t="s">
        <v>76</v>
      </c>
      <c r="D1783" s="21" t="n">
        <f aca="false">(D1771-$C1771)/SUM($D1761:D1761)</f>
        <v>0.164280348537512</v>
      </c>
      <c r="E1783" s="21" t="n">
        <f aca="false">(E1771-$C1771)/SUM($D1761:E1761)</f>
        <v>0.156759914824903</v>
      </c>
      <c r="F1783" s="21" t="n">
        <f aca="false">(F1771-$C1771)/SUM($D1761:F1761)</f>
        <v>0.132569508046853</v>
      </c>
      <c r="G1783" s="21" t="n">
        <f aca="false">(G1771-$C1771)/SUM($D1761:G1761)</f>
        <v>0.128654061598477</v>
      </c>
      <c r="K1783" s="4" t="s">
        <v>586</v>
      </c>
    </row>
    <row r="1786" customFormat="false" ht="17.15" hidden="false" customHeight="false" outlineLevel="0" collapsed="false">
      <c r="A1786" s="1" t="s">
        <v>950</v>
      </c>
    </row>
    <row r="1787" customFormat="false" ht="17.15" hidden="false" customHeight="false" outlineLevel="0" collapsed="false">
      <c r="A1787" s="5" t="s">
        <v>21</v>
      </c>
      <c r="B1787" s="5" t="s">
        <v>22</v>
      </c>
      <c r="C1787" s="15" t="s">
        <v>424</v>
      </c>
      <c r="D1787" s="15" t="s">
        <v>524</v>
      </c>
      <c r="E1787" s="15" t="s">
        <v>525</v>
      </c>
      <c r="F1787" s="15" t="s">
        <v>526</v>
      </c>
      <c r="G1787" s="15" t="s">
        <v>527</v>
      </c>
      <c r="H1787" s="15" t="s">
        <v>528</v>
      </c>
      <c r="I1787" s="15" t="s">
        <v>529</v>
      </c>
      <c r="J1787" s="15" t="s">
        <v>530</v>
      </c>
      <c r="K1787" s="5" t="s">
        <v>382</v>
      </c>
    </row>
    <row r="1788" customFormat="false" ht="17.15" hidden="false" customHeight="false" outlineLevel="0" collapsed="false">
      <c r="A1788" s="6" t="s">
        <v>548</v>
      </c>
    </row>
    <row r="1789" customFormat="false" ht="17.15" hidden="false" customHeight="false" outlineLevel="0" collapsed="false">
      <c r="A1789" s="0" t="s">
        <v>549</v>
      </c>
      <c r="B1789" s="4" t="s">
        <v>32</v>
      </c>
      <c r="D1789" s="19" t="n">
        <f aca="false">units_26</f>
        <v>15.2</v>
      </c>
      <c r="E1789" s="19" t="n">
        <f aca="false">units_27*1</f>
        <v>23.7</v>
      </c>
      <c r="F1789" s="19" t="n">
        <f aca="false">units_28*um28_B*1</f>
        <v>21.2</v>
      </c>
      <c r="G1789" s="19" t="n">
        <f aca="false">units_29*um29_B*1</f>
        <v>25.6275</v>
      </c>
    </row>
    <row r="1790" customFormat="false" ht="17.15" hidden="false" customHeight="false" outlineLevel="0" collapsed="false">
      <c r="A1790" s="4" t="s">
        <v>497</v>
      </c>
      <c r="B1790" s="0" t="s">
        <v>45</v>
      </c>
      <c r="D1790" s="22" t="n">
        <f aca="false">ar_26</f>
        <v>1</v>
      </c>
      <c r="E1790" s="22" t="n">
        <f aca="false">ar_27</f>
        <v>1.278156</v>
      </c>
      <c r="F1790" s="22" t="n">
        <f aca="false">ar_28</f>
        <v>1.428615</v>
      </c>
      <c r="G1790" s="22" t="n">
        <f aca="false">ar_29</f>
        <v>1.431796</v>
      </c>
    </row>
    <row r="1791" customFormat="false" ht="17.15" hidden="false" customHeight="false" outlineLevel="0" collapsed="false">
      <c r="A1791" s="4" t="s">
        <v>550</v>
      </c>
      <c r="B1791" s="0" t="s">
        <v>45</v>
      </c>
      <c r="D1791" s="19" t="n">
        <f aca="false">1</f>
        <v>1</v>
      </c>
      <c r="E1791" s="19" t="n">
        <f aca="false">rel27_B</f>
        <v>1.05</v>
      </c>
      <c r="F1791" s="19" t="n">
        <f aca="false">rel28_B</f>
        <v>1.08</v>
      </c>
      <c r="G1791" s="19" t="n">
        <f aca="false">rel29_B</f>
        <v>1.1</v>
      </c>
    </row>
    <row r="1792" customFormat="false" ht="17.15" hidden="false" customHeight="false" outlineLevel="0" collapsed="false">
      <c r="A1792" s="4" t="s">
        <v>551</v>
      </c>
      <c r="B1792" s="0" t="s">
        <v>502</v>
      </c>
      <c r="D1792" s="23" t="n">
        <f aca="false">D1793*1000/D1789</f>
        <v>236.842105263158</v>
      </c>
      <c r="E1792" s="23" t="n">
        <f aca="false">$D1792*E1790^el</f>
        <v>267.763172119488</v>
      </c>
      <c r="F1792" s="23" t="n">
        <f aca="false">$D1792*F1790^el</f>
        <v>283.084777049615</v>
      </c>
      <c r="G1792" s="23" t="n">
        <f aca="false">$D1792*G1790^el</f>
        <v>283.399764630809</v>
      </c>
      <c r="K1792" s="8" t="s">
        <v>552</v>
      </c>
    </row>
    <row r="1793" customFormat="false" ht="17.15" hidden="false" customHeight="false" outlineLevel="0" collapsed="false">
      <c r="A1793" s="0" t="s">
        <v>553</v>
      </c>
      <c r="B1793" s="0" t="s">
        <v>120</v>
      </c>
      <c r="D1793" s="22" t="n">
        <f aca="false">leap26-D1794-D1795</f>
        <v>3.6</v>
      </c>
      <c r="E1793" s="22" t="n">
        <f aca="false">E1789*E1791*E1792/1000</f>
        <v>6.66328653819345</v>
      </c>
      <c r="F1793" s="22" t="n">
        <f aca="false">F1789*F1791*F1792/1000</f>
        <v>6.48150905532798</v>
      </c>
      <c r="G1793" s="22" t="n">
        <f aca="false">G1789*G1791*G1792/1000</f>
        <v>7.98911021488366</v>
      </c>
      <c r="K1793" s="8" t="s">
        <v>554</v>
      </c>
    </row>
    <row r="1794" customFormat="false" ht="17.15" hidden="false" customHeight="false" outlineLevel="0" collapsed="false">
      <c r="A1794" s="4" t="s">
        <v>555</v>
      </c>
      <c r="B1794" s="0" t="s">
        <v>120</v>
      </c>
      <c r="D1794" s="22" t="n">
        <f aca="false">fp26</f>
        <v>0.3</v>
      </c>
      <c r="E1794" s="22" t="n">
        <f aca="false">fp27_B</f>
        <v>1</v>
      </c>
      <c r="F1794" s="22" t="n">
        <f aca="false">E1794*F1789/E1789*(1+fp_g)</f>
        <v>1.16286919831224</v>
      </c>
      <c r="G1794" s="22" t="n">
        <f aca="false">F1794*G1789/F1789*(1+fp_g)</f>
        <v>1.82744620253165</v>
      </c>
    </row>
    <row r="1795" customFormat="false" ht="17.15" hidden="false" customHeight="false" outlineLevel="0" collapsed="false">
      <c r="A1795" s="0" t="s">
        <v>556</v>
      </c>
      <c r="B1795" s="0" t="s">
        <v>120</v>
      </c>
      <c r="D1795" s="22" t="n">
        <f aca="false">cpo27*cpo_B_26/cpo_A_27</f>
        <v>0.1</v>
      </c>
      <c r="E1795" s="22" t="n">
        <f aca="false">cpo27*cpo_B_27/cpo_A_27</f>
        <v>0.3</v>
      </c>
      <c r="F1795" s="22" t="n">
        <f aca="false">cpo27*cpo_B_28/cpo_A_27*F1789/E1789</f>
        <v>0.447257383966245</v>
      </c>
      <c r="G1795" s="22" t="n">
        <f aca="false">cpo27*cpo_B_29/cpo_A_27*G1789/E1789</f>
        <v>0.86506329113924</v>
      </c>
      <c r="K1795" s="8" t="s">
        <v>557</v>
      </c>
    </row>
    <row r="1796" customFormat="false" ht="17.15" hidden="false" customHeight="false" outlineLevel="0" collapsed="false">
      <c r="A1796" s="0" t="s">
        <v>510</v>
      </c>
      <c r="B1796" s="0" t="s">
        <v>120</v>
      </c>
      <c r="C1796" s="22" t="n">
        <f aca="false">leap25</f>
        <v>1.6</v>
      </c>
      <c r="D1796" s="22" t="n">
        <f aca="false">D1793+D1794+D1795</f>
        <v>4</v>
      </c>
      <c r="E1796" s="22" t="n">
        <f aca="false">E1793+E1794+E1795</f>
        <v>7.96328653819345</v>
      </c>
      <c r="F1796" s="22" t="n">
        <f aca="false">F1793+F1794+F1795</f>
        <v>8.09163563760646</v>
      </c>
      <c r="G1796" s="22" t="n">
        <f aca="false">G1793+G1794+G1795</f>
        <v>10.6816197085545</v>
      </c>
    </row>
    <row r="1797" customFormat="false" ht="17.15" hidden="false" customHeight="false" outlineLevel="0" collapsed="false">
      <c r="A1797" s="4" t="s">
        <v>558</v>
      </c>
      <c r="B1797" s="0" t="s">
        <v>114</v>
      </c>
      <c r="C1797" s="19" t="n">
        <f aca="false">fx25</f>
        <v>31</v>
      </c>
      <c r="D1797" s="19" t="n">
        <f aca="false">a26_leap/D1796</f>
        <v>31.9</v>
      </c>
      <c r="E1797" s="19" t="n">
        <f aca="false">fx</f>
        <v>32</v>
      </c>
      <c r="F1797" s="19" t="n">
        <f aca="false">fx</f>
        <v>32</v>
      </c>
      <c r="G1797" s="19" t="n">
        <f aca="false">fx</f>
        <v>32</v>
      </c>
      <c r="K1797" s="8" t="s">
        <v>559</v>
      </c>
    </row>
    <row r="1798" customFormat="false" ht="17.15" hidden="false" customHeight="false" outlineLevel="0" collapsed="false">
      <c r="A1798" s="6" t="s">
        <v>560</v>
      </c>
    </row>
    <row r="1799" customFormat="false" ht="17.15" hidden="false" customHeight="false" outlineLevel="0" collapsed="false">
      <c r="A1799" s="0" t="s">
        <v>438</v>
      </c>
      <c r="B1799" s="0" t="s">
        <v>234</v>
      </c>
      <c r="C1799" s="30" t="n">
        <f aca="false">a25_leap</f>
        <v>49.6</v>
      </c>
      <c r="D1799" s="30" t="n">
        <f aca="false">a26_leap</f>
        <v>127.6</v>
      </c>
      <c r="E1799" s="30" t="n">
        <f aca="false">E1796*E1797</f>
        <v>254.82516922219</v>
      </c>
      <c r="F1799" s="30" t="n">
        <f aca="false">F1796*F1797</f>
        <v>258.932340403407</v>
      </c>
      <c r="G1799" s="30" t="n">
        <f aca="false">G1796*G1797</f>
        <v>341.811830673745</v>
      </c>
    </row>
    <row r="1800" customFormat="false" ht="15" hidden="false" customHeight="false" outlineLevel="0" collapsed="false">
      <c r="A1800" s="4" t="s">
        <v>561</v>
      </c>
      <c r="B1800" s="0" t="s">
        <v>234</v>
      </c>
      <c r="C1800" s="30" t="n">
        <f aca="false">a25_ms</f>
        <v>339.628</v>
      </c>
      <c r="D1800" s="30" t="n">
        <f aca="false">a26_ms</f>
        <v>432.1302</v>
      </c>
      <c r="E1800" s="30" t="n">
        <f aca="false">D1800*(1+g_ms27)</f>
        <v>496.94973</v>
      </c>
      <c r="F1800" s="30" t="n">
        <f aca="false">E1800*(1+g_msL_hi)</f>
        <v>556.5836976</v>
      </c>
      <c r="G1800" s="30" t="n">
        <f aca="false">F1800*(1+g_msL_hi)</f>
        <v>623.373741312</v>
      </c>
    </row>
    <row r="1801" customFormat="false" ht="17.15" hidden="false" customHeight="false" outlineLevel="0" collapsed="false">
      <c r="A1801" s="4" t="s">
        <v>562</v>
      </c>
      <c r="B1801" s="0" t="s">
        <v>234</v>
      </c>
      <c r="C1801" s="30" t="n">
        <f aca="false">C1799+C1800</f>
        <v>389.228</v>
      </c>
      <c r="D1801" s="30" t="n">
        <f aca="false">D1799+D1800</f>
        <v>559.7302</v>
      </c>
      <c r="E1801" s="30" t="n">
        <f aca="false">E1799+E1800</f>
        <v>751.77489922219</v>
      </c>
      <c r="F1801" s="30" t="n">
        <f aca="false">F1799+F1800</f>
        <v>815.516038003407</v>
      </c>
      <c r="G1801" s="30" t="n">
        <f aca="false">G1799+G1800</f>
        <v>965.185571985745</v>
      </c>
    </row>
    <row r="1802" customFormat="false" ht="17.15" hidden="false" customHeight="false" outlineLevel="0" collapsed="false">
      <c r="A1802" s="0" t="s">
        <v>563</v>
      </c>
      <c r="B1802" s="0" t="s">
        <v>234</v>
      </c>
      <c r="C1802" s="30" t="n">
        <f aca="false">a25_ems</f>
        <v>259.079</v>
      </c>
      <c r="D1802" s="30" t="n">
        <f aca="false">a26_ems</f>
        <v>314.602</v>
      </c>
      <c r="E1802" s="30" t="n">
        <f aca="false">D1802*(1+g_ems27)</f>
        <v>346.0622</v>
      </c>
      <c r="F1802" s="30" t="n">
        <f aca="false">E1802*(1+g_emsL)</f>
        <v>363.36531</v>
      </c>
      <c r="G1802" s="30" t="n">
        <f aca="false">F1802*(1+g_emsL)</f>
        <v>381.5335755</v>
      </c>
    </row>
    <row r="1803" customFormat="false" ht="17.15" hidden="false" customHeight="false" outlineLevel="0" collapsed="false">
      <c r="A1803" s="4" t="s">
        <v>564</v>
      </c>
      <c r="B1803" s="0" t="s">
        <v>234</v>
      </c>
      <c r="C1803" s="30" t="n">
        <f aca="false">a25_elim</f>
        <v>-2.91899999999998</v>
      </c>
      <c r="D1803" s="30" t="n">
        <f aca="false">a26_elim</f>
        <v>-3.16484905982349</v>
      </c>
      <c r="E1803" s="30" t="n">
        <f aca="false">$D1803/($D1801+$D1802)*(E1801+E1802)</f>
        <v>-3.97387710450638</v>
      </c>
      <c r="F1803" s="30" t="n">
        <f aca="false">$D1803/($D1801+$D1802)*(F1801+F1802)</f>
        <v>-4.26723564095206</v>
      </c>
      <c r="G1803" s="30" t="n">
        <f aca="false">$D1803/($D1801+$D1802)*(G1801+G1802)</f>
        <v>-4.87476365135191</v>
      </c>
      <c r="K1803" s="4" t="s">
        <v>565</v>
      </c>
    </row>
    <row r="1804" customFormat="false" ht="17.15" hidden="false" customHeight="false" outlineLevel="0" collapsed="false">
      <c r="A1804" s="4" t="s">
        <v>431</v>
      </c>
      <c r="B1804" s="0" t="s">
        <v>234</v>
      </c>
      <c r="C1804" s="30" t="n">
        <f aca="false">C1801+C1802+C1803</f>
        <v>645.388</v>
      </c>
      <c r="D1804" s="30" t="n">
        <f aca="false">D1801+D1802+D1803</f>
        <v>871.167350940177</v>
      </c>
      <c r="E1804" s="30" t="n">
        <f aca="false">E1801+E1802+E1803</f>
        <v>1093.86322211768</v>
      </c>
      <c r="F1804" s="30" t="n">
        <f aca="false">F1801+F1802+F1803</f>
        <v>1174.61411236245</v>
      </c>
      <c r="G1804" s="30" t="n">
        <f aca="false">G1801+G1802+G1803</f>
        <v>1341.84438383439</v>
      </c>
      <c r="H1804" s="31" t="n">
        <f aca="false">G1804*(1+H1805)</f>
        <v>1487.09491612136</v>
      </c>
      <c r="I1804" s="31" t="n">
        <f aca="false">H1804*(1+I1805)</f>
        <v>1597.32354253615</v>
      </c>
      <c r="J1804" s="31" t="n">
        <f aca="false">I1804*(1+J1805)</f>
        <v>1661.21648423759</v>
      </c>
      <c r="K1804" s="8" t="s">
        <v>566</v>
      </c>
    </row>
    <row r="1805" customFormat="false" ht="15" hidden="false" customHeight="false" outlineLevel="0" collapsed="false">
      <c r="A1805" s="4" t="s">
        <v>567</v>
      </c>
      <c r="B1805" s="0" t="s">
        <v>76</v>
      </c>
      <c r="D1805" s="21" t="n">
        <f aca="false">D1804/C1804-1</f>
        <v>0.349835061916516</v>
      </c>
      <c r="E1805" s="21" t="n">
        <f aca="false">E1804/D1804-1</f>
        <v>0.255629266796065</v>
      </c>
      <c r="F1805" s="21" t="n">
        <f aca="false">F1804/E1804-1</f>
        <v>0.0738217435342963</v>
      </c>
      <c r="G1805" s="21" t="n">
        <f aca="false">G1804/F1804-1</f>
        <v>0.142370391869033</v>
      </c>
      <c r="H1805" s="26" t="n">
        <f aca="false">$G1805+(fade_gB-$G1805)*1/3</f>
        <v>0.108246927912688</v>
      </c>
      <c r="I1805" s="26" t="n">
        <f aca="false">$G1805+(fade_gB-$G1805)*2/3</f>
        <v>0.0741234639563442</v>
      </c>
      <c r="J1805" s="26" t="n">
        <f aca="false">$G1805+(fade_gB-$G1805)*3/3</f>
        <v>0.04</v>
      </c>
    </row>
    <row r="1806" customFormat="false" ht="17.15" hidden="false" customHeight="false" outlineLevel="0" collapsed="false">
      <c r="A1806" s="0" t="s">
        <v>475</v>
      </c>
      <c r="B1806" s="0" t="s">
        <v>76</v>
      </c>
      <c r="C1806" s="21" t="n">
        <f aca="false">C1799/C1801</f>
        <v>0.127431736668482</v>
      </c>
      <c r="D1806" s="21" t="n">
        <f aca="false">D1799/D1801</f>
        <v>0.227966974088588</v>
      </c>
      <c r="E1806" s="21" t="n">
        <f aca="false">E1799/E1801</f>
        <v>0.338964721335922</v>
      </c>
      <c r="F1806" s="21" t="n">
        <f aca="false">F1799/F1801</f>
        <v>0.317507355265924</v>
      </c>
      <c r="G1806" s="21" t="n">
        <f aca="false">G1799/G1801</f>
        <v>0.354141048721347</v>
      </c>
    </row>
    <row r="1807" customFormat="false" ht="15" hidden="false" customHeight="false" outlineLevel="0" collapsed="false">
      <c r="A1807" s="4" t="s">
        <v>568</v>
      </c>
      <c r="B1807" s="0" t="s">
        <v>76</v>
      </c>
      <c r="D1807" s="21" t="n">
        <f aca="false">D1801/C1801-1</f>
        <v>0.438052247012034</v>
      </c>
      <c r="E1807" s="21" t="n">
        <f aca="false">E1801/D1801-1</f>
        <v>0.343102264666424</v>
      </c>
      <c r="F1807" s="21" t="n">
        <f aca="false">F1801/E1801-1</f>
        <v>0.0847875326073868</v>
      </c>
      <c r="G1807" s="21" t="n">
        <f aca="false">G1801/F1801-1</f>
        <v>0.18352739493483</v>
      </c>
    </row>
    <row r="1808" customFormat="false" ht="17.15" hidden="false" customHeight="false" outlineLevel="0" collapsed="false">
      <c r="A1808" s="6" t="s">
        <v>569</v>
      </c>
    </row>
    <row r="1809" customFormat="false" ht="17.15" hidden="false" customHeight="false" outlineLevel="0" collapsed="false">
      <c r="A1809" s="4" t="s">
        <v>570</v>
      </c>
      <c r="B1809" s="0" t="s">
        <v>120</v>
      </c>
      <c r="C1809" s="19" t="n">
        <f aca="false">capex25</f>
        <v>5.5</v>
      </c>
      <c r="D1809" s="19" t="n">
        <f aca="false">capex26</f>
        <v>11.5</v>
      </c>
      <c r="E1809" s="19" t="n">
        <f aca="false">capex27</f>
        <v>13</v>
      </c>
      <c r="F1809" s="19" t="n">
        <f aca="false">capi*F1804/F1797</f>
        <v>11.012007303398</v>
      </c>
      <c r="G1809" s="19" t="n">
        <f aca="false">capi*G1804/G1797</f>
        <v>12.5797910984474</v>
      </c>
      <c r="K1809" s="8" t="s">
        <v>571</v>
      </c>
    </row>
    <row r="1810" customFormat="false" ht="15" hidden="false" customHeight="false" outlineLevel="0" collapsed="false">
      <c r="A1810" s="4" t="s">
        <v>572</v>
      </c>
      <c r="B1810" s="0" t="s">
        <v>234</v>
      </c>
      <c r="C1810" s="30" t="n">
        <f aca="false">C1809*C1797</f>
        <v>170.5</v>
      </c>
      <c r="D1810" s="30" t="n">
        <f aca="false">D1809*31.9</f>
        <v>366.85</v>
      </c>
      <c r="E1810" s="30" t="n">
        <f aca="false">E1809*E1797</f>
        <v>416</v>
      </c>
      <c r="F1810" s="30" t="n">
        <f aca="false">F1809*F1797</f>
        <v>352.384233708736</v>
      </c>
      <c r="G1810" s="30" t="n">
        <f aca="false">G1809*G1797</f>
        <v>402.553315150318</v>
      </c>
    </row>
    <row r="1811" customFormat="false" ht="17.15" hidden="false" customHeight="false" outlineLevel="0" collapsed="false">
      <c r="A1811" s="4" t="s">
        <v>473</v>
      </c>
      <c r="B1811" s="0" t="s">
        <v>76</v>
      </c>
      <c r="C1811" s="21" t="n">
        <f aca="false">C1810/C1804</f>
        <v>0.264182166386732</v>
      </c>
      <c r="D1811" s="21" t="n">
        <f aca="false">D1810/D1804</f>
        <v>0.421101639775745</v>
      </c>
      <c r="E1811" s="21" t="n">
        <f aca="false">E1810/E1804</f>
        <v>0.380303489127861</v>
      </c>
      <c r="F1811" s="21" t="n">
        <f aca="false">F1810/F1804</f>
        <v>0.3</v>
      </c>
      <c r="G1811" s="21" t="n">
        <f aca="false">G1810/G1804</f>
        <v>0.3</v>
      </c>
    </row>
    <row r="1812" customFormat="false" ht="17.15" hidden="false" customHeight="false" outlineLevel="0" collapsed="false">
      <c r="A1812" s="4" t="s">
        <v>573</v>
      </c>
      <c r="B1812" s="0" t="s">
        <v>234</v>
      </c>
      <c r="C1812" s="30" t="n">
        <f aca="false">a25_da</f>
        <v>75.255</v>
      </c>
      <c r="D1812" s="30" t="n">
        <f aca="false">a26_da</f>
        <v>97.124</v>
      </c>
      <c r="E1812" s="30" t="n">
        <f aca="false">D1812*(1-1/life)+D1810/life</f>
        <v>130.83975</v>
      </c>
      <c r="F1812" s="30" t="n">
        <f aca="false">E1812*(1-1/life)+E1810/life</f>
        <v>166.48478125</v>
      </c>
      <c r="G1812" s="30" t="n">
        <f aca="false">F1812*(1-1/life)+F1810/life</f>
        <v>189.722212807342</v>
      </c>
      <c r="K1812" s="4" t="s">
        <v>574</v>
      </c>
    </row>
    <row r="1813" customFormat="false" ht="17.15" hidden="false" customHeight="false" outlineLevel="0" collapsed="false">
      <c r="A1813" s="4" t="s">
        <v>575</v>
      </c>
      <c r="B1813" s="0" t="s">
        <v>234</v>
      </c>
      <c r="C1813" s="30" t="n">
        <f aca="false">a25_agp</f>
        <v>91.38</v>
      </c>
      <c r="D1813" s="30" t="n">
        <f aca="false">a26_agp</f>
        <v>164.623388</v>
      </c>
      <c r="E1813" s="30" t="n">
        <f aca="false">$D1813+ft*(E1801-$D1801)-(E1812-$D1812)</f>
        <v>226.929987611095</v>
      </c>
      <c r="F1813" s="30" t="n">
        <f aca="false">$D1813+ft*(F1801-$D1801)-(F1812-$D1812)</f>
        <v>223.155525751703</v>
      </c>
      <c r="G1813" s="30" t="n">
        <f aca="false">$D1813+ft*(G1801-$D1801)-(G1812-$D1812)</f>
        <v>274.752861185531</v>
      </c>
      <c r="K1813" s="4" t="s">
        <v>576</v>
      </c>
    </row>
    <row r="1814" customFormat="false" ht="15" hidden="false" customHeight="false" outlineLevel="0" collapsed="false">
      <c r="A1814" s="4" t="s">
        <v>447</v>
      </c>
      <c r="B1814" s="0" t="s">
        <v>76</v>
      </c>
      <c r="C1814" s="14" t="n">
        <f aca="false">C1813/C1801</f>
        <v>0.234772421305764</v>
      </c>
      <c r="D1814" s="14" t="n">
        <f aca="false">D1813/D1801</f>
        <v>0.294112034690999</v>
      </c>
      <c r="E1814" s="14" t="n">
        <f aca="false">E1813/E1801</f>
        <v>0.301858957842147</v>
      </c>
      <c r="F1814" s="14" t="n">
        <f aca="false">F1813/F1801</f>
        <v>0.273637200683442</v>
      </c>
      <c r="G1814" s="14" t="n">
        <f aca="false">G1813/G1801</f>
        <v>0.284663249389713</v>
      </c>
    </row>
    <row r="1815" customFormat="false" ht="17.15" hidden="false" customHeight="false" outlineLevel="0" collapsed="false">
      <c r="A1815" s="0" t="s">
        <v>449</v>
      </c>
      <c r="B1815" s="0" t="s">
        <v>234</v>
      </c>
      <c r="C1815" s="30" t="n">
        <f aca="false">a25_egp</f>
        <v>23.695</v>
      </c>
      <c r="D1815" s="30" t="n">
        <f aca="false">a26_egp</f>
        <v>27.00552</v>
      </c>
      <c r="E1815" s="30" t="n">
        <f aca="false">E1802*ems_gm</f>
        <v>29.415287</v>
      </c>
      <c r="F1815" s="30" t="n">
        <f aca="false">F1802*ems_gm</f>
        <v>30.88605135</v>
      </c>
      <c r="G1815" s="30" t="n">
        <f aca="false">G1802*ems_gm</f>
        <v>32.4303539175</v>
      </c>
    </row>
    <row r="1816" customFormat="false" ht="15" hidden="false" customHeight="false" outlineLevel="0" collapsed="false">
      <c r="A1816" s="4" t="s">
        <v>577</v>
      </c>
      <c r="B1816" s="0" t="s">
        <v>234</v>
      </c>
      <c r="C1816" s="30" t="n">
        <f aca="false">a25_lgp</f>
        <v>-0.881999999999998</v>
      </c>
      <c r="D1816" s="30" t="n">
        <f aca="false">a26_lgp</f>
        <v>-0.948662139013863</v>
      </c>
      <c r="E1816" s="30" t="n">
        <f aca="false">$D1816/$D1803*E1803</f>
        <v>-1.19116794604716</v>
      </c>
      <c r="F1816" s="30" t="n">
        <f aca="false">$D1816/$D1803*F1803</f>
        <v>-1.27910204066653</v>
      </c>
      <c r="G1816" s="30" t="n">
        <f aca="false">$D1816/$D1803*G1803</f>
        <v>-1.4612082994367</v>
      </c>
    </row>
    <row r="1817" customFormat="false" ht="15" hidden="false" customHeight="false" outlineLevel="0" collapsed="false">
      <c r="A1817" s="4" t="s">
        <v>451</v>
      </c>
      <c r="B1817" s="0" t="s">
        <v>234</v>
      </c>
      <c r="C1817" s="30" t="n">
        <f aca="false">C1813+C1815+C1816</f>
        <v>114.193</v>
      </c>
      <c r="D1817" s="30" t="n">
        <f aca="false">D1813+D1815+D1816</f>
        <v>190.680245860986</v>
      </c>
      <c r="E1817" s="30" t="n">
        <f aca="false">E1813+E1815+E1816</f>
        <v>255.154106665048</v>
      </c>
      <c r="F1817" s="30" t="n">
        <f aca="false">F1813+F1815+F1816</f>
        <v>252.762475061037</v>
      </c>
      <c r="G1817" s="30" t="n">
        <f aca="false">G1813+G1815+G1816</f>
        <v>305.722006803594</v>
      </c>
    </row>
    <row r="1818" customFormat="false" ht="15" hidden="false" customHeight="false" outlineLevel="0" collapsed="false">
      <c r="A1818" s="4" t="s">
        <v>452</v>
      </c>
      <c r="B1818" s="0" t="s">
        <v>76</v>
      </c>
      <c r="C1818" s="14" t="n">
        <f aca="false">C1817/C1804</f>
        <v>0.176936974347214</v>
      </c>
      <c r="D1818" s="14" t="n">
        <f aca="false">D1817/D1804</f>
        <v>0.218879008327391</v>
      </c>
      <c r="E1818" s="14" t="n">
        <f aca="false">E1817/E1804</f>
        <v>0.233259608245241</v>
      </c>
      <c r="F1818" s="14" t="n">
        <f aca="false">F1817/F1804</f>
        <v>0.215187670913187</v>
      </c>
      <c r="G1818" s="14" t="n">
        <f aca="false">G1817/G1804</f>
        <v>0.227837154953823</v>
      </c>
    </row>
    <row r="1819" customFormat="false" ht="15" hidden="false" customHeight="false" outlineLevel="0" collapsed="false">
      <c r="A1819" s="4" t="s">
        <v>578</v>
      </c>
      <c r="B1819" s="0" t="s">
        <v>234</v>
      </c>
      <c r="C1819" s="30" t="n">
        <f aca="false">a25_opx</f>
        <v>63.437</v>
      </c>
      <c r="D1819" s="30" t="n">
        <f aca="false">a26_opx</f>
        <v>79.658</v>
      </c>
      <c r="E1819" s="30" t="n">
        <f aca="false">D1819*(1+phi*E1805)</f>
        <v>91.8757496806646</v>
      </c>
      <c r="F1819" s="30" t="n">
        <f aca="false">E1819*(1+phi*F1805)</f>
        <v>95.9452064986329</v>
      </c>
      <c r="G1819" s="30" t="n">
        <f aca="false">F1819*(1+phi*G1805)</f>
        <v>104.141060486932</v>
      </c>
    </row>
    <row r="1820" customFormat="false" ht="15" hidden="false" customHeight="false" outlineLevel="0" collapsed="false">
      <c r="A1820" s="4" t="s">
        <v>455</v>
      </c>
      <c r="B1820" s="0" t="s">
        <v>234</v>
      </c>
      <c r="C1820" s="30" t="n">
        <f aca="false">C1817-C1819</f>
        <v>50.756</v>
      </c>
      <c r="D1820" s="30" t="n">
        <f aca="false">D1817-D1819</f>
        <v>111.022245860986</v>
      </c>
      <c r="E1820" s="30" t="n">
        <f aca="false">E1817-E1819</f>
        <v>163.278356984383</v>
      </c>
      <c r="F1820" s="30" t="n">
        <f aca="false">F1817-F1819</f>
        <v>156.817268562404</v>
      </c>
      <c r="G1820" s="30" t="n">
        <f aca="false">G1817-G1819</f>
        <v>201.580946316662</v>
      </c>
    </row>
    <row r="1821" customFormat="false" ht="15" hidden="false" customHeight="false" outlineLevel="0" collapsed="false">
      <c r="A1821" s="4" t="s">
        <v>537</v>
      </c>
      <c r="B1821" s="0" t="s">
        <v>76</v>
      </c>
      <c r="C1821" s="14" t="n">
        <f aca="false">C1820/C1804</f>
        <v>0.0786441644406156</v>
      </c>
      <c r="D1821" s="14" t="n">
        <f aca="false">D1820/D1804</f>
        <v>0.127440779020437</v>
      </c>
      <c r="E1821" s="14" t="n">
        <f aca="false">E1820/E1804</f>
        <v>0.149267617452465</v>
      </c>
      <c r="F1821" s="14" t="n">
        <f aca="false">F1820/F1804</f>
        <v>0.133505350320544</v>
      </c>
      <c r="G1821" s="14" t="n">
        <f aca="false">G1820/G1804</f>
        <v>0.150226769024164</v>
      </c>
    </row>
    <row r="1822" customFormat="false" ht="15" hidden="false" customHeight="false" outlineLevel="0" collapsed="false">
      <c r="A1822" s="4" t="s">
        <v>456</v>
      </c>
      <c r="B1822" s="0" t="s">
        <v>234</v>
      </c>
      <c r="C1822" s="30" t="n">
        <f aca="false">a25_nonop</f>
        <v>0.545</v>
      </c>
      <c r="D1822" s="30" t="n">
        <f aca="false">a26_nonop</f>
        <v>4.302</v>
      </c>
      <c r="E1822" s="30" t="n">
        <f aca="false">nonop_f</f>
        <v>-5</v>
      </c>
      <c r="F1822" s="30" t="n">
        <f aca="false">nonop_f</f>
        <v>-5</v>
      </c>
      <c r="G1822" s="30" t="n">
        <f aca="false">nonop_f</f>
        <v>-5</v>
      </c>
    </row>
    <row r="1823" customFormat="false" ht="15" hidden="false" customHeight="false" outlineLevel="0" collapsed="false">
      <c r="A1823" s="4" t="s">
        <v>459</v>
      </c>
      <c r="B1823" s="0" t="s">
        <v>234</v>
      </c>
      <c r="C1823" s="30" t="n">
        <f aca="false">C1820+C1822</f>
        <v>51.301</v>
      </c>
      <c r="D1823" s="30" t="n">
        <f aca="false">D1820+D1822</f>
        <v>115.324245860986</v>
      </c>
      <c r="E1823" s="30" t="n">
        <f aca="false">E1820+E1822</f>
        <v>158.278356984383</v>
      </c>
      <c r="F1823" s="30" t="n">
        <f aca="false">F1820+F1822</f>
        <v>151.817268562404</v>
      </c>
      <c r="G1823" s="30" t="n">
        <f aca="false">G1820+G1822</f>
        <v>196.580946316662</v>
      </c>
    </row>
    <row r="1824" customFormat="false" ht="15" hidden="false" customHeight="false" outlineLevel="0" collapsed="false">
      <c r="A1824" s="4" t="s">
        <v>460</v>
      </c>
      <c r="B1824" s="0" t="s">
        <v>234</v>
      </c>
      <c r="C1824" s="30" t="n">
        <f aca="false">a25_tax</f>
        <v>9.461</v>
      </c>
      <c r="D1824" s="30" t="n">
        <f aca="false">a26_tax</f>
        <v>19.2197317963676</v>
      </c>
      <c r="E1824" s="30" t="n">
        <f aca="false">E1823*tax</f>
        <v>26.9073206873452</v>
      </c>
      <c r="F1824" s="30" t="n">
        <f aca="false">F1823*tax</f>
        <v>25.8089356556087</v>
      </c>
      <c r="G1824" s="30" t="n">
        <f aca="false">G1823*tax</f>
        <v>33.4187608738325</v>
      </c>
    </row>
    <row r="1825" customFormat="false" ht="15" hidden="false" customHeight="false" outlineLevel="0" collapsed="false">
      <c r="A1825" s="4" t="s">
        <v>461</v>
      </c>
      <c r="B1825" s="0" t="s">
        <v>234</v>
      </c>
      <c r="C1825" s="30" t="n">
        <f aca="false">a25_nci</f>
        <v>1.182</v>
      </c>
      <c r="D1825" s="30" t="n">
        <f aca="false">a26_nci</f>
        <v>2.543</v>
      </c>
      <c r="E1825" s="30" t="n">
        <f aca="false">nci</f>
        <v>3</v>
      </c>
      <c r="F1825" s="30" t="n">
        <f aca="false">nci</f>
        <v>3</v>
      </c>
      <c r="G1825" s="30" t="n">
        <f aca="false">nci</f>
        <v>3</v>
      </c>
    </row>
    <row r="1826" customFormat="false" ht="15" hidden="false" customHeight="false" outlineLevel="0" collapsed="false">
      <c r="A1826" s="4" t="s">
        <v>462</v>
      </c>
      <c r="B1826" s="0" t="s">
        <v>234</v>
      </c>
      <c r="C1826" s="30" t="n">
        <f aca="false">C1823-C1824-C1825</f>
        <v>40.658</v>
      </c>
      <c r="D1826" s="30" t="n">
        <f aca="false">D1823-D1824-D1825</f>
        <v>93.5615140646185</v>
      </c>
      <c r="E1826" s="30" t="n">
        <f aca="false">E1823-E1824-E1825</f>
        <v>128.371036297038</v>
      </c>
      <c r="F1826" s="30" t="n">
        <f aca="false">F1823-F1824-F1825</f>
        <v>123.008332906795</v>
      </c>
      <c r="G1826" s="30" t="n">
        <f aca="false">G1823-G1824-G1825</f>
        <v>160.162185442829</v>
      </c>
      <c r="H1826" s="31" t="n">
        <f aca="false">H1804*H1830</f>
        <v>167.04251332596</v>
      </c>
      <c r="I1826" s="31" t="n">
        <f aca="false">I1804*I1830</f>
        <v>168.192456839983</v>
      </c>
      <c r="J1826" s="31" t="n">
        <f aca="false">J1804*J1830</f>
        <v>163.239055863845</v>
      </c>
    </row>
    <row r="1827" customFormat="false" ht="15" hidden="false" customHeight="false" outlineLevel="0" collapsed="false">
      <c r="A1827" s="4" t="s">
        <v>579</v>
      </c>
      <c r="B1827" s="4" t="s">
        <v>580</v>
      </c>
      <c r="C1827" s="18" t="n">
        <f aca="false">a25_sh</f>
        <v>4339.16755602988</v>
      </c>
      <c r="D1827" s="18" t="n">
        <f aca="false">a26_sh</f>
        <v>4392.90105184664</v>
      </c>
      <c r="E1827" s="18" t="n">
        <f aca="false">D1827*(1+sh_g)</f>
        <v>4414.86555710588</v>
      </c>
      <c r="F1827" s="18" t="n">
        <f aca="false">E1827*(1+sh_g)</f>
        <v>4436.9398848914</v>
      </c>
      <c r="G1827" s="18" t="n">
        <f aca="false">F1827*(1+sh_g)</f>
        <v>4459.12458431586</v>
      </c>
      <c r="H1827" s="25" t="n">
        <f aca="false">G1827*(1+sh_g)</f>
        <v>4481.42020723744</v>
      </c>
      <c r="I1827" s="25" t="n">
        <f aca="false">H1827*(1+sh_g)</f>
        <v>4503.82730827363</v>
      </c>
      <c r="J1827" s="25" t="n">
        <f aca="false">I1827*(1+sh_g)</f>
        <v>4526.34644481499</v>
      </c>
    </row>
    <row r="1828" customFormat="false" ht="17.15" hidden="false" customHeight="false" outlineLevel="0" collapsed="false">
      <c r="A1828" s="0" t="s">
        <v>465</v>
      </c>
      <c r="B1828" s="0" t="s">
        <v>304</v>
      </c>
      <c r="C1828" s="19" t="n">
        <f aca="false">a25_eps</f>
        <v>9.37</v>
      </c>
      <c r="D1828" s="19" t="n">
        <f aca="false">a26_eps</f>
        <v>21.2828697294455</v>
      </c>
      <c r="E1828" s="19" t="n">
        <f aca="false">E1826/E1827*1000</f>
        <v>29.0769978466096</v>
      </c>
      <c r="F1828" s="19" t="n">
        <f aca="false">F1826/F1827*1000</f>
        <v>27.7236870676705</v>
      </c>
      <c r="G1828" s="19" t="n">
        <f aca="false">G1826/G1827*1000</f>
        <v>35.9178539227565</v>
      </c>
      <c r="H1828" s="28" t="n">
        <f aca="false">H1826/H1827*1000</f>
        <v>37.2744588994775</v>
      </c>
      <c r="I1828" s="28" t="n">
        <f aca="false">I1826/I1827*1000</f>
        <v>37.3443396755044</v>
      </c>
      <c r="J1828" s="28" t="n">
        <f aca="false">J1826/J1827*1000</f>
        <v>36.0641983228744</v>
      </c>
    </row>
    <row r="1829" customFormat="false" ht="17.15" hidden="false" customHeight="false" outlineLevel="0" collapsed="false">
      <c r="A1829" s="0" t="s">
        <v>581</v>
      </c>
      <c r="B1829" s="0" t="s">
        <v>76</v>
      </c>
      <c r="D1829" s="21" t="n">
        <f aca="false">D1828/C1828-1</f>
        <v>1.27138417603474</v>
      </c>
      <c r="E1829" s="21" t="n">
        <f aca="false">E1828/D1828-1</f>
        <v>0.366216032717646</v>
      </c>
      <c r="F1829" s="21" t="n">
        <f aca="false">F1828/E1828-1</f>
        <v>-0.04654231451535</v>
      </c>
      <c r="G1829" s="21" t="n">
        <f aca="false">G1828/F1828-1</f>
        <v>0.295565551403205</v>
      </c>
      <c r="H1829" s="26" t="n">
        <f aca="false">H1828/G1828-1</f>
        <v>0.0377696557160254</v>
      </c>
      <c r="I1829" s="26" t="n">
        <f aca="false">I1828/H1828-1</f>
        <v>0.00187476299026734</v>
      </c>
      <c r="J1829" s="26" t="n">
        <f aca="false">J1828/I1828-1</f>
        <v>-0.034279394514767</v>
      </c>
    </row>
    <row r="1830" customFormat="false" ht="17.15" hidden="false" customHeight="false" outlineLevel="0" collapsed="false">
      <c r="A1830" s="4" t="s">
        <v>582</v>
      </c>
      <c r="B1830" s="0" t="s">
        <v>76</v>
      </c>
      <c r="C1830" s="14" t="n">
        <f aca="false">C1826/C1804</f>
        <v>0.0629977625862272</v>
      </c>
      <c r="D1830" s="14" t="n">
        <f aca="false">D1826/D1804</f>
        <v>0.107397865592237</v>
      </c>
      <c r="E1830" s="14" t="n">
        <f aca="false">E1826/E1804</f>
        <v>0.117355656266161</v>
      </c>
      <c r="F1830" s="14" t="n">
        <f aca="false">F1826/F1804</f>
        <v>0.104722335286261</v>
      </c>
      <c r="G1830" s="14" t="n">
        <f aca="false">G1826/G1804</f>
        <v>0.11935973155483</v>
      </c>
      <c r="H1830" s="27" t="n">
        <f aca="false">$G1830+(fade_mB-$G1830)*1/3</f>
        <v>0.112328077727305</v>
      </c>
      <c r="I1830" s="27" t="n">
        <f aca="false">$G1830+(fade_mB-$G1830)*2/3</f>
        <v>0.105296423899779</v>
      </c>
      <c r="J1830" s="27" t="n">
        <f aca="false">$G1830+(fade_mB-$G1830)*3/3</f>
        <v>0.0982647700722541</v>
      </c>
    </row>
    <row r="1831" customFormat="false" ht="17.15" hidden="false" customHeight="false" outlineLevel="0" collapsed="false">
      <c r="A1831" s="4" t="s">
        <v>583</v>
      </c>
      <c r="B1831" s="0" t="s">
        <v>234</v>
      </c>
      <c r="C1831" s="30" t="n">
        <f aca="false">C1826+C1812-C1810</f>
        <v>-54.587</v>
      </c>
      <c r="D1831" s="30" t="n">
        <f aca="false">D1826+D1812-D1810</f>
        <v>-176.164485935382</v>
      </c>
      <c r="E1831" s="30" t="n">
        <f aca="false">E1826+E1812-E1810</f>
        <v>-156.789213702962</v>
      </c>
      <c r="F1831" s="30" t="n">
        <f aca="false">F1826+F1812-F1810</f>
        <v>-62.8911195519411</v>
      </c>
      <c r="G1831" s="30" t="n">
        <f aca="false">G1826+G1812-G1810</f>
        <v>-52.6689169001468</v>
      </c>
      <c r="K1831" s="4" t="s">
        <v>584</v>
      </c>
    </row>
    <row r="1832" customFormat="false" ht="17.15" hidden="false" customHeight="false" outlineLevel="0" collapsed="false">
      <c r="A1832" s="4" t="s">
        <v>585</v>
      </c>
      <c r="B1832" s="0" t="s">
        <v>76</v>
      </c>
      <c r="D1832" s="21" t="n">
        <f aca="false">(D1820-$C1820)/SUM($D1810:D1810)</f>
        <v>0.164280348537512</v>
      </c>
      <c r="E1832" s="21" t="n">
        <f aca="false">(E1820-$C1820)/SUM($D1810:E1810)</f>
        <v>0.143734249197654</v>
      </c>
      <c r="F1832" s="21" t="n">
        <f aca="false">(F1820-$C1820)/SUM($D1810:F1810)</f>
        <v>0.0934267708047428</v>
      </c>
      <c r="G1832" s="21" t="n">
        <f aca="false">(G1820-$C1820)/SUM($D1810:G1810)</f>
        <v>0.0980791829330161</v>
      </c>
      <c r="K1832" s="4" t="s">
        <v>586</v>
      </c>
    </row>
    <row r="1835" customFormat="false" ht="17.15" hidden="false" customHeight="false" outlineLevel="0" collapsed="false">
      <c r="A1835" s="1" t="s">
        <v>951</v>
      </c>
    </row>
    <row r="1836" customFormat="false" ht="17.15" hidden="false" customHeight="false" outlineLevel="0" collapsed="false">
      <c r="A1836" s="5" t="s">
        <v>21</v>
      </c>
      <c r="B1836" s="5" t="s">
        <v>22</v>
      </c>
      <c r="C1836" s="15" t="s">
        <v>424</v>
      </c>
      <c r="D1836" s="15" t="s">
        <v>524</v>
      </c>
      <c r="E1836" s="15" t="s">
        <v>525</v>
      </c>
      <c r="F1836" s="15" t="s">
        <v>526</v>
      </c>
      <c r="G1836" s="15" t="s">
        <v>527</v>
      </c>
      <c r="H1836" s="15" t="s">
        <v>528</v>
      </c>
      <c r="I1836" s="15" t="s">
        <v>529</v>
      </c>
      <c r="J1836" s="15" t="s">
        <v>530</v>
      </c>
      <c r="K1836" s="5" t="s">
        <v>382</v>
      </c>
    </row>
    <row r="1837" customFormat="false" ht="17.15" hidden="false" customHeight="false" outlineLevel="0" collapsed="false">
      <c r="A1837" s="6" t="s">
        <v>548</v>
      </c>
    </row>
    <row r="1838" customFormat="false" ht="17.15" hidden="false" customHeight="false" outlineLevel="0" collapsed="false">
      <c r="A1838" s="0" t="s">
        <v>549</v>
      </c>
      <c r="B1838" s="4" t="s">
        <v>32</v>
      </c>
      <c r="D1838" s="19" t="n">
        <f aca="false">units_26</f>
        <v>15.2</v>
      </c>
      <c r="E1838" s="19" t="n">
        <f aca="false">units_27*1</f>
        <v>23.7</v>
      </c>
      <c r="F1838" s="19" t="n">
        <f aca="false">units_28*um28_C*1</f>
        <v>15.9</v>
      </c>
      <c r="G1838" s="19" t="n">
        <f aca="false">units_29*um29_C*1</f>
        <v>18.09</v>
      </c>
    </row>
    <row r="1839" customFormat="false" ht="17.15" hidden="false" customHeight="false" outlineLevel="0" collapsed="false">
      <c r="A1839" s="4" t="s">
        <v>497</v>
      </c>
      <c r="B1839" s="0" t="s">
        <v>45</v>
      </c>
      <c r="D1839" s="22" t="n">
        <f aca="false">ar_26</f>
        <v>1</v>
      </c>
      <c r="E1839" s="22" t="n">
        <f aca="false">ar_27</f>
        <v>1.278156</v>
      </c>
      <c r="F1839" s="22" t="n">
        <f aca="false">ar_28</f>
        <v>1.428615</v>
      </c>
      <c r="G1839" s="22" t="n">
        <f aca="false">ar_29</f>
        <v>1.431796</v>
      </c>
    </row>
    <row r="1840" customFormat="false" ht="17.15" hidden="false" customHeight="false" outlineLevel="0" collapsed="false">
      <c r="A1840" s="4" t="s">
        <v>550</v>
      </c>
      <c r="B1840" s="0" t="s">
        <v>45</v>
      </c>
      <c r="D1840" s="19" t="n">
        <f aca="false">1</f>
        <v>1</v>
      </c>
      <c r="E1840" s="19" t="n">
        <f aca="false">rel27_C</f>
        <v>1</v>
      </c>
      <c r="F1840" s="19" t="n">
        <f aca="false">rel28_C</f>
        <v>0.95</v>
      </c>
      <c r="G1840" s="19" t="n">
        <f aca="false">rel29_C</f>
        <v>0.92</v>
      </c>
    </row>
    <row r="1841" customFormat="false" ht="17.15" hidden="false" customHeight="false" outlineLevel="0" collapsed="false">
      <c r="A1841" s="4" t="s">
        <v>551</v>
      </c>
      <c r="B1841" s="0" t="s">
        <v>502</v>
      </c>
      <c r="D1841" s="23" t="n">
        <f aca="false">D1842*1000/D1838</f>
        <v>236.842105263158</v>
      </c>
      <c r="E1841" s="23" t="n">
        <f aca="false">$D1841*E1839^el</f>
        <v>267.763172119488</v>
      </c>
      <c r="F1841" s="23" t="n">
        <f aca="false">$D1841*F1839^el</f>
        <v>283.084777049615</v>
      </c>
      <c r="G1841" s="23" t="n">
        <f aca="false">$D1841*G1839^el</f>
        <v>283.399764630809</v>
      </c>
      <c r="K1841" s="8" t="s">
        <v>552</v>
      </c>
    </row>
    <row r="1842" customFormat="false" ht="17.15" hidden="false" customHeight="false" outlineLevel="0" collapsed="false">
      <c r="A1842" s="0" t="s">
        <v>553</v>
      </c>
      <c r="B1842" s="0" t="s">
        <v>120</v>
      </c>
      <c r="D1842" s="22" t="n">
        <f aca="false">leap26-D1843-D1844</f>
        <v>3.6</v>
      </c>
      <c r="E1842" s="22" t="n">
        <f aca="false">E1838*E1840*E1841/1000</f>
        <v>6.34598717923185</v>
      </c>
      <c r="F1842" s="22" t="n">
        <f aca="false">F1838*F1840*F1841/1000</f>
        <v>4.27599555733443</v>
      </c>
      <c r="G1842" s="22" t="n">
        <f aca="false">G1838*G1840*G1841/1000</f>
        <v>4.71656560279762</v>
      </c>
      <c r="K1842" s="8" t="s">
        <v>554</v>
      </c>
    </row>
    <row r="1843" customFormat="false" ht="17.15" hidden="false" customHeight="false" outlineLevel="0" collapsed="false">
      <c r="A1843" s="4" t="s">
        <v>555</v>
      </c>
      <c r="B1843" s="0" t="s">
        <v>120</v>
      </c>
      <c r="D1843" s="22" t="n">
        <f aca="false">fp26</f>
        <v>0.3</v>
      </c>
      <c r="E1843" s="22" t="n">
        <f aca="false">fp27_C</f>
        <v>0.7</v>
      </c>
      <c r="F1843" s="22" t="n">
        <f aca="false">E1843*F1838/E1838*(1+fp_g)</f>
        <v>0.610506329113924</v>
      </c>
      <c r="G1843" s="22" t="n">
        <f aca="false">F1843*G1838/F1838*(1+fp_g)</f>
        <v>0.902973417721519</v>
      </c>
    </row>
    <row r="1844" customFormat="false" ht="17.15" hidden="false" customHeight="false" outlineLevel="0" collapsed="false">
      <c r="A1844" s="0" t="s">
        <v>556</v>
      </c>
      <c r="B1844" s="0" t="s">
        <v>120</v>
      </c>
      <c r="D1844" s="22" t="n">
        <f aca="false">cpo27*cpo_C_26/cpo_A_27</f>
        <v>0.1</v>
      </c>
      <c r="E1844" s="22" t="n">
        <f aca="false">cpo27*cpo_C_27/cpo_A_27</f>
        <v>0.2</v>
      </c>
      <c r="F1844" s="22" t="n">
        <f aca="false">cpo27*cpo_C_28/cpo_A_27*F1838/E1838</f>
        <v>0.20126582278481</v>
      </c>
      <c r="G1844" s="22" t="n">
        <f aca="false">cpo27*cpo_C_29/cpo_A_27*G1838/E1838</f>
        <v>0.381645569620253</v>
      </c>
      <c r="K1844" s="8" t="s">
        <v>557</v>
      </c>
    </row>
    <row r="1845" customFormat="false" ht="17.15" hidden="false" customHeight="false" outlineLevel="0" collapsed="false">
      <c r="A1845" s="0" t="s">
        <v>510</v>
      </c>
      <c r="B1845" s="0" t="s">
        <v>120</v>
      </c>
      <c r="C1845" s="22" t="n">
        <f aca="false">leap25</f>
        <v>1.6</v>
      </c>
      <c r="D1845" s="22" t="n">
        <f aca="false">D1842+D1843+D1844</f>
        <v>4</v>
      </c>
      <c r="E1845" s="22" t="n">
        <f aca="false">E1842+E1843+E1844</f>
        <v>7.24598717923186</v>
      </c>
      <c r="F1845" s="22" t="n">
        <f aca="false">F1842+F1843+F1844</f>
        <v>5.08776770923316</v>
      </c>
      <c r="G1845" s="22" t="n">
        <f aca="false">G1842+G1843+G1844</f>
        <v>6.0011845901394</v>
      </c>
    </row>
    <row r="1846" customFormat="false" ht="17.15" hidden="false" customHeight="false" outlineLevel="0" collapsed="false">
      <c r="A1846" s="4" t="s">
        <v>558</v>
      </c>
      <c r="B1846" s="0" t="s">
        <v>114</v>
      </c>
      <c r="C1846" s="19" t="n">
        <f aca="false">fx25</f>
        <v>31</v>
      </c>
      <c r="D1846" s="19" t="n">
        <f aca="false">a26_leap/D1845</f>
        <v>31.9</v>
      </c>
      <c r="E1846" s="19" t="n">
        <f aca="false">fx</f>
        <v>32</v>
      </c>
      <c r="F1846" s="19" t="n">
        <f aca="false">fx</f>
        <v>32</v>
      </c>
      <c r="G1846" s="19" t="n">
        <f aca="false">fx</f>
        <v>32</v>
      </c>
      <c r="K1846" s="8" t="s">
        <v>559</v>
      </c>
    </row>
    <row r="1847" customFormat="false" ht="17.15" hidden="false" customHeight="false" outlineLevel="0" collapsed="false">
      <c r="A1847" s="6" t="s">
        <v>560</v>
      </c>
    </row>
    <row r="1848" customFormat="false" ht="17.15" hidden="false" customHeight="false" outlineLevel="0" collapsed="false">
      <c r="A1848" s="0" t="s">
        <v>438</v>
      </c>
      <c r="B1848" s="0" t="s">
        <v>234</v>
      </c>
      <c r="C1848" s="30" t="n">
        <f aca="false">a25_leap</f>
        <v>49.6</v>
      </c>
      <c r="D1848" s="30" t="n">
        <f aca="false">a26_leap</f>
        <v>127.6</v>
      </c>
      <c r="E1848" s="30" t="n">
        <f aca="false">E1845*E1846</f>
        <v>231.871589735419</v>
      </c>
      <c r="F1848" s="30" t="n">
        <f aca="false">F1845*F1846</f>
        <v>162.808566695461</v>
      </c>
      <c r="G1848" s="30" t="n">
        <f aca="false">G1845*G1846</f>
        <v>192.037906884461</v>
      </c>
    </row>
    <row r="1849" customFormat="false" ht="15" hidden="false" customHeight="false" outlineLevel="0" collapsed="false">
      <c r="A1849" s="4" t="s">
        <v>561</v>
      </c>
      <c r="B1849" s="0" t="s">
        <v>234</v>
      </c>
      <c r="C1849" s="30" t="n">
        <f aca="false">a25_ms</f>
        <v>339.628</v>
      </c>
      <c r="D1849" s="30" t="n">
        <f aca="false">a26_ms</f>
        <v>432.1302</v>
      </c>
      <c r="E1849" s="30" t="n">
        <f aca="false">D1849*(1+g_ms27)</f>
        <v>496.94973</v>
      </c>
      <c r="F1849" s="30" t="n">
        <f aca="false">E1849*(1+g_msL_hi)</f>
        <v>556.5836976</v>
      </c>
      <c r="G1849" s="30" t="n">
        <f aca="false">F1849*(1+g_msL_hi)</f>
        <v>623.373741312</v>
      </c>
    </row>
    <row r="1850" customFormat="false" ht="17.15" hidden="false" customHeight="false" outlineLevel="0" collapsed="false">
      <c r="A1850" s="4" t="s">
        <v>562</v>
      </c>
      <c r="B1850" s="0" t="s">
        <v>234</v>
      </c>
      <c r="C1850" s="30" t="n">
        <f aca="false">C1848+C1849</f>
        <v>389.228</v>
      </c>
      <c r="D1850" s="30" t="n">
        <f aca="false">D1848+D1849</f>
        <v>559.7302</v>
      </c>
      <c r="E1850" s="30" t="n">
        <f aca="false">E1848+E1849</f>
        <v>728.821319735419</v>
      </c>
      <c r="F1850" s="30" t="n">
        <f aca="false">F1848+F1849</f>
        <v>719.392264295461</v>
      </c>
      <c r="G1850" s="30" t="n">
        <f aca="false">G1848+G1849</f>
        <v>815.411648196461</v>
      </c>
    </row>
    <row r="1851" customFormat="false" ht="17.15" hidden="false" customHeight="false" outlineLevel="0" collapsed="false">
      <c r="A1851" s="0" t="s">
        <v>563</v>
      </c>
      <c r="B1851" s="0" t="s">
        <v>234</v>
      </c>
      <c r="C1851" s="30" t="n">
        <f aca="false">a25_ems</f>
        <v>259.079</v>
      </c>
      <c r="D1851" s="30" t="n">
        <f aca="false">a26_ems</f>
        <v>314.602</v>
      </c>
      <c r="E1851" s="30" t="n">
        <f aca="false">D1851*(1+g_ems27)</f>
        <v>346.0622</v>
      </c>
      <c r="F1851" s="30" t="n">
        <f aca="false">E1851*(1+g_emsL)</f>
        <v>363.36531</v>
      </c>
      <c r="G1851" s="30" t="n">
        <f aca="false">F1851*(1+g_emsL)</f>
        <v>381.5335755</v>
      </c>
    </row>
    <row r="1852" customFormat="false" ht="17.15" hidden="false" customHeight="false" outlineLevel="0" collapsed="false">
      <c r="A1852" s="4" t="s">
        <v>564</v>
      </c>
      <c r="B1852" s="0" t="s">
        <v>234</v>
      </c>
      <c r="C1852" s="30" t="n">
        <f aca="false">a25_elim</f>
        <v>-2.91899999999998</v>
      </c>
      <c r="D1852" s="30" t="n">
        <f aca="false">a26_elim</f>
        <v>-3.16484905982349</v>
      </c>
      <c r="E1852" s="30" t="n">
        <f aca="false">$D1852/($D1850+$D1851)*(E1850+E1851)</f>
        <v>-3.89079127687897</v>
      </c>
      <c r="F1852" s="30" t="n">
        <f aca="false">$D1852/($D1850+$D1851)*(F1850+F1851)</f>
        <v>-3.91929325149611</v>
      </c>
      <c r="G1852" s="30" t="n">
        <f aca="false">$D1852/($D1850+$D1851)*(G1850+G1851)</f>
        <v>-4.33262204671858</v>
      </c>
      <c r="K1852" s="4" t="s">
        <v>565</v>
      </c>
    </row>
    <row r="1853" customFormat="false" ht="17.15" hidden="false" customHeight="false" outlineLevel="0" collapsed="false">
      <c r="A1853" s="4" t="s">
        <v>431</v>
      </c>
      <c r="B1853" s="0" t="s">
        <v>234</v>
      </c>
      <c r="C1853" s="30" t="n">
        <f aca="false">C1850+C1851+C1852</f>
        <v>645.388</v>
      </c>
      <c r="D1853" s="30" t="n">
        <f aca="false">D1850+D1851+D1852</f>
        <v>871.167350940177</v>
      </c>
      <c r="E1853" s="30" t="n">
        <f aca="false">E1850+E1851+E1852</f>
        <v>1070.99272845854</v>
      </c>
      <c r="F1853" s="30" t="n">
        <f aca="false">F1850+F1851+F1852</f>
        <v>1078.83828104397</v>
      </c>
      <c r="G1853" s="30" t="n">
        <f aca="false">G1850+G1851+G1852</f>
        <v>1192.61260164974</v>
      </c>
      <c r="H1853" s="31" t="n">
        <f aca="false">G1853*(1+H1854)</f>
        <v>1284.41199512695</v>
      </c>
      <c r="I1853" s="31" t="n">
        <f aca="false">H1853*(1+I1854)</f>
        <v>1346.68886548032</v>
      </c>
      <c r="J1853" s="31" t="n">
        <f aca="false">I1853*(1+J1854)</f>
        <v>1373.62264278992</v>
      </c>
      <c r="K1853" s="8" t="s">
        <v>566</v>
      </c>
    </row>
    <row r="1854" customFormat="false" ht="15" hidden="false" customHeight="false" outlineLevel="0" collapsed="false">
      <c r="A1854" s="4" t="s">
        <v>567</v>
      </c>
      <c r="B1854" s="0" t="s">
        <v>76</v>
      </c>
      <c r="D1854" s="21" t="n">
        <f aca="false">D1853/C1853-1</f>
        <v>0.349835061916516</v>
      </c>
      <c r="E1854" s="21" t="n">
        <f aca="false">E1853/D1853-1</f>
        <v>0.229376568466104</v>
      </c>
      <c r="F1854" s="21" t="n">
        <f aca="false">F1853/E1853-1</f>
        <v>0.00732549566112994</v>
      </c>
      <c r="G1854" s="21" t="n">
        <f aca="false">G1853/F1853-1</f>
        <v>0.105460032893605</v>
      </c>
      <c r="H1854" s="26" t="n">
        <f aca="false">$G1854+(fade_gC-$G1854)*1/3</f>
        <v>0.0769733552624034</v>
      </c>
      <c r="I1854" s="26" t="n">
        <f aca="false">$G1854+(fade_gC-$G1854)*2/3</f>
        <v>0.0484866776312017</v>
      </c>
      <c r="J1854" s="26" t="n">
        <f aca="false">$G1854+(fade_gC-$G1854)*3/3</f>
        <v>0.02</v>
      </c>
    </row>
    <row r="1855" customFormat="false" ht="17.15" hidden="false" customHeight="false" outlineLevel="0" collapsed="false">
      <c r="A1855" s="0" t="s">
        <v>475</v>
      </c>
      <c r="B1855" s="0" t="s">
        <v>76</v>
      </c>
      <c r="C1855" s="21" t="n">
        <f aca="false">C1848/C1850</f>
        <v>0.127431736668482</v>
      </c>
      <c r="D1855" s="21" t="n">
        <f aca="false">D1848/D1850</f>
        <v>0.227966974088588</v>
      </c>
      <c r="E1855" s="21" t="n">
        <f aca="false">E1848/E1850</f>
        <v>0.31814600294568</v>
      </c>
      <c r="F1855" s="21" t="n">
        <f aca="false">F1848/F1850</f>
        <v>0.226314035854845</v>
      </c>
      <c r="G1855" s="21" t="n">
        <f aca="false">G1848/G1850</f>
        <v>0.235510379707247</v>
      </c>
    </row>
    <row r="1856" customFormat="false" ht="15" hidden="false" customHeight="false" outlineLevel="0" collapsed="false">
      <c r="A1856" s="4" t="s">
        <v>568</v>
      </c>
      <c r="B1856" s="0" t="s">
        <v>76</v>
      </c>
      <c r="D1856" s="21" t="n">
        <f aca="false">D1850/C1850-1</f>
        <v>0.438052247012034</v>
      </c>
      <c r="E1856" s="21" t="n">
        <f aca="false">E1850/D1850-1</f>
        <v>0.302093972659362</v>
      </c>
      <c r="F1856" s="21" t="n">
        <f aca="false">F1850/E1850-1</f>
        <v>-0.0129374034274699</v>
      </c>
      <c r="G1856" s="21" t="n">
        <f aca="false">G1850/F1850-1</f>
        <v>0.133472916886362</v>
      </c>
    </row>
    <row r="1857" customFormat="false" ht="17.15" hidden="false" customHeight="false" outlineLevel="0" collapsed="false">
      <c r="A1857" s="6" t="s">
        <v>569</v>
      </c>
    </row>
    <row r="1858" customFormat="false" ht="17.15" hidden="false" customHeight="false" outlineLevel="0" collapsed="false">
      <c r="A1858" s="4" t="s">
        <v>570</v>
      </c>
      <c r="B1858" s="0" t="s">
        <v>120</v>
      </c>
      <c r="C1858" s="19" t="n">
        <f aca="false">capex25</f>
        <v>5.5</v>
      </c>
      <c r="D1858" s="19" t="n">
        <f aca="false">capex26</f>
        <v>11.5</v>
      </c>
      <c r="E1858" s="19" t="n">
        <f aca="false">capex27</f>
        <v>13</v>
      </c>
      <c r="F1858" s="19" t="n">
        <f aca="false">capi*F1853/F1846</f>
        <v>10.1141088847872</v>
      </c>
      <c r="G1858" s="19" t="n">
        <f aca="false">capi*G1853/G1846</f>
        <v>11.1807431404663</v>
      </c>
      <c r="K1858" s="8" t="s">
        <v>571</v>
      </c>
    </row>
    <row r="1859" customFormat="false" ht="15" hidden="false" customHeight="false" outlineLevel="0" collapsed="false">
      <c r="A1859" s="4" t="s">
        <v>572</v>
      </c>
      <c r="B1859" s="0" t="s">
        <v>234</v>
      </c>
      <c r="C1859" s="30" t="n">
        <f aca="false">C1858*C1846</f>
        <v>170.5</v>
      </c>
      <c r="D1859" s="30" t="n">
        <f aca="false">D1858*31.9</f>
        <v>366.85</v>
      </c>
      <c r="E1859" s="30" t="n">
        <f aca="false">E1858*E1846</f>
        <v>416</v>
      </c>
      <c r="F1859" s="30" t="n">
        <f aca="false">F1858*F1846</f>
        <v>323.65148431319</v>
      </c>
      <c r="G1859" s="30" t="n">
        <f aca="false">G1858*G1846</f>
        <v>357.783780494923</v>
      </c>
    </row>
    <row r="1860" customFormat="false" ht="17.15" hidden="false" customHeight="false" outlineLevel="0" collapsed="false">
      <c r="A1860" s="4" t="s">
        <v>473</v>
      </c>
      <c r="B1860" s="0" t="s">
        <v>76</v>
      </c>
      <c r="C1860" s="21" t="n">
        <f aca="false">C1859/C1853</f>
        <v>0.264182166386732</v>
      </c>
      <c r="D1860" s="21" t="n">
        <f aca="false">D1859/D1853</f>
        <v>0.421101639775745</v>
      </c>
      <c r="E1860" s="21" t="n">
        <f aca="false">E1859/E1853</f>
        <v>0.388424672685445</v>
      </c>
      <c r="F1860" s="21" t="n">
        <f aca="false">F1859/F1853</f>
        <v>0.3</v>
      </c>
      <c r="G1860" s="21" t="n">
        <f aca="false">G1859/G1853</f>
        <v>0.3</v>
      </c>
    </row>
    <row r="1861" customFormat="false" ht="17.15" hidden="false" customHeight="false" outlineLevel="0" collapsed="false">
      <c r="A1861" s="4" t="s">
        <v>573</v>
      </c>
      <c r="B1861" s="0" t="s">
        <v>234</v>
      </c>
      <c r="C1861" s="30" t="n">
        <f aca="false">a25_da</f>
        <v>75.255</v>
      </c>
      <c r="D1861" s="30" t="n">
        <f aca="false">a26_da</f>
        <v>97.124</v>
      </c>
      <c r="E1861" s="30" t="n">
        <f aca="false">D1861*(1-1/life)+D1859/life</f>
        <v>130.83975</v>
      </c>
      <c r="F1861" s="30" t="n">
        <f aca="false">E1861*(1-1/life)+E1859/life</f>
        <v>166.48478125</v>
      </c>
      <c r="G1861" s="30" t="n">
        <f aca="false">F1861*(1-1/life)+F1859/life</f>
        <v>186.130619132899</v>
      </c>
      <c r="K1861" s="4" t="s">
        <v>574</v>
      </c>
    </row>
    <row r="1862" customFormat="false" ht="17.15" hidden="false" customHeight="false" outlineLevel="0" collapsed="false">
      <c r="A1862" s="4" t="s">
        <v>575</v>
      </c>
      <c r="B1862" s="0" t="s">
        <v>234</v>
      </c>
      <c r="C1862" s="30" t="n">
        <f aca="false">a25_agp</f>
        <v>91.38</v>
      </c>
      <c r="D1862" s="30" t="n">
        <f aca="false">a26_agp</f>
        <v>164.623388</v>
      </c>
      <c r="E1862" s="30" t="n">
        <f aca="false">$D1862+ft*(E1850-$D1850)-(E1861-$D1861)</f>
        <v>215.45319786771</v>
      </c>
      <c r="F1862" s="30" t="n">
        <f aca="false">$D1862+ft*(F1850-$D1850)-(F1861-$D1861)</f>
        <v>175.093638897731</v>
      </c>
      <c r="G1862" s="30" t="n">
        <f aca="false">$D1862+ft*(G1850-$D1850)-(G1861-$D1861)</f>
        <v>203.457492965332</v>
      </c>
      <c r="K1862" s="4" t="s">
        <v>576</v>
      </c>
    </row>
    <row r="1863" customFormat="false" ht="15" hidden="false" customHeight="false" outlineLevel="0" collapsed="false">
      <c r="A1863" s="4" t="s">
        <v>447</v>
      </c>
      <c r="B1863" s="0" t="s">
        <v>76</v>
      </c>
      <c r="C1863" s="14" t="n">
        <f aca="false">C1862/C1850</f>
        <v>0.234772421305764</v>
      </c>
      <c r="D1863" s="14" t="n">
        <f aca="false">D1862/D1850</f>
        <v>0.294112034690999</v>
      </c>
      <c r="E1863" s="14" t="n">
        <f aca="false">E1862/E1850</f>
        <v>0.295618681882035</v>
      </c>
      <c r="F1863" s="14" t="n">
        <f aca="false">F1862/F1850</f>
        <v>0.243391050457304</v>
      </c>
      <c r="G1863" s="14" t="n">
        <f aca="false">G1862/G1850</f>
        <v>0.249515068144221</v>
      </c>
    </row>
    <row r="1864" customFormat="false" ht="17.15" hidden="false" customHeight="false" outlineLevel="0" collapsed="false">
      <c r="A1864" s="0" t="s">
        <v>449</v>
      </c>
      <c r="B1864" s="0" t="s">
        <v>234</v>
      </c>
      <c r="C1864" s="30" t="n">
        <f aca="false">a25_egp</f>
        <v>23.695</v>
      </c>
      <c r="D1864" s="30" t="n">
        <f aca="false">a26_egp</f>
        <v>27.00552</v>
      </c>
      <c r="E1864" s="30" t="n">
        <f aca="false">E1851*ems_gm</f>
        <v>29.415287</v>
      </c>
      <c r="F1864" s="30" t="n">
        <f aca="false">F1851*ems_gm</f>
        <v>30.88605135</v>
      </c>
      <c r="G1864" s="30" t="n">
        <f aca="false">G1851*ems_gm</f>
        <v>32.4303539175</v>
      </c>
    </row>
    <row r="1865" customFormat="false" ht="15" hidden="false" customHeight="false" outlineLevel="0" collapsed="false">
      <c r="A1865" s="4" t="s">
        <v>577</v>
      </c>
      <c r="B1865" s="0" t="s">
        <v>234</v>
      </c>
      <c r="C1865" s="30" t="n">
        <f aca="false">a25_lgp</f>
        <v>-0.881999999999998</v>
      </c>
      <c r="D1865" s="30" t="n">
        <f aca="false">a26_lgp</f>
        <v>-0.948662139013863</v>
      </c>
      <c r="E1865" s="30" t="n">
        <f aca="false">$D1865/$D1852*E1852</f>
        <v>-1.16626300509458</v>
      </c>
      <c r="F1865" s="30" t="n">
        <f aca="false">$D1865/$D1852*F1852</f>
        <v>-1.17480645967813</v>
      </c>
      <c r="G1865" s="30" t="n">
        <f aca="false">$D1865/$D1852*G1852</f>
        <v>-1.29870158755941</v>
      </c>
    </row>
    <row r="1866" customFormat="false" ht="15" hidden="false" customHeight="false" outlineLevel="0" collapsed="false">
      <c r="A1866" s="4" t="s">
        <v>451</v>
      </c>
      <c r="B1866" s="0" t="s">
        <v>234</v>
      </c>
      <c r="C1866" s="30" t="n">
        <f aca="false">C1862+C1864+C1865</f>
        <v>114.193</v>
      </c>
      <c r="D1866" s="30" t="n">
        <f aca="false">D1862+D1864+D1865</f>
        <v>190.680245860986</v>
      </c>
      <c r="E1866" s="30" t="n">
        <f aca="false">E1862+E1864+E1865</f>
        <v>243.702221862615</v>
      </c>
      <c r="F1866" s="30" t="n">
        <f aca="false">F1862+F1864+F1865</f>
        <v>204.804883788052</v>
      </c>
      <c r="G1866" s="30" t="n">
        <f aca="false">G1862+G1864+G1865</f>
        <v>234.589145295272</v>
      </c>
    </row>
    <row r="1867" customFormat="false" ht="15" hidden="false" customHeight="false" outlineLevel="0" collapsed="false">
      <c r="A1867" s="4" t="s">
        <v>452</v>
      </c>
      <c r="B1867" s="0" t="s">
        <v>76</v>
      </c>
      <c r="C1867" s="14" t="n">
        <f aca="false">C1866/C1853</f>
        <v>0.176936974347214</v>
      </c>
      <c r="D1867" s="14" t="n">
        <f aca="false">D1866/D1853</f>
        <v>0.218879008327391</v>
      </c>
      <c r="E1867" s="14" t="n">
        <f aca="false">E1866/E1853</f>
        <v>0.227547970576207</v>
      </c>
      <c r="F1867" s="14" t="n">
        <f aca="false">F1866/F1853</f>
        <v>0.189838354261834</v>
      </c>
      <c r="G1867" s="14" t="n">
        <f aca="false">G1866/G1853</f>
        <v>0.196701883722145</v>
      </c>
    </row>
    <row r="1868" customFormat="false" ht="15" hidden="false" customHeight="false" outlineLevel="0" collapsed="false">
      <c r="A1868" s="4" t="s">
        <v>578</v>
      </c>
      <c r="B1868" s="0" t="s">
        <v>234</v>
      </c>
      <c r="C1868" s="30" t="n">
        <f aca="false">a25_opx</f>
        <v>63.437</v>
      </c>
      <c r="D1868" s="30" t="n">
        <f aca="false">a26_opx</f>
        <v>79.658</v>
      </c>
      <c r="E1868" s="30" t="n">
        <f aca="false">D1868*(1+phi*E1854)</f>
        <v>90.6210072145237</v>
      </c>
      <c r="F1868" s="30" t="n">
        <f aca="false">E1868*(1+phi*F1854)</f>
        <v>91.0193134916181</v>
      </c>
      <c r="G1868" s="30" t="n">
        <f aca="false">F1868*(1+phi*G1854)</f>
        <v>96.7786533684857</v>
      </c>
    </row>
    <row r="1869" customFormat="false" ht="15" hidden="false" customHeight="false" outlineLevel="0" collapsed="false">
      <c r="A1869" s="4" t="s">
        <v>455</v>
      </c>
      <c r="B1869" s="0" t="s">
        <v>234</v>
      </c>
      <c r="C1869" s="30" t="n">
        <f aca="false">C1866-C1868</f>
        <v>50.756</v>
      </c>
      <c r="D1869" s="30" t="n">
        <f aca="false">D1866-D1868</f>
        <v>111.022245860986</v>
      </c>
      <c r="E1869" s="30" t="n">
        <f aca="false">E1866-E1868</f>
        <v>153.081214648091</v>
      </c>
      <c r="F1869" s="30" t="n">
        <f aca="false">F1866-F1868</f>
        <v>113.785570296434</v>
      </c>
      <c r="G1869" s="30" t="n">
        <f aca="false">G1866-G1868</f>
        <v>137.810491926787</v>
      </c>
    </row>
    <row r="1870" customFormat="false" ht="15" hidden="false" customHeight="false" outlineLevel="0" collapsed="false">
      <c r="A1870" s="4" t="s">
        <v>537</v>
      </c>
      <c r="B1870" s="0" t="s">
        <v>76</v>
      </c>
      <c r="C1870" s="14" t="n">
        <f aca="false">C1869/C1853</f>
        <v>0.0786441644406156</v>
      </c>
      <c r="D1870" s="14" t="n">
        <f aca="false">D1869/D1853</f>
        <v>0.127440779020437</v>
      </c>
      <c r="E1870" s="14" t="n">
        <f aca="false">E1869/E1853</f>
        <v>0.142933943975902</v>
      </c>
      <c r="F1870" s="14" t="n">
        <f aca="false">F1869/F1853</f>
        <v>0.105470460490452</v>
      </c>
      <c r="G1870" s="14" t="n">
        <f aca="false">G1869/G1853</f>
        <v>0.115553442698956</v>
      </c>
    </row>
    <row r="1871" customFormat="false" ht="15" hidden="false" customHeight="false" outlineLevel="0" collapsed="false">
      <c r="A1871" s="4" t="s">
        <v>456</v>
      </c>
      <c r="B1871" s="0" t="s">
        <v>234</v>
      </c>
      <c r="C1871" s="30" t="n">
        <f aca="false">a25_nonop</f>
        <v>0.545</v>
      </c>
      <c r="D1871" s="30" t="n">
        <f aca="false">a26_nonop</f>
        <v>4.302</v>
      </c>
      <c r="E1871" s="30" t="n">
        <f aca="false">nonop_f</f>
        <v>-5</v>
      </c>
      <c r="F1871" s="30" t="n">
        <f aca="false">nonop_f</f>
        <v>-5</v>
      </c>
      <c r="G1871" s="30" t="n">
        <f aca="false">nonop_f</f>
        <v>-5</v>
      </c>
    </row>
    <row r="1872" customFormat="false" ht="15" hidden="false" customHeight="false" outlineLevel="0" collapsed="false">
      <c r="A1872" s="4" t="s">
        <v>459</v>
      </c>
      <c r="B1872" s="0" t="s">
        <v>234</v>
      </c>
      <c r="C1872" s="30" t="n">
        <f aca="false">C1869+C1871</f>
        <v>51.301</v>
      </c>
      <c r="D1872" s="30" t="n">
        <f aca="false">D1869+D1871</f>
        <v>115.324245860986</v>
      </c>
      <c r="E1872" s="30" t="n">
        <f aca="false">E1869+E1871</f>
        <v>148.081214648091</v>
      </c>
      <c r="F1872" s="30" t="n">
        <f aca="false">F1869+F1871</f>
        <v>108.785570296434</v>
      </c>
      <c r="G1872" s="30" t="n">
        <f aca="false">G1869+G1871</f>
        <v>132.810491926787</v>
      </c>
    </row>
    <row r="1873" customFormat="false" ht="15" hidden="false" customHeight="false" outlineLevel="0" collapsed="false">
      <c r="A1873" s="4" t="s">
        <v>460</v>
      </c>
      <c r="B1873" s="0" t="s">
        <v>234</v>
      </c>
      <c r="C1873" s="30" t="n">
        <f aca="false">a25_tax</f>
        <v>9.461</v>
      </c>
      <c r="D1873" s="30" t="n">
        <f aca="false">a26_tax</f>
        <v>19.2197317963676</v>
      </c>
      <c r="E1873" s="30" t="n">
        <f aca="false">E1872*tax</f>
        <v>25.1738064901755</v>
      </c>
      <c r="F1873" s="30" t="n">
        <f aca="false">F1872*tax</f>
        <v>18.4935469503939</v>
      </c>
      <c r="G1873" s="30" t="n">
        <f aca="false">G1872*tax</f>
        <v>22.5777836275537</v>
      </c>
    </row>
    <row r="1874" customFormat="false" ht="15" hidden="false" customHeight="false" outlineLevel="0" collapsed="false">
      <c r="A1874" s="4" t="s">
        <v>461</v>
      </c>
      <c r="B1874" s="0" t="s">
        <v>234</v>
      </c>
      <c r="C1874" s="30" t="n">
        <f aca="false">a25_nci</f>
        <v>1.182</v>
      </c>
      <c r="D1874" s="30" t="n">
        <f aca="false">a26_nci</f>
        <v>2.543</v>
      </c>
      <c r="E1874" s="30" t="n">
        <f aca="false">nci</f>
        <v>3</v>
      </c>
      <c r="F1874" s="30" t="n">
        <f aca="false">nci</f>
        <v>3</v>
      </c>
      <c r="G1874" s="30" t="n">
        <f aca="false">nci</f>
        <v>3</v>
      </c>
    </row>
    <row r="1875" customFormat="false" ht="15" hidden="false" customHeight="false" outlineLevel="0" collapsed="false">
      <c r="A1875" s="4" t="s">
        <v>462</v>
      </c>
      <c r="B1875" s="0" t="s">
        <v>234</v>
      </c>
      <c r="C1875" s="30" t="n">
        <f aca="false">C1872-C1873-C1874</f>
        <v>40.658</v>
      </c>
      <c r="D1875" s="30" t="n">
        <f aca="false">D1872-D1873-D1874</f>
        <v>93.5615140646185</v>
      </c>
      <c r="E1875" s="30" t="n">
        <f aca="false">E1872-E1873-E1874</f>
        <v>119.907408157916</v>
      </c>
      <c r="F1875" s="30" t="n">
        <f aca="false">F1872-F1873-F1874</f>
        <v>87.2920233460406</v>
      </c>
      <c r="G1875" s="30" t="n">
        <f aca="false">G1872-G1873-G1874</f>
        <v>107.232708299233</v>
      </c>
      <c r="H1875" s="31" t="n">
        <f aca="false">H1853*H1879</f>
        <v>103.382874214461</v>
      </c>
      <c r="I1875" s="31" t="n">
        <f aca="false">I1853*I1879</f>
        <v>95.7047931965383</v>
      </c>
      <c r="J1875" s="31" t="n">
        <f aca="false">J1853*J1879</f>
        <v>84.6743004856716</v>
      </c>
    </row>
    <row r="1876" customFormat="false" ht="15" hidden="false" customHeight="false" outlineLevel="0" collapsed="false">
      <c r="A1876" s="4" t="s">
        <v>579</v>
      </c>
      <c r="B1876" s="4" t="s">
        <v>580</v>
      </c>
      <c r="C1876" s="18" t="n">
        <f aca="false">a25_sh</f>
        <v>4339.16755602988</v>
      </c>
      <c r="D1876" s="18" t="n">
        <f aca="false">a26_sh</f>
        <v>4392.90105184664</v>
      </c>
      <c r="E1876" s="18" t="n">
        <f aca="false">D1876*(1+sh_g)</f>
        <v>4414.86555710588</v>
      </c>
      <c r="F1876" s="18" t="n">
        <f aca="false">E1876*(1+sh_g)</f>
        <v>4436.9398848914</v>
      </c>
      <c r="G1876" s="18" t="n">
        <f aca="false">F1876*(1+sh_g)</f>
        <v>4459.12458431586</v>
      </c>
      <c r="H1876" s="25" t="n">
        <f aca="false">G1876*(1+sh_g)</f>
        <v>4481.42020723744</v>
      </c>
      <c r="I1876" s="25" t="n">
        <f aca="false">H1876*(1+sh_g)</f>
        <v>4503.82730827363</v>
      </c>
      <c r="J1876" s="25" t="n">
        <f aca="false">I1876*(1+sh_g)</f>
        <v>4526.34644481499</v>
      </c>
    </row>
    <row r="1877" customFormat="false" ht="17.15" hidden="false" customHeight="false" outlineLevel="0" collapsed="false">
      <c r="A1877" s="0" t="s">
        <v>465</v>
      </c>
      <c r="B1877" s="0" t="s">
        <v>304</v>
      </c>
      <c r="C1877" s="19" t="n">
        <f aca="false">a25_eps</f>
        <v>9.37</v>
      </c>
      <c r="D1877" s="19" t="n">
        <f aca="false">a26_eps</f>
        <v>21.2828697294455</v>
      </c>
      <c r="E1877" s="19" t="n">
        <f aca="false">E1875/E1876*1000</f>
        <v>27.159922902957</v>
      </c>
      <c r="F1877" s="19" t="n">
        <f aca="false">F1875/F1876*1000</f>
        <v>19.6739251850777</v>
      </c>
      <c r="G1877" s="19" t="n">
        <f aca="false">G1875/G1876*1000</f>
        <v>24.0479283033275</v>
      </c>
      <c r="H1877" s="28" t="n">
        <f aca="false">H1875/H1876*1000</f>
        <v>23.0692212364953</v>
      </c>
      <c r="I1877" s="28" t="n">
        <f aca="false">I1875/I1876*1000</f>
        <v>21.2496587115422</v>
      </c>
      <c r="J1877" s="28" t="n">
        <f aca="false">J1875/J1876*1000</f>
        <v>18.7069862013473</v>
      </c>
    </row>
    <row r="1878" customFormat="false" ht="17.15" hidden="false" customHeight="false" outlineLevel="0" collapsed="false">
      <c r="A1878" s="0" t="s">
        <v>581</v>
      </c>
      <c r="B1878" s="0" t="s">
        <v>76</v>
      </c>
      <c r="D1878" s="21" t="n">
        <f aca="false">D1877/C1877-1</f>
        <v>1.27138417603474</v>
      </c>
      <c r="E1878" s="21" t="n">
        <f aca="false">E1877/D1877-1</f>
        <v>0.276140071720703</v>
      </c>
      <c r="F1878" s="21" t="n">
        <f aca="false">F1877/E1877-1</f>
        <v>-0.275626618846709</v>
      </c>
      <c r="G1878" s="21" t="n">
        <f aca="false">G1877/F1877-1</f>
        <v>0.222324883169091</v>
      </c>
      <c r="H1878" s="26" t="n">
        <f aca="false">H1877/G1877-1</f>
        <v>-0.0406981863255456</v>
      </c>
      <c r="I1878" s="26" t="n">
        <f aca="false">I1877/H1877-1</f>
        <v>-0.0788740333407784</v>
      </c>
      <c r="J1878" s="26" t="n">
        <f aca="false">J1877/I1877-1</f>
        <v>-0.119657098719133</v>
      </c>
    </row>
    <row r="1879" customFormat="false" ht="17.15" hidden="false" customHeight="false" outlineLevel="0" collapsed="false">
      <c r="A1879" s="4" t="s">
        <v>582</v>
      </c>
      <c r="B1879" s="0" t="s">
        <v>76</v>
      </c>
      <c r="C1879" s="14" t="n">
        <f aca="false">C1875/C1853</f>
        <v>0.0629977625862272</v>
      </c>
      <c r="D1879" s="14" t="n">
        <f aca="false">D1875/D1853</f>
        <v>0.107397865592237</v>
      </c>
      <c r="E1879" s="14" t="n">
        <f aca="false">E1875/E1853</f>
        <v>0.111959124438218</v>
      </c>
      <c r="F1879" s="14" t="n">
        <f aca="false">F1875/F1853</f>
        <v>0.0809129828629832</v>
      </c>
      <c r="G1879" s="14" t="n">
        <f aca="false">G1875/G1853</f>
        <v>0.0899141164120669</v>
      </c>
      <c r="H1879" s="27" t="n">
        <f aca="false">$G1879+(fade_mC-$G1879)*1/3</f>
        <v>0.0804904303344218</v>
      </c>
      <c r="I1879" s="27" t="n">
        <f aca="false">$G1879+(fade_mC-$G1879)*2/3</f>
        <v>0.0710667442567766</v>
      </c>
      <c r="J1879" s="27" t="n">
        <f aca="false">$G1879+(fade_mC-$G1879)*3/3</f>
        <v>0.0616430581791315</v>
      </c>
    </row>
    <row r="1880" customFormat="false" ht="17.15" hidden="false" customHeight="false" outlineLevel="0" collapsed="false">
      <c r="A1880" s="4" t="s">
        <v>583</v>
      </c>
      <c r="B1880" s="0" t="s">
        <v>234</v>
      </c>
      <c r="C1880" s="30" t="n">
        <f aca="false">C1875+C1861-C1859</f>
        <v>-54.587</v>
      </c>
      <c r="D1880" s="30" t="n">
        <f aca="false">D1875+D1861-D1859</f>
        <v>-176.164485935382</v>
      </c>
      <c r="E1880" s="30" t="n">
        <f aca="false">E1875+E1861-E1859</f>
        <v>-165.252841842084</v>
      </c>
      <c r="F1880" s="30" t="n">
        <f aca="false">F1875+F1861-F1859</f>
        <v>-69.874679717149</v>
      </c>
      <c r="G1880" s="30" t="n">
        <f aca="false">G1875+G1861-G1859</f>
        <v>-64.4204530627911</v>
      </c>
      <c r="K1880" s="4" t="s">
        <v>584</v>
      </c>
    </row>
    <row r="1881" customFormat="false" ht="17.15" hidden="false" customHeight="false" outlineLevel="0" collapsed="false">
      <c r="A1881" s="4" t="s">
        <v>585</v>
      </c>
      <c r="B1881" s="0" t="s">
        <v>76</v>
      </c>
      <c r="D1881" s="21" t="n">
        <f aca="false">(D1869-$C1869)/SUM($D1859:D1859)</f>
        <v>0.164280348537512</v>
      </c>
      <c r="E1881" s="21" t="n">
        <f aca="false">(E1869-$C1869)/SUM($D1859:E1859)</f>
        <v>0.130708583570405</v>
      </c>
      <c r="F1881" s="21" t="n">
        <f aca="false">(F1869-$C1869)/SUM($D1859:F1859)</f>
        <v>0.0569629333444204</v>
      </c>
      <c r="G1881" s="21" t="n">
        <f aca="false">(G1869-$C1869)/SUM($D1859:G1859)</f>
        <v>0.0594518663944861</v>
      </c>
      <c r="K1881" s="4" t="s">
        <v>586</v>
      </c>
    </row>
    <row r="1884" customFormat="false" ht="17.15" hidden="false" customHeight="false" outlineLevel="0" collapsed="false">
      <c r="A1884" s="1" t="s">
        <v>952</v>
      </c>
    </row>
    <row r="1885" customFormat="false" ht="17.15" hidden="false" customHeight="false" outlineLevel="0" collapsed="false">
      <c r="A1885" s="5" t="s">
        <v>21</v>
      </c>
      <c r="B1885" s="5" t="s">
        <v>22</v>
      </c>
      <c r="C1885" s="15" t="s">
        <v>424</v>
      </c>
      <c r="D1885" s="15" t="s">
        <v>524</v>
      </c>
      <c r="E1885" s="15" t="s">
        <v>525</v>
      </c>
      <c r="F1885" s="15" t="s">
        <v>526</v>
      </c>
      <c r="G1885" s="15" t="s">
        <v>527</v>
      </c>
      <c r="H1885" s="15" t="s">
        <v>528</v>
      </c>
      <c r="I1885" s="15" t="s">
        <v>529</v>
      </c>
      <c r="J1885" s="15" t="s">
        <v>530</v>
      </c>
      <c r="K1885" s="5" t="s">
        <v>382</v>
      </c>
    </row>
    <row r="1886" customFormat="false" ht="17.15" hidden="false" customHeight="false" outlineLevel="0" collapsed="false">
      <c r="A1886" s="6" t="s">
        <v>548</v>
      </c>
    </row>
    <row r="1887" customFormat="false" ht="17.15" hidden="false" customHeight="false" outlineLevel="0" collapsed="false">
      <c r="A1887" s="0" t="s">
        <v>549</v>
      </c>
      <c r="B1887" s="4" t="s">
        <v>32</v>
      </c>
      <c r="D1887" s="19" t="n">
        <f aca="false">units_26</f>
        <v>15.2</v>
      </c>
      <c r="E1887" s="19" t="n">
        <f aca="false">units_27*1</f>
        <v>23.7</v>
      </c>
      <c r="F1887" s="19" t="n">
        <f aca="false">units_28*um28_A*1</f>
        <v>26.5</v>
      </c>
      <c r="G1887" s="19" t="n">
        <f aca="false">units_29*um29_A*1</f>
        <v>30.15</v>
      </c>
    </row>
    <row r="1888" customFormat="false" ht="17.15" hidden="false" customHeight="false" outlineLevel="0" collapsed="false">
      <c r="A1888" s="4" t="s">
        <v>497</v>
      </c>
      <c r="B1888" s="0" t="s">
        <v>45</v>
      </c>
      <c r="D1888" s="22" t="n">
        <f aca="false">ar_26</f>
        <v>1</v>
      </c>
      <c r="E1888" s="22" t="n">
        <f aca="false">ar_27</f>
        <v>1.278156</v>
      </c>
      <c r="F1888" s="22" t="n">
        <f aca="false">ar_28</f>
        <v>1.428615</v>
      </c>
      <c r="G1888" s="22" t="n">
        <f aca="false">ar_29</f>
        <v>1.431796</v>
      </c>
    </row>
    <row r="1889" customFormat="false" ht="17.15" hidden="false" customHeight="false" outlineLevel="0" collapsed="false">
      <c r="A1889" s="4" t="s">
        <v>550</v>
      </c>
      <c r="B1889" s="0" t="s">
        <v>45</v>
      </c>
      <c r="D1889" s="19" t="n">
        <f aca="false">1</f>
        <v>1</v>
      </c>
      <c r="E1889" s="19" t="n">
        <f aca="false">rel27_A</f>
        <v>1.1</v>
      </c>
      <c r="F1889" s="19" t="n">
        <f aca="false">rel28_A</f>
        <v>1.15</v>
      </c>
      <c r="G1889" s="19" t="n">
        <f aca="false">rel29_A</f>
        <v>1.2</v>
      </c>
    </row>
    <row r="1890" customFormat="false" ht="17.15" hidden="false" customHeight="false" outlineLevel="0" collapsed="false">
      <c r="A1890" s="4" t="s">
        <v>551</v>
      </c>
      <c r="B1890" s="0" t="s">
        <v>502</v>
      </c>
      <c r="D1890" s="23" t="n">
        <f aca="false">D1891*1000/D1887</f>
        <v>236.842105263158</v>
      </c>
      <c r="E1890" s="23" t="n">
        <f aca="false">$D1890*E1888^el</f>
        <v>267.763172119488</v>
      </c>
      <c r="F1890" s="23" t="n">
        <f aca="false">$D1890*F1888^el</f>
        <v>283.084777049615</v>
      </c>
      <c r="G1890" s="23" t="n">
        <f aca="false">$D1890*G1888^el</f>
        <v>283.399764630809</v>
      </c>
      <c r="K1890" s="8" t="s">
        <v>552</v>
      </c>
    </row>
    <row r="1891" customFormat="false" ht="17.15" hidden="false" customHeight="false" outlineLevel="0" collapsed="false">
      <c r="A1891" s="0" t="s">
        <v>553</v>
      </c>
      <c r="B1891" s="0" t="s">
        <v>120</v>
      </c>
      <c r="D1891" s="22" t="n">
        <f aca="false">leap26-D1892-D1893</f>
        <v>3.6</v>
      </c>
      <c r="E1891" s="22" t="n">
        <f aca="false">E1887*E1889*E1890/1000</f>
        <v>6.98058589715504</v>
      </c>
      <c r="F1891" s="22" t="n">
        <f aca="false">F1887*F1889*F1890/1000</f>
        <v>8.627008580587</v>
      </c>
      <c r="G1891" s="22" t="n">
        <f aca="false">G1887*G1889*G1890/1000</f>
        <v>10.2534034843427</v>
      </c>
      <c r="K1891" s="8" t="s">
        <v>554</v>
      </c>
    </row>
    <row r="1892" customFormat="false" ht="17.15" hidden="false" customHeight="false" outlineLevel="0" collapsed="false">
      <c r="A1892" s="4" t="s">
        <v>555</v>
      </c>
      <c r="B1892" s="0" t="s">
        <v>120</v>
      </c>
      <c r="D1892" s="22" t="n">
        <f aca="false">fp26</f>
        <v>0.3</v>
      </c>
      <c r="E1892" s="22" t="n">
        <f aca="false">fp27_A</f>
        <v>1.2</v>
      </c>
      <c r="F1892" s="22" t="n">
        <f aca="false">E1892*F1887/E1887*(1+fp_g)</f>
        <v>1.74430379746835</v>
      </c>
      <c r="G1892" s="22" t="n">
        <f aca="false">F1892*G1887/F1887*(1+fp_g)</f>
        <v>2.57992405063291</v>
      </c>
    </row>
    <row r="1893" customFormat="false" ht="17.15" hidden="false" customHeight="false" outlineLevel="0" collapsed="false">
      <c r="A1893" s="0" t="s">
        <v>556</v>
      </c>
      <c r="B1893" s="0" t="s">
        <v>120</v>
      </c>
      <c r="D1893" s="22" t="n">
        <f aca="false">cpo27*cpo_A_26/cpo_A_27</f>
        <v>0.1</v>
      </c>
      <c r="E1893" s="22" t="n">
        <f aca="false">cpo27*cpo_A_27/cpo_A_27</f>
        <v>0.5</v>
      </c>
      <c r="F1893" s="22" t="n">
        <f aca="false">cpo27*cpo_A_28/cpo_A_27*F1887/E1887</f>
        <v>1.11814345991561</v>
      </c>
      <c r="G1893" s="22" t="n">
        <f aca="false">cpo27*cpo_A_29/cpo_A_27*G1887/E1887</f>
        <v>2.03544303797468</v>
      </c>
      <c r="K1893" s="8" t="s">
        <v>557</v>
      </c>
    </row>
    <row r="1894" customFormat="false" ht="17.15" hidden="false" customHeight="false" outlineLevel="0" collapsed="false">
      <c r="A1894" s="0" t="s">
        <v>510</v>
      </c>
      <c r="B1894" s="0" t="s">
        <v>120</v>
      </c>
      <c r="C1894" s="22" t="n">
        <f aca="false">leap25</f>
        <v>1.6</v>
      </c>
      <c r="D1894" s="22" t="n">
        <f aca="false">D1891+D1892+D1893</f>
        <v>4</v>
      </c>
      <c r="E1894" s="22" t="n">
        <f aca="false">E1891+E1892+E1893</f>
        <v>8.68058589715504</v>
      </c>
      <c r="F1894" s="22" t="n">
        <f aca="false">F1891+F1892+F1893</f>
        <v>11.489455837971</v>
      </c>
      <c r="G1894" s="22" t="n">
        <f aca="false">G1891+G1892+G1893</f>
        <v>14.8687705729503</v>
      </c>
    </row>
    <row r="1895" customFormat="false" ht="17.15" hidden="false" customHeight="false" outlineLevel="0" collapsed="false">
      <c r="A1895" s="4" t="s">
        <v>558</v>
      </c>
      <c r="B1895" s="0" t="s">
        <v>114</v>
      </c>
      <c r="C1895" s="19" t="n">
        <f aca="false">fx25</f>
        <v>31</v>
      </c>
      <c r="D1895" s="19" t="n">
        <f aca="false">a26_leap/D1894</f>
        <v>31.9</v>
      </c>
      <c r="E1895" s="19" t="n">
        <f aca="false">fx</f>
        <v>32</v>
      </c>
      <c r="F1895" s="19" t="n">
        <f aca="false">fx</f>
        <v>32</v>
      </c>
      <c r="G1895" s="19" t="n">
        <f aca="false">fx</f>
        <v>32</v>
      </c>
      <c r="K1895" s="8" t="s">
        <v>559</v>
      </c>
    </row>
    <row r="1896" customFormat="false" ht="17.15" hidden="false" customHeight="false" outlineLevel="0" collapsed="false">
      <c r="A1896" s="6" t="s">
        <v>560</v>
      </c>
    </row>
    <row r="1897" customFormat="false" ht="17.15" hidden="false" customHeight="false" outlineLevel="0" collapsed="false">
      <c r="A1897" s="0" t="s">
        <v>438</v>
      </c>
      <c r="B1897" s="0" t="s">
        <v>234</v>
      </c>
      <c r="C1897" s="30" t="n">
        <f aca="false">a25_leap</f>
        <v>49.6</v>
      </c>
      <c r="D1897" s="30" t="n">
        <f aca="false">a26_leap</f>
        <v>127.6</v>
      </c>
      <c r="E1897" s="30" t="n">
        <f aca="false">E1894*E1895</f>
        <v>277.778748708961</v>
      </c>
      <c r="F1897" s="30" t="n">
        <f aca="false">F1894*F1895</f>
        <v>367.662586815071</v>
      </c>
      <c r="G1897" s="30" t="n">
        <f aca="false">G1894*G1895</f>
        <v>475.800658334408</v>
      </c>
    </row>
    <row r="1898" customFormat="false" ht="15" hidden="false" customHeight="false" outlineLevel="0" collapsed="false">
      <c r="A1898" s="4" t="s">
        <v>561</v>
      </c>
      <c r="B1898" s="0" t="s">
        <v>234</v>
      </c>
      <c r="C1898" s="30" t="n">
        <f aca="false">a25_ms</f>
        <v>339.628</v>
      </c>
      <c r="D1898" s="30" t="n">
        <f aca="false">a26_ms</f>
        <v>432.1302</v>
      </c>
      <c r="E1898" s="30" t="n">
        <f aca="false">D1898*(1+g_ms27)</f>
        <v>496.94973</v>
      </c>
      <c r="F1898" s="30" t="n">
        <f aca="false">E1898*(1+g_msL)</f>
        <v>531.7362111</v>
      </c>
      <c r="G1898" s="30" t="n">
        <f aca="false">F1898*(1+g_msL)</f>
        <v>568.957745877</v>
      </c>
    </row>
    <row r="1899" customFormat="false" ht="17.15" hidden="false" customHeight="false" outlineLevel="0" collapsed="false">
      <c r="A1899" s="4" t="s">
        <v>562</v>
      </c>
      <c r="B1899" s="0" t="s">
        <v>234</v>
      </c>
      <c r="C1899" s="30" t="n">
        <f aca="false">C1897+C1898</f>
        <v>389.228</v>
      </c>
      <c r="D1899" s="30" t="n">
        <f aca="false">D1897+D1898</f>
        <v>559.7302</v>
      </c>
      <c r="E1899" s="30" t="n">
        <f aca="false">E1897+E1898</f>
        <v>774.728478708961</v>
      </c>
      <c r="F1899" s="30" t="n">
        <f aca="false">F1897+F1898</f>
        <v>899.398797915071</v>
      </c>
      <c r="G1899" s="30" t="n">
        <f aca="false">G1897+G1898</f>
        <v>1044.75840421141</v>
      </c>
    </row>
    <row r="1900" customFormat="false" ht="17.15" hidden="false" customHeight="false" outlineLevel="0" collapsed="false">
      <c r="A1900" s="0" t="s">
        <v>563</v>
      </c>
      <c r="B1900" s="0" t="s">
        <v>234</v>
      </c>
      <c r="C1900" s="30" t="n">
        <f aca="false">a25_ems</f>
        <v>259.079</v>
      </c>
      <c r="D1900" s="30" t="n">
        <f aca="false">a26_ems</f>
        <v>314.602</v>
      </c>
      <c r="E1900" s="30" t="n">
        <f aca="false">D1900*(1+g_ems27_lo)</f>
        <v>314.602</v>
      </c>
      <c r="F1900" s="30" t="n">
        <f aca="false">E1900*(1+g_emsL)</f>
        <v>330.3321</v>
      </c>
      <c r="G1900" s="30" t="n">
        <f aca="false">F1900*(1+g_emsL)</f>
        <v>346.848705</v>
      </c>
    </row>
    <row r="1901" customFormat="false" ht="17.15" hidden="false" customHeight="false" outlineLevel="0" collapsed="false">
      <c r="A1901" s="4" t="s">
        <v>564</v>
      </c>
      <c r="B1901" s="0" t="s">
        <v>234</v>
      </c>
      <c r="C1901" s="30" t="n">
        <f aca="false">a25_elim</f>
        <v>-2.91899999999998</v>
      </c>
      <c r="D1901" s="30" t="n">
        <f aca="false">a26_elim</f>
        <v>-3.16484905982349</v>
      </c>
      <c r="E1901" s="30" t="n">
        <f aca="false">$D1901/($D1899+$D1900)*(E1899+E1900)</f>
        <v>-3.9430854100754</v>
      </c>
      <c r="F1901" s="30" t="n">
        <f aca="false">$D1901/($D1899+$D1900)*(F1899+F1900)</f>
        <v>-4.45129743145958</v>
      </c>
      <c r="G1901" s="30" t="n">
        <f aca="false">$D1901/($D1899+$D1900)*(G1899+G1900)</f>
        <v>-5.03724608476207</v>
      </c>
      <c r="K1901" s="4" t="s">
        <v>565</v>
      </c>
    </row>
    <row r="1902" customFormat="false" ht="17.15" hidden="false" customHeight="false" outlineLevel="0" collapsed="false">
      <c r="A1902" s="4" t="s">
        <v>431</v>
      </c>
      <c r="B1902" s="0" t="s">
        <v>234</v>
      </c>
      <c r="C1902" s="30" t="n">
        <f aca="false">C1899+C1900+C1901</f>
        <v>645.388</v>
      </c>
      <c r="D1902" s="30" t="n">
        <f aca="false">D1899+D1900+D1901</f>
        <v>871.167350940177</v>
      </c>
      <c r="E1902" s="30" t="n">
        <f aca="false">E1899+E1900+E1901</f>
        <v>1085.38739329889</v>
      </c>
      <c r="F1902" s="30" t="n">
        <f aca="false">F1899+F1900+F1901</f>
        <v>1225.27960048361</v>
      </c>
      <c r="G1902" s="30" t="n">
        <f aca="false">G1899+G1900+G1901</f>
        <v>1386.56986312665</v>
      </c>
      <c r="H1902" s="31" t="n">
        <f aca="false">G1902*(1+H1903)</f>
        <v>1535.98244907914</v>
      </c>
      <c r="I1902" s="31" t="n">
        <f aca="false">H1902*(1+I1903)</f>
        <v>1664.8183403122</v>
      </c>
      <c r="J1902" s="31" t="n">
        <f aca="false">I1902*(1+J1903)</f>
        <v>1764.70744073093</v>
      </c>
      <c r="K1902" s="8" t="s">
        <v>566</v>
      </c>
    </row>
    <row r="1903" customFormat="false" ht="15" hidden="false" customHeight="false" outlineLevel="0" collapsed="false">
      <c r="A1903" s="4" t="s">
        <v>567</v>
      </c>
      <c r="B1903" s="0" t="s">
        <v>76</v>
      </c>
      <c r="D1903" s="21" t="n">
        <f aca="false">D1902/C1902-1</f>
        <v>0.349835061916516</v>
      </c>
      <c r="E1903" s="21" t="n">
        <f aca="false">E1902/D1902-1</f>
        <v>0.245899989396435</v>
      </c>
      <c r="F1903" s="21" t="n">
        <f aca="false">F1902/E1902-1</f>
        <v>0.128886891489998</v>
      </c>
      <c r="G1903" s="21" t="n">
        <f aca="false">G1902/F1902-1</f>
        <v>0.13163547534732</v>
      </c>
      <c r="H1903" s="26" t="n">
        <f aca="false">$G1903+(fade_gA-$G1903)*1/3</f>
        <v>0.10775698356488</v>
      </c>
      <c r="I1903" s="26" t="n">
        <f aca="false">$G1903+(fade_gA-$G1903)*2/3</f>
        <v>0.08387849178244</v>
      </c>
      <c r="J1903" s="26" t="n">
        <f aca="false">$G1903+(fade_gA-$G1903)*3/3</f>
        <v>0.06</v>
      </c>
    </row>
    <row r="1904" customFormat="false" ht="17.15" hidden="false" customHeight="false" outlineLevel="0" collapsed="false">
      <c r="A1904" s="0" t="s">
        <v>475</v>
      </c>
      <c r="B1904" s="0" t="s">
        <v>76</v>
      </c>
      <c r="C1904" s="21" t="n">
        <f aca="false">C1897/C1899</f>
        <v>0.127431736668482</v>
      </c>
      <c r="D1904" s="21" t="n">
        <f aca="false">D1897/D1899</f>
        <v>0.227966974088588</v>
      </c>
      <c r="E1904" s="21" t="n">
        <f aca="false">E1897/E1899</f>
        <v>0.35854980982739</v>
      </c>
      <c r="F1904" s="21" t="n">
        <f aca="false">F1897/F1899</f>
        <v>0.408787056050512</v>
      </c>
      <c r="G1904" s="21" t="n">
        <f aca="false">G1897/G1899</f>
        <v>0.455416923583923</v>
      </c>
    </row>
    <row r="1905" customFormat="false" ht="15" hidden="false" customHeight="false" outlineLevel="0" collapsed="false">
      <c r="A1905" s="4" t="s">
        <v>568</v>
      </c>
      <c r="B1905" s="0" t="s">
        <v>76</v>
      </c>
      <c r="D1905" s="21" t="n">
        <f aca="false">D1899/C1899-1</f>
        <v>0.438052247012034</v>
      </c>
      <c r="E1905" s="21" t="n">
        <f aca="false">E1899/D1899-1</f>
        <v>0.384110556673485</v>
      </c>
      <c r="F1905" s="21" t="n">
        <f aca="false">F1899/E1899-1</f>
        <v>0.160921306796241</v>
      </c>
      <c r="G1905" s="21" t="n">
        <f aca="false">G1899/F1899-1</f>
        <v>0.161618635285371</v>
      </c>
    </row>
    <row r="1906" customFormat="false" ht="17.15" hidden="false" customHeight="false" outlineLevel="0" collapsed="false">
      <c r="A1906" s="6" t="s">
        <v>569</v>
      </c>
    </row>
    <row r="1907" customFormat="false" ht="17.15" hidden="false" customHeight="false" outlineLevel="0" collapsed="false">
      <c r="A1907" s="4" t="s">
        <v>570</v>
      </c>
      <c r="B1907" s="0" t="s">
        <v>120</v>
      </c>
      <c r="C1907" s="19" t="n">
        <f aca="false">capex25</f>
        <v>5.5</v>
      </c>
      <c r="D1907" s="19" t="n">
        <f aca="false">capex26</f>
        <v>11.5</v>
      </c>
      <c r="E1907" s="19" t="n">
        <f aca="false">capex27</f>
        <v>13</v>
      </c>
      <c r="F1907" s="19" t="n">
        <f aca="false">capi*F1902/F1895</f>
        <v>11.4869962545339</v>
      </c>
      <c r="G1907" s="19" t="n">
        <f aca="false">capi*G1902/G1895</f>
        <v>12.9990924668123</v>
      </c>
      <c r="K1907" s="8" t="s">
        <v>571</v>
      </c>
    </row>
    <row r="1908" customFormat="false" ht="15" hidden="false" customHeight="false" outlineLevel="0" collapsed="false">
      <c r="A1908" s="4" t="s">
        <v>572</v>
      </c>
      <c r="B1908" s="0" t="s">
        <v>234</v>
      </c>
      <c r="C1908" s="30" t="n">
        <f aca="false">C1907*C1895</f>
        <v>170.5</v>
      </c>
      <c r="D1908" s="30" t="n">
        <f aca="false">D1907*31.9</f>
        <v>366.85</v>
      </c>
      <c r="E1908" s="30" t="n">
        <f aca="false">E1907*E1895</f>
        <v>416</v>
      </c>
      <c r="F1908" s="30" t="n">
        <f aca="false">F1907*F1895</f>
        <v>367.583880145083</v>
      </c>
      <c r="G1908" s="30" t="n">
        <f aca="false">G1907*G1895</f>
        <v>415.970958937994</v>
      </c>
    </row>
    <row r="1909" customFormat="false" ht="17.15" hidden="false" customHeight="false" outlineLevel="0" collapsed="false">
      <c r="A1909" s="4" t="s">
        <v>473</v>
      </c>
      <c r="B1909" s="0" t="s">
        <v>76</v>
      </c>
      <c r="C1909" s="21" t="n">
        <f aca="false">C1908/C1902</f>
        <v>0.264182166386732</v>
      </c>
      <c r="D1909" s="21" t="n">
        <f aca="false">D1908/D1902</f>
        <v>0.421101639775745</v>
      </c>
      <c r="E1909" s="21" t="n">
        <f aca="false">E1908/E1902</f>
        <v>0.383273292621932</v>
      </c>
      <c r="F1909" s="21" t="n">
        <f aca="false">F1908/F1902</f>
        <v>0.3</v>
      </c>
      <c r="G1909" s="21" t="n">
        <f aca="false">G1908/G1902</f>
        <v>0.3</v>
      </c>
    </row>
    <row r="1910" customFormat="false" ht="17.15" hidden="false" customHeight="false" outlineLevel="0" collapsed="false">
      <c r="A1910" s="4" t="s">
        <v>573</v>
      </c>
      <c r="B1910" s="0" t="s">
        <v>234</v>
      </c>
      <c r="C1910" s="30" t="n">
        <f aca="false">a25_da</f>
        <v>75.255</v>
      </c>
      <c r="D1910" s="30" t="n">
        <f aca="false">a26_da</f>
        <v>97.124</v>
      </c>
      <c r="E1910" s="30" t="n">
        <f aca="false">D1910*(1-1/life)+D1908/life</f>
        <v>130.83975</v>
      </c>
      <c r="F1910" s="30" t="n">
        <f aca="false">E1910*(1-1/life)+E1908/life</f>
        <v>166.48478125</v>
      </c>
      <c r="G1910" s="30" t="n">
        <f aca="false">F1910*(1-1/life)+F1908/life</f>
        <v>191.622168611885</v>
      </c>
      <c r="K1910" s="4" t="s">
        <v>574</v>
      </c>
    </row>
    <row r="1911" customFormat="false" ht="17.15" hidden="false" customHeight="false" outlineLevel="0" collapsed="false">
      <c r="A1911" s="4" t="s">
        <v>575</v>
      </c>
      <c r="B1911" s="0" t="s">
        <v>234</v>
      </c>
      <c r="C1911" s="30" t="n">
        <f aca="false">a25_agp</f>
        <v>91.38</v>
      </c>
      <c r="D1911" s="30" t="n">
        <f aca="false">a26_agp</f>
        <v>164.623388</v>
      </c>
      <c r="E1911" s="30" t="n">
        <f aca="false">$D1911+ft*(E1899-$D1899)-(E1910-$D1910)</f>
        <v>238.406777354481</v>
      </c>
      <c r="F1911" s="30" t="n">
        <f aca="false">$D1911+ft*(F1899-$D1899)-(F1910-$D1910)</f>
        <v>265.096905707536</v>
      </c>
      <c r="G1911" s="30" t="n">
        <f aca="false">$D1911+ft*(G1899-$D1899)-(G1910-$D1910)</f>
        <v>312.639321493819</v>
      </c>
      <c r="K1911" s="4" t="s">
        <v>576</v>
      </c>
    </row>
    <row r="1912" customFormat="false" ht="15" hidden="false" customHeight="false" outlineLevel="0" collapsed="false">
      <c r="A1912" s="4" t="s">
        <v>447</v>
      </c>
      <c r="B1912" s="0" t="s">
        <v>76</v>
      </c>
      <c r="C1912" s="14" t="n">
        <f aca="false">C1911/C1899</f>
        <v>0.234772421305764</v>
      </c>
      <c r="D1912" s="14" t="n">
        <f aca="false">D1911/D1899</f>
        <v>0.294112034690999</v>
      </c>
      <c r="E1912" s="14" t="n">
        <f aca="false">E1911/E1899</f>
        <v>0.307729461232368</v>
      </c>
      <c r="F1912" s="14" t="n">
        <f aca="false">F1911/F1899</f>
        <v>0.294749010474626</v>
      </c>
      <c r="G1912" s="14" t="n">
        <f aca="false">G1911/G1899</f>
        <v>0.299245567428387</v>
      </c>
    </row>
    <row r="1913" customFormat="false" ht="17.15" hidden="false" customHeight="false" outlineLevel="0" collapsed="false">
      <c r="A1913" s="0" t="s">
        <v>449</v>
      </c>
      <c r="B1913" s="0" t="s">
        <v>234</v>
      </c>
      <c r="C1913" s="30" t="n">
        <f aca="false">a25_egp</f>
        <v>23.695</v>
      </c>
      <c r="D1913" s="30" t="n">
        <f aca="false">a26_egp</f>
        <v>27.00552</v>
      </c>
      <c r="E1913" s="30" t="n">
        <f aca="false">E1900*ems_gm</f>
        <v>26.74117</v>
      </c>
      <c r="F1913" s="30" t="n">
        <f aca="false">F1900*ems_gm</f>
        <v>28.0782285</v>
      </c>
      <c r="G1913" s="30" t="n">
        <f aca="false">G1900*ems_gm</f>
        <v>29.482139925</v>
      </c>
    </row>
    <row r="1914" customFormat="false" ht="15" hidden="false" customHeight="false" outlineLevel="0" collapsed="false">
      <c r="A1914" s="4" t="s">
        <v>577</v>
      </c>
      <c r="B1914" s="0" t="s">
        <v>234</v>
      </c>
      <c r="C1914" s="30" t="n">
        <f aca="false">a25_lgp</f>
        <v>-0.881999999999998</v>
      </c>
      <c r="D1914" s="30" t="n">
        <f aca="false">a26_lgp</f>
        <v>-0.948662139013863</v>
      </c>
      <c r="E1914" s="30" t="n">
        <f aca="false">$D1914/$D1901*E1901</f>
        <v>-1.18193814893817</v>
      </c>
      <c r="F1914" s="30" t="n">
        <f aca="false">$D1914/$D1901*F1901</f>
        <v>-1.33427448288825</v>
      </c>
      <c r="G1914" s="30" t="n">
        <f aca="false">$D1914/$D1901*G1901</f>
        <v>-1.50991233868705</v>
      </c>
    </row>
    <row r="1915" customFormat="false" ht="15" hidden="false" customHeight="false" outlineLevel="0" collapsed="false">
      <c r="A1915" s="4" t="s">
        <v>451</v>
      </c>
      <c r="B1915" s="0" t="s">
        <v>234</v>
      </c>
      <c r="C1915" s="30" t="n">
        <f aca="false">C1911+C1913+C1914</f>
        <v>114.193</v>
      </c>
      <c r="D1915" s="30" t="n">
        <f aca="false">D1911+D1913+D1914</f>
        <v>190.680245860986</v>
      </c>
      <c r="E1915" s="30" t="n">
        <f aca="false">E1911+E1913+E1914</f>
        <v>263.966009205543</v>
      </c>
      <c r="F1915" s="30" t="n">
        <f aca="false">F1911+F1913+F1914</f>
        <v>291.840859724647</v>
      </c>
      <c r="G1915" s="30" t="n">
        <f aca="false">G1911+G1913+G1914</f>
        <v>340.611549080132</v>
      </c>
    </row>
    <row r="1916" customFormat="false" ht="15" hidden="false" customHeight="false" outlineLevel="0" collapsed="false">
      <c r="A1916" s="4" t="s">
        <v>452</v>
      </c>
      <c r="B1916" s="0" t="s">
        <v>76</v>
      </c>
      <c r="C1916" s="14" t="n">
        <f aca="false">C1915/C1902</f>
        <v>0.176936974347214</v>
      </c>
      <c r="D1916" s="14" t="n">
        <f aca="false">D1915/D1902</f>
        <v>0.218879008327391</v>
      </c>
      <c r="E1916" s="14" t="n">
        <f aca="false">E1915/E1902</f>
        <v>0.243199811270383</v>
      </c>
      <c r="F1916" s="14" t="n">
        <f aca="false">F1915/F1902</f>
        <v>0.238183072344842</v>
      </c>
      <c r="G1916" s="14" t="n">
        <f aca="false">G1915/G1902</f>
        <v>0.245650477583632</v>
      </c>
    </row>
    <row r="1917" customFormat="false" ht="15" hidden="false" customHeight="false" outlineLevel="0" collapsed="false">
      <c r="A1917" s="4" t="s">
        <v>578</v>
      </c>
      <c r="B1917" s="0" t="s">
        <v>234</v>
      </c>
      <c r="C1917" s="30" t="n">
        <f aca="false">a25_opx</f>
        <v>63.437</v>
      </c>
      <c r="D1917" s="30" t="n">
        <f aca="false">a26_opx</f>
        <v>79.658</v>
      </c>
      <c r="E1917" s="30" t="n">
        <f aca="false">D1917*(1+phi*E1903)</f>
        <v>91.4107408132047</v>
      </c>
      <c r="F1917" s="30" t="n">
        <f aca="false">E1917*(1+phi*F1903)</f>
        <v>98.4797285525318</v>
      </c>
      <c r="G1917" s="30" t="n">
        <f aca="false">F1917*(1+phi*G1903)</f>
        <v>106.257784080584</v>
      </c>
    </row>
    <row r="1918" customFormat="false" ht="15" hidden="false" customHeight="false" outlineLevel="0" collapsed="false">
      <c r="A1918" s="4" t="s">
        <v>455</v>
      </c>
      <c r="B1918" s="0" t="s">
        <v>234</v>
      </c>
      <c r="C1918" s="30" t="n">
        <f aca="false">C1915-C1917</f>
        <v>50.756</v>
      </c>
      <c r="D1918" s="30" t="n">
        <f aca="false">D1915-D1917</f>
        <v>111.022245860986</v>
      </c>
      <c r="E1918" s="30" t="n">
        <f aca="false">E1915-E1917</f>
        <v>172.555268392338</v>
      </c>
      <c r="F1918" s="30" t="n">
        <f aca="false">F1915-F1917</f>
        <v>193.361131172116</v>
      </c>
      <c r="G1918" s="30" t="n">
        <f aca="false">G1915-G1917</f>
        <v>234.353764999547</v>
      </c>
    </row>
    <row r="1919" customFormat="false" ht="15" hidden="false" customHeight="false" outlineLevel="0" collapsed="false">
      <c r="A1919" s="4" t="s">
        <v>537</v>
      </c>
      <c r="B1919" s="0" t="s">
        <v>76</v>
      </c>
      <c r="C1919" s="14" t="n">
        <f aca="false">C1918/C1902</f>
        <v>0.0786441644406156</v>
      </c>
      <c r="D1919" s="14" t="n">
        <f aca="false">D1918/D1902</f>
        <v>0.127440779020437</v>
      </c>
      <c r="E1919" s="14" t="n">
        <f aca="false">E1918/E1902</f>
        <v>0.158980350663444</v>
      </c>
      <c r="F1919" s="14" t="n">
        <f aca="false">F1918/F1902</f>
        <v>0.157809802020532</v>
      </c>
      <c r="G1919" s="14" t="n">
        <f aca="false">G1918/G1902</f>
        <v>0.169016918102555</v>
      </c>
    </row>
    <row r="1920" customFormat="false" ht="15" hidden="false" customHeight="false" outlineLevel="0" collapsed="false">
      <c r="A1920" s="4" t="s">
        <v>456</v>
      </c>
      <c r="B1920" s="0" t="s">
        <v>234</v>
      </c>
      <c r="C1920" s="30" t="n">
        <f aca="false">a25_nonop</f>
        <v>0.545</v>
      </c>
      <c r="D1920" s="30" t="n">
        <f aca="false">a26_nonop</f>
        <v>4.302</v>
      </c>
      <c r="E1920" s="30" t="n">
        <f aca="false">nonop_f</f>
        <v>-5</v>
      </c>
      <c r="F1920" s="30" t="n">
        <f aca="false">nonop_f</f>
        <v>-5</v>
      </c>
      <c r="G1920" s="30" t="n">
        <f aca="false">nonop_f</f>
        <v>-5</v>
      </c>
    </row>
    <row r="1921" customFormat="false" ht="15" hidden="false" customHeight="false" outlineLevel="0" collapsed="false">
      <c r="A1921" s="4" t="s">
        <v>459</v>
      </c>
      <c r="B1921" s="0" t="s">
        <v>234</v>
      </c>
      <c r="C1921" s="30" t="n">
        <f aca="false">C1918+C1920</f>
        <v>51.301</v>
      </c>
      <c r="D1921" s="30" t="n">
        <f aca="false">D1918+D1920</f>
        <v>115.324245860986</v>
      </c>
      <c r="E1921" s="30" t="n">
        <f aca="false">E1918+E1920</f>
        <v>167.555268392338</v>
      </c>
      <c r="F1921" s="30" t="n">
        <f aca="false">F1918+F1920</f>
        <v>188.361131172116</v>
      </c>
      <c r="G1921" s="30" t="n">
        <f aca="false">G1918+G1920</f>
        <v>229.353764999547</v>
      </c>
    </row>
    <row r="1922" customFormat="false" ht="15" hidden="false" customHeight="false" outlineLevel="0" collapsed="false">
      <c r="A1922" s="4" t="s">
        <v>460</v>
      </c>
      <c r="B1922" s="0" t="s">
        <v>234</v>
      </c>
      <c r="C1922" s="30" t="n">
        <f aca="false">a25_tax</f>
        <v>9.461</v>
      </c>
      <c r="D1922" s="30" t="n">
        <f aca="false">a26_tax</f>
        <v>19.2197317963676</v>
      </c>
      <c r="E1922" s="30" t="n">
        <f aca="false">E1921*tax</f>
        <v>28.4843956266974</v>
      </c>
      <c r="F1922" s="30" t="n">
        <f aca="false">F1921*tax</f>
        <v>32.0213922992596</v>
      </c>
      <c r="G1922" s="30" t="n">
        <f aca="false">G1921*tax</f>
        <v>38.9901400499231</v>
      </c>
    </row>
    <row r="1923" customFormat="false" ht="15" hidden="false" customHeight="false" outlineLevel="0" collapsed="false">
      <c r="A1923" s="4" t="s">
        <v>461</v>
      </c>
      <c r="B1923" s="0" t="s">
        <v>234</v>
      </c>
      <c r="C1923" s="30" t="n">
        <f aca="false">a25_nci</f>
        <v>1.182</v>
      </c>
      <c r="D1923" s="30" t="n">
        <f aca="false">a26_nci</f>
        <v>2.543</v>
      </c>
      <c r="E1923" s="30" t="n">
        <f aca="false">nci</f>
        <v>3</v>
      </c>
      <c r="F1923" s="30" t="n">
        <f aca="false">nci</f>
        <v>3</v>
      </c>
      <c r="G1923" s="30" t="n">
        <f aca="false">nci</f>
        <v>3</v>
      </c>
    </row>
    <row r="1924" customFormat="false" ht="15" hidden="false" customHeight="false" outlineLevel="0" collapsed="false">
      <c r="A1924" s="4" t="s">
        <v>462</v>
      </c>
      <c r="B1924" s="0" t="s">
        <v>234</v>
      </c>
      <c r="C1924" s="30" t="n">
        <f aca="false">C1921-C1922-C1923</f>
        <v>40.658</v>
      </c>
      <c r="D1924" s="30" t="n">
        <f aca="false">D1921-D1922-D1923</f>
        <v>93.5615140646185</v>
      </c>
      <c r="E1924" s="30" t="n">
        <f aca="false">E1921-E1922-E1923</f>
        <v>136.07087276564</v>
      </c>
      <c r="F1924" s="30" t="n">
        <f aca="false">F1921-F1922-F1923</f>
        <v>153.339738872856</v>
      </c>
      <c r="G1924" s="30" t="n">
        <f aca="false">G1921-G1922-G1923</f>
        <v>187.363624949624</v>
      </c>
      <c r="H1924" s="31" t="n">
        <f aca="false">H1902*H1928</f>
        <v>205.852725656245</v>
      </c>
      <c r="I1924" s="31" t="n">
        <f aca="false">I1902*I1928</f>
        <v>221.276056486188</v>
      </c>
      <c r="J1924" s="31" t="n">
        <f aca="false">J1902*J1928</f>
        <v>232.598737428307</v>
      </c>
    </row>
    <row r="1925" customFormat="false" ht="15" hidden="false" customHeight="false" outlineLevel="0" collapsed="false">
      <c r="A1925" s="4" t="s">
        <v>579</v>
      </c>
      <c r="B1925" s="4" t="s">
        <v>580</v>
      </c>
      <c r="C1925" s="18" t="n">
        <f aca="false">a25_sh</f>
        <v>4339.16755602988</v>
      </c>
      <c r="D1925" s="18" t="n">
        <f aca="false">a26_sh</f>
        <v>4392.90105184664</v>
      </c>
      <c r="E1925" s="18" t="n">
        <f aca="false">D1925*(1+sh_g)</f>
        <v>4414.86555710588</v>
      </c>
      <c r="F1925" s="18" t="n">
        <f aca="false">E1925*(1+sh_g)</f>
        <v>4436.9398848914</v>
      </c>
      <c r="G1925" s="18" t="n">
        <f aca="false">F1925*(1+sh_g)</f>
        <v>4459.12458431586</v>
      </c>
      <c r="H1925" s="25" t="n">
        <f aca="false">G1925*(1+sh_g)</f>
        <v>4481.42020723744</v>
      </c>
      <c r="I1925" s="25" t="n">
        <f aca="false">H1925*(1+sh_g)</f>
        <v>4503.82730827363</v>
      </c>
      <c r="J1925" s="25" t="n">
        <f aca="false">I1925*(1+sh_g)</f>
        <v>4526.34644481499</v>
      </c>
    </row>
    <row r="1926" customFormat="false" ht="17.15" hidden="false" customHeight="false" outlineLevel="0" collapsed="false">
      <c r="A1926" s="0" t="s">
        <v>465</v>
      </c>
      <c r="B1926" s="0" t="s">
        <v>304</v>
      </c>
      <c r="C1926" s="19" t="n">
        <f aca="false">a25_eps</f>
        <v>9.37</v>
      </c>
      <c r="D1926" s="19" t="n">
        <f aca="false">a26_eps</f>
        <v>21.2828697294455</v>
      </c>
      <c r="E1926" s="19" t="n">
        <f aca="false">E1924/E1925*1000</f>
        <v>30.821068276163</v>
      </c>
      <c r="F1926" s="19" t="n">
        <f aca="false">F1924/F1925*1000</f>
        <v>34.5597963576216</v>
      </c>
      <c r="G1926" s="19" t="n">
        <f aca="false">G1924/G1925*1000</f>
        <v>42.0180287423771</v>
      </c>
      <c r="H1926" s="28" t="n">
        <f aca="false">H1924/H1925*1000</f>
        <v>45.9347073331341</v>
      </c>
      <c r="I1926" s="28" t="n">
        <f aca="false">I1924/I1925*1000</f>
        <v>49.1306707252516</v>
      </c>
      <c r="J1926" s="28" t="n">
        <f aca="false">J1924/J1925*1000</f>
        <v>51.3877451194114</v>
      </c>
    </row>
    <row r="1927" customFormat="false" ht="17.15" hidden="false" customHeight="false" outlineLevel="0" collapsed="false">
      <c r="A1927" s="0" t="s">
        <v>581</v>
      </c>
      <c r="B1927" s="0" t="s">
        <v>76</v>
      </c>
      <c r="D1927" s="21" t="n">
        <f aca="false">D1926/C1926-1</f>
        <v>1.27138417603474</v>
      </c>
      <c r="E1927" s="21" t="n">
        <f aca="false">E1926/D1926-1</f>
        <v>0.448163178554865</v>
      </c>
      <c r="F1927" s="21" t="n">
        <f aca="false">F1926/E1926-1</f>
        <v>0.121304298993107</v>
      </c>
      <c r="G1927" s="21" t="n">
        <f aca="false">G1926/F1926-1</f>
        <v>0.215806606832357</v>
      </c>
      <c r="H1927" s="26" t="n">
        <f aca="false">H1926/G1926-1</f>
        <v>0.0932142394106843</v>
      </c>
      <c r="I1927" s="26" t="n">
        <f aca="false">I1926/H1926-1</f>
        <v>0.0695762219390939</v>
      </c>
      <c r="J1927" s="26" t="n">
        <f aca="false">J1926/I1926-1</f>
        <v>0.0459402316484105</v>
      </c>
    </row>
    <row r="1928" customFormat="false" ht="17.15" hidden="false" customHeight="false" outlineLevel="0" collapsed="false">
      <c r="A1928" s="4" t="s">
        <v>582</v>
      </c>
      <c r="B1928" s="0" t="s">
        <v>76</v>
      </c>
      <c r="C1928" s="14" t="n">
        <f aca="false">C1924/C1902</f>
        <v>0.0629977625862272</v>
      </c>
      <c r="D1928" s="14" t="n">
        <f aca="false">D1924/D1902</f>
        <v>0.107397865592237</v>
      </c>
      <c r="E1928" s="14" t="n">
        <f aca="false">E1924/E1902</f>
        <v>0.125366181333719</v>
      </c>
      <c r="F1928" s="14" t="n">
        <f aca="false">F1924/F1902</f>
        <v>0.125146732886382</v>
      </c>
      <c r="G1928" s="14" t="n">
        <f aca="false">G1924/G1902</f>
        <v>0.135127432040913</v>
      </c>
      <c r="H1928" s="27" t="n">
        <f aca="false">$G1928+(fade_mA-$G1928)*1/3</f>
        <v>0.13402023296533</v>
      </c>
      <c r="I1928" s="27" t="n">
        <f aca="false">$G1928+(fade_mA-$G1928)*2/3</f>
        <v>0.132913033889747</v>
      </c>
      <c r="J1928" s="27" t="n">
        <f aca="false">$G1928+(fade_mA-$G1928)*3/3</f>
        <v>0.131805834814164</v>
      </c>
    </row>
    <row r="1929" customFormat="false" ht="17.15" hidden="false" customHeight="false" outlineLevel="0" collapsed="false">
      <c r="A1929" s="4" t="s">
        <v>583</v>
      </c>
      <c r="B1929" s="0" t="s">
        <v>234</v>
      </c>
      <c r="C1929" s="30" t="n">
        <f aca="false">C1924+C1910-C1908</f>
        <v>-54.587</v>
      </c>
      <c r="D1929" s="30" t="n">
        <f aca="false">D1924+D1910-D1908</f>
        <v>-176.164485935382</v>
      </c>
      <c r="E1929" s="30" t="n">
        <f aca="false">E1924+E1910-E1908</f>
        <v>-149.08937723436</v>
      </c>
      <c r="F1929" s="30" t="n">
        <f aca="false">F1924+F1910-F1908</f>
        <v>-47.7593600222276</v>
      </c>
      <c r="G1929" s="30" t="n">
        <f aca="false">G1924+G1910-G1908</f>
        <v>-36.9851653764842</v>
      </c>
      <c r="K1929" s="4" t="s">
        <v>584</v>
      </c>
    </row>
    <row r="1930" customFormat="false" ht="17.15" hidden="false" customHeight="false" outlineLevel="0" collapsed="false">
      <c r="A1930" s="4" t="s">
        <v>585</v>
      </c>
      <c r="B1930" s="0" t="s">
        <v>76</v>
      </c>
      <c r="D1930" s="21" t="n">
        <f aca="false">(D1918-$C1918)/SUM($D1908:D1908)</f>
        <v>0.164280348537512</v>
      </c>
      <c r="E1930" s="21" t="n">
        <f aca="false">(E1918-$C1918)/SUM($D1908:E1908)</f>
        <v>0.155584426636441</v>
      </c>
      <c r="F1930" s="21" t="n">
        <f aca="false">(F1918-$C1918)/SUM($D1908:F1908)</f>
        <v>0.123957694251956</v>
      </c>
      <c r="G1930" s="21" t="n">
        <f aca="false">(G1918-$C1918)/SUM($D1908:G1908)</f>
        <v>0.117209651310206</v>
      </c>
      <c r="K1930" s="4" t="s">
        <v>586</v>
      </c>
    </row>
    <row r="1933" customFormat="false" ht="17.15" hidden="false" customHeight="false" outlineLevel="0" collapsed="false">
      <c r="A1933" s="1" t="s">
        <v>953</v>
      </c>
    </row>
    <row r="1934" customFormat="false" ht="17.15" hidden="false" customHeight="false" outlineLevel="0" collapsed="false">
      <c r="A1934" s="5" t="s">
        <v>21</v>
      </c>
      <c r="B1934" s="5" t="s">
        <v>22</v>
      </c>
      <c r="C1934" s="15" t="s">
        <v>424</v>
      </c>
      <c r="D1934" s="15" t="s">
        <v>524</v>
      </c>
      <c r="E1934" s="15" t="s">
        <v>525</v>
      </c>
      <c r="F1934" s="15" t="s">
        <v>526</v>
      </c>
      <c r="G1934" s="15" t="s">
        <v>527</v>
      </c>
      <c r="H1934" s="15" t="s">
        <v>528</v>
      </c>
      <c r="I1934" s="15" t="s">
        <v>529</v>
      </c>
      <c r="J1934" s="15" t="s">
        <v>530</v>
      </c>
      <c r="K1934" s="5" t="s">
        <v>382</v>
      </c>
    </row>
    <row r="1935" customFormat="false" ht="17.15" hidden="false" customHeight="false" outlineLevel="0" collapsed="false">
      <c r="A1935" s="6" t="s">
        <v>548</v>
      </c>
    </row>
    <row r="1936" customFormat="false" ht="17.15" hidden="false" customHeight="false" outlineLevel="0" collapsed="false">
      <c r="A1936" s="0" t="s">
        <v>549</v>
      </c>
      <c r="B1936" s="4" t="s">
        <v>32</v>
      </c>
      <c r="D1936" s="19" t="n">
        <f aca="false">units_26</f>
        <v>15.2</v>
      </c>
      <c r="E1936" s="19" t="n">
        <f aca="false">units_27*1</f>
        <v>23.7</v>
      </c>
      <c r="F1936" s="19" t="n">
        <f aca="false">units_28*um28_B*1</f>
        <v>21.2</v>
      </c>
      <c r="G1936" s="19" t="n">
        <f aca="false">units_29*um29_B*1</f>
        <v>25.6275</v>
      </c>
    </row>
    <row r="1937" customFormat="false" ht="17.15" hidden="false" customHeight="false" outlineLevel="0" collapsed="false">
      <c r="A1937" s="4" t="s">
        <v>497</v>
      </c>
      <c r="B1937" s="0" t="s">
        <v>45</v>
      </c>
      <c r="D1937" s="22" t="n">
        <f aca="false">ar_26</f>
        <v>1</v>
      </c>
      <c r="E1937" s="22" t="n">
        <f aca="false">ar_27</f>
        <v>1.278156</v>
      </c>
      <c r="F1937" s="22" t="n">
        <f aca="false">ar_28</f>
        <v>1.428615</v>
      </c>
      <c r="G1937" s="22" t="n">
        <f aca="false">ar_29</f>
        <v>1.431796</v>
      </c>
    </row>
    <row r="1938" customFormat="false" ht="17.15" hidden="false" customHeight="false" outlineLevel="0" collapsed="false">
      <c r="A1938" s="4" t="s">
        <v>550</v>
      </c>
      <c r="B1938" s="0" t="s">
        <v>45</v>
      </c>
      <c r="D1938" s="19" t="n">
        <f aca="false">1</f>
        <v>1</v>
      </c>
      <c r="E1938" s="19" t="n">
        <f aca="false">rel27_B</f>
        <v>1.05</v>
      </c>
      <c r="F1938" s="19" t="n">
        <f aca="false">rel28_B</f>
        <v>1.08</v>
      </c>
      <c r="G1938" s="19" t="n">
        <f aca="false">rel29_B</f>
        <v>1.1</v>
      </c>
    </row>
    <row r="1939" customFormat="false" ht="17.15" hidden="false" customHeight="false" outlineLevel="0" collapsed="false">
      <c r="A1939" s="4" t="s">
        <v>551</v>
      </c>
      <c r="B1939" s="0" t="s">
        <v>502</v>
      </c>
      <c r="D1939" s="23" t="n">
        <f aca="false">D1940*1000/D1936</f>
        <v>236.842105263158</v>
      </c>
      <c r="E1939" s="23" t="n">
        <f aca="false">$D1939*E1937^el</f>
        <v>267.763172119488</v>
      </c>
      <c r="F1939" s="23" t="n">
        <f aca="false">$D1939*F1937^el</f>
        <v>283.084777049615</v>
      </c>
      <c r="G1939" s="23" t="n">
        <f aca="false">$D1939*G1937^el</f>
        <v>283.399764630809</v>
      </c>
      <c r="K1939" s="8" t="s">
        <v>552</v>
      </c>
    </row>
    <row r="1940" customFormat="false" ht="17.15" hidden="false" customHeight="false" outlineLevel="0" collapsed="false">
      <c r="A1940" s="0" t="s">
        <v>553</v>
      </c>
      <c r="B1940" s="0" t="s">
        <v>120</v>
      </c>
      <c r="D1940" s="22" t="n">
        <f aca="false">leap26-D1941-D1942</f>
        <v>3.6</v>
      </c>
      <c r="E1940" s="22" t="n">
        <f aca="false">E1936*E1938*E1939/1000</f>
        <v>6.66328653819345</v>
      </c>
      <c r="F1940" s="22" t="n">
        <f aca="false">F1936*F1938*F1939/1000</f>
        <v>6.48150905532798</v>
      </c>
      <c r="G1940" s="22" t="n">
        <f aca="false">G1936*G1938*G1939/1000</f>
        <v>7.98911021488366</v>
      </c>
      <c r="K1940" s="8" t="s">
        <v>554</v>
      </c>
    </row>
    <row r="1941" customFormat="false" ht="17.15" hidden="false" customHeight="false" outlineLevel="0" collapsed="false">
      <c r="A1941" s="4" t="s">
        <v>555</v>
      </c>
      <c r="B1941" s="0" t="s">
        <v>120</v>
      </c>
      <c r="D1941" s="22" t="n">
        <f aca="false">fp26</f>
        <v>0.3</v>
      </c>
      <c r="E1941" s="22" t="n">
        <f aca="false">fp27_B</f>
        <v>1</v>
      </c>
      <c r="F1941" s="22" t="n">
        <f aca="false">E1941*F1936/E1936*(1+fp_g)</f>
        <v>1.16286919831224</v>
      </c>
      <c r="G1941" s="22" t="n">
        <f aca="false">F1941*G1936/F1936*(1+fp_g)</f>
        <v>1.82744620253165</v>
      </c>
    </row>
    <row r="1942" customFormat="false" ht="17.15" hidden="false" customHeight="false" outlineLevel="0" collapsed="false">
      <c r="A1942" s="0" t="s">
        <v>556</v>
      </c>
      <c r="B1942" s="0" t="s">
        <v>120</v>
      </c>
      <c r="D1942" s="22" t="n">
        <f aca="false">cpo27*cpo_B_26/cpo_A_27</f>
        <v>0.1</v>
      </c>
      <c r="E1942" s="22" t="n">
        <f aca="false">cpo27*cpo_B_27/cpo_A_27</f>
        <v>0.3</v>
      </c>
      <c r="F1942" s="22" t="n">
        <f aca="false">cpo27*cpo_B_28/cpo_A_27*F1936/E1936</f>
        <v>0.447257383966245</v>
      </c>
      <c r="G1942" s="22" t="n">
        <f aca="false">cpo27*cpo_B_29/cpo_A_27*G1936/E1936</f>
        <v>0.86506329113924</v>
      </c>
      <c r="K1942" s="8" t="s">
        <v>557</v>
      </c>
    </row>
    <row r="1943" customFormat="false" ht="17.15" hidden="false" customHeight="false" outlineLevel="0" collapsed="false">
      <c r="A1943" s="0" t="s">
        <v>510</v>
      </c>
      <c r="B1943" s="0" t="s">
        <v>120</v>
      </c>
      <c r="C1943" s="22" t="n">
        <f aca="false">leap25</f>
        <v>1.6</v>
      </c>
      <c r="D1943" s="22" t="n">
        <f aca="false">D1940+D1941+D1942</f>
        <v>4</v>
      </c>
      <c r="E1943" s="22" t="n">
        <f aca="false">E1940+E1941+E1942</f>
        <v>7.96328653819345</v>
      </c>
      <c r="F1943" s="22" t="n">
        <f aca="false">F1940+F1941+F1942</f>
        <v>8.09163563760646</v>
      </c>
      <c r="G1943" s="22" t="n">
        <f aca="false">G1940+G1941+G1942</f>
        <v>10.6816197085545</v>
      </c>
    </row>
    <row r="1944" customFormat="false" ht="17.15" hidden="false" customHeight="false" outlineLevel="0" collapsed="false">
      <c r="A1944" s="4" t="s">
        <v>558</v>
      </c>
      <c r="B1944" s="0" t="s">
        <v>114</v>
      </c>
      <c r="C1944" s="19" t="n">
        <f aca="false">fx25</f>
        <v>31</v>
      </c>
      <c r="D1944" s="19" t="n">
        <f aca="false">a26_leap/D1943</f>
        <v>31.9</v>
      </c>
      <c r="E1944" s="19" t="n">
        <f aca="false">fx</f>
        <v>32</v>
      </c>
      <c r="F1944" s="19" t="n">
        <f aca="false">fx</f>
        <v>32</v>
      </c>
      <c r="G1944" s="19" t="n">
        <f aca="false">fx</f>
        <v>32</v>
      </c>
      <c r="K1944" s="8" t="s">
        <v>559</v>
      </c>
    </row>
    <row r="1945" customFormat="false" ht="17.15" hidden="false" customHeight="false" outlineLevel="0" collapsed="false">
      <c r="A1945" s="6" t="s">
        <v>560</v>
      </c>
    </row>
    <row r="1946" customFormat="false" ht="17.15" hidden="false" customHeight="false" outlineLevel="0" collapsed="false">
      <c r="A1946" s="0" t="s">
        <v>438</v>
      </c>
      <c r="B1946" s="0" t="s">
        <v>234</v>
      </c>
      <c r="C1946" s="30" t="n">
        <f aca="false">a25_leap</f>
        <v>49.6</v>
      </c>
      <c r="D1946" s="30" t="n">
        <f aca="false">a26_leap</f>
        <v>127.6</v>
      </c>
      <c r="E1946" s="30" t="n">
        <f aca="false">E1943*E1944</f>
        <v>254.82516922219</v>
      </c>
      <c r="F1946" s="30" t="n">
        <f aca="false">F1943*F1944</f>
        <v>258.932340403407</v>
      </c>
      <c r="G1946" s="30" t="n">
        <f aca="false">G1943*G1944</f>
        <v>341.811830673745</v>
      </c>
    </row>
    <row r="1947" customFormat="false" ht="15" hidden="false" customHeight="false" outlineLevel="0" collapsed="false">
      <c r="A1947" s="4" t="s">
        <v>561</v>
      </c>
      <c r="B1947" s="0" t="s">
        <v>234</v>
      </c>
      <c r="C1947" s="30" t="n">
        <f aca="false">a25_ms</f>
        <v>339.628</v>
      </c>
      <c r="D1947" s="30" t="n">
        <f aca="false">a26_ms</f>
        <v>432.1302</v>
      </c>
      <c r="E1947" s="30" t="n">
        <f aca="false">D1947*(1+g_ms27)</f>
        <v>496.94973</v>
      </c>
      <c r="F1947" s="30" t="n">
        <f aca="false">E1947*(1+g_msL)</f>
        <v>531.7362111</v>
      </c>
      <c r="G1947" s="30" t="n">
        <f aca="false">F1947*(1+g_msL)</f>
        <v>568.957745877</v>
      </c>
    </row>
    <row r="1948" customFormat="false" ht="17.15" hidden="false" customHeight="false" outlineLevel="0" collapsed="false">
      <c r="A1948" s="4" t="s">
        <v>562</v>
      </c>
      <c r="B1948" s="0" t="s">
        <v>234</v>
      </c>
      <c r="C1948" s="30" t="n">
        <f aca="false">C1946+C1947</f>
        <v>389.228</v>
      </c>
      <c r="D1948" s="30" t="n">
        <f aca="false">D1946+D1947</f>
        <v>559.7302</v>
      </c>
      <c r="E1948" s="30" t="n">
        <f aca="false">E1946+E1947</f>
        <v>751.77489922219</v>
      </c>
      <c r="F1948" s="30" t="n">
        <f aca="false">F1946+F1947</f>
        <v>790.668551503407</v>
      </c>
      <c r="G1948" s="30" t="n">
        <f aca="false">G1946+G1947</f>
        <v>910.769576550745</v>
      </c>
    </row>
    <row r="1949" customFormat="false" ht="17.15" hidden="false" customHeight="false" outlineLevel="0" collapsed="false">
      <c r="A1949" s="0" t="s">
        <v>563</v>
      </c>
      <c r="B1949" s="0" t="s">
        <v>234</v>
      </c>
      <c r="C1949" s="30" t="n">
        <f aca="false">a25_ems</f>
        <v>259.079</v>
      </c>
      <c r="D1949" s="30" t="n">
        <f aca="false">a26_ems</f>
        <v>314.602</v>
      </c>
      <c r="E1949" s="30" t="n">
        <f aca="false">D1949*(1+g_ems27_lo)</f>
        <v>314.602</v>
      </c>
      <c r="F1949" s="30" t="n">
        <f aca="false">E1949*(1+g_emsL)</f>
        <v>330.3321</v>
      </c>
      <c r="G1949" s="30" t="n">
        <f aca="false">F1949*(1+g_emsL)</f>
        <v>346.848705</v>
      </c>
    </row>
    <row r="1950" customFormat="false" ht="17.15" hidden="false" customHeight="false" outlineLevel="0" collapsed="false">
      <c r="A1950" s="4" t="s">
        <v>564</v>
      </c>
      <c r="B1950" s="0" t="s">
        <v>234</v>
      </c>
      <c r="C1950" s="30" t="n">
        <f aca="false">a25_elim</f>
        <v>-2.91899999999998</v>
      </c>
      <c r="D1950" s="30" t="n">
        <f aca="false">a26_elim</f>
        <v>-3.16484905982349</v>
      </c>
      <c r="E1950" s="30" t="n">
        <f aca="false">$D1950/($D1948+$D1949)*(E1948+E1949)</f>
        <v>-3.85999958244799</v>
      </c>
      <c r="F1950" s="30" t="n">
        <f aca="false">$D1950/($D1948+$D1949)*(F1948+F1949)</f>
        <v>-4.05772297757314</v>
      </c>
      <c r="G1950" s="30" t="n">
        <f aca="false">$D1950/($D1948+$D1949)*(G1948+G1949)</f>
        <v>-4.55224231245596</v>
      </c>
      <c r="K1950" s="4" t="s">
        <v>565</v>
      </c>
    </row>
    <row r="1951" customFormat="false" ht="17.15" hidden="false" customHeight="false" outlineLevel="0" collapsed="false">
      <c r="A1951" s="4" t="s">
        <v>431</v>
      </c>
      <c r="B1951" s="0" t="s">
        <v>234</v>
      </c>
      <c r="C1951" s="30" t="n">
        <f aca="false">C1948+C1949+C1950</f>
        <v>645.388</v>
      </c>
      <c r="D1951" s="30" t="n">
        <f aca="false">D1948+D1949+D1950</f>
        <v>871.167350940177</v>
      </c>
      <c r="E1951" s="30" t="n">
        <f aca="false">E1948+E1949+E1950</f>
        <v>1062.51689963974</v>
      </c>
      <c r="F1951" s="30" t="n">
        <f aca="false">F1948+F1949+F1950</f>
        <v>1116.94292852583</v>
      </c>
      <c r="G1951" s="30" t="n">
        <f aca="false">G1948+G1949+G1950</f>
        <v>1253.06603923829</v>
      </c>
      <c r="H1951" s="31" t="n">
        <f aca="false">G1951*(1+H1952)</f>
        <v>1371.58197957756</v>
      </c>
      <c r="I1951" s="31" t="n">
        <f aca="false">H1951*(1+I1952)</f>
        <v>1463.87625328888</v>
      </c>
      <c r="J1951" s="31" t="n">
        <f aca="false">I1951*(1+J1952)</f>
        <v>1522.43130342044</v>
      </c>
      <c r="K1951" s="8" t="s">
        <v>566</v>
      </c>
    </row>
    <row r="1952" customFormat="false" ht="15" hidden="false" customHeight="false" outlineLevel="0" collapsed="false">
      <c r="A1952" s="4" t="s">
        <v>567</v>
      </c>
      <c r="B1952" s="0" t="s">
        <v>76</v>
      </c>
      <c r="D1952" s="21" t="n">
        <f aca="false">D1951/C1951-1</f>
        <v>0.349835061916516</v>
      </c>
      <c r="E1952" s="21" t="n">
        <f aca="false">E1951/D1951-1</f>
        <v>0.219647291066474</v>
      </c>
      <c r="F1952" s="21" t="n">
        <f aca="false">F1951/E1951-1</f>
        <v>0.0512236830346367</v>
      </c>
      <c r="G1952" s="21" t="n">
        <f aca="false">G1951/F1951-1</f>
        <v>0.121871142415588</v>
      </c>
      <c r="H1952" s="26" t="n">
        <f aca="false">$G1952+(fade_gB-$G1952)*1/3</f>
        <v>0.0945807616103922</v>
      </c>
      <c r="I1952" s="26" t="n">
        <f aca="false">$G1952+(fade_gB-$G1952)*2/3</f>
        <v>0.0672903808051961</v>
      </c>
      <c r="J1952" s="26" t="n">
        <f aca="false">$G1952+(fade_gB-$G1952)*3/3</f>
        <v>0.04</v>
      </c>
    </row>
    <row r="1953" customFormat="false" ht="17.15" hidden="false" customHeight="false" outlineLevel="0" collapsed="false">
      <c r="A1953" s="0" t="s">
        <v>475</v>
      </c>
      <c r="B1953" s="0" t="s">
        <v>76</v>
      </c>
      <c r="C1953" s="21" t="n">
        <f aca="false">C1946/C1948</f>
        <v>0.127431736668482</v>
      </c>
      <c r="D1953" s="21" t="n">
        <f aca="false">D1946/D1948</f>
        <v>0.227966974088588</v>
      </c>
      <c r="E1953" s="21" t="n">
        <f aca="false">E1946/E1948</f>
        <v>0.338964721335922</v>
      </c>
      <c r="F1953" s="21" t="n">
        <f aca="false">F1946/F1948</f>
        <v>0.327485315953269</v>
      </c>
      <c r="G1953" s="21" t="n">
        <f aca="false">G1946/G1948</f>
        <v>0.375300009436251</v>
      </c>
    </row>
    <row r="1954" customFormat="false" ht="15" hidden="false" customHeight="false" outlineLevel="0" collapsed="false">
      <c r="A1954" s="4" t="s">
        <v>568</v>
      </c>
      <c r="B1954" s="0" t="s">
        <v>76</v>
      </c>
      <c r="D1954" s="21" t="n">
        <f aca="false">D1948/C1948-1</f>
        <v>0.438052247012034</v>
      </c>
      <c r="E1954" s="21" t="n">
        <f aca="false">E1948/D1948-1</f>
        <v>0.343102264666424</v>
      </c>
      <c r="F1954" s="21" t="n">
        <f aca="false">F1948/E1948-1</f>
        <v>0.0517357686741828</v>
      </c>
      <c r="G1954" s="21" t="n">
        <f aca="false">G1948/F1948-1</f>
        <v>0.151898067551788</v>
      </c>
    </row>
    <row r="1955" customFormat="false" ht="17.15" hidden="false" customHeight="false" outlineLevel="0" collapsed="false">
      <c r="A1955" s="6" t="s">
        <v>569</v>
      </c>
    </row>
    <row r="1956" customFormat="false" ht="17.15" hidden="false" customHeight="false" outlineLevel="0" collapsed="false">
      <c r="A1956" s="4" t="s">
        <v>570</v>
      </c>
      <c r="B1956" s="0" t="s">
        <v>120</v>
      </c>
      <c r="C1956" s="19" t="n">
        <f aca="false">capex25</f>
        <v>5.5</v>
      </c>
      <c r="D1956" s="19" t="n">
        <f aca="false">capex26</f>
        <v>11.5</v>
      </c>
      <c r="E1956" s="19" t="n">
        <f aca="false">capex27</f>
        <v>13</v>
      </c>
      <c r="F1956" s="19" t="n">
        <f aca="false">capi*F1951/F1944</f>
        <v>10.4713399549297</v>
      </c>
      <c r="G1956" s="19" t="n">
        <f aca="false">capi*G1951/G1944</f>
        <v>11.747494117859</v>
      </c>
      <c r="K1956" s="8" t="s">
        <v>571</v>
      </c>
    </row>
    <row r="1957" customFormat="false" ht="15" hidden="false" customHeight="false" outlineLevel="0" collapsed="false">
      <c r="A1957" s="4" t="s">
        <v>572</v>
      </c>
      <c r="B1957" s="0" t="s">
        <v>234</v>
      </c>
      <c r="C1957" s="30" t="n">
        <f aca="false">C1956*C1944</f>
        <v>170.5</v>
      </c>
      <c r="D1957" s="30" t="n">
        <f aca="false">D1956*31.9</f>
        <v>366.85</v>
      </c>
      <c r="E1957" s="30" t="n">
        <f aca="false">E1956*E1944</f>
        <v>416</v>
      </c>
      <c r="F1957" s="30" t="n">
        <f aca="false">F1956*F1944</f>
        <v>335.08287855775</v>
      </c>
      <c r="G1957" s="30" t="n">
        <f aca="false">G1956*G1944</f>
        <v>375.919811771487</v>
      </c>
    </row>
    <row r="1958" customFormat="false" ht="17.15" hidden="false" customHeight="false" outlineLevel="0" collapsed="false">
      <c r="A1958" s="4" t="s">
        <v>473</v>
      </c>
      <c r="B1958" s="0" t="s">
        <v>76</v>
      </c>
      <c r="C1958" s="21" t="n">
        <f aca="false">C1957/C1951</f>
        <v>0.264182166386732</v>
      </c>
      <c r="D1958" s="21" t="n">
        <f aca="false">D1957/D1951</f>
        <v>0.421101639775745</v>
      </c>
      <c r="E1958" s="21" t="n">
        <f aca="false">E1957/E1951</f>
        <v>0.391523184375749</v>
      </c>
      <c r="F1958" s="21" t="n">
        <f aca="false">F1957/F1951</f>
        <v>0.3</v>
      </c>
      <c r="G1958" s="21" t="n">
        <f aca="false">G1957/G1951</f>
        <v>0.3</v>
      </c>
    </row>
    <row r="1959" customFormat="false" ht="17.15" hidden="false" customHeight="false" outlineLevel="0" collapsed="false">
      <c r="A1959" s="4" t="s">
        <v>573</v>
      </c>
      <c r="B1959" s="0" t="s">
        <v>234</v>
      </c>
      <c r="C1959" s="30" t="n">
        <f aca="false">a25_da</f>
        <v>75.255</v>
      </c>
      <c r="D1959" s="30" t="n">
        <f aca="false">a26_da</f>
        <v>97.124</v>
      </c>
      <c r="E1959" s="30" t="n">
        <f aca="false">D1959*(1-1/life)+D1957/life</f>
        <v>130.83975</v>
      </c>
      <c r="F1959" s="30" t="n">
        <f aca="false">E1959*(1-1/life)+E1957/life</f>
        <v>166.48478125</v>
      </c>
      <c r="G1959" s="30" t="n">
        <f aca="false">F1959*(1-1/life)+F1957/life</f>
        <v>187.559543413469</v>
      </c>
      <c r="K1959" s="4" t="s">
        <v>574</v>
      </c>
    </row>
    <row r="1960" customFormat="false" ht="17.15" hidden="false" customHeight="false" outlineLevel="0" collapsed="false">
      <c r="A1960" s="4" t="s">
        <v>575</v>
      </c>
      <c r="B1960" s="0" t="s">
        <v>234</v>
      </c>
      <c r="C1960" s="30" t="n">
        <f aca="false">a25_agp</f>
        <v>91.38</v>
      </c>
      <c r="D1960" s="30" t="n">
        <f aca="false">a26_agp</f>
        <v>164.623388</v>
      </c>
      <c r="E1960" s="30" t="n">
        <f aca="false">$D1960+ft*(E1948-$D1948)-(E1959-$D1959)</f>
        <v>226.929987611095</v>
      </c>
      <c r="F1960" s="30" t="n">
        <f aca="false">$D1960+ft*(F1948-$D1948)-(F1959-$D1959)</f>
        <v>210.731782501703</v>
      </c>
      <c r="G1960" s="30" t="n">
        <f aca="false">$D1960+ft*(G1948-$D1948)-(G1959-$D1959)</f>
        <v>249.707532861904</v>
      </c>
      <c r="K1960" s="4" t="s">
        <v>576</v>
      </c>
    </row>
    <row r="1961" customFormat="false" ht="15" hidden="false" customHeight="false" outlineLevel="0" collapsed="false">
      <c r="A1961" s="4" t="s">
        <v>447</v>
      </c>
      <c r="B1961" s="0" t="s">
        <v>76</v>
      </c>
      <c r="C1961" s="14" t="n">
        <f aca="false">C1960/C1948</f>
        <v>0.234772421305764</v>
      </c>
      <c r="D1961" s="14" t="n">
        <f aca="false">D1960/D1948</f>
        <v>0.294112034690999</v>
      </c>
      <c r="E1961" s="14" t="n">
        <f aca="false">E1960/E1948</f>
        <v>0.301858957842147</v>
      </c>
      <c r="F1961" s="14" t="n">
        <f aca="false">F1960/F1948</f>
        <v>0.26652354150296</v>
      </c>
      <c r="G1961" s="14" t="n">
        <f aca="false">G1960/G1948</f>
        <v>0.274172018138323</v>
      </c>
    </row>
    <row r="1962" customFormat="false" ht="17.15" hidden="false" customHeight="false" outlineLevel="0" collapsed="false">
      <c r="A1962" s="0" t="s">
        <v>449</v>
      </c>
      <c r="B1962" s="0" t="s">
        <v>234</v>
      </c>
      <c r="C1962" s="30" t="n">
        <f aca="false">a25_egp</f>
        <v>23.695</v>
      </c>
      <c r="D1962" s="30" t="n">
        <f aca="false">a26_egp</f>
        <v>27.00552</v>
      </c>
      <c r="E1962" s="30" t="n">
        <f aca="false">E1949*ems_gm</f>
        <v>26.74117</v>
      </c>
      <c r="F1962" s="30" t="n">
        <f aca="false">F1949*ems_gm</f>
        <v>28.0782285</v>
      </c>
      <c r="G1962" s="30" t="n">
        <f aca="false">G1949*ems_gm</f>
        <v>29.482139925</v>
      </c>
    </row>
    <row r="1963" customFormat="false" ht="15" hidden="false" customHeight="false" outlineLevel="0" collapsed="false">
      <c r="A1963" s="4" t="s">
        <v>577</v>
      </c>
      <c r="B1963" s="0" t="s">
        <v>234</v>
      </c>
      <c r="C1963" s="30" t="n">
        <f aca="false">a25_lgp</f>
        <v>-0.881999999999998</v>
      </c>
      <c r="D1963" s="30" t="n">
        <f aca="false">a26_lgp</f>
        <v>-0.948662139013863</v>
      </c>
      <c r="E1963" s="30" t="n">
        <f aca="false">$D1963/$D1950*E1950</f>
        <v>-1.15703320798558</v>
      </c>
      <c r="F1963" s="30" t="n">
        <f aca="false">$D1963/$D1950*F1950</f>
        <v>-1.21630071029199</v>
      </c>
      <c r="G1963" s="30" t="n">
        <f aca="false">$D1963/$D1950*G1950</f>
        <v>-1.36453266737616</v>
      </c>
    </row>
    <row r="1964" customFormat="false" ht="15" hidden="false" customHeight="false" outlineLevel="0" collapsed="false">
      <c r="A1964" s="4" t="s">
        <v>451</v>
      </c>
      <c r="B1964" s="0" t="s">
        <v>234</v>
      </c>
      <c r="C1964" s="30" t="n">
        <f aca="false">C1960+C1962+C1963</f>
        <v>114.193</v>
      </c>
      <c r="D1964" s="30" t="n">
        <f aca="false">D1960+D1962+D1963</f>
        <v>190.680245860986</v>
      </c>
      <c r="E1964" s="30" t="n">
        <f aca="false">E1960+E1962+E1963</f>
        <v>252.51412440311</v>
      </c>
      <c r="F1964" s="30" t="n">
        <f aca="false">F1960+F1962+F1963</f>
        <v>237.593710291411</v>
      </c>
      <c r="G1964" s="30" t="n">
        <f aca="false">G1960+G1962+G1963</f>
        <v>277.825140119528</v>
      </c>
    </row>
    <row r="1965" customFormat="false" ht="15" hidden="false" customHeight="false" outlineLevel="0" collapsed="false">
      <c r="A1965" s="4" t="s">
        <v>452</v>
      </c>
      <c r="B1965" s="0" t="s">
        <v>76</v>
      </c>
      <c r="C1965" s="14" t="n">
        <f aca="false">C1964/C1951</f>
        <v>0.176936974347214</v>
      </c>
      <c r="D1965" s="14" t="n">
        <f aca="false">D1964/D1951</f>
        <v>0.218879008327391</v>
      </c>
      <c r="E1965" s="14" t="n">
        <f aca="false">E1964/E1951</f>
        <v>0.237656572322499</v>
      </c>
      <c r="F1965" s="14" t="n">
        <f aca="false">F1964/F1951</f>
        <v>0.212717860710209</v>
      </c>
      <c r="G1965" s="14" t="n">
        <f aca="false">G1964/G1951</f>
        <v>0.221716279445584</v>
      </c>
    </row>
    <row r="1966" customFormat="false" ht="15" hidden="false" customHeight="false" outlineLevel="0" collapsed="false">
      <c r="A1966" s="4" t="s">
        <v>578</v>
      </c>
      <c r="B1966" s="0" t="s">
        <v>234</v>
      </c>
      <c r="C1966" s="30" t="n">
        <f aca="false">a25_opx</f>
        <v>63.437</v>
      </c>
      <c r="D1966" s="30" t="n">
        <f aca="false">a26_opx</f>
        <v>79.658</v>
      </c>
      <c r="E1966" s="30" t="n">
        <f aca="false">D1966*(1+phi*E1952)</f>
        <v>90.1559983470639</v>
      </c>
      <c r="F1966" s="30" t="n">
        <f aca="false">E1966*(1+phi*F1952)</f>
        <v>92.9268717168646</v>
      </c>
      <c r="G1966" s="30" t="n">
        <f aca="false">F1966*(1+phi*G1952)</f>
        <v>99.7219341272093</v>
      </c>
    </row>
    <row r="1967" customFormat="false" ht="15" hidden="false" customHeight="false" outlineLevel="0" collapsed="false">
      <c r="A1967" s="4" t="s">
        <v>455</v>
      </c>
      <c r="B1967" s="0" t="s">
        <v>234</v>
      </c>
      <c r="C1967" s="30" t="n">
        <f aca="false">C1964-C1966</f>
        <v>50.756</v>
      </c>
      <c r="D1967" s="30" t="n">
        <f aca="false">D1964-D1966</f>
        <v>111.022245860986</v>
      </c>
      <c r="E1967" s="30" t="n">
        <f aca="false">E1964-E1966</f>
        <v>162.358126056046</v>
      </c>
      <c r="F1967" s="30" t="n">
        <f aca="false">F1964-F1966</f>
        <v>144.666838574547</v>
      </c>
      <c r="G1967" s="30" t="n">
        <f aca="false">G1964-G1966</f>
        <v>178.103205992318</v>
      </c>
    </row>
    <row r="1968" customFormat="false" ht="15" hidden="false" customHeight="false" outlineLevel="0" collapsed="false">
      <c r="A1968" s="4" t="s">
        <v>537</v>
      </c>
      <c r="B1968" s="0" t="s">
        <v>76</v>
      </c>
      <c r="C1968" s="14" t="n">
        <f aca="false">C1967/C1951</f>
        <v>0.0786441644406156</v>
      </c>
      <c r="D1968" s="14" t="n">
        <f aca="false">D1967/D1951</f>
        <v>0.127440779020437</v>
      </c>
      <c r="E1968" s="14" t="n">
        <f aca="false">E1967/E1951</f>
        <v>0.152805217602746</v>
      </c>
      <c r="F1968" s="14" t="n">
        <f aca="false">F1967/F1951</f>
        <v>0.129520349589823</v>
      </c>
      <c r="G1968" s="14" t="n">
        <f aca="false">G1967/G1951</f>
        <v>0.14213393421833</v>
      </c>
    </row>
    <row r="1969" customFormat="false" ht="15" hidden="false" customHeight="false" outlineLevel="0" collapsed="false">
      <c r="A1969" s="4" t="s">
        <v>456</v>
      </c>
      <c r="B1969" s="0" t="s">
        <v>234</v>
      </c>
      <c r="C1969" s="30" t="n">
        <f aca="false">a25_nonop</f>
        <v>0.545</v>
      </c>
      <c r="D1969" s="30" t="n">
        <f aca="false">a26_nonop</f>
        <v>4.302</v>
      </c>
      <c r="E1969" s="30" t="n">
        <f aca="false">nonop_f</f>
        <v>-5</v>
      </c>
      <c r="F1969" s="30" t="n">
        <f aca="false">nonop_f</f>
        <v>-5</v>
      </c>
      <c r="G1969" s="30" t="n">
        <f aca="false">nonop_f</f>
        <v>-5</v>
      </c>
    </row>
    <row r="1970" customFormat="false" ht="15" hidden="false" customHeight="false" outlineLevel="0" collapsed="false">
      <c r="A1970" s="4" t="s">
        <v>459</v>
      </c>
      <c r="B1970" s="0" t="s">
        <v>234</v>
      </c>
      <c r="C1970" s="30" t="n">
        <f aca="false">C1967+C1969</f>
        <v>51.301</v>
      </c>
      <c r="D1970" s="30" t="n">
        <f aca="false">D1967+D1969</f>
        <v>115.324245860986</v>
      </c>
      <c r="E1970" s="30" t="n">
        <f aca="false">E1967+E1969</f>
        <v>157.358126056046</v>
      </c>
      <c r="F1970" s="30" t="n">
        <f aca="false">F1967+F1969</f>
        <v>139.666838574547</v>
      </c>
      <c r="G1970" s="30" t="n">
        <f aca="false">G1967+G1969</f>
        <v>173.103205992318</v>
      </c>
    </row>
    <row r="1971" customFormat="false" ht="15" hidden="false" customHeight="false" outlineLevel="0" collapsed="false">
      <c r="A1971" s="4" t="s">
        <v>460</v>
      </c>
      <c r="B1971" s="0" t="s">
        <v>234</v>
      </c>
      <c r="C1971" s="30" t="n">
        <f aca="false">a25_tax</f>
        <v>9.461</v>
      </c>
      <c r="D1971" s="30" t="n">
        <f aca="false">a26_tax</f>
        <v>19.2197317963676</v>
      </c>
      <c r="E1971" s="30" t="n">
        <f aca="false">E1970*tax</f>
        <v>26.7508814295278</v>
      </c>
      <c r="F1971" s="30" t="n">
        <f aca="false">F1970*tax</f>
        <v>23.743362557673</v>
      </c>
      <c r="G1971" s="30" t="n">
        <f aca="false">G1970*tax</f>
        <v>29.4275450186941</v>
      </c>
    </row>
    <row r="1972" customFormat="false" ht="15" hidden="false" customHeight="false" outlineLevel="0" collapsed="false">
      <c r="A1972" s="4" t="s">
        <v>461</v>
      </c>
      <c r="B1972" s="0" t="s">
        <v>234</v>
      </c>
      <c r="C1972" s="30" t="n">
        <f aca="false">a25_nci</f>
        <v>1.182</v>
      </c>
      <c r="D1972" s="30" t="n">
        <f aca="false">a26_nci</f>
        <v>2.543</v>
      </c>
      <c r="E1972" s="30" t="n">
        <f aca="false">nci</f>
        <v>3</v>
      </c>
      <c r="F1972" s="30" t="n">
        <f aca="false">nci</f>
        <v>3</v>
      </c>
      <c r="G1972" s="30" t="n">
        <f aca="false">nci</f>
        <v>3</v>
      </c>
    </row>
    <row r="1973" customFormat="false" ht="15" hidden="false" customHeight="false" outlineLevel="0" collapsed="false">
      <c r="A1973" s="4" t="s">
        <v>462</v>
      </c>
      <c r="B1973" s="0" t="s">
        <v>234</v>
      </c>
      <c r="C1973" s="30" t="n">
        <f aca="false">C1970-C1971-C1972</f>
        <v>40.658</v>
      </c>
      <c r="D1973" s="30" t="n">
        <f aca="false">D1970-D1971-D1972</f>
        <v>93.5615140646185</v>
      </c>
      <c r="E1973" s="30" t="n">
        <f aca="false">E1970-E1971-E1972</f>
        <v>127.607244626518</v>
      </c>
      <c r="F1973" s="30" t="n">
        <f aca="false">F1970-F1971-F1972</f>
        <v>112.923476016874</v>
      </c>
      <c r="G1973" s="30" t="n">
        <f aca="false">G1970-G1971-G1972</f>
        <v>140.675660973624</v>
      </c>
      <c r="H1973" s="31" t="n">
        <f aca="false">H1951*H1977</f>
        <v>147.579977371849</v>
      </c>
      <c r="I1973" s="31" t="n">
        <f aca="false">I1951*I1977</f>
        <v>150.679076846044</v>
      </c>
      <c r="J1973" s="31" t="n">
        <f aca="false">J1951*J1977</f>
        <v>149.601361981412</v>
      </c>
    </row>
    <row r="1974" customFormat="false" ht="15" hidden="false" customHeight="false" outlineLevel="0" collapsed="false">
      <c r="A1974" s="4" t="s">
        <v>579</v>
      </c>
      <c r="B1974" s="4" t="s">
        <v>580</v>
      </c>
      <c r="C1974" s="18" t="n">
        <f aca="false">a25_sh</f>
        <v>4339.16755602988</v>
      </c>
      <c r="D1974" s="18" t="n">
        <f aca="false">a26_sh</f>
        <v>4392.90105184664</v>
      </c>
      <c r="E1974" s="18" t="n">
        <f aca="false">D1974*(1+sh_g)</f>
        <v>4414.86555710588</v>
      </c>
      <c r="F1974" s="18" t="n">
        <f aca="false">E1974*(1+sh_g)</f>
        <v>4436.9398848914</v>
      </c>
      <c r="G1974" s="18" t="n">
        <f aca="false">F1974*(1+sh_g)</f>
        <v>4459.12458431586</v>
      </c>
      <c r="H1974" s="25" t="n">
        <f aca="false">G1974*(1+sh_g)</f>
        <v>4481.42020723744</v>
      </c>
      <c r="I1974" s="25" t="n">
        <f aca="false">H1974*(1+sh_g)</f>
        <v>4503.82730827363</v>
      </c>
      <c r="J1974" s="25" t="n">
        <f aca="false">I1974*(1+sh_g)</f>
        <v>4526.34644481499</v>
      </c>
    </row>
    <row r="1975" customFormat="false" ht="17.15" hidden="false" customHeight="false" outlineLevel="0" collapsed="false">
      <c r="A1975" s="0" t="s">
        <v>465</v>
      </c>
      <c r="B1975" s="0" t="s">
        <v>304</v>
      </c>
      <c r="C1975" s="19" t="n">
        <f aca="false">a25_eps</f>
        <v>9.37</v>
      </c>
      <c r="D1975" s="19" t="n">
        <f aca="false">a26_eps</f>
        <v>21.2828697294455</v>
      </c>
      <c r="E1975" s="19" t="n">
        <f aca="false">E1973/E1974*1000</f>
        <v>28.9039933325104</v>
      </c>
      <c r="F1975" s="19" t="n">
        <f aca="false">F1973/F1974*1000</f>
        <v>25.4507563650792</v>
      </c>
      <c r="G1975" s="19" t="n">
        <f aca="false">G1973/G1974*1000</f>
        <v>31.5478202758507</v>
      </c>
      <c r="H1975" s="28" t="n">
        <f aca="false">H1973/H1974*1000</f>
        <v>32.9315195958435</v>
      </c>
      <c r="I1975" s="28" t="n">
        <f aca="false">I1973/I1974*1000</f>
        <v>33.4557847209735</v>
      </c>
      <c r="J1975" s="28" t="n">
        <f aca="false">J1973/J1974*1000</f>
        <v>33.0512398477104</v>
      </c>
    </row>
    <row r="1976" customFormat="false" ht="17.15" hidden="false" customHeight="false" outlineLevel="0" collapsed="false">
      <c r="A1976" s="0" t="s">
        <v>581</v>
      </c>
      <c r="B1976" s="0" t="s">
        <v>76</v>
      </c>
      <c r="D1976" s="21" t="n">
        <f aca="false">D1975/C1975-1</f>
        <v>1.27138417603474</v>
      </c>
      <c r="E1976" s="21" t="n">
        <f aca="false">E1975/D1975-1</f>
        <v>0.358087217557921</v>
      </c>
      <c r="F1976" s="21" t="n">
        <f aca="false">F1975/E1975-1</f>
        <v>-0.119472659978337</v>
      </c>
      <c r="G1976" s="21" t="n">
        <f aca="false">G1975/F1975-1</f>
        <v>0.239563171455966</v>
      </c>
      <c r="H1976" s="26" t="n">
        <f aca="false">H1975/G1975-1</f>
        <v>0.043860377924493</v>
      </c>
      <c r="I1976" s="26" t="n">
        <f aca="false">I1975/H1975-1</f>
        <v>0.0159198582866527</v>
      </c>
      <c r="J1976" s="26" t="n">
        <f aca="false">J1975/I1975-1</f>
        <v>-0.0120919260043385</v>
      </c>
    </row>
    <row r="1977" customFormat="false" ht="17.15" hidden="false" customHeight="false" outlineLevel="0" collapsed="false">
      <c r="A1977" s="4" t="s">
        <v>582</v>
      </c>
      <c r="B1977" s="0" t="s">
        <v>76</v>
      </c>
      <c r="C1977" s="14" t="n">
        <f aca="false">C1973/C1951</f>
        <v>0.0629977625862272</v>
      </c>
      <c r="D1977" s="14" t="n">
        <f aca="false">D1973/D1951</f>
        <v>0.107397865592237</v>
      </c>
      <c r="E1977" s="14" t="n">
        <f aca="false">E1973/E1951</f>
        <v>0.120099025878821</v>
      </c>
      <c r="F1977" s="14" t="n">
        <f aca="false">F1973/F1951</f>
        <v>0.101100488783176</v>
      </c>
      <c r="G1977" s="14" t="n">
        <f aca="false">G1973/G1951</f>
        <v>0.112265161267269</v>
      </c>
      <c r="H1977" s="27" t="n">
        <f aca="false">$G1977+(fade_mB-$G1977)*1/3</f>
        <v>0.107598364202264</v>
      </c>
      <c r="I1977" s="27" t="n">
        <f aca="false">$G1977+(fade_mB-$G1977)*2/3</f>
        <v>0.102931567137259</v>
      </c>
      <c r="J1977" s="27" t="n">
        <f aca="false">$G1977+(fade_mB-$G1977)*3/3</f>
        <v>0.0982647700722541</v>
      </c>
    </row>
    <row r="1978" customFormat="false" ht="17.15" hidden="false" customHeight="false" outlineLevel="0" collapsed="false">
      <c r="A1978" s="4" t="s">
        <v>583</v>
      </c>
      <c r="B1978" s="0" t="s">
        <v>234</v>
      </c>
      <c r="C1978" s="30" t="n">
        <f aca="false">C1973+C1959-C1957</f>
        <v>-54.587</v>
      </c>
      <c r="D1978" s="30" t="n">
        <f aca="false">D1973+D1959-D1957</f>
        <v>-176.164485935382</v>
      </c>
      <c r="E1978" s="30" t="n">
        <f aca="false">E1973+E1959-E1957</f>
        <v>-157.553005373482</v>
      </c>
      <c r="F1978" s="30" t="n">
        <f aca="false">F1973+F1959-F1957</f>
        <v>-55.6746212908762</v>
      </c>
      <c r="G1978" s="30" t="n">
        <f aca="false">G1973+G1959-G1957</f>
        <v>-47.6846073843938</v>
      </c>
      <c r="K1978" s="4" t="s">
        <v>584</v>
      </c>
    </row>
    <row r="1979" customFormat="false" ht="17.15" hidden="false" customHeight="false" outlineLevel="0" collapsed="false">
      <c r="A1979" s="4" t="s">
        <v>585</v>
      </c>
      <c r="B1979" s="0" t="s">
        <v>76</v>
      </c>
      <c r="D1979" s="21" t="n">
        <f aca="false">(D1967-$C1967)/SUM($D1957:D1957)</f>
        <v>0.164280348537512</v>
      </c>
      <c r="E1979" s="21" t="n">
        <f aca="false">(E1967-$C1967)/SUM($D1957:E1957)</f>
        <v>0.142558761009192</v>
      </c>
      <c r="F1979" s="21" t="n">
        <f aca="false">(F1967-$C1967)/SUM($D1957:F1957)</f>
        <v>0.0840040045120612</v>
      </c>
      <c r="G1979" s="21" t="n">
        <f aca="false">(G1967-$C1967)/SUM($D1957:G1957)</f>
        <v>0.0852474991789531</v>
      </c>
      <c r="K1979" s="4" t="s">
        <v>586</v>
      </c>
    </row>
    <row r="1982" customFormat="false" ht="17.15" hidden="false" customHeight="false" outlineLevel="0" collapsed="false">
      <c r="A1982" s="1" t="s">
        <v>954</v>
      </c>
    </row>
    <row r="1983" customFormat="false" ht="17.15" hidden="false" customHeight="false" outlineLevel="0" collapsed="false">
      <c r="A1983" s="5" t="s">
        <v>21</v>
      </c>
      <c r="B1983" s="5" t="s">
        <v>22</v>
      </c>
      <c r="C1983" s="15" t="s">
        <v>424</v>
      </c>
      <c r="D1983" s="15" t="s">
        <v>524</v>
      </c>
      <c r="E1983" s="15" t="s">
        <v>525</v>
      </c>
      <c r="F1983" s="15" t="s">
        <v>526</v>
      </c>
      <c r="G1983" s="15" t="s">
        <v>527</v>
      </c>
      <c r="H1983" s="15" t="s">
        <v>528</v>
      </c>
      <c r="I1983" s="15" t="s">
        <v>529</v>
      </c>
      <c r="J1983" s="15" t="s">
        <v>530</v>
      </c>
      <c r="K1983" s="5" t="s">
        <v>382</v>
      </c>
    </row>
    <row r="1984" customFormat="false" ht="17.15" hidden="false" customHeight="false" outlineLevel="0" collapsed="false">
      <c r="A1984" s="6" t="s">
        <v>548</v>
      </c>
    </row>
    <row r="1985" customFormat="false" ht="17.15" hidden="false" customHeight="false" outlineLevel="0" collapsed="false">
      <c r="A1985" s="0" t="s">
        <v>549</v>
      </c>
      <c r="B1985" s="4" t="s">
        <v>32</v>
      </c>
      <c r="D1985" s="19" t="n">
        <f aca="false">units_26</f>
        <v>15.2</v>
      </c>
      <c r="E1985" s="19" t="n">
        <f aca="false">units_27*1</f>
        <v>23.7</v>
      </c>
      <c r="F1985" s="19" t="n">
        <f aca="false">units_28*um28_C*1</f>
        <v>15.9</v>
      </c>
      <c r="G1985" s="19" t="n">
        <f aca="false">units_29*um29_C*1</f>
        <v>18.09</v>
      </c>
    </row>
    <row r="1986" customFormat="false" ht="17.15" hidden="false" customHeight="false" outlineLevel="0" collapsed="false">
      <c r="A1986" s="4" t="s">
        <v>497</v>
      </c>
      <c r="B1986" s="0" t="s">
        <v>45</v>
      </c>
      <c r="D1986" s="22" t="n">
        <f aca="false">ar_26</f>
        <v>1</v>
      </c>
      <c r="E1986" s="22" t="n">
        <f aca="false">ar_27</f>
        <v>1.278156</v>
      </c>
      <c r="F1986" s="22" t="n">
        <f aca="false">ar_28</f>
        <v>1.428615</v>
      </c>
      <c r="G1986" s="22" t="n">
        <f aca="false">ar_29</f>
        <v>1.431796</v>
      </c>
    </row>
    <row r="1987" customFormat="false" ht="17.15" hidden="false" customHeight="false" outlineLevel="0" collapsed="false">
      <c r="A1987" s="4" t="s">
        <v>550</v>
      </c>
      <c r="B1987" s="0" t="s">
        <v>45</v>
      </c>
      <c r="D1987" s="19" t="n">
        <f aca="false">1</f>
        <v>1</v>
      </c>
      <c r="E1987" s="19" t="n">
        <f aca="false">rel27_C</f>
        <v>1</v>
      </c>
      <c r="F1987" s="19" t="n">
        <f aca="false">rel28_C</f>
        <v>0.95</v>
      </c>
      <c r="G1987" s="19" t="n">
        <f aca="false">rel29_C</f>
        <v>0.92</v>
      </c>
    </row>
    <row r="1988" customFormat="false" ht="17.15" hidden="false" customHeight="false" outlineLevel="0" collapsed="false">
      <c r="A1988" s="4" t="s">
        <v>551</v>
      </c>
      <c r="B1988" s="0" t="s">
        <v>502</v>
      </c>
      <c r="D1988" s="23" t="n">
        <f aca="false">D1989*1000/D1985</f>
        <v>236.842105263158</v>
      </c>
      <c r="E1988" s="23" t="n">
        <f aca="false">$D1988*E1986^el</f>
        <v>267.763172119488</v>
      </c>
      <c r="F1988" s="23" t="n">
        <f aca="false">$D1988*F1986^el</f>
        <v>283.084777049615</v>
      </c>
      <c r="G1988" s="23" t="n">
        <f aca="false">$D1988*G1986^el</f>
        <v>283.399764630809</v>
      </c>
      <c r="K1988" s="8" t="s">
        <v>552</v>
      </c>
    </row>
    <row r="1989" customFormat="false" ht="17.15" hidden="false" customHeight="false" outlineLevel="0" collapsed="false">
      <c r="A1989" s="0" t="s">
        <v>553</v>
      </c>
      <c r="B1989" s="0" t="s">
        <v>120</v>
      </c>
      <c r="D1989" s="22" t="n">
        <f aca="false">leap26-D1990-D1991</f>
        <v>3.6</v>
      </c>
      <c r="E1989" s="22" t="n">
        <f aca="false">E1985*E1987*E1988/1000</f>
        <v>6.34598717923185</v>
      </c>
      <c r="F1989" s="22" t="n">
        <f aca="false">F1985*F1987*F1988/1000</f>
        <v>4.27599555733443</v>
      </c>
      <c r="G1989" s="22" t="n">
        <f aca="false">G1985*G1987*G1988/1000</f>
        <v>4.71656560279762</v>
      </c>
      <c r="K1989" s="8" t="s">
        <v>554</v>
      </c>
    </row>
    <row r="1990" customFormat="false" ht="17.15" hidden="false" customHeight="false" outlineLevel="0" collapsed="false">
      <c r="A1990" s="4" t="s">
        <v>555</v>
      </c>
      <c r="B1990" s="0" t="s">
        <v>120</v>
      </c>
      <c r="D1990" s="22" t="n">
        <f aca="false">fp26</f>
        <v>0.3</v>
      </c>
      <c r="E1990" s="22" t="n">
        <f aca="false">fp27_C</f>
        <v>0.7</v>
      </c>
      <c r="F1990" s="22" t="n">
        <f aca="false">E1990*F1985/E1985*(1+fp_g)</f>
        <v>0.610506329113924</v>
      </c>
      <c r="G1990" s="22" t="n">
        <f aca="false">F1990*G1985/F1985*(1+fp_g)</f>
        <v>0.902973417721519</v>
      </c>
    </row>
    <row r="1991" customFormat="false" ht="17.15" hidden="false" customHeight="false" outlineLevel="0" collapsed="false">
      <c r="A1991" s="0" t="s">
        <v>556</v>
      </c>
      <c r="B1991" s="0" t="s">
        <v>120</v>
      </c>
      <c r="D1991" s="22" t="n">
        <f aca="false">cpo27*cpo_C_26/cpo_A_27</f>
        <v>0.1</v>
      </c>
      <c r="E1991" s="22" t="n">
        <f aca="false">cpo27*cpo_C_27/cpo_A_27</f>
        <v>0.2</v>
      </c>
      <c r="F1991" s="22" t="n">
        <f aca="false">cpo27*cpo_C_28/cpo_A_27*F1985/E1985</f>
        <v>0.20126582278481</v>
      </c>
      <c r="G1991" s="22" t="n">
        <f aca="false">cpo27*cpo_C_29/cpo_A_27*G1985/E1985</f>
        <v>0.381645569620253</v>
      </c>
      <c r="K1991" s="8" t="s">
        <v>557</v>
      </c>
    </row>
    <row r="1992" customFormat="false" ht="17.15" hidden="false" customHeight="false" outlineLevel="0" collapsed="false">
      <c r="A1992" s="0" t="s">
        <v>510</v>
      </c>
      <c r="B1992" s="0" t="s">
        <v>120</v>
      </c>
      <c r="C1992" s="22" t="n">
        <f aca="false">leap25</f>
        <v>1.6</v>
      </c>
      <c r="D1992" s="22" t="n">
        <f aca="false">D1989+D1990+D1991</f>
        <v>4</v>
      </c>
      <c r="E1992" s="22" t="n">
        <f aca="false">E1989+E1990+E1991</f>
        <v>7.24598717923186</v>
      </c>
      <c r="F1992" s="22" t="n">
        <f aca="false">F1989+F1990+F1991</f>
        <v>5.08776770923316</v>
      </c>
      <c r="G1992" s="22" t="n">
        <f aca="false">G1989+G1990+G1991</f>
        <v>6.0011845901394</v>
      </c>
    </row>
    <row r="1993" customFormat="false" ht="17.15" hidden="false" customHeight="false" outlineLevel="0" collapsed="false">
      <c r="A1993" s="4" t="s">
        <v>558</v>
      </c>
      <c r="B1993" s="0" t="s">
        <v>114</v>
      </c>
      <c r="C1993" s="19" t="n">
        <f aca="false">fx25</f>
        <v>31</v>
      </c>
      <c r="D1993" s="19" t="n">
        <f aca="false">a26_leap/D1992</f>
        <v>31.9</v>
      </c>
      <c r="E1993" s="19" t="n">
        <f aca="false">fx</f>
        <v>32</v>
      </c>
      <c r="F1993" s="19" t="n">
        <f aca="false">fx</f>
        <v>32</v>
      </c>
      <c r="G1993" s="19" t="n">
        <f aca="false">fx</f>
        <v>32</v>
      </c>
      <c r="K1993" s="8" t="s">
        <v>559</v>
      </c>
    </row>
    <row r="1994" customFormat="false" ht="17.15" hidden="false" customHeight="false" outlineLevel="0" collapsed="false">
      <c r="A1994" s="6" t="s">
        <v>560</v>
      </c>
    </row>
    <row r="1995" customFormat="false" ht="17.15" hidden="false" customHeight="false" outlineLevel="0" collapsed="false">
      <c r="A1995" s="0" t="s">
        <v>438</v>
      </c>
      <c r="B1995" s="0" t="s">
        <v>234</v>
      </c>
      <c r="C1995" s="30" t="n">
        <f aca="false">a25_leap</f>
        <v>49.6</v>
      </c>
      <c r="D1995" s="30" t="n">
        <f aca="false">a26_leap</f>
        <v>127.6</v>
      </c>
      <c r="E1995" s="30" t="n">
        <f aca="false">E1992*E1993</f>
        <v>231.871589735419</v>
      </c>
      <c r="F1995" s="30" t="n">
        <f aca="false">F1992*F1993</f>
        <v>162.808566695461</v>
      </c>
      <c r="G1995" s="30" t="n">
        <f aca="false">G1992*G1993</f>
        <v>192.037906884461</v>
      </c>
    </row>
    <row r="1996" customFormat="false" ht="15" hidden="false" customHeight="false" outlineLevel="0" collapsed="false">
      <c r="A1996" s="4" t="s">
        <v>561</v>
      </c>
      <c r="B1996" s="0" t="s">
        <v>234</v>
      </c>
      <c r="C1996" s="30" t="n">
        <f aca="false">a25_ms</f>
        <v>339.628</v>
      </c>
      <c r="D1996" s="30" t="n">
        <f aca="false">a26_ms</f>
        <v>432.1302</v>
      </c>
      <c r="E1996" s="30" t="n">
        <f aca="false">D1996*(1+g_ms27)</f>
        <v>496.94973</v>
      </c>
      <c r="F1996" s="30" t="n">
        <f aca="false">E1996*(1+g_msL)</f>
        <v>531.7362111</v>
      </c>
      <c r="G1996" s="30" t="n">
        <f aca="false">F1996*(1+g_msL)</f>
        <v>568.957745877</v>
      </c>
    </row>
    <row r="1997" customFormat="false" ht="17.15" hidden="false" customHeight="false" outlineLevel="0" collapsed="false">
      <c r="A1997" s="4" t="s">
        <v>562</v>
      </c>
      <c r="B1997" s="0" t="s">
        <v>234</v>
      </c>
      <c r="C1997" s="30" t="n">
        <f aca="false">C1995+C1996</f>
        <v>389.228</v>
      </c>
      <c r="D1997" s="30" t="n">
        <f aca="false">D1995+D1996</f>
        <v>559.7302</v>
      </c>
      <c r="E1997" s="30" t="n">
        <f aca="false">E1995+E1996</f>
        <v>728.821319735419</v>
      </c>
      <c r="F1997" s="30" t="n">
        <f aca="false">F1995+F1996</f>
        <v>694.544777795461</v>
      </c>
      <c r="G1997" s="30" t="n">
        <f aca="false">G1995+G1996</f>
        <v>760.995652761461</v>
      </c>
    </row>
    <row r="1998" customFormat="false" ht="17.15" hidden="false" customHeight="false" outlineLevel="0" collapsed="false">
      <c r="A1998" s="0" t="s">
        <v>563</v>
      </c>
      <c r="B1998" s="0" t="s">
        <v>234</v>
      </c>
      <c r="C1998" s="30" t="n">
        <f aca="false">a25_ems</f>
        <v>259.079</v>
      </c>
      <c r="D1998" s="30" t="n">
        <f aca="false">a26_ems</f>
        <v>314.602</v>
      </c>
      <c r="E1998" s="30" t="n">
        <f aca="false">D1998*(1+g_ems27_lo)</f>
        <v>314.602</v>
      </c>
      <c r="F1998" s="30" t="n">
        <f aca="false">E1998*(1+g_emsL)</f>
        <v>330.3321</v>
      </c>
      <c r="G1998" s="30" t="n">
        <f aca="false">F1998*(1+g_emsL)</f>
        <v>346.848705</v>
      </c>
    </row>
    <row r="1999" customFormat="false" ht="17.15" hidden="false" customHeight="false" outlineLevel="0" collapsed="false">
      <c r="A1999" s="4" t="s">
        <v>564</v>
      </c>
      <c r="B1999" s="0" t="s">
        <v>234</v>
      </c>
      <c r="C1999" s="30" t="n">
        <f aca="false">a25_elim</f>
        <v>-2.91899999999998</v>
      </c>
      <c r="D1999" s="30" t="n">
        <f aca="false">a26_elim</f>
        <v>-3.16484905982349</v>
      </c>
      <c r="E1999" s="30" t="n">
        <f aca="false">$D1999/($D1997+$D1998)*(E1997+E1998)</f>
        <v>-3.77691375482058</v>
      </c>
      <c r="F1999" s="30" t="n">
        <f aca="false">$D1999/($D1997+$D1998)*(F1997+F1998)</f>
        <v>-3.70978058811719</v>
      </c>
      <c r="G1999" s="30" t="n">
        <f aca="false">$D1999/($D1997+$D1998)*(G1997+G1998)</f>
        <v>-4.01010070782263</v>
      </c>
      <c r="K1999" s="4" t="s">
        <v>565</v>
      </c>
    </row>
    <row r="2000" customFormat="false" ht="17.15" hidden="false" customHeight="false" outlineLevel="0" collapsed="false">
      <c r="A2000" s="4" t="s">
        <v>431</v>
      </c>
      <c r="B2000" s="0" t="s">
        <v>234</v>
      </c>
      <c r="C2000" s="30" t="n">
        <f aca="false">C1997+C1998+C1999</f>
        <v>645.388</v>
      </c>
      <c r="D2000" s="30" t="n">
        <f aca="false">D1997+D1998+D1999</f>
        <v>871.167350940177</v>
      </c>
      <c r="E2000" s="30" t="n">
        <f aca="false">E1997+E1998+E1999</f>
        <v>1039.6464059806</v>
      </c>
      <c r="F2000" s="30" t="n">
        <f aca="false">F1997+F1998+F1999</f>
        <v>1021.16709720734</v>
      </c>
      <c r="G2000" s="30" t="n">
        <f aca="false">G1997+G1998+G1999</f>
        <v>1103.83425705364</v>
      </c>
      <c r="H2000" s="31" t="n">
        <f aca="false">G2000*(1+H2001)</f>
        <v>1170.76606184365</v>
      </c>
      <c r="I2000" s="31" t="n">
        <f aca="false">H2000*(1+I2001)</f>
        <v>1217.96885454617</v>
      </c>
      <c r="J2000" s="31" t="n">
        <f aca="false">I2000*(1+J2001)</f>
        <v>1242.32823163709</v>
      </c>
      <c r="K2000" s="8" t="s">
        <v>566</v>
      </c>
    </row>
    <row r="2001" customFormat="false" ht="15" hidden="false" customHeight="false" outlineLevel="0" collapsed="false">
      <c r="A2001" s="4" t="s">
        <v>567</v>
      </c>
      <c r="B2001" s="0" t="s">
        <v>76</v>
      </c>
      <c r="D2001" s="21" t="n">
        <f aca="false">D2000/C2000-1</f>
        <v>0.349835061916516</v>
      </c>
      <c r="E2001" s="21" t="n">
        <f aca="false">E2000/D2000-1</f>
        <v>0.193394592736513</v>
      </c>
      <c r="F2001" s="21" t="n">
        <f aca="false">F2000/E2000-1</f>
        <v>-0.017774609393109</v>
      </c>
      <c r="G2001" s="21" t="n">
        <f aca="false">G2000/F2000-1</f>
        <v>0.0809536069781036</v>
      </c>
      <c r="H2001" s="26" t="n">
        <f aca="false">$G2001+(fade_gC-$G2001)*1/3</f>
        <v>0.0606357379854024</v>
      </c>
      <c r="I2001" s="26" t="n">
        <f aca="false">$G2001+(fade_gC-$G2001)*2/3</f>
        <v>0.0403178689927012</v>
      </c>
      <c r="J2001" s="26" t="n">
        <f aca="false">$G2001+(fade_gC-$G2001)*3/3</f>
        <v>0.02</v>
      </c>
    </row>
    <row r="2002" customFormat="false" ht="17.15" hidden="false" customHeight="false" outlineLevel="0" collapsed="false">
      <c r="A2002" s="0" t="s">
        <v>475</v>
      </c>
      <c r="B2002" s="0" t="s">
        <v>76</v>
      </c>
      <c r="C2002" s="21" t="n">
        <f aca="false">C1995/C1997</f>
        <v>0.127431736668482</v>
      </c>
      <c r="D2002" s="21" t="n">
        <f aca="false">D1995/D1997</f>
        <v>0.227966974088588</v>
      </c>
      <c r="E2002" s="21" t="n">
        <f aca="false">E1995/E1997</f>
        <v>0.31814600294568</v>
      </c>
      <c r="F2002" s="21" t="n">
        <f aca="false">F1995/F1997</f>
        <v>0.234410468411019</v>
      </c>
      <c r="G2002" s="21" t="n">
        <f aca="false">G1995/G1997</f>
        <v>0.252350859282315</v>
      </c>
    </row>
    <row r="2003" customFormat="false" ht="15" hidden="false" customHeight="false" outlineLevel="0" collapsed="false">
      <c r="A2003" s="4" t="s">
        <v>568</v>
      </c>
      <c r="B2003" s="0" t="s">
        <v>76</v>
      </c>
      <c r="D2003" s="21" t="n">
        <f aca="false">D1997/C1997-1</f>
        <v>0.438052247012034</v>
      </c>
      <c r="E2003" s="21" t="n">
        <f aca="false">E1997/D1997-1</f>
        <v>0.302093972659362</v>
      </c>
      <c r="F2003" s="21" t="n">
        <f aca="false">F1997/E1997-1</f>
        <v>-0.047030103280186</v>
      </c>
      <c r="G2003" s="21" t="n">
        <f aca="false">G1997/F1997-1</f>
        <v>0.0956754367614998</v>
      </c>
    </row>
    <row r="2004" customFormat="false" ht="17.15" hidden="false" customHeight="false" outlineLevel="0" collapsed="false">
      <c r="A2004" s="6" t="s">
        <v>569</v>
      </c>
    </row>
    <row r="2005" customFormat="false" ht="17.15" hidden="false" customHeight="false" outlineLevel="0" collapsed="false">
      <c r="A2005" s="4" t="s">
        <v>570</v>
      </c>
      <c r="B2005" s="0" t="s">
        <v>120</v>
      </c>
      <c r="C2005" s="19" t="n">
        <f aca="false">capex25</f>
        <v>5.5</v>
      </c>
      <c r="D2005" s="19" t="n">
        <f aca="false">capex26</f>
        <v>11.5</v>
      </c>
      <c r="E2005" s="19" t="n">
        <f aca="false">capex27</f>
        <v>13</v>
      </c>
      <c r="F2005" s="19" t="n">
        <f aca="false">capi*F2000/F1993</f>
        <v>9.57344153631885</v>
      </c>
      <c r="G2005" s="19" t="n">
        <f aca="false">capi*G2000/G1993</f>
        <v>10.3484461598779</v>
      </c>
      <c r="K2005" s="8" t="s">
        <v>571</v>
      </c>
    </row>
    <row r="2006" customFormat="false" ht="15" hidden="false" customHeight="false" outlineLevel="0" collapsed="false">
      <c r="A2006" s="4" t="s">
        <v>572</v>
      </c>
      <c r="B2006" s="0" t="s">
        <v>234</v>
      </c>
      <c r="C2006" s="30" t="n">
        <f aca="false">C2005*C1993</f>
        <v>170.5</v>
      </c>
      <c r="D2006" s="30" t="n">
        <f aca="false">D2005*31.9</f>
        <v>366.85</v>
      </c>
      <c r="E2006" s="30" t="n">
        <f aca="false">E2005*E1993</f>
        <v>416</v>
      </c>
      <c r="F2006" s="30" t="n">
        <f aca="false">F2005*F1993</f>
        <v>306.350129162203</v>
      </c>
      <c r="G2006" s="30" t="n">
        <f aca="false">G2005*G1993</f>
        <v>331.150277116091</v>
      </c>
    </row>
    <row r="2007" customFormat="false" ht="17.15" hidden="false" customHeight="false" outlineLevel="0" collapsed="false">
      <c r="A2007" s="4" t="s">
        <v>473</v>
      </c>
      <c r="B2007" s="0" t="s">
        <v>76</v>
      </c>
      <c r="C2007" s="21" t="n">
        <f aca="false">C2006/C2000</f>
        <v>0.264182166386732</v>
      </c>
      <c r="D2007" s="21" t="n">
        <f aca="false">D2006/D2000</f>
        <v>0.421101639775745</v>
      </c>
      <c r="E2007" s="21" t="n">
        <f aca="false">E2006/E2000</f>
        <v>0.400136043953932</v>
      </c>
      <c r="F2007" s="21" t="n">
        <f aca="false">F2006/F2000</f>
        <v>0.3</v>
      </c>
      <c r="G2007" s="21" t="n">
        <f aca="false">G2006/G2000</f>
        <v>0.3</v>
      </c>
    </row>
    <row r="2008" customFormat="false" ht="17.15" hidden="false" customHeight="false" outlineLevel="0" collapsed="false">
      <c r="A2008" s="4" t="s">
        <v>573</v>
      </c>
      <c r="B2008" s="0" t="s">
        <v>234</v>
      </c>
      <c r="C2008" s="30" t="n">
        <f aca="false">a25_da</f>
        <v>75.255</v>
      </c>
      <c r="D2008" s="30" t="n">
        <f aca="false">a26_da</f>
        <v>97.124</v>
      </c>
      <c r="E2008" s="30" t="n">
        <f aca="false">D2008*(1-1/life)+D2006/life</f>
        <v>130.83975</v>
      </c>
      <c r="F2008" s="30" t="n">
        <f aca="false">E2008*(1-1/life)+E2006/life</f>
        <v>166.48478125</v>
      </c>
      <c r="G2008" s="30" t="n">
        <f aca="false">F2008*(1-1/life)+F2006/life</f>
        <v>183.967949739025</v>
      </c>
      <c r="K2008" s="4" t="s">
        <v>574</v>
      </c>
    </row>
    <row r="2009" customFormat="false" ht="17.15" hidden="false" customHeight="false" outlineLevel="0" collapsed="false">
      <c r="A2009" s="4" t="s">
        <v>575</v>
      </c>
      <c r="B2009" s="0" t="s">
        <v>234</v>
      </c>
      <c r="C2009" s="30" t="n">
        <f aca="false">a25_agp</f>
        <v>91.38</v>
      </c>
      <c r="D2009" s="30" t="n">
        <f aca="false">a26_agp</f>
        <v>164.623388</v>
      </c>
      <c r="E2009" s="30" t="n">
        <f aca="false">$D2009+ft*(E1997-$D1997)-(E2008-$D2008)</f>
        <v>215.45319786771</v>
      </c>
      <c r="F2009" s="30" t="n">
        <f aca="false">$D2009+ft*(F1997-$D1997)-(F2008-$D2008)</f>
        <v>162.669895647731</v>
      </c>
      <c r="G2009" s="30" t="n">
        <f aca="false">$D2009+ft*(G1997-$D1997)-(G2008-$D2008)</f>
        <v>178.412164641705</v>
      </c>
      <c r="K2009" s="4" t="s">
        <v>576</v>
      </c>
    </row>
    <row r="2010" customFormat="false" ht="15" hidden="false" customHeight="false" outlineLevel="0" collapsed="false">
      <c r="A2010" s="4" t="s">
        <v>447</v>
      </c>
      <c r="B2010" s="0" t="s">
        <v>76</v>
      </c>
      <c r="C2010" s="14" t="n">
        <f aca="false">C2009/C1997</f>
        <v>0.234772421305764</v>
      </c>
      <c r="D2010" s="14" t="n">
        <f aca="false">D2009/D1997</f>
        <v>0.294112034690999</v>
      </c>
      <c r="E2010" s="14" t="n">
        <f aca="false">E2009/E1997</f>
        <v>0.295618681882035</v>
      </c>
      <c r="F2010" s="14" t="n">
        <f aca="false">F2009/F1997</f>
        <v>0.234210810948802</v>
      </c>
      <c r="G2010" s="14" t="n">
        <f aca="false">G2009/G1997</f>
        <v>0.234445708059294</v>
      </c>
    </row>
    <row r="2011" customFormat="false" ht="17.15" hidden="false" customHeight="false" outlineLevel="0" collapsed="false">
      <c r="A2011" s="0" t="s">
        <v>449</v>
      </c>
      <c r="B2011" s="0" t="s">
        <v>234</v>
      </c>
      <c r="C2011" s="30" t="n">
        <f aca="false">a25_egp</f>
        <v>23.695</v>
      </c>
      <c r="D2011" s="30" t="n">
        <f aca="false">a26_egp</f>
        <v>27.00552</v>
      </c>
      <c r="E2011" s="30" t="n">
        <f aca="false">E1998*ems_gm</f>
        <v>26.74117</v>
      </c>
      <c r="F2011" s="30" t="n">
        <f aca="false">F1998*ems_gm</f>
        <v>28.0782285</v>
      </c>
      <c r="G2011" s="30" t="n">
        <f aca="false">G1998*ems_gm</f>
        <v>29.482139925</v>
      </c>
    </row>
    <row r="2012" customFormat="false" ht="15" hidden="false" customHeight="false" outlineLevel="0" collapsed="false">
      <c r="A2012" s="4" t="s">
        <v>577</v>
      </c>
      <c r="B2012" s="0" t="s">
        <v>234</v>
      </c>
      <c r="C2012" s="30" t="n">
        <f aca="false">a25_lgp</f>
        <v>-0.881999999999998</v>
      </c>
      <c r="D2012" s="30" t="n">
        <f aca="false">a26_lgp</f>
        <v>-0.948662139013863</v>
      </c>
      <c r="E2012" s="30" t="n">
        <f aca="false">$D2012/$D1999*E1999</f>
        <v>-1.132128267033</v>
      </c>
      <c r="F2012" s="30" t="n">
        <f aca="false">$D2012/$D1999*F1999</f>
        <v>-1.11200512930359</v>
      </c>
      <c r="G2012" s="30" t="n">
        <f aca="false">$D2012/$D1999*G1999</f>
        <v>-1.20202595549887</v>
      </c>
    </row>
    <row r="2013" customFormat="false" ht="15" hidden="false" customHeight="false" outlineLevel="0" collapsed="false">
      <c r="A2013" s="4" t="s">
        <v>451</v>
      </c>
      <c r="B2013" s="0" t="s">
        <v>234</v>
      </c>
      <c r="C2013" s="30" t="n">
        <f aca="false">C2009+C2011+C2012</f>
        <v>114.193</v>
      </c>
      <c r="D2013" s="30" t="n">
        <f aca="false">D2009+D2011+D2012</f>
        <v>190.680245860986</v>
      </c>
      <c r="E2013" s="30" t="n">
        <f aca="false">E2009+E2011+E2012</f>
        <v>241.062239600677</v>
      </c>
      <c r="F2013" s="30" t="n">
        <f aca="false">F2009+F2011+F2012</f>
        <v>189.636119018427</v>
      </c>
      <c r="G2013" s="30" t="n">
        <f aca="false">G2009+G2011+G2012</f>
        <v>206.692278611206</v>
      </c>
    </row>
    <row r="2014" customFormat="false" ht="15" hidden="false" customHeight="false" outlineLevel="0" collapsed="false">
      <c r="A2014" s="4" t="s">
        <v>452</v>
      </c>
      <c r="B2014" s="0" t="s">
        <v>76</v>
      </c>
      <c r="C2014" s="14" t="n">
        <f aca="false">C2013/C2000</f>
        <v>0.176936974347214</v>
      </c>
      <c r="D2014" s="14" t="n">
        <f aca="false">D2013/D2000</f>
        <v>0.218879008327391</v>
      </c>
      <c r="E2014" s="14" t="n">
        <f aca="false">E2013/E2000</f>
        <v>0.231869449280023</v>
      </c>
      <c r="F2014" s="14" t="n">
        <f aca="false">F2013/F2000</f>
        <v>0.185705277360618</v>
      </c>
      <c r="G2014" s="14" t="n">
        <f aca="false">G2013/G2000</f>
        <v>0.187249378509878</v>
      </c>
    </row>
    <row r="2015" customFormat="false" ht="15" hidden="false" customHeight="false" outlineLevel="0" collapsed="false">
      <c r="A2015" s="4" t="s">
        <v>578</v>
      </c>
      <c r="B2015" s="0" t="s">
        <v>234</v>
      </c>
      <c r="C2015" s="30" t="n">
        <f aca="false">a25_opx</f>
        <v>63.437</v>
      </c>
      <c r="D2015" s="30" t="n">
        <f aca="false">a26_opx</f>
        <v>79.658</v>
      </c>
      <c r="E2015" s="30" t="n">
        <f aca="false">D2015*(1+phi*E2001)</f>
        <v>88.9012558809231</v>
      </c>
      <c r="F2015" s="30" t="n">
        <f aca="false">E2015*(1+phi*F2001)</f>
        <v>87.9531448222189</v>
      </c>
      <c r="G2015" s="30" t="n">
        <f aca="false">F2015*(1+phi*G2001)</f>
        <v>92.2252194132746</v>
      </c>
    </row>
    <row r="2016" customFormat="false" ht="15" hidden="false" customHeight="false" outlineLevel="0" collapsed="false">
      <c r="A2016" s="4" t="s">
        <v>455</v>
      </c>
      <c r="B2016" s="0" t="s">
        <v>234</v>
      </c>
      <c r="C2016" s="30" t="n">
        <f aca="false">C2013-C2015</f>
        <v>50.756</v>
      </c>
      <c r="D2016" s="30" t="n">
        <f aca="false">D2013-D2015</f>
        <v>111.022245860986</v>
      </c>
      <c r="E2016" s="30" t="n">
        <f aca="false">E2013-E2015</f>
        <v>152.160983719754</v>
      </c>
      <c r="F2016" s="30" t="n">
        <f aca="false">F2013-F2015</f>
        <v>101.682974196208</v>
      </c>
      <c r="G2016" s="30" t="n">
        <f aca="false">G2013-G2015</f>
        <v>114.467059197931</v>
      </c>
    </row>
    <row r="2017" customFormat="false" ht="15" hidden="false" customHeight="false" outlineLevel="0" collapsed="false">
      <c r="A2017" s="4" t="s">
        <v>537</v>
      </c>
      <c r="B2017" s="0" t="s">
        <v>76</v>
      </c>
      <c r="C2017" s="14" t="n">
        <f aca="false">C2016/C2000</f>
        <v>0.0786441644406156</v>
      </c>
      <c r="D2017" s="14" t="n">
        <f aca="false">D2016/D2000</f>
        <v>0.127440779020437</v>
      </c>
      <c r="E2017" s="14" t="n">
        <f aca="false">E2016/E2000</f>
        <v>0.146358399206156</v>
      </c>
      <c r="F2017" s="14" t="n">
        <f aca="false">F2016/F2000</f>
        <v>0.0995752550922249</v>
      </c>
      <c r="G2017" s="14" t="n">
        <f aca="false">G2016/G2000</f>
        <v>0.103699498784779</v>
      </c>
    </row>
    <row r="2018" customFormat="false" ht="15" hidden="false" customHeight="false" outlineLevel="0" collapsed="false">
      <c r="A2018" s="4" t="s">
        <v>456</v>
      </c>
      <c r="B2018" s="0" t="s">
        <v>234</v>
      </c>
      <c r="C2018" s="30" t="n">
        <f aca="false">a25_nonop</f>
        <v>0.545</v>
      </c>
      <c r="D2018" s="30" t="n">
        <f aca="false">a26_nonop</f>
        <v>4.302</v>
      </c>
      <c r="E2018" s="30" t="n">
        <f aca="false">nonop_f</f>
        <v>-5</v>
      </c>
      <c r="F2018" s="30" t="n">
        <f aca="false">nonop_f</f>
        <v>-5</v>
      </c>
      <c r="G2018" s="30" t="n">
        <f aca="false">nonop_f</f>
        <v>-5</v>
      </c>
    </row>
    <row r="2019" customFormat="false" ht="15" hidden="false" customHeight="false" outlineLevel="0" collapsed="false">
      <c r="A2019" s="4" t="s">
        <v>459</v>
      </c>
      <c r="B2019" s="0" t="s">
        <v>234</v>
      </c>
      <c r="C2019" s="30" t="n">
        <f aca="false">C2016+C2018</f>
        <v>51.301</v>
      </c>
      <c r="D2019" s="30" t="n">
        <f aca="false">D2016+D2018</f>
        <v>115.324245860986</v>
      </c>
      <c r="E2019" s="30" t="n">
        <f aca="false">E2016+E2018</f>
        <v>147.160983719754</v>
      </c>
      <c r="F2019" s="30" t="n">
        <f aca="false">F2016+F2018</f>
        <v>96.6829741962081</v>
      </c>
      <c r="G2019" s="30" t="n">
        <f aca="false">G2016+G2018</f>
        <v>109.467059197931</v>
      </c>
    </row>
    <row r="2020" customFormat="false" ht="15" hidden="false" customHeight="false" outlineLevel="0" collapsed="false">
      <c r="A2020" s="4" t="s">
        <v>460</v>
      </c>
      <c r="B2020" s="0" t="s">
        <v>234</v>
      </c>
      <c r="C2020" s="30" t="n">
        <f aca="false">a25_tax</f>
        <v>9.461</v>
      </c>
      <c r="D2020" s="30" t="n">
        <f aca="false">a26_tax</f>
        <v>19.2197317963676</v>
      </c>
      <c r="E2020" s="30" t="n">
        <f aca="false">E2019*tax</f>
        <v>25.0173672323581</v>
      </c>
      <c r="F2020" s="30" t="n">
        <f aca="false">F2019*tax</f>
        <v>16.4361056133554</v>
      </c>
      <c r="G2020" s="30" t="n">
        <f aca="false">G2019*tax</f>
        <v>18.6094000636484</v>
      </c>
    </row>
    <row r="2021" customFormat="false" ht="15" hidden="false" customHeight="false" outlineLevel="0" collapsed="false">
      <c r="A2021" s="4" t="s">
        <v>461</v>
      </c>
      <c r="B2021" s="0" t="s">
        <v>234</v>
      </c>
      <c r="C2021" s="30" t="n">
        <f aca="false">a25_nci</f>
        <v>1.182</v>
      </c>
      <c r="D2021" s="30" t="n">
        <f aca="false">a26_nci</f>
        <v>2.543</v>
      </c>
      <c r="E2021" s="30" t="n">
        <f aca="false">nci</f>
        <v>3</v>
      </c>
      <c r="F2021" s="30" t="n">
        <f aca="false">nci</f>
        <v>3</v>
      </c>
      <c r="G2021" s="30" t="n">
        <f aca="false">nci</f>
        <v>3</v>
      </c>
    </row>
    <row r="2022" customFormat="false" ht="15" hidden="false" customHeight="false" outlineLevel="0" collapsed="false">
      <c r="A2022" s="4" t="s">
        <v>462</v>
      </c>
      <c r="B2022" s="0" t="s">
        <v>234</v>
      </c>
      <c r="C2022" s="30" t="n">
        <f aca="false">C2019-C2020-C2021</f>
        <v>40.658</v>
      </c>
      <c r="D2022" s="30" t="n">
        <f aca="false">D2019-D2020-D2021</f>
        <v>93.5615140646185</v>
      </c>
      <c r="E2022" s="30" t="n">
        <f aca="false">E2019-E2020-E2021</f>
        <v>119.143616487395</v>
      </c>
      <c r="F2022" s="30" t="n">
        <f aca="false">F2019-F2020-F2021</f>
        <v>77.2468685828527</v>
      </c>
      <c r="G2022" s="30" t="n">
        <f aca="false">G2019-G2020-G2021</f>
        <v>87.8576591342831</v>
      </c>
      <c r="H2022" s="31" t="n">
        <f aca="false">H2000*H2026</f>
        <v>86.1798489105006</v>
      </c>
      <c r="I2022" s="31" t="n">
        <f aca="false">I2000*I2026</f>
        <v>82.3668808649222</v>
      </c>
      <c r="J2022" s="31" t="n">
        <f aca="false">J2000*J2026</f>
        <v>76.5809114603827</v>
      </c>
    </row>
    <row r="2023" customFormat="false" ht="15" hidden="false" customHeight="false" outlineLevel="0" collapsed="false">
      <c r="A2023" s="4" t="s">
        <v>579</v>
      </c>
      <c r="B2023" s="4" t="s">
        <v>580</v>
      </c>
      <c r="C2023" s="18" t="n">
        <f aca="false">a25_sh</f>
        <v>4339.16755602988</v>
      </c>
      <c r="D2023" s="18" t="n">
        <f aca="false">a26_sh</f>
        <v>4392.90105184664</v>
      </c>
      <c r="E2023" s="18" t="n">
        <f aca="false">D2023*(1+sh_g)</f>
        <v>4414.86555710588</v>
      </c>
      <c r="F2023" s="18" t="n">
        <f aca="false">E2023*(1+sh_g)</f>
        <v>4436.9398848914</v>
      </c>
      <c r="G2023" s="18" t="n">
        <f aca="false">F2023*(1+sh_g)</f>
        <v>4459.12458431586</v>
      </c>
      <c r="H2023" s="25" t="n">
        <f aca="false">G2023*(1+sh_g)</f>
        <v>4481.42020723744</v>
      </c>
      <c r="I2023" s="25" t="n">
        <f aca="false">H2023*(1+sh_g)</f>
        <v>4503.82730827363</v>
      </c>
      <c r="J2023" s="25" t="n">
        <f aca="false">I2023*(1+sh_g)</f>
        <v>4526.34644481499</v>
      </c>
    </row>
    <row r="2024" customFormat="false" ht="17.15" hidden="false" customHeight="false" outlineLevel="0" collapsed="false">
      <c r="A2024" s="0" t="s">
        <v>465</v>
      </c>
      <c r="B2024" s="0" t="s">
        <v>304</v>
      </c>
      <c r="C2024" s="19" t="n">
        <f aca="false">a25_eps</f>
        <v>9.37</v>
      </c>
      <c r="D2024" s="19" t="n">
        <f aca="false">a26_eps</f>
        <v>21.2828697294455</v>
      </c>
      <c r="E2024" s="19" t="n">
        <f aca="false">E2022/E2023*1000</f>
        <v>26.9869183888578</v>
      </c>
      <c r="F2024" s="19" t="n">
        <f aca="false">F2022/F2023*1000</f>
        <v>17.4099425700791</v>
      </c>
      <c r="G2024" s="19" t="n">
        <f aca="false">G2022/G2023*1000</f>
        <v>19.7028940261741</v>
      </c>
      <c r="H2024" s="28" t="n">
        <f aca="false">H2022/H2023*1000</f>
        <v>19.2304771534973</v>
      </c>
      <c r="I2024" s="28" t="n">
        <f aca="false">I2022/I2023*1000</f>
        <v>18.2881969549793</v>
      </c>
      <c r="J2024" s="28" t="n">
        <f aca="false">J2022/J2023*1000</f>
        <v>16.9189239918008</v>
      </c>
    </row>
    <row r="2025" customFormat="false" ht="17.15" hidden="false" customHeight="false" outlineLevel="0" collapsed="false">
      <c r="A2025" s="0" t="s">
        <v>581</v>
      </c>
      <c r="B2025" s="0" t="s">
        <v>76</v>
      </c>
      <c r="D2025" s="21" t="n">
        <f aca="false">D2024/C2024-1</f>
        <v>1.27138417603474</v>
      </c>
      <c r="E2025" s="21" t="n">
        <f aca="false">E2024/D2024-1</f>
        <v>0.268011256560977</v>
      </c>
      <c r="F2025" s="21" t="n">
        <f aca="false">F2024/E2024-1</f>
        <v>-0.354874746378334</v>
      </c>
      <c r="G2025" s="21" t="n">
        <f aca="false">G2024/F2024-1</f>
        <v>0.131703562310177</v>
      </c>
      <c r="H2025" s="26" t="n">
        <f aca="false">H2024/G2024-1</f>
        <v>-0.0239770295698326</v>
      </c>
      <c r="I2025" s="26" t="n">
        <f aca="false">I2024/H2024-1</f>
        <v>-0.0489993145254135</v>
      </c>
      <c r="J2025" s="26" t="n">
        <f aca="false">J2024/I2024-1</f>
        <v>-0.0748719497361737</v>
      </c>
    </row>
    <row r="2026" customFormat="false" ht="17.15" hidden="false" customHeight="false" outlineLevel="0" collapsed="false">
      <c r="A2026" s="4" t="s">
        <v>582</v>
      </c>
      <c r="B2026" s="0" t="s">
        <v>76</v>
      </c>
      <c r="C2026" s="14" t="n">
        <f aca="false">C2022/C2000</f>
        <v>0.0629977625862272</v>
      </c>
      <c r="D2026" s="14" t="n">
        <f aca="false">D2022/D2000</f>
        <v>0.107397865592237</v>
      </c>
      <c r="E2026" s="14" t="n">
        <f aca="false">E2022/E2000</f>
        <v>0.114600133085651</v>
      </c>
      <c r="F2026" s="14" t="n">
        <f aca="false">F2022/F2000</f>
        <v>0.0756456693464811</v>
      </c>
      <c r="G2026" s="14" t="n">
        <f aca="false">G2022/G2000</f>
        <v>0.0795931622640462</v>
      </c>
      <c r="H2026" s="27" t="n">
        <f aca="false">$G2026+(fade_mC-$G2026)*1/3</f>
        <v>0.0736097942357413</v>
      </c>
      <c r="I2026" s="27" t="n">
        <f aca="false">$G2026+(fade_mC-$G2026)*2/3</f>
        <v>0.0676264262074364</v>
      </c>
      <c r="J2026" s="27" t="n">
        <f aca="false">$G2026+(fade_mC-$G2026)*3/3</f>
        <v>0.0616430581791315</v>
      </c>
    </row>
    <row r="2027" customFormat="false" ht="17.15" hidden="false" customHeight="false" outlineLevel="0" collapsed="false">
      <c r="A2027" s="4" t="s">
        <v>583</v>
      </c>
      <c r="B2027" s="0" t="s">
        <v>234</v>
      </c>
      <c r="C2027" s="30" t="n">
        <f aca="false">C2022+C2008-C2006</f>
        <v>-54.587</v>
      </c>
      <c r="D2027" s="30" t="n">
        <f aca="false">D2022+D2008-D2006</f>
        <v>-176.164485935382</v>
      </c>
      <c r="E2027" s="30" t="n">
        <f aca="false">E2022+E2008-E2006</f>
        <v>-166.016633512605</v>
      </c>
      <c r="F2027" s="30" t="n">
        <f aca="false">F2022+F2008-F2006</f>
        <v>-62.6184793293505</v>
      </c>
      <c r="G2027" s="30" t="n">
        <f aca="false">G2022+G2008-G2006</f>
        <v>-59.3246682427829</v>
      </c>
      <c r="K2027" s="4" t="s">
        <v>584</v>
      </c>
    </row>
    <row r="2028" customFormat="false" ht="17.15" hidden="false" customHeight="false" outlineLevel="0" collapsed="false">
      <c r="A2028" s="4" t="s">
        <v>585</v>
      </c>
      <c r="B2028" s="0" t="s">
        <v>76</v>
      </c>
      <c r="D2028" s="21" t="n">
        <f aca="false">(D2016-$C2016)/SUM($D2006:D2006)</f>
        <v>0.164280348537512</v>
      </c>
      <c r="E2028" s="21" t="n">
        <f aca="false">(E2016-$C2016)/SUM($D2006:E2006)</f>
        <v>0.129533095381942</v>
      </c>
      <c r="F2028" s="21" t="n">
        <f aca="false">(F2016-$C2016)/SUM($D2006:F2006)</f>
        <v>0.0467563056895525</v>
      </c>
      <c r="G2028" s="21" t="n">
        <f aca="false">(G2016-$C2016)/SUM($D2006:G2006)</f>
        <v>0.0448558742380142</v>
      </c>
      <c r="K2028" s="4" t="s">
        <v>586</v>
      </c>
    </row>
    <row r="2031" customFormat="false" ht="17.15" hidden="false" customHeight="false" outlineLevel="0" collapsed="false">
      <c r="A2031" s="1" t="s">
        <v>955</v>
      </c>
    </row>
    <row r="2032" customFormat="false" ht="17.15" hidden="false" customHeight="false" outlineLevel="0" collapsed="false">
      <c r="A2032" s="5" t="s">
        <v>21</v>
      </c>
      <c r="B2032" s="5" t="s">
        <v>22</v>
      </c>
      <c r="C2032" s="15" t="s">
        <v>424</v>
      </c>
      <c r="D2032" s="15" t="s">
        <v>524</v>
      </c>
      <c r="E2032" s="15" t="s">
        <v>525</v>
      </c>
      <c r="F2032" s="15" t="s">
        <v>526</v>
      </c>
      <c r="G2032" s="15" t="s">
        <v>527</v>
      </c>
      <c r="H2032" s="15" t="s">
        <v>528</v>
      </c>
      <c r="I2032" s="15" t="s">
        <v>529</v>
      </c>
      <c r="J2032" s="15" t="s">
        <v>530</v>
      </c>
      <c r="K2032" s="5" t="s">
        <v>382</v>
      </c>
    </row>
    <row r="2033" customFormat="false" ht="17.15" hidden="false" customHeight="false" outlineLevel="0" collapsed="false">
      <c r="A2033" s="6" t="s">
        <v>548</v>
      </c>
    </row>
    <row r="2034" customFormat="false" ht="17.15" hidden="false" customHeight="false" outlineLevel="0" collapsed="false">
      <c r="A2034" s="0" t="s">
        <v>549</v>
      </c>
      <c r="B2034" s="4" t="s">
        <v>32</v>
      </c>
      <c r="D2034" s="19" t="n">
        <f aca="false">units_26</f>
        <v>15.2</v>
      </c>
      <c r="E2034" s="19" t="n">
        <f aca="false">units_27*1</f>
        <v>23.7</v>
      </c>
      <c r="F2034" s="19" t="n">
        <f aca="false">units_28*um28_A*1</f>
        <v>26.5</v>
      </c>
      <c r="G2034" s="19" t="n">
        <f aca="false">units_29*um29_A*1</f>
        <v>30.15</v>
      </c>
    </row>
    <row r="2035" customFormat="false" ht="17.15" hidden="false" customHeight="false" outlineLevel="0" collapsed="false">
      <c r="A2035" s="4" t="s">
        <v>497</v>
      </c>
      <c r="B2035" s="0" t="s">
        <v>45</v>
      </c>
      <c r="D2035" s="22" t="n">
        <f aca="false">ar_26</f>
        <v>1</v>
      </c>
      <c r="E2035" s="22" t="n">
        <f aca="false">ar_27</f>
        <v>1.278156</v>
      </c>
      <c r="F2035" s="22" t="n">
        <f aca="false">ar_28</f>
        <v>1.428615</v>
      </c>
      <c r="G2035" s="22" t="n">
        <f aca="false">ar_29</f>
        <v>1.431796</v>
      </c>
    </row>
    <row r="2036" customFormat="false" ht="17.15" hidden="false" customHeight="false" outlineLevel="0" collapsed="false">
      <c r="A2036" s="4" t="s">
        <v>550</v>
      </c>
      <c r="B2036" s="0" t="s">
        <v>45</v>
      </c>
      <c r="D2036" s="19" t="n">
        <f aca="false">1</f>
        <v>1</v>
      </c>
      <c r="E2036" s="19" t="n">
        <f aca="false">rel27_A</f>
        <v>1.1</v>
      </c>
      <c r="F2036" s="19" t="n">
        <f aca="false">rel28_A</f>
        <v>1.15</v>
      </c>
      <c r="G2036" s="19" t="n">
        <f aca="false">rel29_A</f>
        <v>1.2</v>
      </c>
    </row>
    <row r="2037" customFormat="false" ht="17.15" hidden="false" customHeight="false" outlineLevel="0" collapsed="false">
      <c r="A2037" s="4" t="s">
        <v>551</v>
      </c>
      <c r="B2037" s="0" t="s">
        <v>502</v>
      </c>
      <c r="D2037" s="23" t="n">
        <f aca="false">D2038*1000/D2034</f>
        <v>236.842105263158</v>
      </c>
      <c r="E2037" s="23" t="n">
        <f aca="false">$D2037*E2035^el</f>
        <v>267.763172119488</v>
      </c>
      <c r="F2037" s="23" t="n">
        <f aca="false">$D2037*F2035^el</f>
        <v>283.084777049615</v>
      </c>
      <c r="G2037" s="23" t="n">
        <f aca="false">$D2037*G2035^el</f>
        <v>283.399764630809</v>
      </c>
      <c r="K2037" s="8" t="s">
        <v>552</v>
      </c>
    </row>
    <row r="2038" customFormat="false" ht="17.15" hidden="false" customHeight="false" outlineLevel="0" collapsed="false">
      <c r="A2038" s="0" t="s">
        <v>553</v>
      </c>
      <c r="B2038" s="0" t="s">
        <v>120</v>
      </c>
      <c r="D2038" s="22" t="n">
        <f aca="false">leap26-D2039-D2040</f>
        <v>3.6</v>
      </c>
      <c r="E2038" s="22" t="n">
        <f aca="false">E2034*E2036*E2037/1000</f>
        <v>6.98058589715504</v>
      </c>
      <c r="F2038" s="22" t="n">
        <f aca="false">F2034*F2036*F2037/1000</f>
        <v>8.627008580587</v>
      </c>
      <c r="G2038" s="22" t="n">
        <f aca="false">G2034*G2036*G2037/1000</f>
        <v>10.2534034843427</v>
      </c>
      <c r="K2038" s="8" t="s">
        <v>554</v>
      </c>
    </row>
    <row r="2039" customFormat="false" ht="17.15" hidden="false" customHeight="false" outlineLevel="0" collapsed="false">
      <c r="A2039" s="4" t="s">
        <v>555</v>
      </c>
      <c r="B2039" s="0" t="s">
        <v>120</v>
      </c>
      <c r="D2039" s="22" t="n">
        <f aca="false">fp26</f>
        <v>0.3</v>
      </c>
      <c r="E2039" s="22" t="n">
        <f aca="false">fp27_A</f>
        <v>1.2</v>
      </c>
      <c r="F2039" s="22" t="n">
        <f aca="false">E2039*F2034/E2034*(1+fp_g)</f>
        <v>1.74430379746835</v>
      </c>
      <c r="G2039" s="22" t="n">
        <f aca="false">F2039*G2034/F2034*(1+fp_g)</f>
        <v>2.57992405063291</v>
      </c>
    </row>
    <row r="2040" customFormat="false" ht="17.15" hidden="false" customHeight="false" outlineLevel="0" collapsed="false">
      <c r="A2040" s="0" t="s">
        <v>556</v>
      </c>
      <c r="B2040" s="0" t="s">
        <v>120</v>
      </c>
      <c r="D2040" s="22" t="n">
        <f aca="false">cpo27*cpo_A_26/cpo_A_27</f>
        <v>0.1</v>
      </c>
      <c r="E2040" s="22" t="n">
        <f aca="false">cpo27*cpo_A_27/cpo_A_27</f>
        <v>0.5</v>
      </c>
      <c r="F2040" s="22" t="n">
        <f aca="false">cpo27*cpo_A_28/cpo_A_27*F2034/E2034</f>
        <v>1.11814345991561</v>
      </c>
      <c r="G2040" s="22" t="n">
        <f aca="false">cpo27*cpo_A_29/cpo_A_27*G2034/E2034</f>
        <v>2.03544303797468</v>
      </c>
      <c r="K2040" s="8" t="s">
        <v>557</v>
      </c>
    </row>
    <row r="2041" customFormat="false" ht="17.15" hidden="false" customHeight="false" outlineLevel="0" collapsed="false">
      <c r="A2041" s="0" t="s">
        <v>510</v>
      </c>
      <c r="B2041" s="0" t="s">
        <v>120</v>
      </c>
      <c r="C2041" s="22" t="n">
        <f aca="false">leap25</f>
        <v>1.6</v>
      </c>
      <c r="D2041" s="22" t="n">
        <f aca="false">D2038+D2039+D2040</f>
        <v>4</v>
      </c>
      <c r="E2041" s="22" t="n">
        <f aca="false">E2038+E2039+E2040</f>
        <v>8.68058589715504</v>
      </c>
      <c r="F2041" s="22" t="n">
        <f aca="false">F2038+F2039+F2040</f>
        <v>11.489455837971</v>
      </c>
      <c r="G2041" s="22" t="n">
        <f aca="false">G2038+G2039+G2040</f>
        <v>14.8687705729503</v>
      </c>
    </row>
    <row r="2042" customFormat="false" ht="17.15" hidden="false" customHeight="false" outlineLevel="0" collapsed="false">
      <c r="A2042" s="4" t="s">
        <v>558</v>
      </c>
      <c r="B2042" s="0" t="s">
        <v>114</v>
      </c>
      <c r="C2042" s="19" t="n">
        <f aca="false">fx25</f>
        <v>31</v>
      </c>
      <c r="D2042" s="19" t="n">
        <f aca="false">a26_leap/D2041</f>
        <v>31.9</v>
      </c>
      <c r="E2042" s="19" t="n">
        <f aca="false">fx</f>
        <v>32</v>
      </c>
      <c r="F2042" s="19" t="n">
        <f aca="false">fx</f>
        <v>32</v>
      </c>
      <c r="G2042" s="19" t="n">
        <f aca="false">fx</f>
        <v>32</v>
      </c>
      <c r="K2042" s="8" t="s">
        <v>559</v>
      </c>
    </row>
    <row r="2043" customFormat="false" ht="17.15" hidden="false" customHeight="false" outlineLevel="0" collapsed="false">
      <c r="A2043" s="6" t="s">
        <v>560</v>
      </c>
    </row>
    <row r="2044" customFormat="false" ht="17.15" hidden="false" customHeight="false" outlineLevel="0" collapsed="false">
      <c r="A2044" s="0" t="s">
        <v>438</v>
      </c>
      <c r="B2044" s="0" t="s">
        <v>234</v>
      </c>
      <c r="C2044" s="30" t="n">
        <f aca="false">a25_leap</f>
        <v>49.6</v>
      </c>
      <c r="D2044" s="30" t="n">
        <f aca="false">a26_leap</f>
        <v>127.6</v>
      </c>
      <c r="E2044" s="30" t="n">
        <f aca="false">E2041*E2042</f>
        <v>277.778748708961</v>
      </c>
      <c r="F2044" s="30" t="n">
        <f aca="false">F2041*F2042</f>
        <v>367.662586815071</v>
      </c>
      <c r="G2044" s="30" t="n">
        <f aca="false">G2041*G2042</f>
        <v>475.800658334408</v>
      </c>
    </row>
    <row r="2045" customFormat="false" ht="15" hidden="false" customHeight="false" outlineLevel="0" collapsed="false">
      <c r="A2045" s="4" t="s">
        <v>561</v>
      </c>
      <c r="B2045" s="0" t="s">
        <v>234</v>
      </c>
      <c r="C2045" s="30" t="n">
        <f aca="false">a25_ms</f>
        <v>339.628</v>
      </c>
      <c r="D2045" s="30" t="n">
        <f aca="false">a26_ms</f>
        <v>432.1302</v>
      </c>
      <c r="E2045" s="30" t="n">
        <f aca="false">D2045*(1+g_ms27)</f>
        <v>496.94973</v>
      </c>
      <c r="F2045" s="30" t="n">
        <f aca="false">E2045*(1+g_msL)</f>
        <v>531.7362111</v>
      </c>
      <c r="G2045" s="30" t="n">
        <f aca="false">F2045*(1+g_msL)</f>
        <v>568.957745877</v>
      </c>
    </row>
    <row r="2046" customFormat="false" ht="17.15" hidden="false" customHeight="false" outlineLevel="0" collapsed="false">
      <c r="A2046" s="4" t="s">
        <v>562</v>
      </c>
      <c r="B2046" s="0" t="s">
        <v>234</v>
      </c>
      <c r="C2046" s="30" t="n">
        <f aca="false">C2044+C2045</f>
        <v>389.228</v>
      </c>
      <c r="D2046" s="30" t="n">
        <f aca="false">D2044+D2045</f>
        <v>559.7302</v>
      </c>
      <c r="E2046" s="30" t="n">
        <f aca="false">E2044+E2045</f>
        <v>774.728478708961</v>
      </c>
      <c r="F2046" s="30" t="n">
        <f aca="false">F2044+F2045</f>
        <v>899.398797915071</v>
      </c>
      <c r="G2046" s="30" t="n">
        <f aca="false">G2044+G2045</f>
        <v>1044.75840421141</v>
      </c>
    </row>
    <row r="2047" customFormat="false" ht="17.15" hidden="false" customHeight="false" outlineLevel="0" collapsed="false">
      <c r="A2047" s="0" t="s">
        <v>563</v>
      </c>
      <c r="B2047" s="0" t="s">
        <v>234</v>
      </c>
      <c r="C2047" s="30" t="n">
        <f aca="false">a25_ems</f>
        <v>259.079</v>
      </c>
      <c r="D2047" s="30" t="n">
        <f aca="false">a26_ems</f>
        <v>314.602</v>
      </c>
      <c r="E2047" s="30" t="n">
        <f aca="false">D2047*(1+g_ems27_hi)</f>
        <v>361.7923</v>
      </c>
      <c r="F2047" s="30" t="n">
        <f aca="false">E2047*(1+g_emsL)</f>
        <v>379.881915</v>
      </c>
      <c r="G2047" s="30" t="n">
        <f aca="false">F2047*(1+g_emsL)</f>
        <v>398.87601075</v>
      </c>
    </row>
    <row r="2048" customFormat="false" ht="17.15" hidden="false" customHeight="false" outlineLevel="0" collapsed="false">
      <c r="A2048" s="4" t="s">
        <v>564</v>
      </c>
      <c r="B2048" s="0" t="s">
        <v>234</v>
      </c>
      <c r="C2048" s="30" t="n">
        <f aca="false">a25_elim</f>
        <v>-2.91899999999998</v>
      </c>
      <c r="D2048" s="30" t="n">
        <f aca="false">a26_elim</f>
        <v>-3.16484905982349</v>
      </c>
      <c r="E2048" s="30" t="n">
        <f aca="false">$D2048/($D2046+$D2047)*(E2046+E2047)</f>
        <v>-4.11390169316298</v>
      </c>
      <c r="F2048" s="30" t="n">
        <f aca="false">$D2048/($D2046+$D2047)*(F2046+F2047)</f>
        <v>-4.63065452870154</v>
      </c>
      <c r="G2048" s="30" t="n">
        <f aca="false">$D2048/($D2046+$D2047)*(G2046+G2047)</f>
        <v>-5.22557103686613</v>
      </c>
      <c r="K2048" s="4" t="s">
        <v>565</v>
      </c>
    </row>
    <row r="2049" customFormat="false" ht="17.15" hidden="false" customHeight="false" outlineLevel="0" collapsed="false">
      <c r="A2049" s="4" t="s">
        <v>431</v>
      </c>
      <c r="B2049" s="0" t="s">
        <v>234</v>
      </c>
      <c r="C2049" s="30" t="n">
        <f aca="false">C2046+C2047+C2048</f>
        <v>645.388</v>
      </c>
      <c r="D2049" s="30" t="n">
        <f aca="false">D2046+D2047+D2048</f>
        <v>871.167350940177</v>
      </c>
      <c r="E2049" s="30" t="n">
        <f aca="false">E2046+E2047+E2048</f>
        <v>1132.4068770158</v>
      </c>
      <c r="F2049" s="30" t="n">
        <f aca="false">F2046+F2047+F2048</f>
        <v>1274.65005838637</v>
      </c>
      <c r="G2049" s="30" t="n">
        <f aca="false">G2046+G2047+G2048</f>
        <v>1438.40884392454</v>
      </c>
      <c r="H2049" s="31" t="n">
        <f aca="false">G2049*(1+H2050)</f>
        <v>1590.37532339527</v>
      </c>
      <c r="I2049" s="31" t="n">
        <f aca="false">H2049*(1+I2050)</f>
        <v>1722.09737736968</v>
      </c>
      <c r="J2049" s="31" t="n">
        <f aca="false">I2049*(1+J2050)</f>
        <v>1825.42322001186</v>
      </c>
      <c r="K2049" s="8" t="s">
        <v>566</v>
      </c>
    </row>
    <row r="2050" customFormat="false" ht="15" hidden="false" customHeight="false" outlineLevel="0" collapsed="false">
      <c r="A2050" s="4" t="s">
        <v>567</v>
      </c>
      <c r="B2050" s="0" t="s">
        <v>76</v>
      </c>
      <c r="D2050" s="21" t="n">
        <f aca="false">D2049/C2049-1</f>
        <v>0.349835061916516</v>
      </c>
      <c r="E2050" s="21" t="n">
        <f aca="false">E2049/D2049-1</f>
        <v>0.299872952990821</v>
      </c>
      <c r="F2050" s="21" t="n">
        <f aca="false">F2049/E2049-1</f>
        <v>0.125611371899666</v>
      </c>
      <c r="G2050" s="21" t="n">
        <f aca="false">G2049/F2049-1</f>
        <v>0.128473524526003</v>
      </c>
      <c r="H2050" s="26" t="n">
        <f aca="false">$G2050+(fade_gA-$G2050)*1/3</f>
        <v>0.105649016350669</v>
      </c>
      <c r="I2050" s="26" t="n">
        <f aca="false">$G2050+(fade_gA-$G2050)*2/3</f>
        <v>0.0828245081753345</v>
      </c>
      <c r="J2050" s="26" t="n">
        <f aca="false">$G2050+(fade_gA-$G2050)*3/3</f>
        <v>0.06</v>
      </c>
    </row>
    <row r="2051" customFormat="false" ht="17.15" hidden="false" customHeight="false" outlineLevel="0" collapsed="false">
      <c r="A2051" s="0" t="s">
        <v>475</v>
      </c>
      <c r="B2051" s="0" t="s">
        <v>76</v>
      </c>
      <c r="C2051" s="21" t="n">
        <f aca="false">C2044/C2046</f>
        <v>0.127431736668482</v>
      </c>
      <c r="D2051" s="21" t="n">
        <f aca="false">D2044/D2046</f>
        <v>0.227966974088588</v>
      </c>
      <c r="E2051" s="21" t="n">
        <f aca="false">E2044/E2046</f>
        <v>0.35854980982739</v>
      </c>
      <c r="F2051" s="21" t="n">
        <f aca="false">F2044/F2046</f>
        <v>0.408787056050512</v>
      </c>
      <c r="G2051" s="21" t="n">
        <f aca="false">G2044/G2046</f>
        <v>0.455416923583923</v>
      </c>
    </row>
    <row r="2052" customFormat="false" ht="15" hidden="false" customHeight="false" outlineLevel="0" collapsed="false">
      <c r="A2052" s="4" t="s">
        <v>568</v>
      </c>
      <c r="B2052" s="0" t="s">
        <v>76</v>
      </c>
      <c r="D2052" s="21" t="n">
        <f aca="false">D2046/C2046-1</f>
        <v>0.438052247012034</v>
      </c>
      <c r="E2052" s="21" t="n">
        <f aca="false">E2046/D2046-1</f>
        <v>0.384110556673485</v>
      </c>
      <c r="F2052" s="21" t="n">
        <f aca="false">F2046/E2046-1</f>
        <v>0.160921306796241</v>
      </c>
      <c r="G2052" s="21" t="n">
        <f aca="false">G2046/F2046-1</f>
        <v>0.161618635285371</v>
      </c>
    </row>
    <row r="2053" customFormat="false" ht="17.15" hidden="false" customHeight="false" outlineLevel="0" collapsed="false">
      <c r="A2053" s="6" t="s">
        <v>569</v>
      </c>
    </row>
    <row r="2054" customFormat="false" ht="17.15" hidden="false" customHeight="false" outlineLevel="0" collapsed="false">
      <c r="A2054" s="4" t="s">
        <v>570</v>
      </c>
      <c r="B2054" s="0" t="s">
        <v>120</v>
      </c>
      <c r="C2054" s="19" t="n">
        <f aca="false">capex25</f>
        <v>5.5</v>
      </c>
      <c r="D2054" s="19" t="n">
        <f aca="false">capex26</f>
        <v>11.5</v>
      </c>
      <c r="E2054" s="19" t="n">
        <f aca="false">capex27</f>
        <v>13</v>
      </c>
      <c r="F2054" s="19" t="n">
        <f aca="false">capi*F2049/F2042</f>
        <v>11.9498442973722</v>
      </c>
      <c r="G2054" s="19" t="n">
        <f aca="false">capi*G2049/G2042</f>
        <v>13.4850829117926</v>
      </c>
      <c r="K2054" s="8" t="s">
        <v>571</v>
      </c>
    </row>
    <row r="2055" customFormat="false" ht="15" hidden="false" customHeight="false" outlineLevel="0" collapsed="false">
      <c r="A2055" s="4" t="s">
        <v>572</v>
      </c>
      <c r="B2055" s="0" t="s">
        <v>234</v>
      </c>
      <c r="C2055" s="30" t="n">
        <f aca="false">C2054*C2042</f>
        <v>170.5</v>
      </c>
      <c r="D2055" s="30" t="n">
        <f aca="false">D2054*31.9</f>
        <v>366.85</v>
      </c>
      <c r="E2055" s="30" t="n">
        <f aca="false">E2054*E2042</f>
        <v>416</v>
      </c>
      <c r="F2055" s="30" t="n">
        <f aca="false">F2054*F2042</f>
        <v>382.395017515911</v>
      </c>
      <c r="G2055" s="30" t="n">
        <f aca="false">G2054*G2042</f>
        <v>431.522653177363</v>
      </c>
    </row>
    <row r="2056" customFormat="false" ht="17.15" hidden="false" customHeight="false" outlineLevel="0" collapsed="false">
      <c r="A2056" s="4" t="s">
        <v>473</v>
      </c>
      <c r="B2056" s="0" t="s">
        <v>76</v>
      </c>
      <c r="C2056" s="21" t="n">
        <f aca="false">C2055/C2049</f>
        <v>0.264182166386732</v>
      </c>
      <c r="D2056" s="21" t="n">
        <f aca="false">D2055/D2049</f>
        <v>0.421101639775745</v>
      </c>
      <c r="E2056" s="21" t="n">
        <f aca="false">E2055/E2049</f>
        <v>0.36735912545522</v>
      </c>
      <c r="F2056" s="21" t="n">
        <f aca="false">F2055/F2049</f>
        <v>0.3</v>
      </c>
      <c r="G2056" s="21" t="n">
        <f aca="false">G2055/G2049</f>
        <v>0.3</v>
      </c>
    </row>
    <row r="2057" customFormat="false" ht="17.15" hidden="false" customHeight="false" outlineLevel="0" collapsed="false">
      <c r="A2057" s="4" t="s">
        <v>573</v>
      </c>
      <c r="B2057" s="0" t="s">
        <v>234</v>
      </c>
      <c r="C2057" s="30" t="n">
        <f aca="false">a25_da</f>
        <v>75.255</v>
      </c>
      <c r="D2057" s="30" t="n">
        <f aca="false">a26_da</f>
        <v>97.124</v>
      </c>
      <c r="E2057" s="30" t="n">
        <f aca="false">D2057*(1-1/life)+D2055/life</f>
        <v>130.83975</v>
      </c>
      <c r="F2057" s="30" t="n">
        <f aca="false">E2057*(1-1/life)+E2055/life</f>
        <v>166.48478125</v>
      </c>
      <c r="G2057" s="30" t="n">
        <f aca="false">F2057*(1-1/life)+F2055/life</f>
        <v>193.473560783239</v>
      </c>
      <c r="K2057" s="4" t="s">
        <v>574</v>
      </c>
    </row>
    <row r="2058" customFormat="false" ht="17.15" hidden="false" customHeight="false" outlineLevel="0" collapsed="false">
      <c r="A2058" s="4" t="s">
        <v>575</v>
      </c>
      <c r="B2058" s="0" t="s">
        <v>234</v>
      </c>
      <c r="C2058" s="30" t="n">
        <f aca="false">a25_agp</f>
        <v>91.38</v>
      </c>
      <c r="D2058" s="30" t="n">
        <f aca="false">a26_agp</f>
        <v>164.623388</v>
      </c>
      <c r="E2058" s="30" t="n">
        <f aca="false">$D2058+ft*(E2046-$D2046)-(E2057-$D2057)</f>
        <v>238.406777354481</v>
      </c>
      <c r="F2058" s="30" t="n">
        <f aca="false">$D2058+ft*(F2046-$D2046)-(F2057-$D2057)</f>
        <v>265.096905707536</v>
      </c>
      <c r="G2058" s="30" t="n">
        <f aca="false">$D2058+ft*(G2046-$D2046)-(G2057-$D2057)</f>
        <v>310.787929322465</v>
      </c>
      <c r="K2058" s="4" t="s">
        <v>576</v>
      </c>
    </row>
    <row r="2059" customFormat="false" ht="15" hidden="false" customHeight="false" outlineLevel="0" collapsed="false">
      <c r="A2059" s="4" t="s">
        <v>447</v>
      </c>
      <c r="B2059" s="0" t="s">
        <v>76</v>
      </c>
      <c r="C2059" s="14" t="n">
        <f aca="false">C2058/C2046</f>
        <v>0.234772421305764</v>
      </c>
      <c r="D2059" s="14" t="n">
        <f aca="false">D2058/D2046</f>
        <v>0.294112034690999</v>
      </c>
      <c r="E2059" s="14" t="n">
        <f aca="false">E2058/E2046</f>
        <v>0.307729461232368</v>
      </c>
      <c r="F2059" s="14" t="n">
        <f aca="false">F2058/F2046</f>
        <v>0.294749010474626</v>
      </c>
      <c r="G2059" s="14" t="n">
        <f aca="false">G2058/G2046</f>
        <v>0.297473490588526</v>
      </c>
    </row>
    <row r="2060" customFormat="false" ht="17.15" hidden="false" customHeight="false" outlineLevel="0" collapsed="false">
      <c r="A2060" s="0" t="s">
        <v>449</v>
      </c>
      <c r="B2060" s="0" t="s">
        <v>234</v>
      </c>
      <c r="C2060" s="30" t="n">
        <f aca="false">a25_egp</f>
        <v>23.695</v>
      </c>
      <c r="D2060" s="30" t="n">
        <f aca="false">a26_egp</f>
        <v>27.00552</v>
      </c>
      <c r="E2060" s="30" t="n">
        <f aca="false">E2047*ems_gm</f>
        <v>30.7523455</v>
      </c>
      <c r="F2060" s="30" t="n">
        <f aca="false">F2047*ems_gm</f>
        <v>32.289962775</v>
      </c>
      <c r="G2060" s="30" t="n">
        <f aca="false">G2047*ems_gm</f>
        <v>33.90446091375</v>
      </c>
    </row>
    <row r="2061" customFormat="false" ht="15" hidden="false" customHeight="false" outlineLevel="0" collapsed="false">
      <c r="A2061" s="4" t="s">
        <v>577</v>
      </c>
      <c r="B2061" s="0" t="s">
        <v>234</v>
      </c>
      <c r="C2061" s="30" t="n">
        <f aca="false">a25_lgp</f>
        <v>-0.881999999999998</v>
      </c>
      <c r="D2061" s="30" t="n">
        <f aca="false">a26_lgp</f>
        <v>-0.948662139013863</v>
      </c>
      <c r="E2061" s="30" t="n">
        <f aca="false">$D2061/$D2048*E2048</f>
        <v>-1.23314025603054</v>
      </c>
      <c r="F2061" s="30" t="n">
        <f aca="false">$D2061/$D2048*F2048</f>
        <v>-1.38803669533524</v>
      </c>
      <c r="G2061" s="30" t="n">
        <f aca="false">$D2061/$D2048*G2048</f>
        <v>-1.56636266175638</v>
      </c>
    </row>
    <row r="2062" customFormat="false" ht="15" hidden="false" customHeight="false" outlineLevel="0" collapsed="false">
      <c r="A2062" s="4" t="s">
        <v>451</v>
      </c>
      <c r="B2062" s="0" t="s">
        <v>234</v>
      </c>
      <c r="C2062" s="30" t="n">
        <f aca="false">C2058+C2060+C2061</f>
        <v>114.193</v>
      </c>
      <c r="D2062" s="30" t="n">
        <f aca="false">D2058+D2060+D2061</f>
        <v>190.680245860986</v>
      </c>
      <c r="E2062" s="30" t="n">
        <f aca="false">E2058+E2060+E2061</f>
        <v>267.92598259845</v>
      </c>
      <c r="F2062" s="30" t="n">
        <f aca="false">F2058+F2060+F2061</f>
        <v>295.9988317872</v>
      </c>
      <c r="G2062" s="30" t="n">
        <f aca="false">G2058+G2060+G2061</f>
        <v>343.126027574459</v>
      </c>
    </row>
    <row r="2063" customFormat="false" ht="15" hidden="false" customHeight="false" outlineLevel="0" collapsed="false">
      <c r="A2063" s="4" t="s">
        <v>452</v>
      </c>
      <c r="B2063" s="0" t="s">
        <v>76</v>
      </c>
      <c r="C2063" s="14" t="n">
        <f aca="false">C2062/C2049</f>
        <v>0.176936974347214</v>
      </c>
      <c r="D2063" s="14" t="n">
        <f aca="false">D2062/D2049</f>
        <v>0.218879008327391</v>
      </c>
      <c r="E2063" s="14" t="n">
        <f aca="false">E2062/E2049</f>
        <v>0.236598689072349</v>
      </c>
      <c r="F2063" s="14" t="n">
        <f aca="false">F2062/F2049</f>
        <v>0.23221968244517</v>
      </c>
      <c r="G2063" s="14" t="n">
        <f aca="false">G2062/G2049</f>
        <v>0.238545549148792</v>
      </c>
    </row>
    <row r="2064" customFormat="false" ht="15" hidden="false" customHeight="false" outlineLevel="0" collapsed="false">
      <c r="A2064" s="4" t="s">
        <v>578</v>
      </c>
      <c r="B2064" s="0" t="s">
        <v>234</v>
      </c>
      <c r="C2064" s="30" t="n">
        <f aca="false">a25_opx</f>
        <v>63.437</v>
      </c>
      <c r="D2064" s="30" t="n">
        <f aca="false">a26_opx</f>
        <v>79.658</v>
      </c>
      <c r="E2064" s="30" t="n">
        <f aca="false">D2064*(1+phi*E2050)</f>
        <v>93.9903678136057</v>
      </c>
      <c r="F2064" s="30" t="n">
        <f aca="false">E2064*(1+phi*F2050)</f>
        <v>101.074123241458</v>
      </c>
      <c r="G2064" s="30" t="n">
        <f aca="false">F2064*(1+phi*G2050)</f>
        <v>108.865332552182</v>
      </c>
    </row>
    <row r="2065" customFormat="false" ht="15" hidden="false" customHeight="false" outlineLevel="0" collapsed="false">
      <c r="A2065" s="4" t="s">
        <v>455</v>
      </c>
      <c r="B2065" s="0" t="s">
        <v>234</v>
      </c>
      <c r="C2065" s="30" t="n">
        <f aca="false">C2062-C2064</f>
        <v>50.756</v>
      </c>
      <c r="D2065" s="30" t="n">
        <f aca="false">D2062-D2064</f>
        <v>111.022245860986</v>
      </c>
      <c r="E2065" s="30" t="n">
        <f aca="false">E2062-E2064</f>
        <v>173.935614784845</v>
      </c>
      <c r="F2065" s="30" t="n">
        <f aca="false">F2062-F2064</f>
        <v>194.924708545742</v>
      </c>
      <c r="G2065" s="30" t="n">
        <f aca="false">G2062-G2064</f>
        <v>234.260695022277</v>
      </c>
    </row>
    <row r="2066" customFormat="false" ht="15" hidden="false" customHeight="false" outlineLevel="0" collapsed="false">
      <c r="A2066" s="4" t="s">
        <v>537</v>
      </c>
      <c r="B2066" s="0" t="s">
        <v>76</v>
      </c>
      <c r="C2066" s="14" t="n">
        <f aca="false">C2065/C2049</f>
        <v>0.0786441644406156</v>
      </c>
      <c r="D2066" s="14" t="n">
        <f aca="false">D2065/D2049</f>
        <v>0.127440779020437</v>
      </c>
      <c r="E2066" s="14" t="n">
        <f aca="false">E2065/E2049</f>
        <v>0.153598161857876</v>
      </c>
      <c r="F2066" s="14" t="n">
        <f aca="false">F2065/F2049</f>
        <v>0.152924096510461</v>
      </c>
      <c r="G2066" s="14" t="n">
        <f aca="false">G2065/G2049</f>
        <v>0.162860994641219</v>
      </c>
    </row>
    <row r="2067" customFormat="false" ht="15" hidden="false" customHeight="false" outlineLevel="0" collapsed="false">
      <c r="A2067" s="4" t="s">
        <v>456</v>
      </c>
      <c r="B2067" s="0" t="s">
        <v>234</v>
      </c>
      <c r="C2067" s="30" t="n">
        <f aca="false">a25_nonop</f>
        <v>0.545</v>
      </c>
      <c r="D2067" s="30" t="n">
        <f aca="false">a26_nonop</f>
        <v>4.302</v>
      </c>
      <c r="E2067" s="30" t="n">
        <f aca="false">nonop_f</f>
        <v>-5</v>
      </c>
      <c r="F2067" s="30" t="n">
        <f aca="false">nonop_f</f>
        <v>-5</v>
      </c>
      <c r="G2067" s="30" t="n">
        <f aca="false">nonop_f</f>
        <v>-5</v>
      </c>
    </row>
    <row r="2068" customFormat="false" ht="15" hidden="false" customHeight="false" outlineLevel="0" collapsed="false">
      <c r="A2068" s="4" t="s">
        <v>459</v>
      </c>
      <c r="B2068" s="0" t="s">
        <v>234</v>
      </c>
      <c r="C2068" s="30" t="n">
        <f aca="false">C2065+C2067</f>
        <v>51.301</v>
      </c>
      <c r="D2068" s="30" t="n">
        <f aca="false">D2065+D2067</f>
        <v>115.324245860986</v>
      </c>
      <c r="E2068" s="30" t="n">
        <f aca="false">E2065+E2067</f>
        <v>168.935614784845</v>
      </c>
      <c r="F2068" s="30" t="n">
        <f aca="false">F2065+F2067</f>
        <v>189.924708545742</v>
      </c>
      <c r="G2068" s="30" t="n">
        <f aca="false">G2065+G2067</f>
        <v>229.260695022277</v>
      </c>
    </row>
    <row r="2069" customFormat="false" ht="15" hidden="false" customHeight="false" outlineLevel="0" collapsed="false">
      <c r="A2069" s="4" t="s">
        <v>460</v>
      </c>
      <c r="B2069" s="0" t="s">
        <v>234</v>
      </c>
      <c r="C2069" s="30" t="n">
        <f aca="false">a25_tax</f>
        <v>9.461</v>
      </c>
      <c r="D2069" s="30" t="n">
        <f aca="false">a26_tax</f>
        <v>19.2197317963676</v>
      </c>
      <c r="E2069" s="30" t="n">
        <f aca="false">E2068*tax</f>
        <v>28.7190545134236</v>
      </c>
      <c r="F2069" s="30" t="n">
        <f aca="false">F2068*tax</f>
        <v>32.2872004527761</v>
      </c>
      <c r="G2069" s="30" t="n">
        <f aca="false">G2068*tax</f>
        <v>38.9743181537871</v>
      </c>
    </row>
    <row r="2070" customFormat="false" ht="15" hidden="false" customHeight="false" outlineLevel="0" collapsed="false">
      <c r="A2070" s="4" t="s">
        <v>461</v>
      </c>
      <c r="B2070" s="0" t="s">
        <v>234</v>
      </c>
      <c r="C2070" s="30" t="n">
        <f aca="false">a25_nci</f>
        <v>1.182</v>
      </c>
      <c r="D2070" s="30" t="n">
        <f aca="false">a26_nci</f>
        <v>2.543</v>
      </c>
      <c r="E2070" s="30" t="n">
        <f aca="false">nci</f>
        <v>3</v>
      </c>
      <c r="F2070" s="30" t="n">
        <f aca="false">nci</f>
        <v>3</v>
      </c>
      <c r="G2070" s="30" t="n">
        <f aca="false">nci</f>
        <v>3</v>
      </c>
    </row>
    <row r="2071" customFormat="false" ht="15" hidden="false" customHeight="false" outlineLevel="0" collapsed="false">
      <c r="A2071" s="4" t="s">
        <v>462</v>
      </c>
      <c r="B2071" s="0" t="s">
        <v>234</v>
      </c>
      <c r="C2071" s="30" t="n">
        <f aca="false">C2068-C2069-C2070</f>
        <v>40.658</v>
      </c>
      <c r="D2071" s="30" t="n">
        <f aca="false">D2068-D2069-D2070</f>
        <v>93.5615140646185</v>
      </c>
      <c r="E2071" s="30" t="n">
        <f aca="false">E2068-E2069-E2070</f>
        <v>137.216560271421</v>
      </c>
      <c r="F2071" s="30" t="n">
        <f aca="false">F2068-F2069-F2070</f>
        <v>154.637508092966</v>
      </c>
      <c r="G2071" s="30" t="n">
        <f aca="false">G2068-G2069-G2070</f>
        <v>187.28637686849</v>
      </c>
      <c r="H2071" s="31" t="n">
        <f aca="false">H2049*H2075</f>
        <v>207.922247963004</v>
      </c>
      <c r="I2071" s="31" t="n">
        <f aca="false">I2049*I2075</f>
        <v>226.062894172371</v>
      </c>
      <c r="J2071" s="31" t="n">
        <f aca="false">J2049*J2075</f>
        <v>240.601431402821</v>
      </c>
    </row>
    <row r="2072" customFormat="false" ht="15" hidden="false" customHeight="false" outlineLevel="0" collapsed="false">
      <c r="A2072" s="4" t="s">
        <v>579</v>
      </c>
      <c r="B2072" s="4" t="s">
        <v>580</v>
      </c>
      <c r="C2072" s="18" t="n">
        <f aca="false">a25_sh</f>
        <v>4339.16755602988</v>
      </c>
      <c r="D2072" s="18" t="n">
        <f aca="false">a26_sh</f>
        <v>4392.90105184664</v>
      </c>
      <c r="E2072" s="18" t="n">
        <f aca="false">D2072*(1+sh_g)</f>
        <v>4414.86555710588</v>
      </c>
      <c r="F2072" s="18" t="n">
        <f aca="false">E2072*(1+sh_g)</f>
        <v>4436.9398848914</v>
      </c>
      <c r="G2072" s="18" t="n">
        <f aca="false">F2072*(1+sh_g)</f>
        <v>4459.12458431586</v>
      </c>
      <c r="H2072" s="25" t="n">
        <f aca="false">G2072*(1+sh_g)</f>
        <v>4481.42020723744</v>
      </c>
      <c r="I2072" s="25" t="n">
        <f aca="false">H2072*(1+sh_g)</f>
        <v>4503.82730827363</v>
      </c>
      <c r="J2072" s="25" t="n">
        <f aca="false">I2072*(1+sh_g)</f>
        <v>4526.34644481499</v>
      </c>
    </row>
    <row r="2073" customFormat="false" ht="17.15" hidden="false" customHeight="false" outlineLevel="0" collapsed="false">
      <c r="A2073" s="0" t="s">
        <v>465</v>
      </c>
      <c r="B2073" s="0" t="s">
        <v>304</v>
      </c>
      <c r="C2073" s="19" t="n">
        <f aca="false">a25_eps</f>
        <v>9.37</v>
      </c>
      <c r="D2073" s="19" t="n">
        <f aca="false">a26_eps</f>
        <v>21.2828697294455</v>
      </c>
      <c r="E2073" s="19" t="n">
        <f aca="false">E2071/E2072*1000</f>
        <v>31.0805750473117</v>
      </c>
      <c r="F2073" s="19" t="n">
        <f aca="false">F2071/F2072*1000</f>
        <v>34.8522883123873</v>
      </c>
      <c r="G2073" s="19" t="n">
        <f aca="false">G2071/G2072*1000</f>
        <v>42.0007051445108</v>
      </c>
      <c r="H2073" s="28" t="n">
        <f aca="false">H2071/H2072*1000</f>
        <v>46.3965078809642</v>
      </c>
      <c r="I2073" s="28" t="n">
        <f aca="false">I2071/I2072*1000</f>
        <v>50.1935084760219</v>
      </c>
      <c r="J2073" s="28" t="n">
        <f aca="false">J2071/J2072*1000</f>
        <v>53.1557701860039</v>
      </c>
    </row>
    <row r="2074" customFormat="false" ht="17.15" hidden="false" customHeight="false" outlineLevel="0" collapsed="false">
      <c r="A2074" s="0" t="s">
        <v>581</v>
      </c>
      <c r="B2074" s="0" t="s">
        <v>76</v>
      </c>
      <c r="D2074" s="21" t="n">
        <f aca="false">D2073/C2073-1</f>
        <v>1.27138417603474</v>
      </c>
      <c r="E2074" s="21" t="n">
        <f aca="false">E2073/D2073-1</f>
        <v>0.460356401294454</v>
      </c>
      <c r="F2074" s="21" t="n">
        <f aca="false">F2073/E2073-1</f>
        <v>0.1213527503701</v>
      </c>
      <c r="G2074" s="21" t="n">
        <f aca="false">G2073/F2073-1</f>
        <v>0.205106097139189</v>
      </c>
      <c r="H2074" s="26" t="n">
        <f aca="false">H2073/G2073-1</f>
        <v>0.10466021275902</v>
      </c>
      <c r="I2074" s="26" t="n">
        <f aca="false">I2073/H2073-1</f>
        <v>0.0818380686063549</v>
      </c>
      <c r="J2074" s="26" t="n">
        <f aca="false">J2073/I2073-1</f>
        <v>0.0590168290665938</v>
      </c>
    </row>
    <row r="2075" customFormat="false" ht="17.15" hidden="false" customHeight="false" outlineLevel="0" collapsed="false">
      <c r="A2075" s="4" t="s">
        <v>582</v>
      </c>
      <c r="B2075" s="0" t="s">
        <v>76</v>
      </c>
      <c r="C2075" s="14" t="n">
        <f aca="false">C2071/C2049</f>
        <v>0.0629977625862272</v>
      </c>
      <c r="D2075" s="14" t="n">
        <f aca="false">D2071/D2049</f>
        <v>0.107397865592237</v>
      </c>
      <c r="E2075" s="14" t="n">
        <f aca="false">E2071/E2049</f>
        <v>0.121172489373276</v>
      </c>
      <c r="F2075" s="14" t="n">
        <f aca="false">F2071/F2049</f>
        <v>0.121317617392751</v>
      </c>
      <c r="G2075" s="14" t="n">
        <f aca="false">G2071/G2049</f>
        <v>0.130203855224847</v>
      </c>
      <c r="H2075" s="27" t="n">
        <f aca="false">$G2075+(fade_mA-$G2075)*1/3</f>
        <v>0.130737848421286</v>
      </c>
      <c r="I2075" s="27" t="n">
        <f aca="false">$G2075+(fade_mA-$G2075)*2/3</f>
        <v>0.131271841617725</v>
      </c>
      <c r="J2075" s="27" t="n">
        <f aca="false">$G2075+(fade_mA-$G2075)*3/3</f>
        <v>0.131805834814164</v>
      </c>
    </row>
    <row r="2076" customFormat="false" ht="17.15" hidden="false" customHeight="false" outlineLevel="0" collapsed="false">
      <c r="A2076" s="4" t="s">
        <v>583</v>
      </c>
      <c r="B2076" s="0" t="s">
        <v>234</v>
      </c>
      <c r="C2076" s="30" t="n">
        <f aca="false">C2071+C2057-C2055</f>
        <v>-54.587</v>
      </c>
      <c r="D2076" s="30" t="n">
        <f aca="false">D2071+D2057-D2055</f>
        <v>-176.164485935382</v>
      </c>
      <c r="E2076" s="30" t="n">
        <f aca="false">E2071+E2057-E2055</f>
        <v>-147.943689728579</v>
      </c>
      <c r="F2076" s="30" t="n">
        <f aca="false">F2071+F2057-F2055</f>
        <v>-61.2727281729451</v>
      </c>
      <c r="G2076" s="30" t="n">
        <f aca="false">G2071+G2057-G2055</f>
        <v>-50.7627155256338</v>
      </c>
      <c r="K2076" s="4" t="s">
        <v>584</v>
      </c>
    </row>
    <row r="2077" customFormat="false" ht="17.15" hidden="false" customHeight="false" outlineLevel="0" collapsed="false">
      <c r="A2077" s="4" t="s">
        <v>585</v>
      </c>
      <c r="B2077" s="0" t="s">
        <v>76</v>
      </c>
      <c r="D2077" s="21" t="n">
        <f aca="false">(D2065-$C2065)/SUM($D2055:D2055)</f>
        <v>0.164280348537512</v>
      </c>
      <c r="E2077" s="21" t="n">
        <f aca="false">(E2065-$C2065)/SUM($D2055:E2055)</f>
        <v>0.157347658919135</v>
      </c>
      <c r="F2077" s="21" t="n">
        <f aca="false">(F2065-$C2065)/SUM($D2055:F2055)</f>
        <v>0.123723943358353</v>
      </c>
      <c r="G2077" s="21" t="n">
        <f aca="false">(G2065-$C2065)/SUM($D2055:G2055)</f>
        <v>0.114922601697343</v>
      </c>
      <c r="K2077" s="4" t="s">
        <v>586</v>
      </c>
    </row>
    <row r="2080" customFormat="false" ht="17.15" hidden="false" customHeight="false" outlineLevel="0" collapsed="false">
      <c r="A2080" s="1" t="s">
        <v>956</v>
      </c>
    </row>
    <row r="2081" customFormat="false" ht="17.15" hidden="false" customHeight="false" outlineLevel="0" collapsed="false">
      <c r="A2081" s="5" t="s">
        <v>21</v>
      </c>
      <c r="B2081" s="5" t="s">
        <v>22</v>
      </c>
      <c r="C2081" s="15" t="s">
        <v>424</v>
      </c>
      <c r="D2081" s="15" t="s">
        <v>524</v>
      </c>
      <c r="E2081" s="15" t="s">
        <v>525</v>
      </c>
      <c r="F2081" s="15" t="s">
        <v>526</v>
      </c>
      <c r="G2081" s="15" t="s">
        <v>527</v>
      </c>
      <c r="H2081" s="15" t="s">
        <v>528</v>
      </c>
      <c r="I2081" s="15" t="s">
        <v>529</v>
      </c>
      <c r="J2081" s="15" t="s">
        <v>530</v>
      </c>
      <c r="K2081" s="5" t="s">
        <v>382</v>
      </c>
    </row>
    <row r="2082" customFormat="false" ht="17.15" hidden="false" customHeight="false" outlineLevel="0" collapsed="false">
      <c r="A2082" s="6" t="s">
        <v>548</v>
      </c>
    </row>
    <row r="2083" customFormat="false" ht="17.15" hidden="false" customHeight="false" outlineLevel="0" collapsed="false">
      <c r="A2083" s="0" t="s">
        <v>549</v>
      </c>
      <c r="B2083" s="4" t="s">
        <v>32</v>
      </c>
      <c r="D2083" s="19" t="n">
        <f aca="false">units_26</f>
        <v>15.2</v>
      </c>
      <c r="E2083" s="19" t="n">
        <f aca="false">units_27*1</f>
        <v>23.7</v>
      </c>
      <c r="F2083" s="19" t="n">
        <f aca="false">units_28*um28_B*1</f>
        <v>21.2</v>
      </c>
      <c r="G2083" s="19" t="n">
        <f aca="false">units_29*um29_B*1</f>
        <v>25.6275</v>
      </c>
    </row>
    <row r="2084" customFormat="false" ht="17.15" hidden="false" customHeight="false" outlineLevel="0" collapsed="false">
      <c r="A2084" s="4" t="s">
        <v>497</v>
      </c>
      <c r="B2084" s="0" t="s">
        <v>45</v>
      </c>
      <c r="D2084" s="22" t="n">
        <f aca="false">ar_26</f>
        <v>1</v>
      </c>
      <c r="E2084" s="22" t="n">
        <f aca="false">ar_27</f>
        <v>1.278156</v>
      </c>
      <c r="F2084" s="22" t="n">
        <f aca="false">ar_28</f>
        <v>1.428615</v>
      </c>
      <c r="G2084" s="22" t="n">
        <f aca="false">ar_29</f>
        <v>1.431796</v>
      </c>
    </row>
    <row r="2085" customFormat="false" ht="17.15" hidden="false" customHeight="false" outlineLevel="0" collapsed="false">
      <c r="A2085" s="4" t="s">
        <v>550</v>
      </c>
      <c r="B2085" s="0" t="s">
        <v>45</v>
      </c>
      <c r="D2085" s="19" t="n">
        <f aca="false">1</f>
        <v>1</v>
      </c>
      <c r="E2085" s="19" t="n">
        <f aca="false">rel27_B</f>
        <v>1.05</v>
      </c>
      <c r="F2085" s="19" t="n">
        <f aca="false">rel28_B</f>
        <v>1.08</v>
      </c>
      <c r="G2085" s="19" t="n">
        <f aca="false">rel29_B</f>
        <v>1.1</v>
      </c>
    </row>
    <row r="2086" customFormat="false" ht="17.15" hidden="false" customHeight="false" outlineLevel="0" collapsed="false">
      <c r="A2086" s="4" t="s">
        <v>551</v>
      </c>
      <c r="B2086" s="0" t="s">
        <v>502</v>
      </c>
      <c r="D2086" s="23" t="n">
        <f aca="false">D2087*1000/D2083</f>
        <v>236.842105263158</v>
      </c>
      <c r="E2086" s="23" t="n">
        <f aca="false">$D2086*E2084^el</f>
        <v>267.763172119488</v>
      </c>
      <c r="F2086" s="23" t="n">
        <f aca="false">$D2086*F2084^el</f>
        <v>283.084777049615</v>
      </c>
      <c r="G2086" s="23" t="n">
        <f aca="false">$D2086*G2084^el</f>
        <v>283.399764630809</v>
      </c>
      <c r="K2086" s="8" t="s">
        <v>552</v>
      </c>
    </row>
    <row r="2087" customFormat="false" ht="17.15" hidden="false" customHeight="false" outlineLevel="0" collapsed="false">
      <c r="A2087" s="0" t="s">
        <v>553</v>
      </c>
      <c r="B2087" s="0" t="s">
        <v>120</v>
      </c>
      <c r="D2087" s="22" t="n">
        <f aca="false">leap26-D2088-D2089</f>
        <v>3.6</v>
      </c>
      <c r="E2087" s="22" t="n">
        <f aca="false">E2083*E2085*E2086/1000</f>
        <v>6.66328653819345</v>
      </c>
      <c r="F2087" s="22" t="n">
        <f aca="false">F2083*F2085*F2086/1000</f>
        <v>6.48150905532798</v>
      </c>
      <c r="G2087" s="22" t="n">
        <f aca="false">G2083*G2085*G2086/1000</f>
        <v>7.98911021488366</v>
      </c>
      <c r="K2087" s="8" t="s">
        <v>554</v>
      </c>
    </row>
    <row r="2088" customFormat="false" ht="17.15" hidden="false" customHeight="false" outlineLevel="0" collapsed="false">
      <c r="A2088" s="4" t="s">
        <v>555</v>
      </c>
      <c r="B2088" s="0" t="s">
        <v>120</v>
      </c>
      <c r="D2088" s="22" t="n">
        <f aca="false">fp26</f>
        <v>0.3</v>
      </c>
      <c r="E2088" s="22" t="n">
        <f aca="false">fp27_B</f>
        <v>1</v>
      </c>
      <c r="F2088" s="22" t="n">
        <f aca="false">E2088*F2083/E2083*(1+fp_g)</f>
        <v>1.16286919831224</v>
      </c>
      <c r="G2088" s="22" t="n">
        <f aca="false">F2088*G2083/F2083*(1+fp_g)</f>
        <v>1.82744620253165</v>
      </c>
    </row>
    <row r="2089" customFormat="false" ht="17.15" hidden="false" customHeight="false" outlineLevel="0" collapsed="false">
      <c r="A2089" s="0" t="s">
        <v>556</v>
      </c>
      <c r="B2089" s="0" t="s">
        <v>120</v>
      </c>
      <c r="D2089" s="22" t="n">
        <f aca="false">cpo27*cpo_B_26/cpo_A_27</f>
        <v>0.1</v>
      </c>
      <c r="E2089" s="22" t="n">
        <f aca="false">cpo27*cpo_B_27/cpo_A_27</f>
        <v>0.3</v>
      </c>
      <c r="F2089" s="22" t="n">
        <f aca="false">cpo27*cpo_B_28/cpo_A_27*F2083/E2083</f>
        <v>0.447257383966245</v>
      </c>
      <c r="G2089" s="22" t="n">
        <f aca="false">cpo27*cpo_B_29/cpo_A_27*G2083/E2083</f>
        <v>0.86506329113924</v>
      </c>
      <c r="K2089" s="8" t="s">
        <v>557</v>
      </c>
    </row>
    <row r="2090" customFormat="false" ht="17.15" hidden="false" customHeight="false" outlineLevel="0" collapsed="false">
      <c r="A2090" s="0" t="s">
        <v>510</v>
      </c>
      <c r="B2090" s="0" t="s">
        <v>120</v>
      </c>
      <c r="C2090" s="22" t="n">
        <f aca="false">leap25</f>
        <v>1.6</v>
      </c>
      <c r="D2090" s="22" t="n">
        <f aca="false">D2087+D2088+D2089</f>
        <v>4</v>
      </c>
      <c r="E2090" s="22" t="n">
        <f aca="false">E2087+E2088+E2089</f>
        <v>7.96328653819345</v>
      </c>
      <c r="F2090" s="22" t="n">
        <f aca="false">F2087+F2088+F2089</f>
        <v>8.09163563760646</v>
      </c>
      <c r="G2090" s="22" t="n">
        <f aca="false">G2087+G2088+G2089</f>
        <v>10.6816197085545</v>
      </c>
    </row>
    <row r="2091" customFormat="false" ht="17.15" hidden="false" customHeight="false" outlineLevel="0" collapsed="false">
      <c r="A2091" s="4" t="s">
        <v>558</v>
      </c>
      <c r="B2091" s="0" t="s">
        <v>114</v>
      </c>
      <c r="C2091" s="19" t="n">
        <f aca="false">fx25</f>
        <v>31</v>
      </c>
      <c r="D2091" s="19" t="n">
        <f aca="false">a26_leap/D2090</f>
        <v>31.9</v>
      </c>
      <c r="E2091" s="19" t="n">
        <f aca="false">fx</f>
        <v>32</v>
      </c>
      <c r="F2091" s="19" t="n">
        <f aca="false">fx</f>
        <v>32</v>
      </c>
      <c r="G2091" s="19" t="n">
        <f aca="false">fx</f>
        <v>32</v>
      </c>
      <c r="K2091" s="8" t="s">
        <v>559</v>
      </c>
    </row>
    <row r="2092" customFormat="false" ht="17.15" hidden="false" customHeight="false" outlineLevel="0" collapsed="false">
      <c r="A2092" s="6" t="s">
        <v>560</v>
      </c>
    </row>
    <row r="2093" customFormat="false" ht="17.15" hidden="false" customHeight="false" outlineLevel="0" collapsed="false">
      <c r="A2093" s="0" t="s">
        <v>438</v>
      </c>
      <c r="B2093" s="0" t="s">
        <v>234</v>
      </c>
      <c r="C2093" s="30" t="n">
        <f aca="false">a25_leap</f>
        <v>49.6</v>
      </c>
      <c r="D2093" s="30" t="n">
        <f aca="false">a26_leap</f>
        <v>127.6</v>
      </c>
      <c r="E2093" s="30" t="n">
        <f aca="false">E2090*E2091</f>
        <v>254.82516922219</v>
      </c>
      <c r="F2093" s="30" t="n">
        <f aca="false">F2090*F2091</f>
        <v>258.932340403407</v>
      </c>
      <c r="G2093" s="30" t="n">
        <f aca="false">G2090*G2091</f>
        <v>341.811830673745</v>
      </c>
    </row>
    <row r="2094" customFormat="false" ht="15" hidden="false" customHeight="false" outlineLevel="0" collapsed="false">
      <c r="A2094" s="4" t="s">
        <v>561</v>
      </c>
      <c r="B2094" s="0" t="s">
        <v>234</v>
      </c>
      <c r="C2094" s="30" t="n">
        <f aca="false">a25_ms</f>
        <v>339.628</v>
      </c>
      <c r="D2094" s="30" t="n">
        <f aca="false">a26_ms</f>
        <v>432.1302</v>
      </c>
      <c r="E2094" s="30" t="n">
        <f aca="false">D2094*(1+g_ms27)</f>
        <v>496.94973</v>
      </c>
      <c r="F2094" s="30" t="n">
        <f aca="false">E2094*(1+g_msL)</f>
        <v>531.7362111</v>
      </c>
      <c r="G2094" s="30" t="n">
        <f aca="false">F2094*(1+g_msL)</f>
        <v>568.957745877</v>
      </c>
    </row>
    <row r="2095" customFormat="false" ht="17.15" hidden="false" customHeight="false" outlineLevel="0" collapsed="false">
      <c r="A2095" s="4" t="s">
        <v>562</v>
      </c>
      <c r="B2095" s="0" t="s">
        <v>234</v>
      </c>
      <c r="C2095" s="30" t="n">
        <f aca="false">C2093+C2094</f>
        <v>389.228</v>
      </c>
      <c r="D2095" s="30" t="n">
        <f aca="false">D2093+D2094</f>
        <v>559.7302</v>
      </c>
      <c r="E2095" s="30" t="n">
        <f aca="false">E2093+E2094</f>
        <v>751.77489922219</v>
      </c>
      <c r="F2095" s="30" t="n">
        <f aca="false">F2093+F2094</f>
        <v>790.668551503407</v>
      </c>
      <c r="G2095" s="30" t="n">
        <f aca="false">G2093+G2094</f>
        <v>910.769576550745</v>
      </c>
    </row>
    <row r="2096" customFormat="false" ht="17.15" hidden="false" customHeight="false" outlineLevel="0" collapsed="false">
      <c r="A2096" s="0" t="s">
        <v>563</v>
      </c>
      <c r="B2096" s="0" t="s">
        <v>234</v>
      </c>
      <c r="C2096" s="30" t="n">
        <f aca="false">a25_ems</f>
        <v>259.079</v>
      </c>
      <c r="D2096" s="30" t="n">
        <f aca="false">a26_ems</f>
        <v>314.602</v>
      </c>
      <c r="E2096" s="30" t="n">
        <f aca="false">D2096*(1+g_ems27_hi)</f>
        <v>361.7923</v>
      </c>
      <c r="F2096" s="30" t="n">
        <f aca="false">E2096*(1+g_emsL)</f>
        <v>379.881915</v>
      </c>
      <c r="G2096" s="30" t="n">
        <f aca="false">F2096*(1+g_emsL)</f>
        <v>398.87601075</v>
      </c>
    </row>
    <row r="2097" customFormat="false" ht="17.15" hidden="false" customHeight="false" outlineLevel="0" collapsed="false">
      <c r="A2097" s="4" t="s">
        <v>564</v>
      </c>
      <c r="B2097" s="0" t="s">
        <v>234</v>
      </c>
      <c r="C2097" s="30" t="n">
        <f aca="false">a25_elim</f>
        <v>-2.91899999999998</v>
      </c>
      <c r="D2097" s="30" t="n">
        <f aca="false">a26_elim</f>
        <v>-3.16484905982349</v>
      </c>
      <c r="E2097" s="30" t="n">
        <f aca="false">$D2097/($D2095+$D2096)*(E2095+E2096)</f>
        <v>-4.03081586553557</v>
      </c>
      <c r="F2097" s="30" t="n">
        <f aca="false">$D2097/($D2095+$D2096)*(F2095+F2096)</f>
        <v>-4.2370800748151</v>
      </c>
      <c r="G2097" s="30" t="n">
        <f aca="false">$D2097/($D2095+$D2096)*(G2095+G2096)</f>
        <v>-4.74056726456002</v>
      </c>
      <c r="K2097" s="4" t="s">
        <v>565</v>
      </c>
    </row>
    <row r="2098" customFormat="false" ht="17.15" hidden="false" customHeight="false" outlineLevel="0" collapsed="false">
      <c r="A2098" s="4" t="s">
        <v>431</v>
      </c>
      <c r="B2098" s="0" t="s">
        <v>234</v>
      </c>
      <c r="C2098" s="30" t="n">
        <f aca="false">C2095+C2096+C2097</f>
        <v>645.388</v>
      </c>
      <c r="D2098" s="30" t="n">
        <f aca="false">D2095+D2096+D2097</f>
        <v>871.167350940177</v>
      </c>
      <c r="E2098" s="30" t="n">
        <f aca="false">E2095+E2096+E2097</f>
        <v>1109.53638335665</v>
      </c>
      <c r="F2098" s="30" t="n">
        <f aca="false">F2095+F2096+F2097</f>
        <v>1166.31338642859</v>
      </c>
      <c r="G2098" s="30" t="n">
        <f aca="false">G2095+G2096+G2097</f>
        <v>1304.90502003619</v>
      </c>
      <c r="H2098" s="31" t="n">
        <f aca="false">G2098*(1+H2099)</f>
        <v>1425.67729545024</v>
      </c>
      <c r="I2098" s="31" t="n">
        <f aca="false">H2098*(1+I2099)</f>
        <v>1520.16586955437</v>
      </c>
      <c r="J2098" s="31" t="n">
        <f aca="false">I2098*(1+J2099)</f>
        <v>1580.97250433655</v>
      </c>
      <c r="K2098" s="8" t="s">
        <v>566</v>
      </c>
    </row>
    <row r="2099" customFormat="false" ht="15" hidden="false" customHeight="false" outlineLevel="0" collapsed="false">
      <c r="A2099" s="4" t="s">
        <v>567</v>
      </c>
      <c r="B2099" s="0" t="s">
        <v>76</v>
      </c>
      <c r="D2099" s="21" t="n">
        <f aca="false">D2098/C2098-1</f>
        <v>0.349835061916516</v>
      </c>
      <c r="E2099" s="21" t="n">
        <f aca="false">E2098/D2098-1</f>
        <v>0.27362025466086</v>
      </c>
      <c r="F2099" s="21" t="n">
        <f aca="false">F2098/E2098-1</f>
        <v>0.051171826290338</v>
      </c>
      <c r="G2099" s="21" t="n">
        <f aca="false">G2098/F2098-1</f>
        <v>0.118828811552939</v>
      </c>
      <c r="H2099" s="26" t="n">
        <f aca="false">$G2099+(fade_gB-$G2099)*1/3</f>
        <v>0.092552541035293</v>
      </c>
      <c r="I2099" s="26" t="n">
        <f aca="false">$G2099+(fade_gB-$G2099)*2/3</f>
        <v>0.0662762705176465</v>
      </c>
      <c r="J2099" s="26" t="n">
        <f aca="false">$G2099+(fade_gB-$G2099)*3/3</f>
        <v>0.04</v>
      </c>
    </row>
    <row r="2100" customFormat="false" ht="17.15" hidden="false" customHeight="false" outlineLevel="0" collapsed="false">
      <c r="A2100" s="0" t="s">
        <v>475</v>
      </c>
      <c r="B2100" s="0" t="s">
        <v>76</v>
      </c>
      <c r="C2100" s="21" t="n">
        <f aca="false">C2093/C2095</f>
        <v>0.127431736668482</v>
      </c>
      <c r="D2100" s="21" t="n">
        <f aca="false">D2093/D2095</f>
        <v>0.227966974088588</v>
      </c>
      <c r="E2100" s="21" t="n">
        <f aca="false">E2093/E2095</f>
        <v>0.338964721335922</v>
      </c>
      <c r="F2100" s="21" t="n">
        <f aca="false">F2093/F2095</f>
        <v>0.327485315953269</v>
      </c>
      <c r="G2100" s="21" t="n">
        <f aca="false">G2093/G2095</f>
        <v>0.375300009436251</v>
      </c>
    </row>
    <row r="2101" customFormat="false" ht="15" hidden="false" customHeight="false" outlineLevel="0" collapsed="false">
      <c r="A2101" s="4" t="s">
        <v>568</v>
      </c>
      <c r="B2101" s="0" t="s">
        <v>76</v>
      </c>
      <c r="D2101" s="21" t="n">
        <f aca="false">D2095/C2095-1</f>
        <v>0.438052247012034</v>
      </c>
      <c r="E2101" s="21" t="n">
        <f aca="false">E2095/D2095-1</f>
        <v>0.343102264666424</v>
      </c>
      <c r="F2101" s="21" t="n">
        <f aca="false">F2095/E2095-1</f>
        <v>0.0517357686741828</v>
      </c>
      <c r="G2101" s="21" t="n">
        <f aca="false">G2095/F2095-1</f>
        <v>0.151898067551788</v>
      </c>
    </row>
    <row r="2102" customFormat="false" ht="17.15" hidden="false" customHeight="false" outlineLevel="0" collapsed="false">
      <c r="A2102" s="6" t="s">
        <v>569</v>
      </c>
    </row>
    <row r="2103" customFormat="false" ht="17.15" hidden="false" customHeight="false" outlineLevel="0" collapsed="false">
      <c r="A2103" s="4" t="s">
        <v>570</v>
      </c>
      <c r="B2103" s="0" t="s">
        <v>120</v>
      </c>
      <c r="C2103" s="19" t="n">
        <f aca="false">capex25</f>
        <v>5.5</v>
      </c>
      <c r="D2103" s="19" t="n">
        <f aca="false">capex26</f>
        <v>11.5</v>
      </c>
      <c r="E2103" s="19" t="n">
        <f aca="false">capex27</f>
        <v>13</v>
      </c>
      <c r="F2103" s="19" t="n">
        <f aca="false">capi*F2098/F2091</f>
        <v>10.934187997768</v>
      </c>
      <c r="G2103" s="19" t="n">
        <f aca="false">capi*G2098/G2091</f>
        <v>12.2334845628392</v>
      </c>
      <c r="K2103" s="8" t="s">
        <v>571</v>
      </c>
    </row>
    <row r="2104" customFormat="false" ht="15" hidden="false" customHeight="false" outlineLevel="0" collapsed="false">
      <c r="A2104" s="4" t="s">
        <v>572</v>
      </c>
      <c r="B2104" s="0" t="s">
        <v>234</v>
      </c>
      <c r="C2104" s="30" t="n">
        <f aca="false">C2103*C2091</f>
        <v>170.5</v>
      </c>
      <c r="D2104" s="30" t="n">
        <f aca="false">D2103*31.9</f>
        <v>366.85</v>
      </c>
      <c r="E2104" s="30" t="n">
        <f aca="false">E2103*E2091</f>
        <v>416</v>
      </c>
      <c r="F2104" s="30" t="n">
        <f aca="false">F2103*F2091</f>
        <v>349.894015928577</v>
      </c>
      <c r="G2104" s="30" t="n">
        <f aca="false">G2103*G2091</f>
        <v>391.471506010856</v>
      </c>
    </row>
    <row r="2105" customFormat="false" ht="17.15" hidden="false" customHeight="false" outlineLevel="0" collapsed="false">
      <c r="A2105" s="4" t="s">
        <v>473</v>
      </c>
      <c r="B2105" s="0" t="s">
        <v>76</v>
      </c>
      <c r="C2105" s="21" t="n">
        <f aca="false">C2104/C2098</f>
        <v>0.264182166386732</v>
      </c>
      <c r="D2105" s="21" t="n">
        <f aca="false">D2104/D2098</f>
        <v>0.421101639775745</v>
      </c>
      <c r="E2105" s="21" t="n">
        <f aca="false">E2104/E2098</f>
        <v>0.374931373355676</v>
      </c>
      <c r="F2105" s="21" t="n">
        <f aca="false">F2104/F2098</f>
        <v>0.3</v>
      </c>
      <c r="G2105" s="21" t="n">
        <f aca="false">G2104/G2098</f>
        <v>0.3</v>
      </c>
    </row>
    <row r="2106" customFormat="false" ht="17.15" hidden="false" customHeight="false" outlineLevel="0" collapsed="false">
      <c r="A2106" s="4" t="s">
        <v>573</v>
      </c>
      <c r="B2106" s="0" t="s">
        <v>234</v>
      </c>
      <c r="C2106" s="30" t="n">
        <f aca="false">a25_da</f>
        <v>75.255</v>
      </c>
      <c r="D2106" s="30" t="n">
        <f aca="false">a26_da</f>
        <v>97.124</v>
      </c>
      <c r="E2106" s="30" t="n">
        <f aca="false">D2106*(1-1/life)+D2104/life</f>
        <v>130.83975</v>
      </c>
      <c r="F2106" s="30" t="n">
        <f aca="false">E2106*(1-1/life)+E2104/life</f>
        <v>166.48478125</v>
      </c>
      <c r="G2106" s="30" t="n">
        <f aca="false">F2106*(1-1/life)+F2104/life</f>
        <v>189.410935584822</v>
      </c>
      <c r="K2106" s="4" t="s">
        <v>574</v>
      </c>
    </row>
    <row r="2107" customFormat="false" ht="17.15" hidden="false" customHeight="false" outlineLevel="0" collapsed="false">
      <c r="A2107" s="4" t="s">
        <v>575</v>
      </c>
      <c r="B2107" s="0" t="s">
        <v>234</v>
      </c>
      <c r="C2107" s="30" t="n">
        <f aca="false">a25_agp</f>
        <v>91.38</v>
      </c>
      <c r="D2107" s="30" t="n">
        <f aca="false">a26_agp</f>
        <v>164.623388</v>
      </c>
      <c r="E2107" s="30" t="n">
        <f aca="false">$D2107+ft*(E2095-$D2095)-(E2106-$D2106)</f>
        <v>226.929987611095</v>
      </c>
      <c r="F2107" s="30" t="n">
        <f aca="false">$D2107+ft*(F2095-$D2095)-(F2106-$D2106)</f>
        <v>210.731782501703</v>
      </c>
      <c r="G2107" s="30" t="n">
        <f aca="false">$D2107+ft*(G2095-$D2095)-(G2106-$D2106)</f>
        <v>247.856140690551</v>
      </c>
      <c r="K2107" s="4" t="s">
        <v>576</v>
      </c>
    </row>
    <row r="2108" customFormat="false" ht="15" hidden="false" customHeight="false" outlineLevel="0" collapsed="false">
      <c r="A2108" s="4" t="s">
        <v>447</v>
      </c>
      <c r="B2108" s="0" t="s">
        <v>76</v>
      </c>
      <c r="C2108" s="14" t="n">
        <f aca="false">C2107/C2095</f>
        <v>0.234772421305764</v>
      </c>
      <c r="D2108" s="14" t="n">
        <f aca="false">D2107/D2095</f>
        <v>0.294112034690999</v>
      </c>
      <c r="E2108" s="14" t="n">
        <f aca="false">E2107/E2095</f>
        <v>0.301858957842147</v>
      </c>
      <c r="F2108" s="14" t="n">
        <f aca="false">F2107/F2095</f>
        <v>0.26652354150296</v>
      </c>
      <c r="G2108" s="14" t="n">
        <f aca="false">G2107/G2095</f>
        <v>0.272139240343565</v>
      </c>
    </row>
    <row r="2109" customFormat="false" ht="17.15" hidden="false" customHeight="false" outlineLevel="0" collapsed="false">
      <c r="A2109" s="0" t="s">
        <v>449</v>
      </c>
      <c r="B2109" s="0" t="s">
        <v>234</v>
      </c>
      <c r="C2109" s="30" t="n">
        <f aca="false">a25_egp</f>
        <v>23.695</v>
      </c>
      <c r="D2109" s="30" t="n">
        <f aca="false">a26_egp</f>
        <v>27.00552</v>
      </c>
      <c r="E2109" s="30" t="n">
        <f aca="false">E2096*ems_gm</f>
        <v>30.7523455</v>
      </c>
      <c r="F2109" s="30" t="n">
        <f aca="false">F2096*ems_gm</f>
        <v>32.289962775</v>
      </c>
      <c r="G2109" s="30" t="n">
        <f aca="false">G2096*ems_gm</f>
        <v>33.90446091375</v>
      </c>
    </row>
    <row r="2110" customFormat="false" ht="15" hidden="false" customHeight="false" outlineLevel="0" collapsed="false">
      <c r="A2110" s="4" t="s">
        <v>577</v>
      </c>
      <c r="B2110" s="0" t="s">
        <v>234</v>
      </c>
      <c r="C2110" s="30" t="n">
        <f aca="false">a25_lgp</f>
        <v>-0.881999999999998</v>
      </c>
      <c r="D2110" s="30" t="n">
        <f aca="false">a26_lgp</f>
        <v>-0.948662139013863</v>
      </c>
      <c r="E2110" s="30" t="n">
        <f aca="false">$D2110/$D2097*E2097</f>
        <v>-1.20823531507795</v>
      </c>
      <c r="F2110" s="30" t="n">
        <f aca="false">$D2110/$D2097*F2097</f>
        <v>-1.27006292273897</v>
      </c>
      <c r="G2110" s="30" t="n">
        <f aca="false">$D2110/$D2097*G2097</f>
        <v>-1.4209829904455</v>
      </c>
    </row>
    <row r="2111" customFormat="false" ht="15" hidden="false" customHeight="false" outlineLevel="0" collapsed="false">
      <c r="A2111" s="4" t="s">
        <v>451</v>
      </c>
      <c r="B2111" s="0" t="s">
        <v>234</v>
      </c>
      <c r="C2111" s="30" t="n">
        <f aca="false">C2107+C2109+C2110</f>
        <v>114.193</v>
      </c>
      <c r="D2111" s="30" t="n">
        <f aca="false">D2107+D2109+D2110</f>
        <v>190.680245860986</v>
      </c>
      <c r="E2111" s="30" t="n">
        <f aca="false">E2107+E2109+E2110</f>
        <v>256.474097796017</v>
      </c>
      <c r="F2111" s="30" t="n">
        <f aca="false">F2107+F2109+F2110</f>
        <v>241.751682353964</v>
      </c>
      <c r="G2111" s="30" t="n">
        <f aca="false">G2107+G2109+G2110</f>
        <v>280.339618613855</v>
      </c>
    </row>
    <row r="2112" customFormat="false" ht="15" hidden="false" customHeight="false" outlineLevel="0" collapsed="false">
      <c r="A2112" s="4" t="s">
        <v>452</v>
      </c>
      <c r="B2112" s="0" t="s">
        <v>76</v>
      </c>
      <c r="C2112" s="14" t="n">
        <f aca="false">C2111/C2098</f>
        <v>0.176936974347214</v>
      </c>
      <c r="D2112" s="14" t="n">
        <f aca="false">D2111/D2098</f>
        <v>0.218879008327391</v>
      </c>
      <c r="E2112" s="14" t="n">
        <f aca="false">E2111/E2098</f>
        <v>0.231154292588506</v>
      </c>
      <c r="F2112" s="14" t="n">
        <f aca="false">F2111/F2098</f>
        <v>0.207278494071169</v>
      </c>
      <c r="G2112" s="14" t="n">
        <f aca="false">G2111/G2098</f>
        <v>0.214835267172228</v>
      </c>
    </row>
    <row r="2113" customFormat="false" ht="15" hidden="false" customHeight="false" outlineLevel="0" collapsed="false">
      <c r="A2113" s="4" t="s">
        <v>578</v>
      </c>
      <c r="B2113" s="0" t="s">
        <v>234</v>
      </c>
      <c r="C2113" s="30" t="n">
        <f aca="false">a25_opx</f>
        <v>63.437</v>
      </c>
      <c r="D2113" s="30" t="n">
        <f aca="false">a26_opx</f>
        <v>79.658</v>
      </c>
      <c r="E2113" s="30" t="n">
        <f aca="false">D2113*(1+phi*E2099)</f>
        <v>92.7356253474649</v>
      </c>
      <c r="F2113" s="30" t="n">
        <f aca="false">E2113*(1+phi*F2099)</f>
        <v>95.5828961341887</v>
      </c>
      <c r="G2113" s="30" t="n">
        <f aca="false">F2113*(1+phi*G2099)</f>
        <v>102.397697305637</v>
      </c>
    </row>
    <row r="2114" customFormat="false" ht="15" hidden="false" customHeight="false" outlineLevel="0" collapsed="false">
      <c r="A2114" s="4" t="s">
        <v>455</v>
      </c>
      <c r="B2114" s="0" t="s">
        <v>234</v>
      </c>
      <c r="C2114" s="30" t="n">
        <f aca="false">C2111-C2113</f>
        <v>50.756</v>
      </c>
      <c r="D2114" s="30" t="n">
        <f aca="false">D2111-D2113</f>
        <v>111.022245860986</v>
      </c>
      <c r="E2114" s="30" t="n">
        <f aca="false">E2111-E2113</f>
        <v>163.738472448552</v>
      </c>
      <c r="F2114" s="30" t="n">
        <f aca="false">F2111-F2113</f>
        <v>146.168786219776</v>
      </c>
      <c r="G2114" s="30" t="n">
        <f aca="false">G2111-G2113</f>
        <v>177.941921308218</v>
      </c>
    </row>
    <row r="2115" customFormat="false" ht="15" hidden="false" customHeight="false" outlineLevel="0" collapsed="false">
      <c r="A2115" s="4" t="s">
        <v>537</v>
      </c>
      <c r="B2115" s="0" t="s">
        <v>76</v>
      </c>
      <c r="C2115" s="14" t="n">
        <f aca="false">C2114/C2098</f>
        <v>0.0786441644406156</v>
      </c>
      <c r="D2115" s="14" t="n">
        <f aca="false">D2114/D2098</f>
        <v>0.127440779020437</v>
      </c>
      <c r="E2115" s="14" t="n">
        <f aca="false">E2114/E2098</f>
        <v>0.147573774870904</v>
      </c>
      <c r="F2115" s="14" t="n">
        <f aca="false">F2114/F2098</f>
        <v>0.125325481059052</v>
      </c>
      <c r="G2115" s="14" t="n">
        <f aca="false">G2114/G2098</f>
        <v>0.136363887467675</v>
      </c>
    </row>
    <row r="2116" customFormat="false" ht="15" hidden="false" customHeight="false" outlineLevel="0" collapsed="false">
      <c r="A2116" s="4" t="s">
        <v>456</v>
      </c>
      <c r="B2116" s="0" t="s">
        <v>234</v>
      </c>
      <c r="C2116" s="30" t="n">
        <f aca="false">a25_nonop</f>
        <v>0.545</v>
      </c>
      <c r="D2116" s="30" t="n">
        <f aca="false">a26_nonop</f>
        <v>4.302</v>
      </c>
      <c r="E2116" s="30" t="n">
        <f aca="false">nonop_f</f>
        <v>-5</v>
      </c>
      <c r="F2116" s="30" t="n">
        <f aca="false">nonop_f</f>
        <v>-5</v>
      </c>
      <c r="G2116" s="30" t="n">
        <f aca="false">nonop_f</f>
        <v>-5</v>
      </c>
    </row>
    <row r="2117" customFormat="false" ht="15" hidden="false" customHeight="false" outlineLevel="0" collapsed="false">
      <c r="A2117" s="4" t="s">
        <v>459</v>
      </c>
      <c r="B2117" s="0" t="s">
        <v>234</v>
      </c>
      <c r="C2117" s="30" t="n">
        <f aca="false">C2114+C2116</f>
        <v>51.301</v>
      </c>
      <c r="D2117" s="30" t="n">
        <f aca="false">D2114+D2116</f>
        <v>115.324245860986</v>
      </c>
      <c r="E2117" s="30" t="n">
        <f aca="false">E2114+E2116</f>
        <v>158.738472448552</v>
      </c>
      <c r="F2117" s="30" t="n">
        <f aca="false">F2114+F2116</f>
        <v>141.168786219776</v>
      </c>
      <c r="G2117" s="30" t="n">
        <f aca="false">G2114+G2116</f>
        <v>172.941921308218</v>
      </c>
    </row>
    <row r="2118" customFormat="false" ht="15" hidden="false" customHeight="false" outlineLevel="0" collapsed="false">
      <c r="A2118" s="4" t="s">
        <v>460</v>
      </c>
      <c r="B2118" s="0" t="s">
        <v>234</v>
      </c>
      <c r="C2118" s="30" t="n">
        <f aca="false">a25_tax</f>
        <v>9.461</v>
      </c>
      <c r="D2118" s="30" t="n">
        <f aca="false">a26_tax</f>
        <v>19.2197317963676</v>
      </c>
      <c r="E2118" s="30" t="n">
        <f aca="false">E2117*tax</f>
        <v>26.9855403162539</v>
      </c>
      <c r="F2118" s="30" t="n">
        <f aca="false">F2117*tax</f>
        <v>23.9986936573619</v>
      </c>
      <c r="G2118" s="30" t="n">
        <f aca="false">G2117*tax</f>
        <v>29.4001266223971</v>
      </c>
    </row>
    <row r="2119" customFormat="false" ht="15" hidden="false" customHeight="false" outlineLevel="0" collapsed="false">
      <c r="A2119" s="4" t="s">
        <v>461</v>
      </c>
      <c r="B2119" s="0" t="s">
        <v>234</v>
      </c>
      <c r="C2119" s="30" t="n">
        <f aca="false">a25_nci</f>
        <v>1.182</v>
      </c>
      <c r="D2119" s="30" t="n">
        <f aca="false">a26_nci</f>
        <v>2.543</v>
      </c>
      <c r="E2119" s="30" t="n">
        <f aca="false">nci</f>
        <v>3</v>
      </c>
      <c r="F2119" s="30" t="n">
        <f aca="false">nci</f>
        <v>3</v>
      </c>
      <c r="G2119" s="30" t="n">
        <f aca="false">nci</f>
        <v>3</v>
      </c>
    </row>
    <row r="2120" customFormat="false" ht="15" hidden="false" customHeight="false" outlineLevel="0" collapsed="false">
      <c r="A2120" s="4" t="s">
        <v>462</v>
      </c>
      <c r="B2120" s="0" t="s">
        <v>234</v>
      </c>
      <c r="C2120" s="30" t="n">
        <f aca="false">C2117-C2118-C2119</f>
        <v>40.658</v>
      </c>
      <c r="D2120" s="30" t="n">
        <f aca="false">D2117-D2118-D2119</f>
        <v>93.5615140646185</v>
      </c>
      <c r="E2120" s="30" t="n">
        <f aca="false">E2117-E2118-E2119</f>
        <v>128.752932132298</v>
      </c>
      <c r="F2120" s="30" t="n">
        <f aca="false">F2117-F2118-F2119</f>
        <v>114.170092562414</v>
      </c>
      <c r="G2120" s="30" t="n">
        <f aca="false">G2117-G2118-G2119</f>
        <v>140.541794685821</v>
      </c>
      <c r="H2120" s="31" t="n">
        <f aca="false">H2098*H2124</f>
        <v>149.064147148653</v>
      </c>
      <c r="I2120" s="31" t="n">
        <f aca="false">I2098*I2124</f>
        <v>154.161156266504</v>
      </c>
      <c r="J2120" s="31" t="n">
        <f aca="false">J2098*J2124</f>
        <v>155.353899629186</v>
      </c>
    </row>
    <row r="2121" customFormat="false" ht="15" hidden="false" customHeight="false" outlineLevel="0" collapsed="false">
      <c r="A2121" s="4" t="s">
        <v>579</v>
      </c>
      <c r="B2121" s="4" t="s">
        <v>580</v>
      </c>
      <c r="C2121" s="18" t="n">
        <f aca="false">a25_sh</f>
        <v>4339.16755602988</v>
      </c>
      <c r="D2121" s="18" t="n">
        <f aca="false">a26_sh</f>
        <v>4392.90105184664</v>
      </c>
      <c r="E2121" s="18" t="n">
        <f aca="false">D2121*(1+sh_g)</f>
        <v>4414.86555710588</v>
      </c>
      <c r="F2121" s="18" t="n">
        <f aca="false">E2121*(1+sh_g)</f>
        <v>4436.9398848914</v>
      </c>
      <c r="G2121" s="18" t="n">
        <f aca="false">F2121*(1+sh_g)</f>
        <v>4459.12458431586</v>
      </c>
      <c r="H2121" s="25" t="n">
        <f aca="false">G2121*(1+sh_g)</f>
        <v>4481.42020723744</v>
      </c>
      <c r="I2121" s="25" t="n">
        <f aca="false">H2121*(1+sh_g)</f>
        <v>4503.82730827363</v>
      </c>
      <c r="J2121" s="25" t="n">
        <f aca="false">I2121*(1+sh_g)</f>
        <v>4526.34644481499</v>
      </c>
    </row>
    <row r="2122" customFormat="false" ht="17.15" hidden="false" customHeight="false" outlineLevel="0" collapsed="false">
      <c r="A2122" s="0" t="s">
        <v>465</v>
      </c>
      <c r="B2122" s="0" t="s">
        <v>304</v>
      </c>
      <c r="C2122" s="19" t="n">
        <f aca="false">a25_eps</f>
        <v>9.37</v>
      </c>
      <c r="D2122" s="19" t="n">
        <f aca="false">a26_eps</f>
        <v>21.2828697294455</v>
      </c>
      <c r="E2122" s="19" t="n">
        <f aca="false">E2120/E2121*1000</f>
        <v>29.1635001036592</v>
      </c>
      <c r="F2122" s="19" t="n">
        <f aca="false">F2120/F2121*1000</f>
        <v>25.7317195013581</v>
      </c>
      <c r="G2122" s="19" t="n">
        <f aca="false">G2120/G2121*1000</f>
        <v>31.5177995205944</v>
      </c>
      <c r="H2122" s="28" t="n">
        <f aca="false">H2120/H2121*1000</f>
        <v>33.2627025039777</v>
      </c>
      <c r="I2122" s="28" t="n">
        <f aca="false">I2120/I2121*1000</f>
        <v>34.228922583978</v>
      </c>
      <c r="J2122" s="28" t="n">
        <f aca="false">J2120/J2121*1000</f>
        <v>34.322140720613</v>
      </c>
    </row>
    <row r="2123" customFormat="false" ht="17.15" hidden="false" customHeight="false" outlineLevel="0" collapsed="false">
      <c r="A2123" s="0" t="s">
        <v>581</v>
      </c>
      <c r="B2123" s="0" t="s">
        <v>76</v>
      </c>
      <c r="D2123" s="21" t="n">
        <f aca="false">D2122/C2122-1</f>
        <v>1.27138417603474</v>
      </c>
      <c r="E2123" s="21" t="n">
        <f aca="false">E2122/D2122-1</f>
        <v>0.37028044029751</v>
      </c>
      <c r="F2123" s="21" t="n">
        <f aca="false">F2122/E2122-1</f>
        <v>-0.1176738248188</v>
      </c>
      <c r="G2123" s="21" t="n">
        <f aca="false">G2122/F2122-1</f>
        <v>0.224861771049963</v>
      </c>
      <c r="H2123" s="26" t="n">
        <f aca="false">H2122/G2122-1</f>
        <v>0.05536246216184</v>
      </c>
      <c r="I2123" s="26" t="n">
        <f aca="false">I2122/H2122-1</f>
        <v>0.0290481532546769</v>
      </c>
      <c r="J2123" s="26" t="n">
        <f aca="false">J2122/I2122-1</f>
        <v>0.00272337338127548</v>
      </c>
    </row>
    <row r="2124" customFormat="false" ht="17.15" hidden="false" customHeight="false" outlineLevel="0" collapsed="false">
      <c r="A2124" s="4" t="s">
        <v>582</v>
      </c>
      <c r="B2124" s="0" t="s">
        <v>76</v>
      </c>
      <c r="C2124" s="14" t="n">
        <f aca="false">C2120/C2098</f>
        <v>0.0629977625862272</v>
      </c>
      <c r="D2124" s="14" t="n">
        <f aca="false">D2120/D2098</f>
        <v>0.107397865592237</v>
      </c>
      <c r="E2124" s="14" t="n">
        <f aca="false">E2120/E2098</f>
        <v>0.1160421001633</v>
      </c>
      <c r="F2124" s="14" t="n">
        <f aca="false">F2120/F2098</f>
        <v>0.0978897214855932</v>
      </c>
      <c r="G2124" s="14" t="n">
        <f aca="false">G2120/G2098</f>
        <v>0.107702700601093</v>
      </c>
      <c r="H2124" s="27" t="n">
        <f aca="false">$G2124+(fade_mB-$G2124)*1/3</f>
        <v>0.104556723758147</v>
      </c>
      <c r="I2124" s="27" t="n">
        <f aca="false">$G2124+(fade_mB-$G2124)*2/3</f>
        <v>0.101410746915201</v>
      </c>
      <c r="J2124" s="27" t="n">
        <f aca="false">$G2124+(fade_mB-$G2124)*3/3</f>
        <v>0.0982647700722541</v>
      </c>
    </row>
    <row r="2125" customFormat="false" ht="17.15" hidden="false" customHeight="false" outlineLevel="0" collapsed="false">
      <c r="A2125" s="4" t="s">
        <v>583</v>
      </c>
      <c r="B2125" s="0" t="s">
        <v>234</v>
      </c>
      <c r="C2125" s="30" t="n">
        <f aca="false">C2120+C2106-C2104</f>
        <v>-54.587</v>
      </c>
      <c r="D2125" s="30" t="n">
        <f aca="false">D2120+D2106-D2104</f>
        <v>-176.164485935382</v>
      </c>
      <c r="E2125" s="30" t="n">
        <f aca="false">E2120+E2106-E2104</f>
        <v>-156.407317867702</v>
      </c>
      <c r="F2125" s="30" t="n">
        <f aca="false">F2120+F2106-F2104</f>
        <v>-69.2391421161636</v>
      </c>
      <c r="G2125" s="30" t="n">
        <f aca="false">G2120+G2106-G2104</f>
        <v>-61.5187757402124</v>
      </c>
      <c r="K2125" s="4" t="s">
        <v>584</v>
      </c>
    </row>
    <row r="2126" customFormat="false" ht="17.15" hidden="false" customHeight="false" outlineLevel="0" collapsed="false">
      <c r="A2126" s="4" t="s">
        <v>585</v>
      </c>
      <c r="B2126" s="0" t="s">
        <v>76</v>
      </c>
      <c r="D2126" s="21" t="n">
        <f aca="false">(D2114-$C2114)/SUM($D2104:D2104)</f>
        <v>0.164280348537512</v>
      </c>
      <c r="E2126" s="21" t="n">
        <f aca="false">(E2114-$C2114)/SUM($D2104:E2104)</f>
        <v>0.144321993291885</v>
      </c>
      <c r="F2126" s="21" t="n">
        <f aca="false">(F2114-$C2114)/SUM($D2104:F2104)</f>
        <v>0.0842315517699382</v>
      </c>
      <c r="G2126" s="21" t="n">
        <f aca="false">(G2114-$C2114)/SUM($D2104:G2104)</f>
        <v>0.0834435284758057</v>
      </c>
      <c r="K2126" s="4" t="s">
        <v>586</v>
      </c>
    </row>
    <row r="2129" customFormat="false" ht="17.15" hidden="false" customHeight="false" outlineLevel="0" collapsed="false">
      <c r="A2129" s="1" t="s">
        <v>957</v>
      </c>
    </row>
    <row r="2130" customFormat="false" ht="17.15" hidden="false" customHeight="false" outlineLevel="0" collapsed="false">
      <c r="A2130" s="5" t="s">
        <v>21</v>
      </c>
      <c r="B2130" s="5" t="s">
        <v>22</v>
      </c>
      <c r="C2130" s="15" t="s">
        <v>424</v>
      </c>
      <c r="D2130" s="15" t="s">
        <v>524</v>
      </c>
      <c r="E2130" s="15" t="s">
        <v>525</v>
      </c>
      <c r="F2130" s="15" t="s">
        <v>526</v>
      </c>
      <c r="G2130" s="15" t="s">
        <v>527</v>
      </c>
      <c r="H2130" s="15" t="s">
        <v>528</v>
      </c>
      <c r="I2130" s="15" t="s">
        <v>529</v>
      </c>
      <c r="J2130" s="15" t="s">
        <v>530</v>
      </c>
      <c r="K2130" s="5" t="s">
        <v>382</v>
      </c>
    </row>
    <row r="2131" customFormat="false" ht="17.15" hidden="false" customHeight="false" outlineLevel="0" collapsed="false">
      <c r="A2131" s="6" t="s">
        <v>548</v>
      </c>
    </row>
    <row r="2132" customFormat="false" ht="17.15" hidden="false" customHeight="false" outlineLevel="0" collapsed="false">
      <c r="A2132" s="0" t="s">
        <v>549</v>
      </c>
      <c r="B2132" s="4" t="s">
        <v>32</v>
      </c>
      <c r="D2132" s="19" t="n">
        <f aca="false">units_26</f>
        <v>15.2</v>
      </c>
      <c r="E2132" s="19" t="n">
        <f aca="false">units_27*1</f>
        <v>23.7</v>
      </c>
      <c r="F2132" s="19" t="n">
        <f aca="false">units_28*um28_C*1</f>
        <v>15.9</v>
      </c>
      <c r="G2132" s="19" t="n">
        <f aca="false">units_29*um29_C*1</f>
        <v>18.09</v>
      </c>
    </row>
    <row r="2133" customFormat="false" ht="17.15" hidden="false" customHeight="false" outlineLevel="0" collapsed="false">
      <c r="A2133" s="4" t="s">
        <v>497</v>
      </c>
      <c r="B2133" s="0" t="s">
        <v>45</v>
      </c>
      <c r="D2133" s="22" t="n">
        <f aca="false">ar_26</f>
        <v>1</v>
      </c>
      <c r="E2133" s="22" t="n">
        <f aca="false">ar_27</f>
        <v>1.278156</v>
      </c>
      <c r="F2133" s="22" t="n">
        <f aca="false">ar_28</f>
        <v>1.428615</v>
      </c>
      <c r="G2133" s="22" t="n">
        <f aca="false">ar_29</f>
        <v>1.431796</v>
      </c>
    </row>
    <row r="2134" customFormat="false" ht="17.15" hidden="false" customHeight="false" outlineLevel="0" collapsed="false">
      <c r="A2134" s="4" t="s">
        <v>550</v>
      </c>
      <c r="B2134" s="0" t="s">
        <v>45</v>
      </c>
      <c r="D2134" s="19" t="n">
        <f aca="false">1</f>
        <v>1</v>
      </c>
      <c r="E2134" s="19" t="n">
        <f aca="false">rel27_C</f>
        <v>1</v>
      </c>
      <c r="F2134" s="19" t="n">
        <f aca="false">rel28_C</f>
        <v>0.95</v>
      </c>
      <c r="G2134" s="19" t="n">
        <f aca="false">rel29_C</f>
        <v>0.92</v>
      </c>
    </row>
    <row r="2135" customFormat="false" ht="17.15" hidden="false" customHeight="false" outlineLevel="0" collapsed="false">
      <c r="A2135" s="4" t="s">
        <v>551</v>
      </c>
      <c r="B2135" s="0" t="s">
        <v>502</v>
      </c>
      <c r="D2135" s="23" t="n">
        <f aca="false">D2136*1000/D2132</f>
        <v>236.842105263158</v>
      </c>
      <c r="E2135" s="23" t="n">
        <f aca="false">$D2135*E2133^el</f>
        <v>267.763172119488</v>
      </c>
      <c r="F2135" s="23" t="n">
        <f aca="false">$D2135*F2133^el</f>
        <v>283.084777049615</v>
      </c>
      <c r="G2135" s="23" t="n">
        <f aca="false">$D2135*G2133^el</f>
        <v>283.399764630809</v>
      </c>
      <c r="K2135" s="8" t="s">
        <v>552</v>
      </c>
    </row>
    <row r="2136" customFormat="false" ht="17.15" hidden="false" customHeight="false" outlineLevel="0" collapsed="false">
      <c r="A2136" s="0" t="s">
        <v>553</v>
      </c>
      <c r="B2136" s="0" t="s">
        <v>120</v>
      </c>
      <c r="D2136" s="22" t="n">
        <f aca="false">leap26-D2137-D2138</f>
        <v>3.6</v>
      </c>
      <c r="E2136" s="22" t="n">
        <f aca="false">E2132*E2134*E2135/1000</f>
        <v>6.34598717923185</v>
      </c>
      <c r="F2136" s="22" t="n">
        <f aca="false">F2132*F2134*F2135/1000</f>
        <v>4.27599555733443</v>
      </c>
      <c r="G2136" s="22" t="n">
        <f aca="false">G2132*G2134*G2135/1000</f>
        <v>4.71656560279762</v>
      </c>
      <c r="K2136" s="8" t="s">
        <v>554</v>
      </c>
    </row>
    <row r="2137" customFormat="false" ht="17.15" hidden="false" customHeight="false" outlineLevel="0" collapsed="false">
      <c r="A2137" s="4" t="s">
        <v>555</v>
      </c>
      <c r="B2137" s="0" t="s">
        <v>120</v>
      </c>
      <c r="D2137" s="22" t="n">
        <f aca="false">fp26</f>
        <v>0.3</v>
      </c>
      <c r="E2137" s="22" t="n">
        <f aca="false">fp27_C</f>
        <v>0.7</v>
      </c>
      <c r="F2137" s="22" t="n">
        <f aca="false">E2137*F2132/E2132*(1+fp_g)</f>
        <v>0.610506329113924</v>
      </c>
      <c r="G2137" s="22" t="n">
        <f aca="false">F2137*G2132/F2132*(1+fp_g)</f>
        <v>0.902973417721519</v>
      </c>
    </row>
    <row r="2138" customFormat="false" ht="17.15" hidden="false" customHeight="false" outlineLevel="0" collapsed="false">
      <c r="A2138" s="0" t="s">
        <v>556</v>
      </c>
      <c r="B2138" s="0" t="s">
        <v>120</v>
      </c>
      <c r="D2138" s="22" t="n">
        <f aca="false">cpo27*cpo_C_26/cpo_A_27</f>
        <v>0.1</v>
      </c>
      <c r="E2138" s="22" t="n">
        <f aca="false">cpo27*cpo_C_27/cpo_A_27</f>
        <v>0.2</v>
      </c>
      <c r="F2138" s="22" t="n">
        <f aca="false">cpo27*cpo_C_28/cpo_A_27*F2132/E2132</f>
        <v>0.20126582278481</v>
      </c>
      <c r="G2138" s="22" t="n">
        <f aca="false">cpo27*cpo_C_29/cpo_A_27*G2132/E2132</f>
        <v>0.381645569620253</v>
      </c>
      <c r="K2138" s="8" t="s">
        <v>557</v>
      </c>
    </row>
    <row r="2139" customFormat="false" ht="17.15" hidden="false" customHeight="false" outlineLevel="0" collapsed="false">
      <c r="A2139" s="0" t="s">
        <v>510</v>
      </c>
      <c r="B2139" s="0" t="s">
        <v>120</v>
      </c>
      <c r="C2139" s="22" t="n">
        <f aca="false">leap25</f>
        <v>1.6</v>
      </c>
      <c r="D2139" s="22" t="n">
        <f aca="false">D2136+D2137+D2138</f>
        <v>4</v>
      </c>
      <c r="E2139" s="22" t="n">
        <f aca="false">E2136+E2137+E2138</f>
        <v>7.24598717923186</v>
      </c>
      <c r="F2139" s="22" t="n">
        <f aca="false">F2136+F2137+F2138</f>
        <v>5.08776770923316</v>
      </c>
      <c r="G2139" s="22" t="n">
        <f aca="false">G2136+G2137+G2138</f>
        <v>6.0011845901394</v>
      </c>
    </row>
    <row r="2140" customFormat="false" ht="17.15" hidden="false" customHeight="false" outlineLevel="0" collapsed="false">
      <c r="A2140" s="4" t="s">
        <v>558</v>
      </c>
      <c r="B2140" s="0" t="s">
        <v>114</v>
      </c>
      <c r="C2140" s="19" t="n">
        <f aca="false">fx25</f>
        <v>31</v>
      </c>
      <c r="D2140" s="19" t="n">
        <f aca="false">a26_leap/D2139</f>
        <v>31.9</v>
      </c>
      <c r="E2140" s="19" t="n">
        <f aca="false">fx</f>
        <v>32</v>
      </c>
      <c r="F2140" s="19" t="n">
        <f aca="false">fx</f>
        <v>32</v>
      </c>
      <c r="G2140" s="19" t="n">
        <f aca="false">fx</f>
        <v>32</v>
      </c>
      <c r="K2140" s="8" t="s">
        <v>559</v>
      </c>
    </row>
    <row r="2141" customFormat="false" ht="17.15" hidden="false" customHeight="false" outlineLevel="0" collapsed="false">
      <c r="A2141" s="6" t="s">
        <v>560</v>
      </c>
    </row>
    <row r="2142" customFormat="false" ht="17.15" hidden="false" customHeight="false" outlineLevel="0" collapsed="false">
      <c r="A2142" s="0" t="s">
        <v>438</v>
      </c>
      <c r="B2142" s="0" t="s">
        <v>234</v>
      </c>
      <c r="C2142" s="30" t="n">
        <f aca="false">a25_leap</f>
        <v>49.6</v>
      </c>
      <c r="D2142" s="30" t="n">
        <f aca="false">a26_leap</f>
        <v>127.6</v>
      </c>
      <c r="E2142" s="30" t="n">
        <f aca="false">E2139*E2140</f>
        <v>231.871589735419</v>
      </c>
      <c r="F2142" s="30" t="n">
        <f aca="false">F2139*F2140</f>
        <v>162.808566695461</v>
      </c>
      <c r="G2142" s="30" t="n">
        <f aca="false">G2139*G2140</f>
        <v>192.037906884461</v>
      </c>
    </row>
    <row r="2143" customFormat="false" ht="15" hidden="false" customHeight="false" outlineLevel="0" collapsed="false">
      <c r="A2143" s="4" t="s">
        <v>561</v>
      </c>
      <c r="B2143" s="0" t="s">
        <v>234</v>
      </c>
      <c r="C2143" s="30" t="n">
        <f aca="false">a25_ms</f>
        <v>339.628</v>
      </c>
      <c r="D2143" s="30" t="n">
        <f aca="false">a26_ms</f>
        <v>432.1302</v>
      </c>
      <c r="E2143" s="30" t="n">
        <f aca="false">D2143*(1+g_ms27)</f>
        <v>496.94973</v>
      </c>
      <c r="F2143" s="30" t="n">
        <f aca="false">E2143*(1+g_msL)</f>
        <v>531.7362111</v>
      </c>
      <c r="G2143" s="30" t="n">
        <f aca="false">F2143*(1+g_msL)</f>
        <v>568.957745877</v>
      </c>
    </row>
    <row r="2144" customFormat="false" ht="17.15" hidden="false" customHeight="false" outlineLevel="0" collapsed="false">
      <c r="A2144" s="4" t="s">
        <v>562</v>
      </c>
      <c r="B2144" s="0" t="s">
        <v>234</v>
      </c>
      <c r="C2144" s="30" t="n">
        <f aca="false">C2142+C2143</f>
        <v>389.228</v>
      </c>
      <c r="D2144" s="30" t="n">
        <f aca="false">D2142+D2143</f>
        <v>559.7302</v>
      </c>
      <c r="E2144" s="30" t="n">
        <f aca="false">E2142+E2143</f>
        <v>728.821319735419</v>
      </c>
      <c r="F2144" s="30" t="n">
        <f aca="false">F2142+F2143</f>
        <v>694.544777795461</v>
      </c>
      <c r="G2144" s="30" t="n">
        <f aca="false">G2142+G2143</f>
        <v>760.995652761461</v>
      </c>
    </row>
    <row r="2145" customFormat="false" ht="17.15" hidden="false" customHeight="false" outlineLevel="0" collapsed="false">
      <c r="A2145" s="0" t="s">
        <v>563</v>
      </c>
      <c r="B2145" s="0" t="s">
        <v>234</v>
      </c>
      <c r="C2145" s="30" t="n">
        <f aca="false">a25_ems</f>
        <v>259.079</v>
      </c>
      <c r="D2145" s="30" t="n">
        <f aca="false">a26_ems</f>
        <v>314.602</v>
      </c>
      <c r="E2145" s="30" t="n">
        <f aca="false">D2145*(1+g_ems27_hi)</f>
        <v>361.7923</v>
      </c>
      <c r="F2145" s="30" t="n">
        <f aca="false">E2145*(1+g_emsL)</f>
        <v>379.881915</v>
      </c>
      <c r="G2145" s="30" t="n">
        <f aca="false">F2145*(1+g_emsL)</f>
        <v>398.87601075</v>
      </c>
    </row>
    <row r="2146" customFormat="false" ht="17.15" hidden="false" customHeight="false" outlineLevel="0" collapsed="false">
      <c r="A2146" s="4" t="s">
        <v>564</v>
      </c>
      <c r="B2146" s="0" t="s">
        <v>234</v>
      </c>
      <c r="C2146" s="30" t="n">
        <f aca="false">a25_elim</f>
        <v>-2.91899999999998</v>
      </c>
      <c r="D2146" s="30" t="n">
        <f aca="false">a26_elim</f>
        <v>-3.16484905982349</v>
      </c>
      <c r="E2146" s="30" t="n">
        <f aca="false">$D2146/($D2144+$D2145)*(E2144+E2145)</f>
        <v>-3.94773003790817</v>
      </c>
      <c r="F2146" s="30" t="n">
        <f aca="false">$D2146/($D2144+$D2145)*(F2144+F2145)</f>
        <v>-3.88913768535915</v>
      </c>
      <c r="G2146" s="30" t="n">
        <f aca="false">$D2146/($D2144+$D2145)*(G2144+G2145)</f>
        <v>-4.19842565992668</v>
      </c>
      <c r="K2146" s="4" t="s">
        <v>565</v>
      </c>
    </row>
    <row r="2147" customFormat="false" ht="17.15" hidden="false" customHeight="false" outlineLevel="0" collapsed="false">
      <c r="A2147" s="4" t="s">
        <v>431</v>
      </c>
      <c r="B2147" s="0" t="s">
        <v>234</v>
      </c>
      <c r="C2147" s="30" t="n">
        <f aca="false">C2144+C2145+C2146</f>
        <v>645.388</v>
      </c>
      <c r="D2147" s="30" t="n">
        <f aca="false">D2144+D2145+D2146</f>
        <v>871.167350940177</v>
      </c>
      <c r="E2147" s="30" t="n">
        <f aca="false">E2144+E2145+E2146</f>
        <v>1086.66588969751</v>
      </c>
      <c r="F2147" s="30" t="n">
        <f aca="false">F2144+F2145+F2146</f>
        <v>1070.5375551101</v>
      </c>
      <c r="G2147" s="30" t="n">
        <f aca="false">G2144+G2145+G2146</f>
        <v>1155.67323785153</v>
      </c>
      <c r="H2147" s="31" t="n">
        <f aca="false">G2147*(1+H2148)</f>
        <v>1224.64852080002</v>
      </c>
      <c r="I2147" s="31" t="n">
        <f aca="false">H2147*(1+I2148)</f>
        <v>1273.44101030577</v>
      </c>
      <c r="J2147" s="31" t="n">
        <f aca="false">I2147*(1+J2148)</f>
        <v>1298.90983051188</v>
      </c>
      <c r="K2147" s="8" t="s">
        <v>566</v>
      </c>
    </row>
    <row r="2148" customFormat="false" ht="15" hidden="false" customHeight="false" outlineLevel="0" collapsed="false">
      <c r="A2148" s="4" t="s">
        <v>567</v>
      </c>
      <c r="B2148" s="0" t="s">
        <v>76</v>
      </c>
      <c r="D2148" s="21" t="n">
        <f aca="false">D2147/C2147-1</f>
        <v>0.349835061916516</v>
      </c>
      <c r="E2148" s="21" t="n">
        <f aca="false">E2147/D2147-1</f>
        <v>0.2473675563309</v>
      </c>
      <c r="F2148" s="21" t="n">
        <f aca="false">F2147/E2147-1</f>
        <v>-0.014842036306025</v>
      </c>
      <c r="G2148" s="21" t="n">
        <f aca="false">G2147/F2147-1</f>
        <v>0.079526105679381</v>
      </c>
      <c r="H2148" s="26" t="n">
        <f aca="false">$G2148+(fade_gC-$G2148)*1/3</f>
        <v>0.0596840704529207</v>
      </c>
      <c r="I2148" s="26" t="n">
        <f aca="false">$G2148+(fade_gC-$G2148)*2/3</f>
        <v>0.0398420352264603</v>
      </c>
      <c r="J2148" s="26" t="n">
        <f aca="false">$G2148+(fade_gC-$G2148)*3/3</f>
        <v>0.02</v>
      </c>
    </row>
    <row r="2149" customFormat="false" ht="17.15" hidden="false" customHeight="false" outlineLevel="0" collapsed="false">
      <c r="A2149" s="0" t="s">
        <v>475</v>
      </c>
      <c r="B2149" s="0" t="s">
        <v>76</v>
      </c>
      <c r="C2149" s="21" t="n">
        <f aca="false">C2142/C2144</f>
        <v>0.127431736668482</v>
      </c>
      <c r="D2149" s="21" t="n">
        <f aca="false">D2142/D2144</f>
        <v>0.227966974088588</v>
      </c>
      <c r="E2149" s="21" t="n">
        <f aca="false">E2142/E2144</f>
        <v>0.31814600294568</v>
      </c>
      <c r="F2149" s="21" t="n">
        <f aca="false">F2142/F2144</f>
        <v>0.234410468411019</v>
      </c>
      <c r="G2149" s="21" t="n">
        <f aca="false">G2142/G2144</f>
        <v>0.252350859282315</v>
      </c>
    </row>
    <row r="2150" customFormat="false" ht="15" hidden="false" customHeight="false" outlineLevel="0" collapsed="false">
      <c r="A2150" s="4" t="s">
        <v>568</v>
      </c>
      <c r="B2150" s="0" t="s">
        <v>76</v>
      </c>
      <c r="D2150" s="21" t="n">
        <f aca="false">D2144/C2144-1</f>
        <v>0.438052247012034</v>
      </c>
      <c r="E2150" s="21" t="n">
        <f aca="false">E2144/D2144-1</f>
        <v>0.302093972659362</v>
      </c>
      <c r="F2150" s="21" t="n">
        <f aca="false">F2144/E2144-1</f>
        <v>-0.047030103280186</v>
      </c>
      <c r="G2150" s="21" t="n">
        <f aca="false">G2144/F2144-1</f>
        <v>0.0956754367614998</v>
      </c>
    </row>
    <row r="2151" customFormat="false" ht="17.15" hidden="false" customHeight="false" outlineLevel="0" collapsed="false">
      <c r="A2151" s="6" t="s">
        <v>569</v>
      </c>
    </row>
    <row r="2152" customFormat="false" ht="17.15" hidden="false" customHeight="false" outlineLevel="0" collapsed="false">
      <c r="A2152" s="4" t="s">
        <v>570</v>
      </c>
      <c r="B2152" s="0" t="s">
        <v>120</v>
      </c>
      <c r="C2152" s="19" t="n">
        <f aca="false">capex25</f>
        <v>5.5</v>
      </c>
      <c r="D2152" s="19" t="n">
        <f aca="false">capex26</f>
        <v>11.5</v>
      </c>
      <c r="E2152" s="19" t="n">
        <f aca="false">capex27</f>
        <v>13</v>
      </c>
      <c r="F2152" s="19" t="n">
        <f aca="false">capi*F2147/F2140</f>
        <v>10.0362895791572</v>
      </c>
      <c r="G2152" s="19" t="n">
        <f aca="false">capi*G2147/G2140</f>
        <v>10.8344366048581</v>
      </c>
      <c r="K2152" s="8" t="s">
        <v>571</v>
      </c>
    </row>
    <row r="2153" customFormat="false" ht="15" hidden="false" customHeight="false" outlineLevel="0" collapsed="false">
      <c r="A2153" s="4" t="s">
        <v>572</v>
      </c>
      <c r="B2153" s="0" t="s">
        <v>234</v>
      </c>
      <c r="C2153" s="30" t="n">
        <f aca="false">C2152*C2140</f>
        <v>170.5</v>
      </c>
      <c r="D2153" s="30" t="n">
        <f aca="false">D2152*31.9</f>
        <v>366.85</v>
      </c>
      <c r="E2153" s="30" t="n">
        <f aca="false">E2152*E2140</f>
        <v>416</v>
      </c>
      <c r="F2153" s="30" t="n">
        <f aca="false">F2152*F2140</f>
        <v>321.161266533031</v>
      </c>
      <c r="G2153" s="30" t="n">
        <f aca="false">G2152*G2140</f>
        <v>346.70197135546</v>
      </c>
    </row>
    <row r="2154" customFormat="false" ht="17.15" hidden="false" customHeight="false" outlineLevel="0" collapsed="false">
      <c r="A2154" s="4" t="s">
        <v>473</v>
      </c>
      <c r="B2154" s="0" t="s">
        <v>76</v>
      </c>
      <c r="C2154" s="21" t="n">
        <f aca="false">C2153/C2147</f>
        <v>0.264182166386732</v>
      </c>
      <c r="D2154" s="21" t="n">
        <f aca="false">D2153/D2147</f>
        <v>0.421101639775745</v>
      </c>
      <c r="E2154" s="21" t="n">
        <f aca="false">E2153/E2147</f>
        <v>0.382822359608434</v>
      </c>
      <c r="F2154" s="21" t="n">
        <f aca="false">F2153/F2147</f>
        <v>0.3</v>
      </c>
      <c r="G2154" s="21" t="n">
        <f aca="false">G2153/G2147</f>
        <v>0.3</v>
      </c>
    </row>
    <row r="2155" customFormat="false" ht="17.15" hidden="false" customHeight="false" outlineLevel="0" collapsed="false">
      <c r="A2155" s="4" t="s">
        <v>573</v>
      </c>
      <c r="B2155" s="0" t="s">
        <v>234</v>
      </c>
      <c r="C2155" s="30" t="n">
        <f aca="false">a25_da</f>
        <v>75.255</v>
      </c>
      <c r="D2155" s="30" t="n">
        <f aca="false">a26_da</f>
        <v>97.124</v>
      </c>
      <c r="E2155" s="30" t="n">
        <f aca="false">D2155*(1-1/life)+D2153/life</f>
        <v>130.83975</v>
      </c>
      <c r="F2155" s="30" t="n">
        <f aca="false">E2155*(1-1/life)+E2153/life</f>
        <v>166.48478125</v>
      </c>
      <c r="G2155" s="30" t="n">
        <f aca="false">F2155*(1-1/life)+F2153/life</f>
        <v>185.819341910379</v>
      </c>
      <c r="K2155" s="4" t="s">
        <v>574</v>
      </c>
    </row>
    <row r="2156" customFormat="false" ht="17.15" hidden="false" customHeight="false" outlineLevel="0" collapsed="false">
      <c r="A2156" s="4" t="s">
        <v>575</v>
      </c>
      <c r="B2156" s="0" t="s">
        <v>234</v>
      </c>
      <c r="C2156" s="30" t="n">
        <f aca="false">a25_agp</f>
        <v>91.38</v>
      </c>
      <c r="D2156" s="30" t="n">
        <f aca="false">a26_agp</f>
        <v>164.623388</v>
      </c>
      <c r="E2156" s="30" t="n">
        <f aca="false">$D2156+ft*(E2144-$D2144)-(E2155-$D2155)</f>
        <v>215.45319786771</v>
      </c>
      <c r="F2156" s="30" t="n">
        <f aca="false">$D2156+ft*(F2144-$D2144)-(F2155-$D2155)</f>
        <v>162.669895647731</v>
      </c>
      <c r="G2156" s="30" t="n">
        <f aca="false">$D2156+ft*(G2144-$D2144)-(G2155-$D2155)</f>
        <v>176.560772470352</v>
      </c>
      <c r="K2156" s="4" t="s">
        <v>576</v>
      </c>
    </row>
    <row r="2157" customFormat="false" ht="15" hidden="false" customHeight="false" outlineLevel="0" collapsed="false">
      <c r="A2157" s="4" t="s">
        <v>447</v>
      </c>
      <c r="B2157" s="0" t="s">
        <v>76</v>
      </c>
      <c r="C2157" s="14" t="n">
        <f aca="false">C2156/C2144</f>
        <v>0.234772421305764</v>
      </c>
      <c r="D2157" s="14" t="n">
        <f aca="false">D2156/D2144</f>
        <v>0.294112034690999</v>
      </c>
      <c r="E2157" s="14" t="n">
        <f aca="false">E2156/E2144</f>
        <v>0.295618681882035</v>
      </c>
      <c r="F2157" s="14" t="n">
        <f aca="false">F2156/F2144</f>
        <v>0.234210810948802</v>
      </c>
      <c r="G2157" s="14" t="n">
        <f aca="false">G2156/G2144</f>
        <v>0.232012852937671</v>
      </c>
    </row>
    <row r="2158" customFormat="false" ht="17.15" hidden="false" customHeight="false" outlineLevel="0" collapsed="false">
      <c r="A2158" s="0" t="s">
        <v>449</v>
      </c>
      <c r="B2158" s="0" t="s">
        <v>234</v>
      </c>
      <c r="C2158" s="30" t="n">
        <f aca="false">a25_egp</f>
        <v>23.695</v>
      </c>
      <c r="D2158" s="30" t="n">
        <f aca="false">a26_egp</f>
        <v>27.00552</v>
      </c>
      <c r="E2158" s="30" t="n">
        <f aca="false">E2145*ems_gm</f>
        <v>30.7523455</v>
      </c>
      <c r="F2158" s="30" t="n">
        <f aca="false">F2145*ems_gm</f>
        <v>32.289962775</v>
      </c>
      <c r="G2158" s="30" t="n">
        <f aca="false">G2145*ems_gm</f>
        <v>33.90446091375</v>
      </c>
    </row>
    <row r="2159" customFormat="false" ht="15" hidden="false" customHeight="false" outlineLevel="0" collapsed="false">
      <c r="A2159" s="4" t="s">
        <v>577</v>
      </c>
      <c r="B2159" s="0" t="s">
        <v>234</v>
      </c>
      <c r="C2159" s="30" t="n">
        <f aca="false">a25_lgp</f>
        <v>-0.881999999999998</v>
      </c>
      <c r="D2159" s="30" t="n">
        <f aca="false">a26_lgp</f>
        <v>-0.948662139013863</v>
      </c>
      <c r="E2159" s="30" t="n">
        <f aca="false">$D2159/$D2146*E2146</f>
        <v>-1.18333037412537</v>
      </c>
      <c r="F2159" s="30" t="n">
        <f aca="false">$D2159/$D2146*F2146</f>
        <v>-1.16576734175058</v>
      </c>
      <c r="G2159" s="30" t="n">
        <f aca="false">$D2159/$D2146*G2146</f>
        <v>-1.2584762785682</v>
      </c>
    </row>
    <row r="2160" customFormat="false" ht="15" hidden="false" customHeight="false" outlineLevel="0" collapsed="false">
      <c r="A2160" s="4" t="s">
        <v>451</v>
      </c>
      <c r="B2160" s="0" t="s">
        <v>234</v>
      </c>
      <c r="C2160" s="30" t="n">
        <f aca="false">C2156+C2158+C2159</f>
        <v>114.193</v>
      </c>
      <c r="D2160" s="30" t="n">
        <f aca="false">D2156+D2158+D2159</f>
        <v>190.680245860986</v>
      </c>
      <c r="E2160" s="30" t="n">
        <f aca="false">E2156+E2158+E2159</f>
        <v>245.022212993584</v>
      </c>
      <c r="F2160" s="30" t="n">
        <f aca="false">F2156+F2158+F2159</f>
        <v>193.79409108098</v>
      </c>
      <c r="G2160" s="30" t="n">
        <f aca="false">G2156+G2158+G2159</f>
        <v>209.206757105533</v>
      </c>
    </row>
    <row r="2161" customFormat="false" ht="15" hidden="false" customHeight="false" outlineLevel="0" collapsed="false">
      <c r="A2161" s="4" t="s">
        <v>452</v>
      </c>
      <c r="B2161" s="0" t="s">
        <v>76</v>
      </c>
      <c r="C2161" s="14" t="n">
        <f aca="false">C2160/C2147</f>
        <v>0.176936974347214</v>
      </c>
      <c r="D2161" s="14" t="n">
        <f aca="false">D2160/D2147</f>
        <v>0.218879008327391</v>
      </c>
      <c r="E2161" s="14" t="n">
        <f aca="false">E2160/E2147</f>
        <v>0.22548072532376</v>
      </c>
      <c r="F2161" s="14" t="n">
        <f aca="false">F2160/F2147</f>
        <v>0.181025028179463</v>
      </c>
      <c r="G2161" s="14" t="n">
        <f aca="false">G2160/G2147</f>
        <v>0.18102587327752</v>
      </c>
    </row>
    <row r="2162" customFormat="false" ht="15" hidden="false" customHeight="false" outlineLevel="0" collapsed="false">
      <c r="A2162" s="4" t="s">
        <v>578</v>
      </c>
      <c r="B2162" s="0" t="s">
        <v>234</v>
      </c>
      <c r="C2162" s="30" t="n">
        <f aca="false">a25_opx</f>
        <v>63.437</v>
      </c>
      <c r="D2162" s="30" t="n">
        <f aca="false">a26_opx</f>
        <v>79.658</v>
      </c>
      <c r="E2162" s="30" t="n">
        <f aca="false">D2162*(1+phi*E2148)</f>
        <v>91.4808828813241</v>
      </c>
      <c r="F2162" s="30" t="n">
        <f aca="false">E2162*(1+phi*F2148)</f>
        <v>90.666225330305</v>
      </c>
      <c r="G2162" s="30" t="n">
        <f aca="false">F2162*(1+phi*G2148)</f>
        <v>94.992424420606</v>
      </c>
    </row>
    <row r="2163" customFormat="false" ht="15" hidden="false" customHeight="false" outlineLevel="0" collapsed="false">
      <c r="A2163" s="4" t="s">
        <v>455</v>
      </c>
      <c r="B2163" s="0" t="s">
        <v>234</v>
      </c>
      <c r="C2163" s="30" t="n">
        <f aca="false">C2160-C2162</f>
        <v>50.756</v>
      </c>
      <c r="D2163" s="30" t="n">
        <f aca="false">D2160-D2162</f>
        <v>111.022245860986</v>
      </c>
      <c r="E2163" s="30" t="n">
        <f aca="false">E2160-E2162</f>
        <v>153.54133011226</v>
      </c>
      <c r="F2163" s="30" t="n">
        <f aca="false">F2160-F2162</f>
        <v>103.127865750675</v>
      </c>
      <c r="G2163" s="30" t="n">
        <f aca="false">G2160-G2162</f>
        <v>114.214332684927</v>
      </c>
    </row>
    <row r="2164" customFormat="false" ht="15" hidden="false" customHeight="false" outlineLevel="0" collapsed="false">
      <c r="A2164" s="4" t="s">
        <v>537</v>
      </c>
      <c r="B2164" s="0" t="s">
        <v>76</v>
      </c>
      <c r="C2164" s="14" t="n">
        <f aca="false">C2163/C2147</f>
        <v>0.0786441644406156</v>
      </c>
      <c r="D2164" s="14" t="n">
        <f aca="false">D2163/D2147</f>
        <v>0.127440779020437</v>
      </c>
      <c r="E2164" s="14" t="n">
        <f aca="false">E2163/E2147</f>
        <v>0.141295803584118</v>
      </c>
      <c r="F2164" s="14" t="n">
        <f aca="false">F2163/F2147</f>
        <v>0.0963327865130977</v>
      </c>
      <c r="G2164" s="14" t="n">
        <f aca="false">G2163/G2147</f>
        <v>0.0988292615456412</v>
      </c>
    </row>
    <row r="2165" customFormat="false" ht="15" hidden="false" customHeight="false" outlineLevel="0" collapsed="false">
      <c r="A2165" s="4" t="s">
        <v>456</v>
      </c>
      <c r="B2165" s="0" t="s">
        <v>234</v>
      </c>
      <c r="C2165" s="30" t="n">
        <f aca="false">a25_nonop</f>
        <v>0.545</v>
      </c>
      <c r="D2165" s="30" t="n">
        <f aca="false">a26_nonop</f>
        <v>4.302</v>
      </c>
      <c r="E2165" s="30" t="n">
        <f aca="false">nonop_f</f>
        <v>-5</v>
      </c>
      <c r="F2165" s="30" t="n">
        <f aca="false">nonop_f</f>
        <v>-5</v>
      </c>
      <c r="G2165" s="30" t="n">
        <f aca="false">nonop_f</f>
        <v>-5</v>
      </c>
    </row>
    <row r="2166" customFormat="false" ht="15" hidden="false" customHeight="false" outlineLevel="0" collapsed="false">
      <c r="A2166" s="4" t="s">
        <v>459</v>
      </c>
      <c r="B2166" s="0" t="s">
        <v>234</v>
      </c>
      <c r="C2166" s="30" t="n">
        <f aca="false">C2163+C2165</f>
        <v>51.301</v>
      </c>
      <c r="D2166" s="30" t="n">
        <f aca="false">D2163+D2165</f>
        <v>115.324245860986</v>
      </c>
      <c r="E2166" s="30" t="n">
        <f aca="false">E2163+E2165</f>
        <v>148.54133011226</v>
      </c>
      <c r="F2166" s="30" t="n">
        <f aca="false">F2163+F2165</f>
        <v>98.127865750675</v>
      </c>
      <c r="G2166" s="30" t="n">
        <f aca="false">G2163+G2165</f>
        <v>109.214332684927</v>
      </c>
    </row>
    <row r="2167" customFormat="false" ht="15" hidden="false" customHeight="false" outlineLevel="0" collapsed="false">
      <c r="A2167" s="4" t="s">
        <v>460</v>
      </c>
      <c r="B2167" s="0" t="s">
        <v>234</v>
      </c>
      <c r="C2167" s="30" t="n">
        <f aca="false">a25_tax</f>
        <v>9.461</v>
      </c>
      <c r="D2167" s="30" t="n">
        <f aca="false">a26_tax</f>
        <v>19.2197317963676</v>
      </c>
      <c r="E2167" s="30" t="n">
        <f aca="false">E2166*tax</f>
        <v>25.2520261190842</v>
      </c>
      <c r="F2167" s="30" t="n">
        <f aca="false">F2166*tax</f>
        <v>16.6817371776148</v>
      </c>
      <c r="G2167" s="30" t="n">
        <f aca="false">G2166*tax</f>
        <v>18.5664365564376</v>
      </c>
    </row>
    <row r="2168" customFormat="false" ht="15" hidden="false" customHeight="false" outlineLevel="0" collapsed="false">
      <c r="A2168" s="4" t="s">
        <v>461</v>
      </c>
      <c r="B2168" s="0" t="s">
        <v>234</v>
      </c>
      <c r="C2168" s="30" t="n">
        <f aca="false">a25_nci</f>
        <v>1.182</v>
      </c>
      <c r="D2168" s="30" t="n">
        <f aca="false">a26_nci</f>
        <v>2.543</v>
      </c>
      <c r="E2168" s="30" t="n">
        <f aca="false">nci</f>
        <v>3</v>
      </c>
      <c r="F2168" s="30" t="n">
        <f aca="false">nci</f>
        <v>3</v>
      </c>
      <c r="G2168" s="30" t="n">
        <f aca="false">nci</f>
        <v>3</v>
      </c>
    </row>
    <row r="2169" customFormat="false" ht="15" hidden="false" customHeight="false" outlineLevel="0" collapsed="false">
      <c r="A2169" s="4" t="s">
        <v>462</v>
      </c>
      <c r="B2169" s="0" t="s">
        <v>234</v>
      </c>
      <c r="C2169" s="30" t="n">
        <f aca="false">C2166-C2167-C2168</f>
        <v>40.658</v>
      </c>
      <c r="D2169" s="30" t="n">
        <f aca="false">D2166-D2167-D2168</f>
        <v>93.5615140646185</v>
      </c>
      <c r="E2169" s="30" t="n">
        <f aca="false">E2166-E2167-E2168</f>
        <v>120.289303993176</v>
      </c>
      <c r="F2169" s="30" t="n">
        <f aca="false">F2166-F2167-F2168</f>
        <v>78.4461285730603</v>
      </c>
      <c r="G2169" s="30" t="n">
        <f aca="false">G2166-G2167-G2168</f>
        <v>87.6478961284897</v>
      </c>
      <c r="H2169" s="31" t="n">
        <f aca="false">H2147*H2173</f>
        <v>87.0830795629361</v>
      </c>
      <c r="I2169" s="31" t="n">
        <f aca="false">I2147*I2173</f>
        <v>84.5257224862409</v>
      </c>
      <c r="J2169" s="31" t="n">
        <f aca="false">J2147*J2173</f>
        <v>80.0687742516898</v>
      </c>
    </row>
    <row r="2170" customFormat="false" ht="15" hidden="false" customHeight="false" outlineLevel="0" collapsed="false">
      <c r="A2170" s="4" t="s">
        <v>579</v>
      </c>
      <c r="B2170" s="4" t="s">
        <v>580</v>
      </c>
      <c r="C2170" s="18" t="n">
        <f aca="false">a25_sh</f>
        <v>4339.16755602988</v>
      </c>
      <c r="D2170" s="18" t="n">
        <f aca="false">a26_sh</f>
        <v>4392.90105184664</v>
      </c>
      <c r="E2170" s="18" t="n">
        <f aca="false">D2170*(1+sh_g)</f>
        <v>4414.86555710588</v>
      </c>
      <c r="F2170" s="18" t="n">
        <f aca="false">E2170*(1+sh_g)</f>
        <v>4436.9398848914</v>
      </c>
      <c r="G2170" s="18" t="n">
        <f aca="false">F2170*(1+sh_g)</f>
        <v>4459.12458431586</v>
      </c>
      <c r="H2170" s="25" t="n">
        <f aca="false">G2170*(1+sh_g)</f>
        <v>4481.42020723744</v>
      </c>
      <c r="I2170" s="25" t="n">
        <f aca="false">H2170*(1+sh_g)</f>
        <v>4503.82730827363</v>
      </c>
      <c r="J2170" s="25" t="n">
        <f aca="false">I2170*(1+sh_g)</f>
        <v>4526.34644481499</v>
      </c>
    </row>
    <row r="2171" customFormat="false" ht="17.15" hidden="false" customHeight="false" outlineLevel="0" collapsed="false">
      <c r="A2171" s="0" t="s">
        <v>465</v>
      </c>
      <c r="B2171" s="0" t="s">
        <v>304</v>
      </c>
      <c r="C2171" s="19" t="n">
        <f aca="false">a25_eps</f>
        <v>9.37</v>
      </c>
      <c r="D2171" s="19" t="n">
        <f aca="false">a26_eps</f>
        <v>21.2828697294455</v>
      </c>
      <c r="E2171" s="19" t="n">
        <f aca="false">E2169/E2170*1000</f>
        <v>27.2464251600066</v>
      </c>
      <c r="F2171" s="19" t="n">
        <f aca="false">F2169/F2170*1000</f>
        <v>17.6802324593542</v>
      </c>
      <c r="G2171" s="19" t="n">
        <f aca="false">G2169/G2170*1000</f>
        <v>19.6558527287564</v>
      </c>
      <c r="H2171" s="28" t="n">
        <f aca="false">H2169/H2170*1000</f>
        <v>19.4320272449118</v>
      </c>
      <c r="I2171" s="28" t="n">
        <f aca="false">I2169/I2170*1000</f>
        <v>18.7675318569532</v>
      </c>
      <c r="J2171" s="28" t="n">
        <f aca="false">J2169/J2170*1000</f>
        <v>17.6894931105881</v>
      </c>
    </row>
    <row r="2172" customFormat="false" ht="17.15" hidden="false" customHeight="false" outlineLevel="0" collapsed="false">
      <c r="A2172" s="0" t="s">
        <v>581</v>
      </c>
      <c r="B2172" s="0" t="s">
        <v>76</v>
      </c>
      <c r="D2172" s="21" t="n">
        <f aca="false">D2171/C2171-1</f>
        <v>1.27138417603474</v>
      </c>
      <c r="E2172" s="21" t="n">
        <f aca="false">E2171/D2171-1</f>
        <v>0.280204479300565</v>
      </c>
      <c r="F2172" s="21" t="n">
        <f aca="false">F2171/E2171-1</f>
        <v>-0.351099002693903</v>
      </c>
      <c r="G2172" s="21" t="n">
        <f aca="false">G2171/F2171-1</f>
        <v>0.111741758709567</v>
      </c>
      <c r="H2172" s="26" t="n">
        <f aca="false">H2171/G2171-1</f>
        <v>-0.0113872181956859</v>
      </c>
      <c r="I2172" s="26" t="n">
        <f aca="false">I2171/H2171-1</f>
        <v>-0.0341958859764683</v>
      </c>
      <c r="J2172" s="26" t="n">
        <f aca="false">J2171/I2171-1</f>
        <v>-0.0574416899665812</v>
      </c>
    </row>
    <row r="2173" customFormat="false" ht="17.15" hidden="false" customHeight="false" outlineLevel="0" collapsed="false">
      <c r="A2173" s="4" t="s">
        <v>582</v>
      </c>
      <c r="B2173" s="0" t="s">
        <v>76</v>
      </c>
      <c r="C2173" s="14" t="n">
        <f aca="false">C2169/C2147</f>
        <v>0.0629977625862272</v>
      </c>
      <c r="D2173" s="14" t="n">
        <f aca="false">D2169/D2147</f>
        <v>0.107397865592237</v>
      </c>
      <c r="E2173" s="14" t="n">
        <f aca="false">E2169/E2147</f>
        <v>0.110695757669048</v>
      </c>
      <c r="F2173" s="14" t="n">
        <f aca="false">F2169/F2147</f>
        <v>0.073277325207888</v>
      </c>
      <c r="G2173" s="14" t="n">
        <f aca="false">G2169/G2147</f>
        <v>0.07584141715649</v>
      </c>
      <c r="H2173" s="27" t="n">
        <f aca="false">$G2173+(fade_mC-$G2173)*1/3</f>
        <v>0.0711086308307038</v>
      </c>
      <c r="I2173" s="27" t="n">
        <f aca="false">$G2173+(fade_mC-$G2173)*2/3</f>
        <v>0.0663758445049177</v>
      </c>
      <c r="J2173" s="27" t="n">
        <f aca="false">$G2173+(fade_mC-$G2173)*3/3</f>
        <v>0.0616430581791315</v>
      </c>
    </row>
    <row r="2174" customFormat="false" ht="17.15" hidden="false" customHeight="false" outlineLevel="0" collapsed="false">
      <c r="A2174" s="4" t="s">
        <v>583</v>
      </c>
      <c r="B2174" s="0" t="s">
        <v>234</v>
      </c>
      <c r="C2174" s="30" t="n">
        <f aca="false">C2169+C2155-C2153</f>
        <v>-54.587</v>
      </c>
      <c r="D2174" s="30" t="n">
        <f aca="false">D2169+D2155-D2153</f>
        <v>-176.164485935382</v>
      </c>
      <c r="E2174" s="30" t="n">
        <f aca="false">E2169+E2155-E2153</f>
        <v>-164.870946006824</v>
      </c>
      <c r="F2174" s="30" t="n">
        <f aca="false">F2169+F2155-F2153</f>
        <v>-76.2303567099704</v>
      </c>
      <c r="G2174" s="30" t="n">
        <f aca="false">G2169+G2155-G2153</f>
        <v>-73.2347333165918</v>
      </c>
      <c r="K2174" s="4" t="s">
        <v>584</v>
      </c>
    </row>
    <row r="2175" customFormat="false" ht="17.15" hidden="false" customHeight="false" outlineLevel="0" collapsed="false">
      <c r="A2175" s="4" t="s">
        <v>585</v>
      </c>
      <c r="B2175" s="0" t="s">
        <v>76</v>
      </c>
      <c r="D2175" s="21" t="n">
        <f aca="false">(D2163-$C2163)/SUM($D2153:D2153)</f>
        <v>0.164280348537512</v>
      </c>
      <c r="E2175" s="21" t="n">
        <f aca="false">(E2163-$C2163)/SUM($D2153:E2153)</f>
        <v>0.131296327664636</v>
      </c>
      <c r="F2175" s="21" t="n">
        <f aca="false">(F2163-$C2163)/SUM($D2153:F2153)</f>
        <v>0.0474378000825485</v>
      </c>
      <c r="G2175" s="21" t="n">
        <f aca="false">(G2163-$C2163)/SUM($D2153:G2153)</f>
        <v>0.0437428507768295</v>
      </c>
      <c r="K2175" s="4" t="s">
        <v>586</v>
      </c>
    </row>
    <row r="2178" customFormat="false" ht="17.15" hidden="false" customHeight="false" outlineLevel="0" collapsed="false">
      <c r="A2178" s="1" t="s">
        <v>958</v>
      </c>
    </row>
    <row r="2179" customFormat="false" ht="17.15" hidden="false" customHeight="false" outlineLevel="0" collapsed="false">
      <c r="A2179" s="5" t="s">
        <v>21</v>
      </c>
      <c r="B2179" s="5" t="s">
        <v>22</v>
      </c>
      <c r="C2179" s="15" t="s">
        <v>424</v>
      </c>
      <c r="D2179" s="15" t="s">
        <v>524</v>
      </c>
      <c r="E2179" s="15" t="s">
        <v>525</v>
      </c>
      <c r="F2179" s="15" t="s">
        <v>526</v>
      </c>
      <c r="G2179" s="15" t="s">
        <v>527</v>
      </c>
      <c r="H2179" s="15" t="s">
        <v>528</v>
      </c>
      <c r="I2179" s="15" t="s">
        <v>529</v>
      </c>
      <c r="J2179" s="15" t="s">
        <v>530</v>
      </c>
      <c r="K2179" s="5" t="s">
        <v>382</v>
      </c>
    </row>
    <row r="2180" customFormat="false" ht="17.15" hidden="false" customHeight="false" outlineLevel="0" collapsed="false">
      <c r="A2180" s="6" t="s">
        <v>548</v>
      </c>
    </row>
    <row r="2181" customFormat="false" ht="17.15" hidden="false" customHeight="false" outlineLevel="0" collapsed="false">
      <c r="A2181" s="0" t="s">
        <v>549</v>
      </c>
      <c r="B2181" s="4" t="s">
        <v>32</v>
      </c>
      <c r="D2181" s="19" t="n">
        <f aca="false">units_26</f>
        <v>15.2</v>
      </c>
      <c r="E2181" s="19" t="n">
        <f aca="false">units_27*1</f>
        <v>23.7</v>
      </c>
      <c r="F2181" s="19" t="n">
        <f aca="false">units_28*um28_A*1</f>
        <v>26.5</v>
      </c>
      <c r="G2181" s="19" t="n">
        <f aca="false">units_29*um29_A*1</f>
        <v>30.15</v>
      </c>
    </row>
    <row r="2182" customFormat="false" ht="17.15" hidden="false" customHeight="false" outlineLevel="0" collapsed="false">
      <c r="A2182" s="4" t="s">
        <v>497</v>
      </c>
      <c r="B2182" s="0" t="s">
        <v>45</v>
      </c>
      <c r="D2182" s="22" t="n">
        <f aca="false">ar_26</f>
        <v>1</v>
      </c>
      <c r="E2182" s="22" t="n">
        <f aca="false">ar_27</f>
        <v>1.278156</v>
      </c>
      <c r="F2182" s="22" t="n">
        <f aca="false">ar_28</f>
        <v>1.428615</v>
      </c>
      <c r="G2182" s="22" t="n">
        <f aca="false">ar_29</f>
        <v>1.431796</v>
      </c>
    </row>
    <row r="2183" customFormat="false" ht="17.15" hidden="false" customHeight="false" outlineLevel="0" collapsed="false">
      <c r="A2183" s="4" t="s">
        <v>550</v>
      </c>
      <c r="B2183" s="0" t="s">
        <v>45</v>
      </c>
      <c r="D2183" s="19" t="n">
        <f aca="false">1</f>
        <v>1</v>
      </c>
      <c r="E2183" s="19" t="n">
        <f aca="false">rel27_A</f>
        <v>1.1</v>
      </c>
      <c r="F2183" s="19" t="n">
        <f aca="false">rel28_A</f>
        <v>1.15</v>
      </c>
      <c r="G2183" s="19" t="n">
        <f aca="false">rel29_A</f>
        <v>1.2</v>
      </c>
    </row>
    <row r="2184" customFormat="false" ht="17.15" hidden="false" customHeight="false" outlineLevel="0" collapsed="false">
      <c r="A2184" s="4" t="s">
        <v>551</v>
      </c>
      <c r="B2184" s="0" t="s">
        <v>502</v>
      </c>
      <c r="D2184" s="23" t="n">
        <f aca="false">D2185*1000/D2181</f>
        <v>236.842105263158</v>
      </c>
      <c r="E2184" s="23" t="n">
        <f aca="false">$D2184*E2182^el</f>
        <v>267.763172119488</v>
      </c>
      <c r="F2184" s="23" t="n">
        <f aca="false">$D2184*F2182^el</f>
        <v>283.084777049615</v>
      </c>
      <c r="G2184" s="23" t="n">
        <f aca="false">$D2184*G2182^el</f>
        <v>283.399764630809</v>
      </c>
      <c r="K2184" s="8" t="s">
        <v>552</v>
      </c>
    </row>
    <row r="2185" customFormat="false" ht="17.15" hidden="false" customHeight="false" outlineLevel="0" collapsed="false">
      <c r="A2185" s="0" t="s">
        <v>553</v>
      </c>
      <c r="B2185" s="0" t="s">
        <v>120</v>
      </c>
      <c r="D2185" s="22" t="n">
        <f aca="false">leap26-D2186-D2187</f>
        <v>3.6</v>
      </c>
      <c r="E2185" s="22" t="n">
        <f aca="false">E2181*E2183*E2184/1000</f>
        <v>6.98058589715504</v>
      </c>
      <c r="F2185" s="22" t="n">
        <f aca="false">F2181*F2183*F2184/1000</f>
        <v>8.627008580587</v>
      </c>
      <c r="G2185" s="22" t="n">
        <f aca="false">G2181*G2183*G2184/1000</f>
        <v>10.2534034843427</v>
      </c>
      <c r="K2185" s="8" t="s">
        <v>554</v>
      </c>
    </row>
    <row r="2186" customFormat="false" ht="17.15" hidden="false" customHeight="false" outlineLevel="0" collapsed="false">
      <c r="A2186" s="4" t="s">
        <v>555</v>
      </c>
      <c r="B2186" s="0" t="s">
        <v>120</v>
      </c>
      <c r="D2186" s="22" t="n">
        <f aca="false">fp26</f>
        <v>0.3</v>
      </c>
      <c r="E2186" s="22" t="n">
        <f aca="false">fp27_A</f>
        <v>1.2</v>
      </c>
      <c r="F2186" s="22" t="n">
        <f aca="false">E2186*F2181/E2181*(1+fp_g)</f>
        <v>1.74430379746835</v>
      </c>
      <c r="G2186" s="22" t="n">
        <f aca="false">F2186*G2181/F2181*(1+fp_g)</f>
        <v>2.57992405063291</v>
      </c>
    </row>
    <row r="2187" customFormat="false" ht="17.15" hidden="false" customHeight="false" outlineLevel="0" collapsed="false">
      <c r="A2187" s="0" t="s">
        <v>556</v>
      </c>
      <c r="B2187" s="0" t="s">
        <v>120</v>
      </c>
      <c r="D2187" s="22" t="n">
        <f aca="false">cpo27*cpo_A_26/cpo_A_27</f>
        <v>0.1</v>
      </c>
      <c r="E2187" s="22" t="n">
        <f aca="false">cpo27*cpo_A_27/cpo_A_27</f>
        <v>0.5</v>
      </c>
      <c r="F2187" s="22" t="n">
        <f aca="false">cpo27*cpo_A_28/cpo_A_27*F2181/E2181</f>
        <v>1.11814345991561</v>
      </c>
      <c r="G2187" s="22" t="n">
        <f aca="false">cpo27*cpo_A_29/cpo_A_27*G2181/E2181</f>
        <v>2.03544303797468</v>
      </c>
      <c r="K2187" s="8" t="s">
        <v>557</v>
      </c>
    </row>
    <row r="2188" customFormat="false" ht="17.15" hidden="false" customHeight="false" outlineLevel="0" collapsed="false">
      <c r="A2188" s="0" t="s">
        <v>510</v>
      </c>
      <c r="B2188" s="0" t="s">
        <v>120</v>
      </c>
      <c r="C2188" s="22" t="n">
        <f aca="false">leap25</f>
        <v>1.6</v>
      </c>
      <c r="D2188" s="22" t="n">
        <f aca="false">D2185+D2186+D2187</f>
        <v>4</v>
      </c>
      <c r="E2188" s="22" t="n">
        <f aca="false">E2185+E2186+E2187</f>
        <v>8.68058589715504</v>
      </c>
      <c r="F2188" s="22" t="n">
        <f aca="false">F2185+F2186+F2187</f>
        <v>11.489455837971</v>
      </c>
      <c r="G2188" s="22" t="n">
        <f aca="false">G2185+G2186+G2187</f>
        <v>14.8687705729503</v>
      </c>
    </row>
    <row r="2189" customFormat="false" ht="17.15" hidden="false" customHeight="false" outlineLevel="0" collapsed="false">
      <c r="A2189" s="4" t="s">
        <v>558</v>
      </c>
      <c r="B2189" s="0" t="s">
        <v>114</v>
      </c>
      <c r="C2189" s="19" t="n">
        <f aca="false">fx25</f>
        <v>31</v>
      </c>
      <c r="D2189" s="19" t="n">
        <f aca="false">a26_leap/D2188</f>
        <v>31.9</v>
      </c>
      <c r="E2189" s="19" t="n">
        <f aca="false">fx</f>
        <v>32</v>
      </c>
      <c r="F2189" s="19" t="n">
        <f aca="false">fx</f>
        <v>32</v>
      </c>
      <c r="G2189" s="19" t="n">
        <f aca="false">fx</f>
        <v>32</v>
      </c>
      <c r="K2189" s="8" t="s">
        <v>559</v>
      </c>
    </row>
    <row r="2190" customFormat="false" ht="17.15" hidden="false" customHeight="false" outlineLevel="0" collapsed="false">
      <c r="A2190" s="6" t="s">
        <v>560</v>
      </c>
    </row>
    <row r="2191" customFormat="false" ht="17.15" hidden="false" customHeight="false" outlineLevel="0" collapsed="false">
      <c r="A2191" s="0" t="s">
        <v>438</v>
      </c>
      <c r="B2191" s="0" t="s">
        <v>234</v>
      </c>
      <c r="C2191" s="30" t="n">
        <f aca="false">a25_leap</f>
        <v>49.6</v>
      </c>
      <c r="D2191" s="30" t="n">
        <f aca="false">a26_leap</f>
        <v>127.6</v>
      </c>
      <c r="E2191" s="30" t="n">
        <f aca="false">E2188*E2189</f>
        <v>277.778748708961</v>
      </c>
      <c r="F2191" s="30" t="n">
        <f aca="false">F2188*F2189</f>
        <v>367.662586815071</v>
      </c>
      <c r="G2191" s="30" t="n">
        <f aca="false">G2188*G2189</f>
        <v>475.800658334408</v>
      </c>
    </row>
    <row r="2192" customFormat="false" ht="15" hidden="false" customHeight="false" outlineLevel="0" collapsed="false">
      <c r="A2192" s="4" t="s">
        <v>561</v>
      </c>
      <c r="B2192" s="0" t="s">
        <v>234</v>
      </c>
      <c r="C2192" s="30" t="n">
        <f aca="false">a25_ms</f>
        <v>339.628</v>
      </c>
      <c r="D2192" s="30" t="n">
        <f aca="false">a26_ms</f>
        <v>432.1302</v>
      </c>
      <c r="E2192" s="30" t="n">
        <f aca="false">D2192*(1+g_ms27)</f>
        <v>496.94973</v>
      </c>
      <c r="F2192" s="30" t="n">
        <f aca="false">E2192*(1+g_msL)</f>
        <v>531.7362111</v>
      </c>
      <c r="G2192" s="30" t="n">
        <f aca="false">F2192*(1+g_msL)</f>
        <v>568.957745877</v>
      </c>
    </row>
    <row r="2193" customFormat="false" ht="17.15" hidden="false" customHeight="false" outlineLevel="0" collapsed="false">
      <c r="A2193" s="4" t="s">
        <v>562</v>
      </c>
      <c r="B2193" s="0" t="s">
        <v>234</v>
      </c>
      <c r="C2193" s="30" t="n">
        <f aca="false">C2191+C2192</f>
        <v>389.228</v>
      </c>
      <c r="D2193" s="30" t="n">
        <f aca="false">D2191+D2192</f>
        <v>559.7302</v>
      </c>
      <c r="E2193" s="30" t="n">
        <f aca="false">E2191+E2192</f>
        <v>774.728478708961</v>
      </c>
      <c r="F2193" s="30" t="n">
        <f aca="false">F2191+F2192</f>
        <v>899.398797915071</v>
      </c>
      <c r="G2193" s="30" t="n">
        <f aca="false">G2191+G2192</f>
        <v>1044.75840421141</v>
      </c>
    </row>
    <row r="2194" customFormat="false" ht="17.15" hidden="false" customHeight="false" outlineLevel="0" collapsed="false">
      <c r="A2194" s="0" t="s">
        <v>563</v>
      </c>
      <c r="B2194" s="0" t="s">
        <v>234</v>
      </c>
      <c r="C2194" s="30" t="n">
        <f aca="false">a25_ems</f>
        <v>259.079</v>
      </c>
      <c r="D2194" s="30" t="n">
        <f aca="false">a26_ems</f>
        <v>314.602</v>
      </c>
      <c r="E2194" s="30" t="n">
        <f aca="false">D2194*(1+g_ems27)</f>
        <v>346.0622</v>
      </c>
      <c r="F2194" s="30" t="n">
        <f aca="false">E2194*(1+g_emsL_lo)</f>
        <v>346.0622</v>
      </c>
      <c r="G2194" s="30" t="n">
        <f aca="false">F2194*(1+g_emsL_lo)</f>
        <v>346.0622</v>
      </c>
    </row>
    <row r="2195" customFormat="false" ht="17.15" hidden="false" customHeight="false" outlineLevel="0" collapsed="false">
      <c r="A2195" s="4" t="s">
        <v>564</v>
      </c>
      <c r="B2195" s="0" t="s">
        <v>234</v>
      </c>
      <c r="C2195" s="30" t="n">
        <f aca="false">a25_elim</f>
        <v>-2.91899999999998</v>
      </c>
      <c r="D2195" s="30" t="n">
        <f aca="false">a26_elim</f>
        <v>-3.16484905982349</v>
      </c>
      <c r="E2195" s="30" t="n">
        <f aca="false">$D2195/($D2193+$D2194)*(E2193+E2194)</f>
        <v>-4.05696293213379</v>
      </c>
      <c r="F2195" s="30" t="n">
        <f aca="false">$D2195/($D2193+$D2194)*(F2193+F2194)</f>
        <v>-4.50823619248878</v>
      </c>
      <c r="G2195" s="30" t="n">
        <f aca="false">$D2195/($D2193+$D2194)*(G2193+G2194)</f>
        <v>-5.03439914671061</v>
      </c>
      <c r="K2195" s="4" t="s">
        <v>565</v>
      </c>
    </row>
    <row r="2196" customFormat="false" ht="17.15" hidden="false" customHeight="false" outlineLevel="0" collapsed="false">
      <c r="A2196" s="4" t="s">
        <v>431</v>
      </c>
      <c r="B2196" s="0" t="s">
        <v>234</v>
      </c>
      <c r="C2196" s="30" t="n">
        <f aca="false">C2193+C2194+C2195</f>
        <v>645.388</v>
      </c>
      <c r="D2196" s="30" t="n">
        <f aca="false">D2193+D2194+D2195</f>
        <v>871.167350940177</v>
      </c>
      <c r="E2196" s="30" t="n">
        <f aca="false">E2193+E2194+E2195</f>
        <v>1116.73371577683</v>
      </c>
      <c r="F2196" s="30" t="n">
        <f aca="false">F2193+F2194+F2195</f>
        <v>1240.95276172258</v>
      </c>
      <c r="G2196" s="30" t="n">
        <f aca="false">G2193+G2194+G2195</f>
        <v>1385.7862050647</v>
      </c>
      <c r="H2196" s="31" t="n">
        <f aca="false">G2196*(1+H2197)</f>
        <v>1521.32670918255</v>
      </c>
      <c r="I2196" s="31" t="n">
        <f aca="false">H2196*(1+I2197)</f>
        <v>1641.3652121975</v>
      </c>
      <c r="J2196" s="31" t="n">
        <f aca="false">I2196*(1+J2197)</f>
        <v>1739.84712492935</v>
      </c>
      <c r="K2196" s="8" t="s">
        <v>566</v>
      </c>
    </row>
    <row r="2197" customFormat="false" ht="15" hidden="false" customHeight="false" outlineLevel="0" collapsed="false">
      <c r="A2197" s="4" t="s">
        <v>567</v>
      </c>
      <c r="B2197" s="0" t="s">
        <v>76</v>
      </c>
      <c r="D2197" s="21" t="n">
        <f aca="false">D2196/C2196-1</f>
        <v>0.349835061916516</v>
      </c>
      <c r="E2197" s="21" t="n">
        <f aca="false">E2196/D2196-1</f>
        <v>0.281881965126026</v>
      </c>
      <c r="F2197" s="21" t="n">
        <f aca="false">F2196/E2196-1</f>
        <v>0.111234257720378</v>
      </c>
      <c r="G2197" s="21" t="n">
        <f aca="false">G2196/F2196-1</f>
        <v>0.116711487986916</v>
      </c>
      <c r="H2197" s="26" t="n">
        <f aca="false">$G2197+(fade_gA-$G2197)*1/3</f>
        <v>0.097807658657944</v>
      </c>
      <c r="I2197" s="26" t="n">
        <f aca="false">$G2197+(fade_gA-$G2197)*2/3</f>
        <v>0.078903829328972</v>
      </c>
      <c r="J2197" s="26" t="n">
        <f aca="false">$G2197+(fade_gA-$G2197)*3/3</f>
        <v>0.06</v>
      </c>
    </row>
    <row r="2198" customFormat="false" ht="17.15" hidden="false" customHeight="false" outlineLevel="0" collapsed="false">
      <c r="A2198" s="0" t="s">
        <v>475</v>
      </c>
      <c r="B2198" s="0" t="s">
        <v>76</v>
      </c>
      <c r="C2198" s="21" t="n">
        <f aca="false">C2191/C2193</f>
        <v>0.127431736668482</v>
      </c>
      <c r="D2198" s="21" t="n">
        <f aca="false">D2191/D2193</f>
        <v>0.227966974088588</v>
      </c>
      <c r="E2198" s="21" t="n">
        <f aca="false">E2191/E2193</f>
        <v>0.35854980982739</v>
      </c>
      <c r="F2198" s="21" t="n">
        <f aca="false">F2191/F2193</f>
        <v>0.408787056050512</v>
      </c>
      <c r="G2198" s="21" t="n">
        <f aca="false">G2191/G2193</f>
        <v>0.455416923583923</v>
      </c>
    </row>
    <row r="2199" customFormat="false" ht="15" hidden="false" customHeight="false" outlineLevel="0" collapsed="false">
      <c r="A2199" s="4" t="s">
        <v>568</v>
      </c>
      <c r="B2199" s="0" t="s">
        <v>76</v>
      </c>
      <c r="D2199" s="21" t="n">
        <f aca="false">D2193/C2193-1</f>
        <v>0.438052247012034</v>
      </c>
      <c r="E2199" s="21" t="n">
        <f aca="false">E2193/D2193-1</f>
        <v>0.384110556673485</v>
      </c>
      <c r="F2199" s="21" t="n">
        <f aca="false">F2193/E2193-1</f>
        <v>0.160921306796241</v>
      </c>
      <c r="G2199" s="21" t="n">
        <f aca="false">G2193/F2193-1</f>
        <v>0.161618635285371</v>
      </c>
    </row>
    <row r="2200" customFormat="false" ht="17.15" hidden="false" customHeight="false" outlineLevel="0" collapsed="false">
      <c r="A2200" s="6" t="s">
        <v>569</v>
      </c>
    </row>
    <row r="2201" customFormat="false" ht="17.15" hidden="false" customHeight="false" outlineLevel="0" collapsed="false">
      <c r="A2201" s="4" t="s">
        <v>570</v>
      </c>
      <c r="B2201" s="0" t="s">
        <v>120</v>
      </c>
      <c r="C2201" s="19" t="n">
        <f aca="false">capex25</f>
        <v>5.5</v>
      </c>
      <c r="D2201" s="19" t="n">
        <f aca="false">capex26</f>
        <v>11.5</v>
      </c>
      <c r="E2201" s="19" t="n">
        <f aca="false">capex27</f>
        <v>13</v>
      </c>
      <c r="F2201" s="19" t="n">
        <f aca="false">capi*F2196/F2189</f>
        <v>11.6339321411492</v>
      </c>
      <c r="G2201" s="19" t="n">
        <f aca="false">capi*G2196/G2189</f>
        <v>12.9917456724815</v>
      </c>
      <c r="K2201" s="8" t="s">
        <v>571</v>
      </c>
    </row>
    <row r="2202" customFormat="false" ht="15" hidden="false" customHeight="false" outlineLevel="0" collapsed="false">
      <c r="A2202" s="4" t="s">
        <v>572</v>
      </c>
      <c r="B2202" s="0" t="s">
        <v>234</v>
      </c>
      <c r="C2202" s="30" t="n">
        <f aca="false">C2201*C2189</f>
        <v>170.5</v>
      </c>
      <c r="D2202" s="30" t="n">
        <f aca="false">D2201*31.9</f>
        <v>366.85</v>
      </c>
      <c r="E2202" s="30" t="n">
        <f aca="false">E2201*E2189</f>
        <v>416</v>
      </c>
      <c r="F2202" s="30" t="n">
        <f aca="false">F2201*F2189</f>
        <v>372.285828516775</v>
      </c>
      <c r="G2202" s="30" t="n">
        <f aca="false">G2201*G2189</f>
        <v>415.735861519409</v>
      </c>
    </row>
    <row r="2203" customFormat="false" ht="17.15" hidden="false" customHeight="false" outlineLevel="0" collapsed="false">
      <c r="A2203" s="4" t="s">
        <v>473</v>
      </c>
      <c r="B2203" s="0" t="s">
        <v>76</v>
      </c>
      <c r="C2203" s="21" t="n">
        <f aca="false">C2202/C2196</f>
        <v>0.264182166386732</v>
      </c>
      <c r="D2203" s="21" t="n">
        <f aca="false">D2202/D2196</f>
        <v>0.421101639775745</v>
      </c>
      <c r="E2203" s="21" t="n">
        <f aca="false">E2202/E2196</f>
        <v>0.372514946153139</v>
      </c>
      <c r="F2203" s="21" t="n">
        <f aca="false">F2202/F2196</f>
        <v>0.3</v>
      </c>
      <c r="G2203" s="21" t="n">
        <f aca="false">G2202/G2196</f>
        <v>0.3</v>
      </c>
    </row>
    <row r="2204" customFormat="false" ht="17.15" hidden="false" customHeight="false" outlineLevel="0" collapsed="false">
      <c r="A2204" s="4" t="s">
        <v>573</v>
      </c>
      <c r="B2204" s="0" t="s">
        <v>234</v>
      </c>
      <c r="C2204" s="30" t="n">
        <f aca="false">a25_da</f>
        <v>75.255</v>
      </c>
      <c r="D2204" s="30" t="n">
        <f aca="false">a26_da</f>
        <v>97.124</v>
      </c>
      <c r="E2204" s="30" t="n">
        <f aca="false">D2204*(1-1/life)+D2202/life</f>
        <v>130.83975</v>
      </c>
      <c r="F2204" s="30" t="n">
        <f aca="false">E2204*(1-1/life)+E2202/life</f>
        <v>166.48478125</v>
      </c>
      <c r="G2204" s="30" t="n">
        <f aca="false">F2204*(1-1/life)+F2202/life</f>
        <v>192.209912158347</v>
      </c>
      <c r="K2204" s="4" t="s">
        <v>574</v>
      </c>
    </row>
    <row r="2205" customFormat="false" ht="17.15" hidden="false" customHeight="false" outlineLevel="0" collapsed="false">
      <c r="A2205" s="4" t="s">
        <v>575</v>
      </c>
      <c r="B2205" s="0" t="s">
        <v>234</v>
      </c>
      <c r="C2205" s="30" t="n">
        <f aca="false">a25_agp</f>
        <v>91.38</v>
      </c>
      <c r="D2205" s="30" t="n">
        <f aca="false">a26_agp</f>
        <v>164.623388</v>
      </c>
      <c r="E2205" s="30" t="n">
        <f aca="false">$D2205+ft*(E2193-$D2193)-(E2204-$D2204)</f>
        <v>238.406777354481</v>
      </c>
      <c r="F2205" s="30" t="n">
        <f aca="false">$D2205+ft*(F2193-$D2193)-(F2204-$D2204)</f>
        <v>265.096905707536</v>
      </c>
      <c r="G2205" s="30" t="n">
        <f aca="false">$D2205+ft*(G2193-$D2193)-(G2204-$D2204)</f>
        <v>312.051577947357</v>
      </c>
      <c r="K2205" s="4" t="s">
        <v>576</v>
      </c>
    </row>
    <row r="2206" customFormat="false" ht="15" hidden="false" customHeight="false" outlineLevel="0" collapsed="false">
      <c r="A2206" s="4" t="s">
        <v>447</v>
      </c>
      <c r="B2206" s="0" t="s">
        <v>76</v>
      </c>
      <c r="C2206" s="14" t="n">
        <f aca="false">C2205/C2193</f>
        <v>0.234772421305764</v>
      </c>
      <c r="D2206" s="14" t="n">
        <f aca="false">D2205/D2193</f>
        <v>0.294112034690999</v>
      </c>
      <c r="E2206" s="14" t="n">
        <f aca="false">E2205/E2193</f>
        <v>0.307729461232368</v>
      </c>
      <c r="F2206" s="14" t="n">
        <f aca="false">F2205/F2193</f>
        <v>0.294749010474626</v>
      </c>
      <c r="G2206" s="14" t="n">
        <f aca="false">G2205/G2193</f>
        <v>0.29868300335224</v>
      </c>
    </row>
    <row r="2207" customFormat="false" ht="17.15" hidden="false" customHeight="false" outlineLevel="0" collapsed="false">
      <c r="A2207" s="0" t="s">
        <v>449</v>
      </c>
      <c r="B2207" s="0" t="s">
        <v>234</v>
      </c>
      <c r="C2207" s="30" t="n">
        <f aca="false">a25_egp</f>
        <v>23.695</v>
      </c>
      <c r="D2207" s="30" t="n">
        <f aca="false">a26_egp</f>
        <v>27.00552</v>
      </c>
      <c r="E2207" s="30" t="n">
        <f aca="false">E2194*ems_gm</f>
        <v>29.415287</v>
      </c>
      <c r="F2207" s="30" t="n">
        <f aca="false">F2194*ems_gm</f>
        <v>29.415287</v>
      </c>
      <c r="G2207" s="30" t="n">
        <f aca="false">G2194*ems_gm</f>
        <v>29.415287</v>
      </c>
    </row>
    <row r="2208" customFormat="false" ht="15" hidden="false" customHeight="false" outlineLevel="0" collapsed="false">
      <c r="A2208" s="4" t="s">
        <v>577</v>
      </c>
      <c r="B2208" s="0" t="s">
        <v>234</v>
      </c>
      <c r="C2208" s="30" t="n">
        <f aca="false">a25_lgp</f>
        <v>-0.881999999999998</v>
      </c>
      <c r="D2208" s="30" t="n">
        <f aca="false">a26_lgp</f>
        <v>-0.948662139013863</v>
      </c>
      <c r="E2208" s="30" t="n">
        <f aca="false">$D2208/$D2195*E2195</f>
        <v>-1.21607288699975</v>
      </c>
      <c r="F2208" s="30" t="n">
        <f aca="false">$D2208/$D2195*F2195</f>
        <v>-1.35134185191904</v>
      </c>
      <c r="G2208" s="30" t="n">
        <f aca="false">$D2208/$D2195*G2195</f>
        <v>-1.50905897023551</v>
      </c>
    </row>
    <row r="2209" customFormat="false" ht="15" hidden="false" customHeight="false" outlineLevel="0" collapsed="false">
      <c r="A2209" s="4" t="s">
        <v>451</v>
      </c>
      <c r="B2209" s="0" t="s">
        <v>234</v>
      </c>
      <c r="C2209" s="30" t="n">
        <f aca="false">C2205+C2207+C2208</f>
        <v>114.193</v>
      </c>
      <c r="D2209" s="30" t="n">
        <f aca="false">D2205+D2207+D2208</f>
        <v>190.680245860986</v>
      </c>
      <c r="E2209" s="30" t="n">
        <f aca="false">E2205+E2207+E2208</f>
        <v>266.605991467481</v>
      </c>
      <c r="F2209" s="30" t="n">
        <f aca="false">F2205+F2207+F2208</f>
        <v>293.160850855617</v>
      </c>
      <c r="G2209" s="30" t="n">
        <f aca="false">G2205+G2207+G2208</f>
        <v>339.957805977122</v>
      </c>
    </row>
    <row r="2210" customFormat="false" ht="15" hidden="false" customHeight="false" outlineLevel="0" collapsed="false">
      <c r="A2210" s="4" t="s">
        <v>452</v>
      </c>
      <c r="B2210" s="0" t="s">
        <v>76</v>
      </c>
      <c r="C2210" s="14" t="n">
        <f aca="false">C2209/C2196</f>
        <v>0.176936974347214</v>
      </c>
      <c r="D2210" s="14" t="n">
        <f aca="false">D2209/D2196</f>
        <v>0.218879008327391</v>
      </c>
      <c r="E2210" s="14" t="n">
        <f aca="false">E2209/E2196</f>
        <v>0.238737299412531</v>
      </c>
      <c r="F2210" s="14" t="n">
        <f aca="false">F2209/F2196</f>
        <v>0.236238525670128</v>
      </c>
      <c r="G2210" s="14" t="n">
        <f aca="false">G2209/G2196</f>
        <v>0.245317643323813</v>
      </c>
    </row>
    <row r="2211" customFormat="false" ht="15" hidden="false" customHeight="false" outlineLevel="0" collapsed="false">
      <c r="A2211" s="4" t="s">
        <v>578</v>
      </c>
      <c r="B2211" s="0" t="s">
        <v>234</v>
      </c>
      <c r="C2211" s="30" t="n">
        <f aca="false">a25_opx</f>
        <v>63.437</v>
      </c>
      <c r="D2211" s="30" t="n">
        <f aca="false">a26_opx</f>
        <v>79.658</v>
      </c>
      <c r="E2211" s="30" t="n">
        <f aca="false">D2211*(1+phi*E2197)</f>
        <v>93.1304921468054</v>
      </c>
      <c r="F2211" s="30" t="n">
        <f aca="false">E2211*(1+phi*F2197)</f>
        <v>99.3460728458554</v>
      </c>
      <c r="G2211" s="30" t="n">
        <f aca="false">F2211*(1+phi*G2197)</f>
        <v>106.302969638353</v>
      </c>
    </row>
    <row r="2212" customFormat="false" ht="15" hidden="false" customHeight="false" outlineLevel="0" collapsed="false">
      <c r="A2212" s="4" t="s">
        <v>455</v>
      </c>
      <c r="B2212" s="0" t="s">
        <v>234</v>
      </c>
      <c r="C2212" s="30" t="n">
        <f aca="false">C2209-C2211</f>
        <v>50.756</v>
      </c>
      <c r="D2212" s="30" t="n">
        <f aca="false">D2209-D2211</f>
        <v>111.022245860986</v>
      </c>
      <c r="E2212" s="30" t="n">
        <f aca="false">E2209-E2211</f>
        <v>173.475499320676</v>
      </c>
      <c r="F2212" s="30" t="n">
        <f aca="false">F2209-F2211</f>
        <v>193.814778009761</v>
      </c>
      <c r="G2212" s="30" t="n">
        <f aca="false">G2209-G2211</f>
        <v>233.654836338769</v>
      </c>
    </row>
    <row r="2213" customFormat="false" ht="15" hidden="false" customHeight="false" outlineLevel="0" collapsed="false">
      <c r="A2213" s="4" t="s">
        <v>537</v>
      </c>
      <c r="B2213" s="0" t="s">
        <v>76</v>
      </c>
      <c r="C2213" s="14" t="n">
        <f aca="false">C2212/C2196</f>
        <v>0.0786441644406156</v>
      </c>
      <c r="D2213" s="14" t="n">
        <f aca="false">D2212/D2196</f>
        <v>0.127440779020437</v>
      </c>
      <c r="E2213" s="14" t="n">
        <f aca="false">E2212/E2196</f>
        <v>0.155341866077717</v>
      </c>
      <c r="F2213" s="14" t="n">
        <f aca="false">F2212/F2196</f>
        <v>0.156182236736171</v>
      </c>
      <c r="G2213" s="14" t="n">
        <f aca="false">G2212/G2196</f>
        <v>0.168608141345916</v>
      </c>
    </row>
    <row r="2214" customFormat="false" ht="15" hidden="false" customHeight="false" outlineLevel="0" collapsed="false">
      <c r="A2214" s="4" t="s">
        <v>456</v>
      </c>
      <c r="B2214" s="0" t="s">
        <v>234</v>
      </c>
      <c r="C2214" s="30" t="n">
        <f aca="false">a25_nonop</f>
        <v>0.545</v>
      </c>
      <c r="D2214" s="30" t="n">
        <f aca="false">a26_nonop</f>
        <v>4.302</v>
      </c>
      <c r="E2214" s="30" t="n">
        <f aca="false">nonop_f</f>
        <v>-5</v>
      </c>
      <c r="F2214" s="30" t="n">
        <f aca="false">nonop_f</f>
        <v>-5</v>
      </c>
      <c r="G2214" s="30" t="n">
        <f aca="false">nonop_f</f>
        <v>-5</v>
      </c>
    </row>
    <row r="2215" customFormat="false" ht="15" hidden="false" customHeight="false" outlineLevel="0" collapsed="false">
      <c r="A2215" s="4" t="s">
        <v>459</v>
      </c>
      <c r="B2215" s="0" t="s">
        <v>234</v>
      </c>
      <c r="C2215" s="30" t="n">
        <f aca="false">C2212+C2214</f>
        <v>51.301</v>
      </c>
      <c r="D2215" s="30" t="n">
        <f aca="false">D2212+D2214</f>
        <v>115.324245860986</v>
      </c>
      <c r="E2215" s="30" t="n">
        <f aca="false">E2212+E2214</f>
        <v>168.475499320676</v>
      </c>
      <c r="F2215" s="30" t="n">
        <f aca="false">F2212+F2214</f>
        <v>188.814778009761</v>
      </c>
      <c r="G2215" s="30" t="n">
        <f aca="false">G2212+G2214</f>
        <v>228.654836338769</v>
      </c>
    </row>
    <row r="2216" customFormat="false" ht="15" hidden="false" customHeight="false" outlineLevel="0" collapsed="false">
      <c r="A2216" s="4" t="s">
        <v>460</v>
      </c>
      <c r="B2216" s="0" t="s">
        <v>234</v>
      </c>
      <c r="C2216" s="30" t="n">
        <f aca="false">a25_tax</f>
        <v>9.461</v>
      </c>
      <c r="D2216" s="30" t="n">
        <f aca="false">a26_tax</f>
        <v>19.2197317963676</v>
      </c>
      <c r="E2216" s="30" t="n">
        <f aca="false">E2215*tax</f>
        <v>28.6408348845149</v>
      </c>
      <c r="F2216" s="30" t="n">
        <f aca="false">F2215*tax</f>
        <v>32.0985122616594</v>
      </c>
      <c r="G2216" s="30" t="n">
        <f aca="false">G2215*tax</f>
        <v>38.8713221775907</v>
      </c>
    </row>
    <row r="2217" customFormat="false" ht="15" hidden="false" customHeight="false" outlineLevel="0" collapsed="false">
      <c r="A2217" s="4" t="s">
        <v>461</v>
      </c>
      <c r="B2217" s="0" t="s">
        <v>234</v>
      </c>
      <c r="C2217" s="30" t="n">
        <f aca="false">a25_nci</f>
        <v>1.182</v>
      </c>
      <c r="D2217" s="30" t="n">
        <f aca="false">a26_nci</f>
        <v>2.543</v>
      </c>
      <c r="E2217" s="30" t="n">
        <f aca="false">nci</f>
        <v>3</v>
      </c>
      <c r="F2217" s="30" t="n">
        <f aca="false">nci</f>
        <v>3</v>
      </c>
      <c r="G2217" s="30" t="n">
        <f aca="false">nci</f>
        <v>3</v>
      </c>
    </row>
    <row r="2218" customFormat="false" ht="15" hidden="false" customHeight="false" outlineLevel="0" collapsed="false">
      <c r="A2218" s="4" t="s">
        <v>462</v>
      </c>
      <c r="B2218" s="0" t="s">
        <v>234</v>
      </c>
      <c r="C2218" s="30" t="n">
        <f aca="false">C2215-C2216-C2217</f>
        <v>40.658</v>
      </c>
      <c r="D2218" s="30" t="n">
        <f aca="false">D2215-D2216-D2217</f>
        <v>93.5615140646185</v>
      </c>
      <c r="E2218" s="30" t="n">
        <f aca="false">E2215-E2216-E2217</f>
        <v>136.834664436161</v>
      </c>
      <c r="F2218" s="30" t="n">
        <f aca="false">F2215-F2216-F2217</f>
        <v>153.716265748102</v>
      </c>
      <c r="G2218" s="30" t="n">
        <f aca="false">G2215-G2216-G2217</f>
        <v>186.783514161178</v>
      </c>
      <c r="H2218" s="31" t="n">
        <f aca="false">H2196*H2222</f>
        <v>203.541493881087</v>
      </c>
      <c r="I2218" s="31" t="n">
        <f aca="false">I2196*I2222</f>
        <v>217.971604602132</v>
      </c>
      <c r="J2218" s="31" t="n">
        <f aca="false">J2196*J2222</f>
        <v>229.322002750336</v>
      </c>
    </row>
    <row r="2219" customFormat="false" ht="15" hidden="false" customHeight="false" outlineLevel="0" collapsed="false">
      <c r="A2219" s="4" t="s">
        <v>579</v>
      </c>
      <c r="B2219" s="4" t="s">
        <v>580</v>
      </c>
      <c r="C2219" s="18" t="n">
        <f aca="false">a25_sh</f>
        <v>4339.16755602988</v>
      </c>
      <c r="D2219" s="18" t="n">
        <f aca="false">a26_sh</f>
        <v>4392.90105184664</v>
      </c>
      <c r="E2219" s="18" t="n">
        <f aca="false">D2219*(1+sh_g)</f>
        <v>4414.86555710588</v>
      </c>
      <c r="F2219" s="18" t="n">
        <f aca="false">E2219*(1+sh_g)</f>
        <v>4436.9398848914</v>
      </c>
      <c r="G2219" s="18" t="n">
        <f aca="false">F2219*(1+sh_g)</f>
        <v>4459.12458431586</v>
      </c>
      <c r="H2219" s="25" t="n">
        <f aca="false">G2219*(1+sh_g)</f>
        <v>4481.42020723744</v>
      </c>
      <c r="I2219" s="25" t="n">
        <f aca="false">H2219*(1+sh_g)</f>
        <v>4503.82730827363</v>
      </c>
      <c r="J2219" s="25" t="n">
        <f aca="false">I2219*(1+sh_g)</f>
        <v>4526.34644481499</v>
      </c>
    </row>
    <row r="2220" customFormat="false" ht="17.15" hidden="false" customHeight="false" outlineLevel="0" collapsed="false">
      <c r="A2220" s="0" t="s">
        <v>465</v>
      </c>
      <c r="B2220" s="0" t="s">
        <v>304</v>
      </c>
      <c r="C2220" s="19" t="n">
        <f aca="false">a25_eps</f>
        <v>9.37</v>
      </c>
      <c r="D2220" s="19" t="n">
        <f aca="false">a26_eps</f>
        <v>21.2828697294455</v>
      </c>
      <c r="E2220" s="19" t="n">
        <f aca="false">E2218/E2219*1000</f>
        <v>30.9940727902621</v>
      </c>
      <c r="F2220" s="19" t="n">
        <f aca="false">F2218/F2219*1000</f>
        <v>34.6446581959638</v>
      </c>
      <c r="G2220" s="19" t="n">
        <f aca="false">G2218/G2219*1000</f>
        <v>41.8879335235786</v>
      </c>
      <c r="H2220" s="28" t="n">
        <f aca="false">H2218/H2219*1000</f>
        <v>45.4189708772166</v>
      </c>
      <c r="I2220" s="28" t="n">
        <f aca="false">I2218/I2219*1000</f>
        <v>48.3969721045283</v>
      </c>
      <c r="J2220" s="28" t="n">
        <f aca="false">J2218/J2219*1000</f>
        <v>50.6638202678957</v>
      </c>
    </row>
    <row r="2221" customFormat="false" ht="17.15" hidden="false" customHeight="false" outlineLevel="0" collapsed="false">
      <c r="A2221" s="0" t="s">
        <v>581</v>
      </c>
      <c r="B2221" s="0" t="s">
        <v>76</v>
      </c>
      <c r="D2221" s="21" t="n">
        <f aca="false">D2220/C2220-1</f>
        <v>1.27138417603474</v>
      </c>
      <c r="E2221" s="21" t="n">
        <f aca="false">E2220/D2220-1</f>
        <v>0.456291993714591</v>
      </c>
      <c r="F2221" s="21" t="n">
        <f aca="false">F2220/E2220-1</f>
        <v>0.117783339750323</v>
      </c>
      <c r="G2221" s="21" t="n">
        <f aca="false">G2220/F2220-1</f>
        <v>0.209073366711947</v>
      </c>
      <c r="H2221" s="26" t="n">
        <f aca="false">H2220/G2220-1</f>
        <v>0.0842972440177887</v>
      </c>
      <c r="I2221" s="26" t="n">
        <f aca="false">I2220/H2220-1</f>
        <v>0.0655673426719037</v>
      </c>
      <c r="J2221" s="26" t="n">
        <f aca="false">J2220/I2220-1</f>
        <v>0.0468386360715174</v>
      </c>
    </row>
    <row r="2222" customFormat="false" ht="17.15" hidden="false" customHeight="false" outlineLevel="0" collapsed="false">
      <c r="A2222" s="4" t="s">
        <v>582</v>
      </c>
      <c r="B2222" s="0" t="s">
        <v>76</v>
      </c>
      <c r="C2222" s="14" t="n">
        <f aca="false">C2218/C2196</f>
        <v>0.0629977625862272</v>
      </c>
      <c r="D2222" s="14" t="n">
        <f aca="false">D2218/D2196</f>
        <v>0.107397865592237</v>
      </c>
      <c r="E2222" s="14" t="n">
        <f aca="false">E2218/E2196</f>
        <v>0.122531148207498</v>
      </c>
      <c r="F2222" s="14" t="n">
        <f aca="false">F2218/F2196</f>
        <v>0.123869554498373</v>
      </c>
      <c r="G2222" s="14" t="n">
        <f aca="false">G2218/G2196</f>
        <v>0.134785231284979</v>
      </c>
      <c r="H2222" s="27" t="n">
        <f aca="false">$G2222+(fade_mA-$G2222)*1/3</f>
        <v>0.13379209912804</v>
      </c>
      <c r="I2222" s="27" t="n">
        <f aca="false">$G2222+(fade_mA-$G2222)*2/3</f>
        <v>0.132798966971102</v>
      </c>
      <c r="J2222" s="27" t="n">
        <f aca="false">$G2222+(fade_mA-$G2222)*3/3</f>
        <v>0.131805834814164</v>
      </c>
    </row>
    <row r="2223" customFormat="false" ht="17.15" hidden="false" customHeight="false" outlineLevel="0" collapsed="false">
      <c r="A2223" s="4" t="s">
        <v>583</v>
      </c>
      <c r="B2223" s="0" t="s">
        <v>234</v>
      </c>
      <c r="C2223" s="30" t="n">
        <f aca="false">C2218+C2204-C2202</f>
        <v>-54.587</v>
      </c>
      <c r="D2223" s="30" t="n">
        <f aca="false">D2218+D2204-D2202</f>
        <v>-176.164485935382</v>
      </c>
      <c r="E2223" s="30" t="n">
        <f aca="false">E2218+E2204-E2202</f>
        <v>-148.325585563839</v>
      </c>
      <c r="F2223" s="30" t="n">
        <f aca="false">F2218+F2204-F2202</f>
        <v>-52.0847815186729</v>
      </c>
      <c r="G2223" s="30" t="n">
        <f aca="false">G2218+G2204-G2202</f>
        <v>-36.7424351998845</v>
      </c>
      <c r="K2223" s="4" t="s">
        <v>584</v>
      </c>
    </row>
    <row r="2224" customFormat="false" ht="17.15" hidden="false" customHeight="false" outlineLevel="0" collapsed="false">
      <c r="A2224" s="4" t="s">
        <v>585</v>
      </c>
      <c r="B2224" s="0" t="s">
        <v>76</v>
      </c>
      <c r="D2224" s="21" t="n">
        <f aca="false">(D2212-$C2212)/SUM($D2202:D2202)</f>
        <v>0.164280348537512</v>
      </c>
      <c r="E2224" s="21" t="n">
        <f aca="false">(E2212-$C2212)/SUM($D2202:E2202)</f>
        <v>0.156759914824903</v>
      </c>
      <c r="F2224" s="21" t="n">
        <f aca="false">(F2212-$C2212)/SUM($D2202:F2202)</f>
        <v>0.123845849533948</v>
      </c>
      <c r="G2224" s="21" t="n">
        <f aca="false">(G2212-$C2212)/SUM($D2202:G2202)</f>
        <v>0.116431429440654</v>
      </c>
      <c r="K2224" s="4" t="s">
        <v>586</v>
      </c>
    </row>
    <row r="2227" customFormat="false" ht="17.15" hidden="false" customHeight="false" outlineLevel="0" collapsed="false">
      <c r="A2227" s="1" t="s">
        <v>959</v>
      </c>
    </row>
    <row r="2228" customFormat="false" ht="17.15" hidden="false" customHeight="false" outlineLevel="0" collapsed="false">
      <c r="A2228" s="5" t="s">
        <v>21</v>
      </c>
      <c r="B2228" s="5" t="s">
        <v>22</v>
      </c>
      <c r="C2228" s="15" t="s">
        <v>424</v>
      </c>
      <c r="D2228" s="15" t="s">
        <v>524</v>
      </c>
      <c r="E2228" s="15" t="s">
        <v>525</v>
      </c>
      <c r="F2228" s="15" t="s">
        <v>526</v>
      </c>
      <c r="G2228" s="15" t="s">
        <v>527</v>
      </c>
      <c r="H2228" s="15" t="s">
        <v>528</v>
      </c>
      <c r="I2228" s="15" t="s">
        <v>529</v>
      </c>
      <c r="J2228" s="15" t="s">
        <v>530</v>
      </c>
      <c r="K2228" s="5" t="s">
        <v>382</v>
      </c>
    </row>
    <row r="2229" customFormat="false" ht="17.15" hidden="false" customHeight="false" outlineLevel="0" collapsed="false">
      <c r="A2229" s="6" t="s">
        <v>548</v>
      </c>
    </row>
    <row r="2230" customFormat="false" ht="17.15" hidden="false" customHeight="false" outlineLevel="0" collapsed="false">
      <c r="A2230" s="0" t="s">
        <v>549</v>
      </c>
      <c r="B2230" s="4" t="s">
        <v>32</v>
      </c>
      <c r="D2230" s="19" t="n">
        <f aca="false">units_26</f>
        <v>15.2</v>
      </c>
      <c r="E2230" s="19" t="n">
        <f aca="false">units_27*1</f>
        <v>23.7</v>
      </c>
      <c r="F2230" s="19" t="n">
        <f aca="false">units_28*um28_B*1</f>
        <v>21.2</v>
      </c>
      <c r="G2230" s="19" t="n">
        <f aca="false">units_29*um29_B*1</f>
        <v>25.6275</v>
      </c>
    </row>
    <row r="2231" customFormat="false" ht="17.15" hidden="false" customHeight="false" outlineLevel="0" collapsed="false">
      <c r="A2231" s="4" t="s">
        <v>497</v>
      </c>
      <c r="B2231" s="0" t="s">
        <v>45</v>
      </c>
      <c r="D2231" s="22" t="n">
        <f aca="false">ar_26</f>
        <v>1</v>
      </c>
      <c r="E2231" s="22" t="n">
        <f aca="false">ar_27</f>
        <v>1.278156</v>
      </c>
      <c r="F2231" s="22" t="n">
        <f aca="false">ar_28</f>
        <v>1.428615</v>
      </c>
      <c r="G2231" s="22" t="n">
        <f aca="false">ar_29</f>
        <v>1.431796</v>
      </c>
    </row>
    <row r="2232" customFormat="false" ht="17.15" hidden="false" customHeight="false" outlineLevel="0" collapsed="false">
      <c r="A2232" s="4" t="s">
        <v>550</v>
      </c>
      <c r="B2232" s="0" t="s">
        <v>45</v>
      </c>
      <c r="D2232" s="19" t="n">
        <f aca="false">1</f>
        <v>1</v>
      </c>
      <c r="E2232" s="19" t="n">
        <f aca="false">rel27_B</f>
        <v>1.05</v>
      </c>
      <c r="F2232" s="19" t="n">
        <f aca="false">rel28_B</f>
        <v>1.08</v>
      </c>
      <c r="G2232" s="19" t="n">
        <f aca="false">rel29_B</f>
        <v>1.1</v>
      </c>
    </row>
    <row r="2233" customFormat="false" ht="17.15" hidden="false" customHeight="false" outlineLevel="0" collapsed="false">
      <c r="A2233" s="4" t="s">
        <v>551</v>
      </c>
      <c r="B2233" s="0" t="s">
        <v>502</v>
      </c>
      <c r="D2233" s="23" t="n">
        <f aca="false">D2234*1000/D2230</f>
        <v>236.842105263158</v>
      </c>
      <c r="E2233" s="23" t="n">
        <f aca="false">$D2233*E2231^el</f>
        <v>267.763172119488</v>
      </c>
      <c r="F2233" s="23" t="n">
        <f aca="false">$D2233*F2231^el</f>
        <v>283.084777049615</v>
      </c>
      <c r="G2233" s="23" t="n">
        <f aca="false">$D2233*G2231^el</f>
        <v>283.399764630809</v>
      </c>
      <c r="K2233" s="8" t="s">
        <v>552</v>
      </c>
    </row>
    <row r="2234" customFormat="false" ht="17.15" hidden="false" customHeight="false" outlineLevel="0" collapsed="false">
      <c r="A2234" s="0" t="s">
        <v>553</v>
      </c>
      <c r="B2234" s="0" t="s">
        <v>120</v>
      </c>
      <c r="D2234" s="22" t="n">
        <f aca="false">leap26-D2235-D2236</f>
        <v>3.6</v>
      </c>
      <c r="E2234" s="22" t="n">
        <f aca="false">E2230*E2232*E2233/1000</f>
        <v>6.66328653819345</v>
      </c>
      <c r="F2234" s="22" t="n">
        <f aca="false">F2230*F2232*F2233/1000</f>
        <v>6.48150905532798</v>
      </c>
      <c r="G2234" s="22" t="n">
        <f aca="false">G2230*G2232*G2233/1000</f>
        <v>7.98911021488366</v>
      </c>
      <c r="K2234" s="8" t="s">
        <v>554</v>
      </c>
    </row>
    <row r="2235" customFormat="false" ht="17.15" hidden="false" customHeight="false" outlineLevel="0" collapsed="false">
      <c r="A2235" s="4" t="s">
        <v>555</v>
      </c>
      <c r="B2235" s="0" t="s">
        <v>120</v>
      </c>
      <c r="D2235" s="22" t="n">
        <f aca="false">fp26</f>
        <v>0.3</v>
      </c>
      <c r="E2235" s="22" t="n">
        <f aca="false">fp27_B</f>
        <v>1</v>
      </c>
      <c r="F2235" s="22" t="n">
        <f aca="false">E2235*F2230/E2230*(1+fp_g)</f>
        <v>1.16286919831224</v>
      </c>
      <c r="G2235" s="22" t="n">
        <f aca="false">F2235*G2230/F2230*(1+fp_g)</f>
        <v>1.82744620253165</v>
      </c>
    </row>
    <row r="2236" customFormat="false" ht="17.15" hidden="false" customHeight="false" outlineLevel="0" collapsed="false">
      <c r="A2236" s="0" t="s">
        <v>556</v>
      </c>
      <c r="B2236" s="0" t="s">
        <v>120</v>
      </c>
      <c r="D2236" s="22" t="n">
        <f aca="false">cpo27*cpo_B_26/cpo_A_27</f>
        <v>0.1</v>
      </c>
      <c r="E2236" s="22" t="n">
        <f aca="false">cpo27*cpo_B_27/cpo_A_27</f>
        <v>0.3</v>
      </c>
      <c r="F2236" s="22" t="n">
        <f aca="false">cpo27*cpo_B_28/cpo_A_27*F2230/E2230</f>
        <v>0.447257383966245</v>
      </c>
      <c r="G2236" s="22" t="n">
        <f aca="false">cpo27*cpo_B_29/cpo_A_27*G2230/E2230</f>
        <v>0.86506329113924</v>
      </c>
      <c r="K2236" s="8" t="s">
        <v>557</v>
      </c>
    </row>
    <row r="2237" customFormat="false" ht="17.15" hidden="false" customHeight="false" outlineLevel="0" collapsed="false">
      <c r="A2237" s="0" t="s">
        <v>510</v>
      </c>
      <c r="B2237" s="0" t="s">
        <v>120</v>
      </c>
      <c r="C2237" s="22" t="n">
        <f aca="false">leap25</f>
        <v>1.6</v>
      </c>
      <c r="D2237" s="22" t="n">
        <f aca="false">D2234+D2235+D2236</f>
        <v>4</v>
      </c>
      <c r="E2237" s="22" t="n">
        <f aca="false">E2234+E2235+E2236</f>
        <v>7.96328653819345</v>
      </c>
      <c r="F2237" s="22" t="n">
        <f aca="false">F2234+F2235+F2236</f>
        <v>8.09163563760646</v>
      </c>
      <c r="G2237" s="22" t="n">
        <f aca="false">G2234+G2235+G2236</f>
        <v>10.6816197085545</v>
      </c>
    </row>
    <row r="2238" customFormat="false" ht="17.15" hidden="false" customHeight="false" outlineLevel="0" collapsed="false">
      <c r="A2238" s="4" t="s">
        <v>558</v>
      </c>
      <c r="B2238" s="0" t="s">
        <v>114</v>
      </c>
      <c r="C2238" s="19" t="n">
        <f aca="false">fx25</f>
        <v>31</v>
      </c>
      <c r="D2238" s="19" t="n">
        <f aca="false">a26_leap/D2237</f>
        <v>31.9</v>
      </c>
      <c r="E2238" s="19" t="n">
        <f aca="false">fx</f>
        <v>32</v>
      </c>
      <c r="F2238" s="19" t="n">
        <f aca="false">fx</f>
        <v>32</v>
      </c>
      <c r="G2238" s="19" t="n">
        <f aca="false">fx</f>
        <v>32</v>
      </c>
      <c r="K2238" s="8" t="s">
        <v>559</v>
      </c>
    </row>
    <row r="2239" customFormat="false" ht="17.15" hidden="false" customHeight="false" outlineLevel="0" collapsed="false">
      <c r="A2239" s="6" t="s">
        <v>560</v>
      </c>
    </row>
    <row r="2240" customFormat="false" ht="17.15" hidden="false" customHeight="false" outlineLevel="0" collapsed="false">
      <c r="A2240" s="0" t="s">
        <v>438</v>
      </c>
      <c r="B2240" s="0" t="s">
        <v>234</v>
      </c>
      <c r="C2240" s="30" t="n">
        <f aca="false">a25_leap</f>
        <v>49.6</v>
      </c>
      <c r="D2240" s="30" t="n">
        <f aca="false">a26_leap</f>
        <v>127.6</v>
      </c>
      <c r="E2240" s="30" t="n">
        <f aca="false">E2237*E2238</f>
        <v>254.82516922219</v>
      </c>
      <c r="F2240" s="30" t="n">
        <f aca="false">F2237*F2238</f>
        <v>258.932340403407</v>
      </c>
      <c r="G2240" s="30" t="n">
        <f aca="false">G2237*G2238</f>
        <v>341.811830673745</v>
      </c>
    </row>
    <row r="2241" customFormat="false" ht="15" hidden="false" customHeight="false" outlineLevel="0" collapsed="false">
      <c r="A2241" s="4" t="s">
        <v>561</v>
      </c>
      <c r="B2241" s="0" t="s">
        <v>234</v>
      </c>
      <c r="C2241" s="30" t="n">
        <f aca="false">a25_ms</f>
        <v>339.628</v>
      </c>
      <c r="D2241" s="30" t="n">
        <f aca="false">a26_ms</f>
        <v>432.1302</v>
      </c>
      <c r="E2241" s="30" t="n">
        <f aca="false">D2241*(1+g_ms27)</f>
        <v>496.94973</v>
      </c>
      <c r="F2241" s="30" t="n">
        <f aca="false">E2241*(1+g_msL)</f>
        <v>531.7362111</v>
      </c>
      <c r="G2241" s="30" t="n">
        <f aca="false">F2241*(1+g_msL)</f>
        <v>568.957745877</v>
      </c>
    </row>
    <row r="2242" customFormat="false" ht="17.15" hidden="false" customHeight="false" outlineLevel="0" collapsed="false">
      <c r="A2242" s="4" t="s">
        <v>562</v>
      </c>
      <c r="B2242" s="0" t="s">
        <v>234</v>
      </c>
      <c r="C2242" s="30" t="n">
        <f aca="false">C2240+C2241</f>
        <v>389.228</v>
      </c>
      <c r="D2242" s="30" t="n">
        <f aca="false">D2240+D2241</f>
        <v>559.7302</v>
      </c>
      <c r="E2242" s="30" t="n">
        <f aca="false">E2240+E2241</f>
        <v>751.77489922219</v>
      </c>
      <c r="F2242" s="30" t="n">
        <f aca="false">F2240+F2241</f>
        <v>790.668551503407</v>
      </c>
      <c r="G2242" s="30" t="n">
        <f aca="false">G2240+G2241</f>
        <v>910.769576550745</v>
      </c>
    </row>
    <row r="2243" customFormat="false" ht="17.15" hidden="false" customHeight="false" outlineLevel="0" collapsed="false">
      <c r="A2243" s="0" t="s">
        <v>563</v>
      </c>
      <c r="B2243" s="0" t="s">
        <v>234</v>
      </c>
      <c r="C2243" s="30" t="n">
        <f aca="false">a25_ems</f>
        <v>259.079</v>
      </c>
      <c r="D2243" s="30" t="n">
        <f aca="false">a26_ems</f>
        <v>314.602</v>
      </c>
      <c r="E2243" s="30" t="n">
        <f aca="false">D2243*(1+g_ems27)</f>
        <v>346.0622</v>
      </c>
      <c r="F2243" s="30" t="n">
        <f aca="false">E2243*(1+g_emsL_lo)</f>
        <v>346.0622</v>
      </c>
      <c r="G2243" s="30" t="n">
        <f aca="false">F2243*(1+g_emsL_lo)</f>
        <v>346.0622</v>
      </c>
    </row>
    <row r="2244" customFormat="false" ht="17.15" hidden="false" customHeight="false" outlineLevel="0" collapsed="false">
      <c r="A2244" s="4" t="s">
        <v>564</v>
      </c>
      <c r="B2244" s="0" t="s">
        <v>234</v>
      </c>
      <c r="C2244" s="30" t="n">
        <f aca="false">a25_elim</f>
        <v>-2.91899999999998</v>
      </c>
      <c r="D2244" s="30" t="n">
        <f aca="false">a26_elim</f>
        <v>-3.16484905982349</v>
      </c>
      <c r="E2244" s="30" t="n">
        <f aca="false">$D2244/($D2242+$D2243)*(E2242+E2243)</f>
        <v>-3.97387710450638</v>
      </c>
      <c r="F2244" s="30" t="n">
        <f aca="false">$D2244/($D2242+$D2243)*(F2242+F2243)</f>
        <v>-4.11466173860233</v>
      </c>
      <c r="G2244" s="30" t="n">
        <f aca="false">$D2244/($D2242+$D2243)*(G2242+G2243)</f>
        <v>-4.5493953744045</v>
      </c>
      <c r="K2244" s="4" t="s">
        <v>565</v>
      </c>
    </row>
    <row r="2245" customFormat="false" ht="17.15" hidden="false" customHeight="false" outlineLevel="0" collapsed="false">
      <c r="A2245" s="4" t="s">
        <v>431</v>
      </c>
      <c r="B2245" s="0" t="s">
        <v>234</v>
      </c>
      <c r="C2245" s="30" t="n">
        <f aca="false">C2242+C2243+C2244</f>
        <v>645.388</v>
      </c>
      <c r="D2245" s="30" t="n">
        <f aca="false">D2242+D2243+D2244</f>
        <v>871.167350940177</v>
      </c>
      <c r="E2245" s="30" t="n">
        <f aca="false">E2242+E2243+E2244</f>
        <v>1093.86322211768</v>
      </c>
      <c r="F2245" s="30" t="n">
        <f aca="false">F2242+F2243+F2244</f>
        <v>1132.6160897648</v>
      </c>
      <c r="G2245" s="30" t="n">
        <f aca="false">G2242+G2243+G2244</f>
        <v>1252.28238117634</v>
      </c>
      <c r="H2245" s="31" t="n">
        <f aca="false">G2245*(1+H2246)</f>
        <v>1357.18588345626</v>
      </c>
      <c r="I2245" s="31" t="n">
        <f aca="false">H2245*(1+I2246)</f>
        <v>1441.17522738329</v>
      </c>
      <c r="J2245" s="31" t="n">
        <f aca="false">I2245*(1+J2246)</f>
        <v>1498.82223647862</v>
      </c>
      <c r="K2245" s="8" t="s">
        <v>566</v>
      </c>
    </row>
    <row r="2246" customFormat="false" ht="15" hidden="false" customHeight="false" outlineLevel="0" collapsed="false">
      <c r="A2246" s="4" t="s">
        <v>567</v>
      </c>
      <c r="B2246" s="0" t="s">
        <v>76</v>
      </c>
      <c r="D2246" s="21" t="n">
        <f aca="false">D2245/C2245-1</f>
        <v>0.349835061916516</v>
      </c>
      <c r="E2246" s="21" t="n">
        <f aca="false">E2245/D2245-1</f>
        <v>0.255629266796065</v>
      </c>
      <c r="F2246" s="21" t="n">
        <f aca="false">F2245/E2245-1</f>
        <v>0.0354275259132455</v>
      </c>
      <c r="G2246" s="21" t="n">
        <f aca="false">G2245/F2245-1</f>
        <v>0.105654769072181</v>
      </c>
      <c r="H2246" s="26" t="n">
        <f aca="false">$G2246+(fade_gB-$G2246)*1/3</f>
        <v>0.0837698460481204</v>
      </c>
      <c r="I2246" s="26" t="n">
        <f aca="false">$G2246+(fade_gB-$G2246)*2/3</f>
        <v>0.0618849230240602</v>
      </c>
      <c r="J2246" s="26" t="n">
        <f aca="false">$G2246+(fade_gB-$G2246)*3/3</f>
        <v>0.04</v>
      </c>
    </row>
    <row r="2247" customFormat="false" ht="17.15" hidden="false" customHeight="false" outlineLevel="0" collapsed="false">
      <c r="A2247" s="0" t="s">
        <v>475</v>
      </c>
      <c r="B2247" s="0" t="s">
        <v>76</v>
      </c>
      <c r="C2247" s="21" t="n">
        <f aca="false">C2240/C2242</f>
        <v>0.127431736668482</v>
      </c>
      <c r="D2247" s="21" t="n">
        <f aca="false">D2240/D2242</f>
        <v>0.227966974088588</v>
      </c>
      <c r="E2247" s="21" t="n">
        <f aca="false">E2240/E2242</f>
        <v>0.338964721335922</v>
      </c>
      <c r="F2247" s="21" t="n">
        <f aca="false">F2240/F2242</f>
        <v>0.327485315953269</v>
      </c>
      <c r="G2247" s="21" t="n">
        <f aca="false">G2240/G2242</f>
        <v>0.375300009436251</v>
      </c>
    </row>
    <row r="2248" customFormat="false" ht="15" hidden="false" customHeight="false" outlineLevel="0" collapsed="false">
      <c r="A2248" s="4" t="s">
        <v>568</v>
      </c>
      <c r="B2248" s="0" t="s">
        <v>76</v>
      </c>
      <c r="D2248" s="21" t="n">
        <f aca="false">D2242/C2242-1</f>
        <v>0.438052247012034</v>
      </c>
      <c r="E2248" s="21" t="n">
        <f aca="false">E2242/D2242-1</f>
        <v>0.343102264666424</v>
      </c>
      <c r="F2248" s="21" t="n">
        <f aca="false">F2242/E2242-1</f>
        <v>0.0517357686741828</v>
      </c>
      <c r="G2248" s="21" t="n">
        <f aca="false">G2242/F2242-1</f>
        <v>0.151898067551788</v>
      </c>
    </row>
    <row r="2249" customFormat="false" ht="17.15" hidden="false" customHeight="false" outlineLevel="0" collapsed="false">
      <c r="A2249" s="6" t="s">
        <v>569</v>
      </c>
    </row>
    <row r="2250" customFormat="false" ht="17.15" hidden="false" customHeight="false" outlineLevel="0" collapsed="false">
      <c r="A2250" s="4" t="s">
        <v>570</v>
      </c>
      <c r="B2250" s="0" t="s">
        <v>120</v>
      </c>
      <c r="C2250" s="19" t="n">
        <f aca="false">capex25</f>
        <v>5.5</v>
      </c>
      <c r="D2250" s="19" t="n">
        <f aca="false">capex26</f>
        <v>11.5</v>
      </c>
      <c r="E2250" s="19" t="n">
        <f aca="false">capex27</f>
        <v>13</v>
      </c>
      <c r="F2250" s="19" t="n">
        <f aca="false">capi*F2245/F2238</f>
        <v>10.618275841545</v>
      </c>
      <c r="G2250" s="19" t="n">
        <f aca="false">capi*G2245/G2238</f>
        <v>11.7401473235282</v>
      </c>
      <c r="K2250" s="8" t="s">
        <v>571</v>
      </c>
    </row>
    <row r="2251" customFormat="false" ht="15" hidden="false" customHeight="false" outlineLevel="0" collapsed="false">
      <c r="A2251" s="4" t="s">
        <v>572</v>
      </c>
      <c r="B2251" s="0" t="s">
        <v>234</v>
      </c>
      <c r="C2251" s="30" t="n">
        <f aca="false">C2250*C2238</f>
        <v>170.5</v>
      </c>
      <c r="D2251" s="30" t="n">
        <f aca="false">D2250*31.9</f>
        <v>366.85</v>
      </c>
      <c r="E2251" s="30" t="n">
        <f aca="false">E2250*E2238</f>
        <v>416</v>
      </c>
      <c r="F2251" s="30" t="n">
        <f aca="false">F2250*F2238</f>
        <v>339.784826929441</v>
      </c>
      <c r="G2251" s="30" t="n">
        <f aca="false">G2250*G2238</f>
        <v>375.684714352902</v>
      </c>
    </row>
    <row r="2252" customFormat="false" ht="17.15" hidden="false" customHeight="false" outlineLevel="0" collapsed="false">
      <c r="A2252" s="4" t="s">
        <v>473</v>
      </c>
      <c r="B2252" s="0" t="s">
        <v>76</v>
      </c>
      <c r="C2252" s="21" t="n">
        <f aca="false">C2251/C2245</f>
        <v>0.264182166386732</v>
      </c>
      <c r="D2252" s="21" t="n">
        <f aca="false">D2251/D2245</f>
        <v>0.421101639775745</v>
      </c>
      <c r="E2252" s="21" t="n">
        <f aca="false">E2251/E2245</f>
        <v>0.380303489127861</v>
      </c>
      <c r="F2252" s="21" t="n">
        <f aca="false">F2251/F2245</f>
        <v>0.3</v>
      </c>
      <c r="G2252" s="21" t="n">
        <f aca="false">G2251/G2245</f>
        <v>0.3</v>
      </c>
    </row>
    <row r="2253" customFormat="false" ht="17.15" hidden="false" customHeight="false" outlineLevel="0" collapsed="false">
      <c r="A2253" s="4" t="s">
        <v>573</v>
      </c>
      <c r="B2253" s="0" t="s">
        <v>234</v>
      </c>
      <c r="C2253" s="30" t="n">
        <f aca="false">a25_da</f>
        <v>75.255</v>
      </c>
      <c r="D2253" s="30" t="n">
        <f aca="false">a26_da</f>
        <v>97.124</v>
      </c>
      <c r="E2253" s="30" t="n">
        <f aca="false">D2253*(1-1/life)+D2251/life</f>
        <v>130.83975</v>
      </c>
      <c r="F2253" s="30" t="n">
        <f aca="false">E2253*(1-1/life)+E2251/life</f>
        <v>166.48478125</v>
      </c>
      <c r="G2253" s="30" t="n">
        <f aca="false">F2253*(1-1/life)+F2251/life</f>
        <v>188.14728695993</v>
      </c>
      <c r="K2253" s="4" t="s">
        <v>574</v>
      </c>
    </row>
    <row r="2254" customFormat="false" ht="17.15" hidden="false" customHeight="false" outlineLevel="0" collapsed="false">
      <c r="A2254" s="4" t="s">
        <v>575</v>
      </c>
      <c r="B2254" s="0" t="s">
        <v>234</v>
      </c>
      <c r="C2254" s="30" t="n">
        <f aca="false">a25_agp</f>
        <v>91.38</v>
      </c>
      <c r="D2254" s="30" t="n">
        <f aca="false">a26_agp</f>
        <v>164.623388</v>
      </c>
      <c r="E2254" s="30" t="n">
        <f aca="false">$D2254+ft*(E2242-$D2242)-(E2253-$D2253)</f>
        <v>226.929987611095</v>
      </c>
      <c r="F2254" s="30" t="n">
        <f aca="false">$D2254+ft*(F2242-$D2242)-(F2253-$D2253)</f>
        <v>210.731782501703</v>
      </c>
      <c r="G2254" s="30" t="n">
        <f aca="false">$D2254+ft*(G2242-$D2242)-(G2253-$D2253)</f>
        <v>249.119789315443</v>
      </c>
      <c r="K2254" s="4" t="s">
        <v>576</v>
      </c>
    </row>
    <row r="2255" customFormat="false" ht="15" hidden="false" customHeight="false" outlineLevel="0" collapsed="false">
      <c r="A2255" s="4" t="s">
        <v>447</v>
      </c>
      <c r="B2255" s="0" t="s">
        <v>76</v>
      </c>
      <c r="C2255" s="14" t="n">
        <f aca="false">C2254/C2242</f>
        <v>0.234772421305764</v>
      </c>
      <c r="D2255" s="14" t="n">
        <f aca="false">D2254/D2242</f>
        <v>0.294112034690999</v>
      </c>
      <c r="E2255" s="14" t="n">
        <f aca="false">E2254/E2242</f>
        <v>0.301858957842147</v>
      </c>
      <c r="F2255" s="14" t="n">
        <f aca="false">F2254/F2242</f>
        <v>0.26652354150296</v>
      </c>
      <c r="G2255" s="14" t="n">
        <f aca="false">G2254/G2242</f>
        <v>0.273526691854273</v>
      </c>
    </row>
    <row r="2256" customFormat="false" ht="17.15" hidden="false" customHeight="false" outlineLevel="0" collapsed="false">
      <c r="A2256" s="0" t="s">
        <v>449</v>
      </c>
      <c r="B2256" s="0" t="s">
        <v>234</v>
      </c>
      <c r="C2256" s="30" t="n">
        <f aca="false">a25_egp</f>
        <v>23.695</v>
      </c>
      <c r="D2256" s="30" t="n">
        <f aca="false">a26_egp</f>
        <v>27.00552</v>
      </c>
      <c r="E2256" s="30" t="n">
        <f aca="false">E2243*ems_gm</f>
        <v>29.415287</v>
      </c>
      <c r="F2256" s="30" t="n">
        <f aca="false">F2243*ems_gm</f>
        <v>29.415287</v>
      </c>
      <c r="G2256" s="30" t="n">
        <f aca="false">G2243*ems_gm</f>
        <v>29.415287</v>
      </c>
    </row>
    <row r="2257" customFormat="false" ht="15" hidden="false" customHeight="false" outlineLevel="0" collapsed="false">
      <c r="A2257" s="4" t="s">
        <v>577</v>
      </c>
      <c r="B2257" s="0" t="s">
        <v>234</v>
      </c>
      <c r="C2257" s="30" t="n">
        <f aca="false">a25_lgp</f>
        <v>-0.881999999999998</v>
      </c>
      <c r="D2257" s="30" t="n">
        <f aca="false">a26_lgp</f>
        <v>-0.948662139013863</v>
      </c>
      <c r="E2257" s="30" t="n">
        <f aca="false">$D2257/$D2244*E2244</f>
        <v>-1.19116794604716</v>
      </c>
      <c r="F2257" s="30" t="n">
        <f aca="false">$D2257/$D2244*F2244</f>
        <v>-1.23336807932278</v>
      </c>
      <c r="G2257" s="30" t="n">
        <f aca="false">$D2257/$D2244*G2244</f>
        <v>-1.36367929892462</v>
      </c>
    </row>
    <row r="2258" customFormat="false" ht="15" hidden="false" customHeight="false" outlineLevel="0" collapsed="false">
      <c r="A2258" s="4" t="s">
        <v>451</v>
      </c>
      <c r="B2258" s="0" t="s">
        <v>234</v>
      </c>
      <c r="C2258" s="30" t="n">
        <f aca="false">C2254+C2256+C2257</f>
        <v>114.193</v>
      </c>
      <c r="D2258" s="30" t="n">
        <f aca="false">D2254+D2256+D2257</f>
        <v>190.680245860986</v>
      </c>
      <c r="E2258" s="30" t="n">
        <f aca="false">E2254+E2256+E2257</f>
        <v>255.154106665048</v>
      </c>
      <c r="F2258" s="30" t="n">
        <f aca="false">F2254+F2256+F2257</f>
        <v>238.913701422381</v>
      </c>
      <c r="G2258" s="30" t="n">
        <f aca="false">G2254+G2256+G2257</f>
        <v>277.171397016518</v>
      </c>
    </row>
    <row r="2259" customFormat="false" ht="15" hidden="false" customHeight="false" outlineLevel="0" collapsed="false">
      <c r="A2259" s="4" t="s">
        <v>452</v>
      </c>
      <c r="B2259" s="0" t="s">
        <v>76</v>
      </c>
      <c r="C2259" s="14" t="n">
        <f aca="false">C2258/C2245</f>
        <v>0.176936974347214</v>
      </c>
      <c r="D2259" s="14" t="n">
        <f aca="false">D2258/D2245</f>
        <v>0.218879008327391</v>
      </c>
      <c r="E2259" s="14" t="n">
        <f aca="false">E2258/E2245</f>
        <v>0.233259608245241</v>
      </c>
      <c r="F2259" s="14" t="n">
        <f aca="false">F2258/F2245</f>
        <v>0.210939702853765</v>
      </c>
      <c r="G2259" s="14" t="n">
        <f aca="false">G2258/G2245</f>
        <v>0.221332984622969</v>
      </c>
    </row>
    <row r="2260" customFormat="false" ht="15" hidden="false" customHeight="false" outlineLevel="0" collapsed="false">
      <c r="A2260" s="4" t="s">
        <v>578</v>
      </c>
      <c r="B2260" s="0" t="s">
        <v>234</v>
      </c>
      <c r="C2260" s="30" t="n">
        <f aca="false">a25_opx</f>
        <v>63.437</v>
      </c>
      <c r="D2260" s="30" t="n">
        <f aca="false">a26_opx</f>
        <v>79.658</v>
      </c>
      <c r="E2260" s="30" t="n">
        <f aca="false">D2260*(1+phi*E2246)</f>
        <v>91.8757496806646</v>
      </c>
      <c r="F2260" s="30" t="n">
        <f aca="false">E2260*(1+phi*F2246)</f>
        <v>93.8287079822309</v>
      </c>
      <c r="G2260" s="30" t="n">
        <f aca="false">F2260*(1+phi*G2246)</f>
        <v>99.7767782667531</v>
      </c>
    </row>
    <row r="2261" customFormat="false" ht="15" hidden="false" customHeight="false" outlineLevel="0" collapsed="false">
      <c r="A2261" s="4" t="s">
        <v>455</v>
      </c>
      <c r="B2261" s="0" t="s">
        <v>234</v>
      </c>
      <c r="C2261" s="30" t="n">
        <f aca="false">C2258-C2260</f>
        <v>50.756</v>
      </c>
      <c r="D2261" s="30" t="n">
        <f aca="false">D2258-D2260</f>
        <v>111.022245860986</v>
      </c>
      <c r="E2261" s="30" t="n">
        <f aca="false">E2258-E2260</f>
        <v>163.278356984383</v>
      </c>
      <c r="F2261" s="30" t="n">
        <f aca="false">F2258-F2260</f>
        <v>145.08499344015</v>
      </c>
      <c r="G2261" s="30" t="n">
        <f aca="false">G2258-G2260</f>
        <v>177.394618749765</v>
      </c>
    </row>
    <row r="2262" customFormat="false" ht="15" hidden="false" customHeight="false" outlineLevel="0" collapsed="false">
      <c r="A2262" s="4" t="s">
        <v>537</v>
      </c>
      <c r="B2262" s="0" t="s">
        <v>76</v>
      </c>
      <c r="C2262" s="14" t="n">
        <f aca="false">C2261/C2245</f>
        <v>0.0786441644406156</v>
      </c>
      <c r="D2262" s="14" t="n">
        <f aca="false">D2261/D2245</f>
        <v>0.127440779020437</v>
      </c>
      <c r="E2262" s="14" t="n">
        <f aca="false">E2261/E2245</f>
        <v>0.149267617452465</v>
      </c>
      <c r="F2262" s="14" t="n">
        <f aca="false">F2261/F2245</f>
        <v>0.128097238553513</v>
      </c>
      <c r="G2262" s="14" t="n">
        <f aca="false">G2261/G2245</f>
        <v>0.141657042705598</v>
      </c>
    </row>
    <row r="2263" customFormat="false" ht="15" hidden="false" customHeight="false" outlineLevel="0" collapsed="false">
      <c r="A2263" s="4" t="s">
        <v>456</v>
      </c>
      <c r="B2263" s="0" t="s">
        <v>234</v>
      </c>
      <c r="C2263" s="30" t="n">
        <f aca="false">a25_nonop</f>
        <v>0.545</v>
      </c>
      <c r="D2263" s="30" t="n">
        <f aca="false">a26_nonop</f>
        <v>4.302</v>
      </c>
      <c r="E2263" s="30" t="n">
        <f aca="false">nonop_f</f>
        <v>-5</v>
      </c>
      <c r="F2263" s="30" t="n">
        <f aca="false">nonop_f</f>
        <v>-5</v>
      </c>
      <c r="G2263" s="30" t="n">
        <f aca="false">nonop_f</f>
        <v>-5</v>
      </c>
    </row>
    <row r="2264" customFormat="false" ht="15" hidden="false" customHeight="false" outlineLevel="0" collapsed="false">
      <c r="A2264" s="4" t="s">
        <v>459</v>
      </c>
      <c r="B2264" s="0" t="s">
        <v>234</v>
      </c>
      <c r="C2264" s="30" t="n">
        <f aca="false">C2261+C2263</f>
        <v>51.301</v>
      </c>
      <c r="D2264" s="30" t="n">
        <f aca="false">D2261+D2263</f>
        <v>115.324245860986</v>
      </c>
      <c r="E2264" s="30" t="n">
        <f aca="false">E2261+E2263</f>
        <v>158.278356984383</v>
      </c>
      <c r="F2264" s="30" t="n">
        <f aca="false">F2261+F2263</f>
        <v>140.08499344015</v>
      </c>
      <c r="G2264" s="30" t="n">
        <f aca="false">G2261+G2263</f>
        <v>172.394618749765</v>
      </c>
    </row>
    <row r="2265" customFormat="false" ht="15" hidden="false" customHeight="false" outlineLevel="0" collapsed="false">
      <c r="A2265" s="4" t="s">
        <v>460</v>
      </c>
      <c r="B2265" s="0" t="s">
        <v>234</v>
      </c>
      <c r="C2265" s="30" t="n">
        <f aca="false">a25_tax</f>
        <v>9.461</v>
      </c>
      <c r="D2265" s="30" t="n">
        <f aca="false">a26_tax</f>
        <v>19.2197317963676</v>
      </c>
      <c r="E2265" s="30" t="n">
        <f aca="false">E2264*tax</f>
        <v>26.9073206873452</v>
      </c>
      <c r="F2265" s="30" t="n">
        <f aca="false">F2264*tax</f>
        <v>23.8144488848254</v>
      </c>
      <c r="G2265" s="30" t="n">
        <f aca="false">G2264*tax</f>
        <v>29.30708518746</v>
      </c>
    </row>
    <row r="2266" customFormat="false" ht="15" hidden="false" customHeight="false" outlineLevel="0" collapsed="false">
      <c r="A2266" s="4" t="s">
        <v>461</v>
      </c>
      <c r="B2266" s="0" t="s">
        <v>234</v>
      </c>
      <c r="C2266" s="30" t="n">
        <f aca="false">a25_nci</f>
        <v>1.182</v>
      </c>
      <c r="D2266" s="30" t="n">
        <f aca="false">a26_nci</f>
        <v>2.543</v>
      </c>
      <c r="E2266" s="30" t="n">
        <f aca="false">nci</f>
        <v>3</v>
      </c>
      <c r="F2266" s="30" t="n">
        <f aca="false">nci</f>
        <v>3</v>
      </c>
      <c r="G2266" s="30" t="n">
        <f aca="false">nci</f>
        <v>3</v>
      </c>
    </row>
    <row r="2267" customFormat="false" ht="15" hidden="false" customHeight="false" outlineLevel="0" collapsed="false">
      <c r="A2267" s="4" t="s">
        <v>462</v>
      </c>
      <c r="B2267" s="0" t="s">
        <v>234</v>
      </c>
      <c r="C2267" s="30" t="n">
        <f aca="false">C2264-C2265-C2266</f>
        <v>40.658</v>
      </c>
      <c r="D2267" s="30" t="n">
        <f aca="false">D2264-D2265-D2266</f>
        <v>93.5615140646185</v>
      </c>
      <c r="E2267" s="30" t="n">
        <f aca="false">E2264-E2265-E2266</f>
        <v>128.371036297038</v>
      </c>
      <c r="F2267" s="30" t="n">
        <f aca="false">F2264-F2265-F2266</f>
        <v>113.270544555324</v>
      </c>
      <c r="G2267" s="30" t="n">
        <f aca="false">G2264-G2265-G2266</f>
        <v>140.087533562305</v>
      </c>
      <c r="H2267" s="31" t="n">
        <f aca="false">H2245*H2271</f>
        <v>145.669616049099</v>
      </c>
      <c r="I2267" s="31" t="n">
        <f aca="false">I2245*I2271</f>
        <v>148.150560688945</v>
      </c>
      <c r="J2267" s="31" t="n">
        <f aca="false">J2245*J2271</f>
        <v>147.281422446753</v>
      </c>
    </row>
    <row r="2268" customFormat="false" ht="15" hidden="false" customHeight="false" outlineLevel="0" collapsed="false">
      <c r="A2268" s="4" t="s">
        <v>579</v>
      </c>
      <c r="B2268" s="4" t="s">
        <v>580</v>
      </c>
      <c r="C2268" s="18" t="n">
        <f aca="false">a25_sh</f>
        <v>4339.16755602988</v>
      </c>
      <c r="D2268" s="18" t="n">
        <f aca="false">a26_sh</f>
        <v>4392.90105184664</v>
      </c>
      <c r="E2268" s="18" t="n">
        <f aca="false">D2268*(1+sh_g)</f>
        <v>4414.86555710588</v>
      </c>
      <c r="F2268" s="18" t="n">
        <f aca="false">E2268*(1+sh_g)</f>
        <v>4436.9398848914</v>
      </c>
      <c r="G2268" s="18" t="n">
        <f aca="false">F2268*(1+sh_g)</f>
        <v>4459.12458431586</v>
      </c>
      <c r="H2268" s="25" t="n">
        <f aca="false">G2268*(1+sh_g)</f>
        <v>4481.42020723744</v>
      </c>
      <c r="I2268" s="25" t="n">
        <f aca="false">H2268*(1+sh_g)</f>
        <v>4503.82730827363</v>
      </c>
      <c r="J2268" s="25" t="n">
        <f aca="false">I2268*(1+sh_g)</f>
        <v>4526.34644481499</v>
      </c>
    </row>
    <row r="2269" customFormat="false" ht="17.15" hidden="false" customHeight="false" outlineLevel="0" collapsed="false">
      <c r="A2269" s="0" t="s">
        <v>465</v>
      </c>
      <c r="B2269" s="0" t="s">
        <v>304</v>
      </c>
      <c r="C2269" s="19" t="n">
        <f aca="false">a25_eps</f>
        <v>9.37</v>
      </c>
      <c r="D2269" s="19" t="n">
        <f aca="false">a26_eps</f>
        <v>21.2828697294455</v>
      </c>
      <c r="E2269" s="19" t="n">
        <f aca="false">E2267/E2268*1000</f>
        <v>29.0769978466096</v>
      </c>
      <c r="F2269" s="19" t="n">
        <f aca="false">F2267/F2268*1000</f>
        <v>25.5289788669509</v>
      </c>
      <c r="G2269" s="19" t="n">
        <f aca="false">G2267/G2268*1000</f>
        <v>31.4159272551022</v>
      </c>
      <c r="H2269" s="28" t="n">
        <f aca="false">H2267/H2268*1000</f>
        <v>32.5052347945066</v>
      </c>
      <c r="I2269" s="28" t="n">
        <f aca="false">I2267/I2268*1000</f>
        <v>32.8943697323361</v>
      </c>
      <c r="J2269" s="28" t="n">
        <f aca="false">J2267/J2268*1000</f>
        <v>32.5386985380818</v>
      </c>
    </row>
    <row r="2270" customFormat="false" ht="17.15" hidden="false" customHeight="false" outlineLevel="0" collapsed="false">
      <c r="A2270" s="0" t="s">
        <v>581</v>
      </c>
      <c r="B2270" s="0" t="s">
        <v>76</v>
      </c>
      <c r="D2270" s="21" t="n">
        <f aca="false">D2269/C2269-1</f>
        <v>1.27138417603474</v>
      </c>
      <c r="E2270" s="21" t="n">
        <f aca="false">E2269/D2269-1</f>
        <v>0.366216032717646</v>
      </c>
      <c r="F2270" s="21" t="n">
        <f aca="false">F2269/E2269-1</f>
        <v>-0.122021502989256</v>
      </c>
      <c r="G2270" s="21" t="n">
        <f aca="false">G2269/F2269-1</f>
        <v>0.230598662752326</v>
      </c>
      <c r="H2270" s="26" t="n">
        <f aca="false">H2269/G2269-1</f>
        <v>0.0346737350949113</v>
      </c>
      <c r="I2270" s="26" t="n">
        <f aca="false">I2269/H2269-1</f>
        <v>0.0119714544530931</v>
      </c>
      <c r="J2270" s="26" t="n">
        <f aca="false">J2269/I2269-1</f>
        <v>-0.0108125249745918</v>
      </c>
    </row>
    <row r="2271" customFormat="false" ht="17.15" hidden="false" customHeight="false" outlineLevel="0" collapsed="false">
      <c r="A2271" s="4" t="s">
        <v>582</v>
      </c>
      <c r="B2271" s="0" t="s">
        <v>76</v>
      </c>
      <c r="C2271" s="14" t="n">
        <f aca="false">C2267/C2245</f>
        <v>0.0629977625862272</v>
      </c>
      <c r="D2271" s="14" t="n">
        <f aca="false">D2267/D2245</f>
        <v>0.107397865592237</v>
      </c>
      <c r="E2271" s="14" t="n">
        <f aca="false">E2267/E2245</f>
        <v>0.117355656266161</v>
      </c>
      <c r="F2271" s="14" t="n">
        <f aca="false">F2267/F2245</f>
        <v>0.100007889327129</v>
      </c>
      <c r="G2271" s="14" t="n">
        <f aca="false">G2267/G2245</f>
        <v>0.111865770586593</v>
      </c>
      <c r="H2271" s="27" t="n">
        <f aca="false">$G2271+(fade_mB-$G2271)*1/3</f>
        <v>0.10733210374848</v>
      </c>
      <c r="I2271" s="27" t="n">
        <f aca="false">$G2271+(fade_mB-$G2271)*2/3</f>
        <v>0.102798436910367</v>
      </c>
      <c r="J2271" s="27" t="n">
        <f aca="false">$G2271+(fade_mB-$G2271)*3/3</f>
        <v>0.0982647700722541</v>
      </c>
    </row>
    <row r="2272" customFormat="false" ht="17.15" hidden="false" customHeight="false" outlineLevel="0" collapsed="false">
      <c r="A2272" s="4" t="s">
        <v>583</v>
      </c>
      <c r="B2272" s="0" t="s">
        <v>234</v>
      </c>
      <c r="C2272" s="30" t="n">
        <f aca="false">C2267+C2253-C2251</f>
        <v>-54.587</v>
      </c>
      <c r="D2272" s="30" t="n">
        <f aca="false">D2267+D2253-D2251</f>
        <v>-176.164485935382</v>
      </c>
      <c r="E2272" s="30" t="n">
        <f aca="false">E2267+E2253-E2251</f>
        <v>-156.789213702962</v>
      </c>
      <c r="F2272" s="30" t="n">
        <f aca="false">F2267+F2253-F2251</f>
        <v>-60.0295011241171</v>
      </c>
      <c r="G2272" s="30" t="n">
        <f aca="false">G2267+G2253-G2251</f>
        <v>-47.4498938306675</v>
      </c>
      <c r="K2272" s="4" t="s">
        <v>584</v>
      </c>
    </row>
    <row r="2273" customFormat="false" ht="17.15" hidden="false" customHeight="false" outlineLevel="0" collapsed="false">
      <c r="A2273" s="4" t="s">
        <v>585</v>
      </c>
      <c r="B2273" s="0" t="s">
        <v>76</v>
      </c>
      <c r="D2273" s="21" t="n">
        <f aca="false">(D2261-$C2261)/SUM($D2251:D2251)</f>
        <v>0.164280348537512</v>
      </c>
      <c r="E2273" s="21" t="n">
        <f aca="false">(E2261-$C2261)/SUM($D2251:E2251)</f>
        <v>0.143734249197654</v>
      </c>
      <c r="F2273" s="21" t="n">
        <f aca="false">(F2261-$C2261)/SUM($D2251:F2251)</f>
        <v>0.0840246455725521</v>
      </c>
      <c r="G2273" s="21" t="n">
        <f aca="false">(G2261-$C2261)/SUM($D2251:G2251)</f>
        <v>0.0845204345672356</v>
      </c>
      <c r="K2273" s="4" t="s">
        <v>586</v>
      </c>
    </row>
    <row r="2276" customFormat="false" ht="17.15" hidden="false" customHeight="false" outlineLevel="0" collapsed="false">
      <c r="A2276" s="1" t="s">
        <v>960</v>
      </c>
    </row>
    <row r="2277" customFormat="false" ht="17.15" hidden="false" customHeight="false" outlineLevel="0" collapsed="false">
      <c r="A2277" s="5" t="s">
        <v>21</v>
      </c>
      <c r="B2277" s="5" t="s">
        <v>22</v>
      </c>
      <c r="C2277" s="15" t="s">
        <v>424</v>
      </c>
      <c r="D2277" s="15" t="s">
        <v>524</v>
      </c>
      <c r="E2277" s="15" t="s">
        <v>525</v>
      </c>
      <c r="F2277" s="15" t="s">
        <v>526</v>
      </c>
      <c r="G2277" s="15" t="s">
        <v>527</v>
      </c>
      <c r="H2277" s="15" t="s">
        <v>528</v>
      </c>
      <c r="I2277" s="15" t="s">
        <v>529</v>
      </c>
      <c r="J2277" s="15" t="s">
        <v>530</v>
      </c>
      <c r="K2277" s="5" t="s">
        <v>382</v>
      </c>
    </row>
    <row r="2278" customFormat="false" ht="17.15" hidden="false" customHeight="false" outlineLevel="0" collapsed="false">
      <c r="A2278" s="6" t="s">
        <v>548</v>
      </c>
    </row>
    <row r="2279" customFormat="false" ht="17.15" hidden="false" customHeight="false" outlineLevel="0" collapsed="false">
      <c r="A2279" s="0" t="s">
        <v>549</v>
      </c>
      <c r="B2279" s="4" t="s">
        <v>32</v>
      </c>
      <c r="D2279" s="19" t="n">
        <f aca="false">units_26</f>
        <v>15.2</v>
      </c>
      <c r="E2279" s="19" t="n">
        <f aca="false">units_27*1</f>
        <v>23.7</v>
      </c>
      <c r="F2279" s="19" t="n">
        <f aca="false">units_28*um28_C*1</f>
        <v>15.9</v>
      </c>
      <c r="G2279" s="19" t="n">
        <f aca="false">units_29*um29_C*1</f>
        <v>18.09</v>
      </c>
    </row>
    <row r="2280" customFormat="false" ht="17.15" hidden="false" customHeight="false" outlineLevel="0" collapsed="false">
      <c r="A2280" s="4" t="s">
        <v>497</v>
      </c>
      <c r="B2280" s="0" t="s">
        <v>45</v>
      </c>
      <c r="D2280" s="22" t="n">
        <f aca="false">ar_26</f>
        <v>1</v>
      </c>
      <c r="E2280" s="22" t="n">
        <f aca="false">ar_27</f>
        <v>1.278156</v>
      </c>
      <c r="F2280" s="22" t="n">
        <f aca="false">ar_28</f>
        <v>1.428615</v>
      </c>
      <c r="G2280" s="22" t="n">
        <f aca="false">ar_29</f>
        <v>1.431796</v>
      </c>
    </row>
    <row r="2281" customFormat="false" ht="17.15" hidden="false" customHeight="false" outlineLevel="0" collapsed="false">
      <c r="A2281" s="4" t="s">
        <v>550</v>
      </c>
      <c r="B2281" s="0" t="s">
        <v>45</v>
      </c>
      <c r="D2281" s="19" t="n">
        <f aca="false">1</f>
        <v>1</v>
      </c>
      <c r="E2281" s="19" t="n">
        <f aca="false">rel27_C</f>
        <v>1</v>
      </c>
      <c r="F2281" s="19" t="n">
        <f aca="false">rel28_C</f>
        <v>0.95</v>
      </c>
      <c r="G2281" s="19" t="n">
        <f aca="false">rel29_C</f>
        <v>0.92</v>
      </c>
    </row>
    <row r="2282" customFormat="false" ht="17.15" hidden="false" customHeight="false" outlineLevel="0" collapsed="false">
      <c r="A2282" s="4" t="s">
        <v>551</v>
      </c>
      <c r="B2282" s="0" t="s">
        <v>502</v>
      </c>
      <c r="D2282" s="23" t="n">
        <f aca="false">D2283*1000/D2279</f>
        <v>236.842105263158</v>
      </c>
      <c r="E2282" s="23" t="n">
        <f aca="false">$D2282*E2280^el</f>
        <v>267.763172119488</v>
      </c>
      <c r="F2282" s="23" t="n">
        <f aca="false">$D2282*F2280^el</f>
        <v>283.084777049615</v>
      </c>
      <c r="G2282" s="23" t="n">
        <f aca="false">$D2282*G2280^el</f>
        <v>283.399764630809</v>
      </c>
      <c r="K2282" s="8" t="s">
        <v>552</v>
      </c>
    </row>
    <row r="2283" customFormat="false" ht="17.15" hidden="false" customHeight="false" outlineLevel="0" collapsed="false">
      <c r="A2283" s="0" t="s">
        <v>553</v>
      </c>
      <c r="B2283" s="0" t="s">
        <v>120</v>
      </c>
      <c r="D2283" s="22" t="n">
        <f aca="false">leap26-D2284-D2285</f>
        <v>3.6</v>
      </c>
      <c r="E2283" s="22" t="n">
        <f aca="false">E2279*E2281*E2282/1000</f>
        <v>6.34598717923185</v>
      </c>
      <c r="F2283" s="22" t="n">
        <f aca="false">F2279*F2281*F2282/1000</f>
        <v>4.27599555733443</v>
      </c>
      <c r="G2283" s="22" t="n">
        <f aca="false">G2279*G2281*G2282/1000</f>
        <v>4.71656560279762</v>
      </c>
      <c r="K2283" s="8" t="s">
        <v>554</v>
      </c>
    </row>
    <row r="2284" customFormat="false" ht="17.15" hidden="false" customHeight="false" outlineLevel="0" collapsed="false">
      <c r="A2284" s="4" t="s">
        <v>555</v>
      </c>
      <c r="B2284" s="0" t="s">
        <v>120</v>
      </c>
      <c r="D2284" s="22" t="n">
        <f aca="false">fp26</f>
        <v>0.3</v>
      </c>
      <c r="E2284" s="22" t="n">
        <f aca="false">fp27_C</f>
        <v>0.7</v>
      </c>
      <c r="F2284" s="22" t="n">
        <f aca="false">E2284*F2279/E2279*(1+fp_g)</f>
        <v>0.610506329113924</v>
      </c>
      <c r="G2284" s="22" t="n">
        <f aca="false">F2284*G2279/F2279*(1+fp_g)</f>
        <v>0.902973417721519</v>
      </c>
    </row>
    <row r="2285" customFormat="false" ht="17.15" hidden="false" customHeight="false" outlineLevel="0" collapsed="false">
      <c r="A2285" s="0" t="s">
        <v>556</v>
      </c>
      <c r="B2285" s="0" t="s">
        <v>120</v>
      </c>
      <c r="D2285" s="22" t="n">
        <f aca="false">cpo27*cpo_C_26/cpo_A_27</f>
        <v>0.1</v>
      </c>
      <c r="E2285" s="22" t="n">
        <f aca="false">cpo27*cpo_C_27/cpo_A_27</f>
        <v>0.2</v>
      </c>
      <c r="F2285" s="22" t="n">
        <f aca="false">cpo27*cpo_C_28/cpo_A_27*F2279/E2279</f>
        <v>0.20126582278481</v>
      </c>
      <c r="G2285" s="22" t="n">
        <f aca="false">cpo27*cpo_C_29/cpo_A_27*G2279/E2279</f>
        <v>0.381645569620253</v>
      </c>
      <c r="K2285" s="8" t="s">
        <v>557</v>
      </c>
    </row>
    <row r="2286" customFormat="false" ht="17.15" hidden="false" customHeight="false" outlineLevel="0" collapsed="false">
      <c r="A2286" s="0" t="s">
        <v>510</v>
      </c>
      <c r="B2286" s="0" t="s">
        <v>120</v>
      </c>
      <c r="C2286" s="22" t="n">
        <f aca="false">leap25</f>
        <v>1.6</v>
      </c>
      <c r="D2286" s="22" t="n">
        <f aca="false">D2283+D2284+D2285</f>
        <v>4</v>
      </c>
      <c r="E2286" s="22" t="n">
        <f aca="false">E2283+E2284+E2285</f>
        <v>7.24598717923186</v>
      </c>
      <c r="F2286" s="22" t="n">
        <f aca="false">F2283+F2284+F2285</f>
        <v>5.08776770923316</v>
      </c>
      <c r="G2286" s="22" t="n">
        <f aca="false">G2283+G2284+G2285</f>
        <v>6.0011845901394</v>
      </c>
    </row>
    <row r="2287" customFormat="false" ht="17.15" hidden="false" customHeight="false" outlineLevel="0" collapsed="false">
      <c r="A2287" s="4" t="s">
        <v>558</v>
      </c>
      <c r="B2287" s="0" t="s">
        <v>114</v>
      </c>
      <c r="C2287" s="19" t="n">
        <f aca="false">fx25</f>
        <v>31</v>
      </c>
      <c r="D2287" s="19" t="n">
        <f aca="false">a26_leap/D2286</f>
        <v>31.9</v>
      </c>
      <c r="E2287" s="19" t="n">
        <f aca="false">fx</f>
        <v>32</v>
      </c>
      <c r="F2287" s="19" t="n">
        <f aca="false">fx</f>
        <v>32</v>
      </c>
      <c r="G2287" s="19" t="n">
        <f aca="false">fx</f>
        <v>32</v>
      </c>
      <c r="K2287" s="8" t="s">
        <v>559</v>
      </c>
    </row>
    <row r="2288" customFormat="false" ht="17.15" hidden="false" customHeight="false" outlineLevel="0" collapsed="false">
      <c r="A2288" s="6" t="s">
        <v>560</v>
      </c>
    </row>
    <row r="2289" customFormat="false" ht="17.15" hidden="false" customHeight="false" outlineLevel="0" collapsed="false">
      <c r="A2289" s="0" t="s">
        <v>438</v>
      </c>
      <c r="B2289" s="0" t="s">
        <v>234</v>
      </c>
      <c r="C2289" s="30" t="n">
        <f aca="false">a25_leap</f>
        <v>49.6</v>
      </c>
      <c r="D2289" s="30" t="n">
        <f aca="false">a26_leap</f>
        <v>127.6</v>
      </c>
      <c r="E2289" s="30" t="n">
        <f aca="false">E2286*E2287</f>
        <v>231.871589735419</v>
      </c>
      <c r="F2289" s="30" t="n">
        <f aca="false">F2286*F2287</f>
        <v>162.808566695461</v>
      </c>
      <c r="G2289" s="30" t="n">
        <f aca="false">G2286*G2287</f>
        <v>192.037906884461</v>
      </c>
    </row>
    <row r="2290" customFormat="false" ht="15" hidden="false" customHeight="false" outlineLevel="0" collapsed="false">
      <c r="A2290" s="4" t="s">
        <v>561</v>
      </c>
      <c r="B2290" s="0" t="s">
        <v>234</v>
      </c>
      <c r="C2290" s="30" t="n">
        <f aca="false">a25_ms</f>
        <v>339.628</v>
      </c>
      <c r="D2290" s="30" t="n">
        <f aca="false">a26_ms</f>
        <v>432.1302</v>
      </c>
      <c r="E2290" s="30" t="n">
        <f aca="false">D2290*(1+g_ms27)</f>
        <v>496.94973</v>
      </c>
      <c r="F2290" s="30" t="n">
        <f aca="false">E2290*(1+g_msL)</f>
        <v>531.7362111</v>
      </c>
      <c r="G2290" s="30" t="n">
        <f aca="false">F2290*(1+g_msL)</f>
        <v>568.957745877</v>
      </c>
    </row>
    <row r="2291" customFormat="false" ht="17.15" hidden="false" customHeight="false" outlineLevel="0" collapsed="false">
      <c r="A2291" s="4" t="s">
        <v>562</v>
      </c>
      <c r="B2291" s="0" t="s">
        <v>234</v>
      </c>
      <c r="C2291" s="30" t="n">
        <f aca="false">C2289+C2290</f>
        <v>389.228</v>
      </c>
      <c r="D2291" s="30" t="n">
        <f aca="false">D2289+D2290</f>
        <v>559.7302</v>
      </c>
      <c r="E2291" s="30" t="n">
        <f aca="false">E2289+E2290</f>
        <v>728.821319735419</v>
      </c>
      <c r="F2291" s="30" t="n">
        <f aca="false">F2289+F2290</f>
        <v>694.544777795461</v>
      </c>
      <c r="G2291" s="30" t="n">
        <f aca="false">G2289+G2290</f>
        <v>760.995652761461</v>
      </c>
    </row>
    <row r="2292" customFormat="false" ht="17.15" hidden="false" customHeight="false" outlineLevel="0" collapsed="false">
      <c r="A2292" s="0" t="s">
        <v>563</v>
      </c>
      <c r="B2292" s="0" t="s">
        <v>234</v>
      </c>
      <c r="C2292" s="30" t="n">
        <f aca="false">a25_ems</f>
        <v>259.079</v>
      </c>
      <c r="D2292" s="30" t="n">
        <f aca="false">a26_ems</f>
        <v>314.602</v>
      </c>
      <c r="E2292" s="30" t="n">
        <f aca="false">D2292*(1+g_ems27)</f>
        <v>346.0622</v>
      </c>
      <c r="F2292" s="30" t="n">
        <f aca="false">E2292*(1+g_emsL_lo)</f>
        <v>346.0622</v>
      </c>
      <c r="G2292" s="30" t="n">
        <f aca="false">F2292*(1+g_emsL_lo)</f>
        <v>346.0622</v>
      </c>
    </row>
    <row r="2293" customFormat="false" ht="17.15" hidden="false" customHeight="false" outlineLevel="0" collapsed="false">
      <c r="A2293" s="4" t="s">
        <v>564</v>
      </c>
      <c r="B2293" s="0" t="s">
        <v>234</v>
      </c>
      <c r="C2293" s="30" t="n">
        <f aca="false">a25_elim</f>
        <v>-2.91899999999998</v>
      </c>
      <c r="D2293" s="30" t="n">
        <f aca="false">a26_elim</f>
        <v>-3.16484905982349</v>
      </c>
      <c r="E2293" s="30" t="n">
        <f aca="false">$D2293/($D2291+$D2292)*(E2291+E2292)</f>
        <v>-3.89079127687897</v>
      </c>
      <c r="F2293" s="30" t="n">
        <f aca="false">$D2293/($D2291+$D2292)*(F2291+F2292)</f>
        <v>-3.76671934914638</v>
      </c>
      <c r="G2293" s="30" t="n">
        <f aca="false">$D2293/($D2291+$D2292)*(G2291+G2292)</f>
        <v>-4.00725376977117</v>
      </c>
      <c r="K2293" s="4" t="s">
        <v>565</v>
      </c>
    </row>
    <row r="2294" customFormat="false" ht="17.15" hidden="false" customHeight="false" outlineLevel="0" collapsed="false">
      <c r="A2294" s="4" t="s">
        <v>431</v>
      </c>
      <c r="B2294" s="0" t="s">
        <v>234</v>
      </c>
      <c r="C2294" s="30" t="n">
        <f aca="false">C2291+C2292+C2293</f>
        <v>645.388</v>
      </c>
      <c r="D2294" s="30" t="n">
        <f aca="false">D2291+D2292+D2293</f>
        <v>871.167350940177</v>
      </c>
      <c r="E2294" s="30" t="n">
        <f aca="false">E2291+E2292+E2293</f>
        <v>1070.99272845854</v>
      </c>
      <c r="F2294" s="30" t="n">
        <f aca="false">F2291+F2292+F2293</f>
        <v>1036.84025844632</v>
      </c>
      <c r="G2294" s="30" t="n">
        <f aca="false">G2291+G2292+G2293</f>
        <v>1103.05059899169</v>
      </c>
      <c r="H2294" s="31" t="n">
        <f aca="false">G2294*(1+H2295)</f>
        <v>1157.36319458604</v>
      </c>
      <c r="I2294" s="31" t="n">
        <f aca="false">H2294*(1+I2295)</f>
        <v>1197.43026065033</v>
      </c>
      <c r="J2294" s="31" t="n">
        <f aca="false">I2294*(1+J2295)</f>
        <v>1221.37886586333</v>
      </c>
      <c r="K2294" s="8" t="s">
        <v>566</v>
      </c>
    </row>
    <row r="2295" customFormat="false" ht="15" hidden="false" customHeight="false" outlineLevel="0" collapsed="false">
      <c r="A2295" s="4" t="s">
        <v>567</v>
      </c>
      <c r="B2295" s="0" t="s">
        <v>76</v>
      </c>
      <c r="D2295" s="21" t="n">
        <f aca="false">D2294/C2294-1</f>
        <v>0.349835061916516</v>
      </c>
      <c r="E2295" s="21" t="n">
        <f aca="false">E2294/D2294-1</f>
        <v>0.229376568466104</v>
      </c>
      <c r="F2295" s="21" t="n">
        <f aca="false">F2294/E2294-1</f>
        <v>-0.0318886105430245</v>
      </c>
      <c r="G2295" s="21" t="n">
        <f aca="false">G2294/F2294-1</f>
        <v>0.063857802593998</v>
      </c>
      <c r="H2295" s="26" t="n">
        <f aca="false">$G2295+(fade_gC-$G2295)*1/3</f>
        <v>0.0492385350626653</v>
      </c>
      <c r="I2295" s="26" t="n">
        <f aca="false">$G2295+(fade_gC-$G2295)*2/3</f>
        <v>0.0346192675313327</v>
      </c>
      <c r="J2295" s="26" t="n">
        <f aca="false">$G2295+(fade_gC-$G2295)*3/3</f>
        <v>0.02</v>
      </c>
    </row>
    <row r="2296" customFormat="false" ht="17.15" hidden="false" customHeight="false" outlineLevel="0" collapsed="false">
      <c r="A2296" s="0" t="s">
        <v>475</v>
      </c>
      <c r="B2296" s="0" t="s">
        <v>76</v>
      </c>
      <c r="C2296" s="21" t="n">
        <f aca="false">C2289/C2291</f>
        <v>0.127431736668482</v>
      </c>
      <c r="D2296" s="21" t="n">
        <f aca="false">D2289/D2291</f>
        <v>0.227966974088588</v>
      </c>
      <c r="E2296" s="21" t="n">
        <f aca="false">E2289/E2291</f>
        <v>0.31814600294568</v>
      </c>
      <c r="F2296" s="21" t="n">
        <f aca="false">F2289/F2291</f>
        <v>0.234410468411019</v>
      </c>
      <c r="G2296" s="21" t="n">
        <f aca="false">G2289/G2291</f>
        <v>0.252350859282315</v>
      </c>
    </row>
    <row r="2297" customFormat="false" ht="15" hidden="false" customHeight="false" outlineLevel="0" collapsed="false">
      <c r="A2297" s="4" t="s">
        <v>568</v>
      </c>
      <c r="B2297" s="0" t="s">
        <v>76</v>
      </c>
      <c r="D2297" s="21" t="n">
        <f aca="false">D2291/C2291-1</f>
        <v>0.438052247012034</v>
      </c>
      <c r="E2297" s="21" t="n">
        <f aca="false">E2291/D2291-1</f>
        <v>0.302093972659362</v>
      </c>
      <c r="F2297" s="21" t="n">
        <f aca="false">F2291/E2291-1</f>
        <v>-0.047030103280186</v>
      </c>
      <c r="G2297" s="21" t="n">
        <f aca="false">G2291/F2291-1</f>
        <v>0.0956754367614998</v>
      </c>
    </row>
    <row r="2298" customFormat="false" ht="17.15" hidden="false" customHeight="false" outlineLevel="0" collapsed="false">
      <c r="A2298" s="6" t="s">
        <v>569</v>
      </c>
    </row>
    <row r="2299" customFormat="false" ht="17.15" hidden="false" customHeight="false" outlineLevel="0" collapsed="false">
      <c r="A2299" s="4" t="s">
        <v>570</v>
      </c>
      <c r="B2299" s="0" t="s">
        <v>120</v>
      </c>
      <c r="C2299" s="19" t="n">
        <f aca="false">capex25</f>
        <v>5.5</v>
      </c>
      <c r="D2299" s="19" t="n">
        <f aca="false">capex26</f>
        <v>11.5</v>
      </c>
      <c r="E2299" s="19" t="n">
        <f aca="false">capex27</f>
        <v>13</v>
      </c>
      <c r="F2299" s="19" t="n">
        <f aca="false">capi*F2294/F2287</f>
        <v>9.7203774229342</v>
      </c>
      <c r="G2299" s="19" t="n">
        <f aca="false">capi*G2294/G2287</f>
        <v>10.3410993655471</v>
      </c>
      <c r="K2299" s="8" t="s">
        <v>571</v>
      </c>
    </row>
    <row r="2300" customFormat="false" ht="15" hidden="false" customHeight="false" outlineLevel="0" collapsed="false">
      <c r="A2300" s="4" t="s">
        <v>572</v>
      </c>
      <c r="B2300" s="0" t="s">
        <v>234</v>
      </c>
      <c r="C2300" s="30" t="n">
        <f aca="false">C2299*C2287</f>
        <v>170.5</v>
      </c>
      <c r="D2300" s="30" t="n">
        <f aca="false">D2299*31.9</f>
        <v>366.85</v>
      </c>
      <c r="E2300" s="30" t="n">
        <f aca="false">E2299*E2287</f>
        <v>416</v>
      </c>
      <c r="F2300" s="30" t="n">
        <f aca="false">F2299*F2287</f>
        <v>311.052077533895</v>
      </c>
      <c r="G2300" s="30" t="n">
        <f aca="false">G2299*G2287</f>
        <v>330.915179697507</v>
      </c>
    </row>
    <row r="2301" customFormat="false" ht="17.15" hidden="false" customHeight="false" outlineLevel="0" collapsed="false">
      <c r="A2301" s="4" t="s">
        <v>473</v>
      </c>
      <c r="B2301" s="0" t="s">
        <v>76</v>
      </c>
      <c r="C2301" s="21" t="n">
        <f aca="false">C2300/C2294</f>
        <v>0.264182166386732</v>
      </c>
      <c r="D2301" s="21" t="n">
        <f aca="false">D2300/D2294</f>
        <v>0.421101639775745</v>
      </c>
      <c r="E2301" s="21" t="n">
        <f aca="false">E2300/E2294</f>
        <v>0.388424672685445</v>
      </c>
      <c r="F2301" s="21" t="n">
        <f aca="false">F2300/F2294</f>
        <v>0.3</v>
      </c>
      <c r="G2301" s="21" t="n">
        <f aca="false">G2300/G2294</f>
        <v>0.3</v>
      </c>
    </row>
    <row r="2302" customFormat="false" ht="17.15" hidden="false" customHeight="false" outlineLevel="0" collapsed="false">
      <c r="A2302" s="4" t="s">
        <v>573</v>
      </c>
      <c r="B2302" s="0" t="s">
        <v>234</v>
      </c>
      <c r="C2302" s="30" t="n">
        <f aca="false">a25_da</f>
        <v>75.255</v>
      </c>
      <c r="D2302" s="30" t="n">
        <f aca="false">a26_da</f>
        <v>97.124</v>
      </c>
      <c r="E2302" s="30" t="n">
        <f aca="false">D2302*(1-1/life)+D2300/life</f>
        <v>130.83975</v>
      </c>
      <c r="F2302" s="30" t="n">
        <f aca="false">E2302*(1-1/life)+E2300/life</f>
        <v>166.48478125</v>
      </c>
      <c r="G2302" s="30" t="n">
        <f aca="false">F2302*(1-1/life)+F2300/life</f>
        <v>184.555693285487</v>
      </c>
      <c r="K2302" s="4" t="s">
        <v>574</v>
      </c>
    </row>
    <row r="2303" customFormat="false" ht="17.15" hidden="false" customHeight="false" outlineLevel="0" collapsed="false">
      <c r="A2303" s="4" t="s">
        <v>575</v>
      </c>
      <c r="B2303" s="0" t="s">
        <v>234</v>
      </c>
      <c r="C2303" s="30" t="n">
        <f aca="false">a25_agp</f>
        <v>91.38</v>
      </c>
      <c r="D2303" s="30" t="n">
        <f aca="false">a26_agp</f>
        <v>164.623388</v>
      </c>
      <c r="E2303" s="30" t="n">
        <f aca="false">$D2303+ft*(E2291-$D2291)-(E2302-$D2302)</f>
        <v>215.45319786771</v>
      </c>
      <c r="F2303" s="30" t="n">
        <f aca="false">$D2303+ft*(F2291-$D2291)-(F2302-$D2302)</f>
        <v>162.669895647731</v>
      </c>
      <c r="G2303" s="30" t="n">
        <f aca="false">$D2303+ft*(G2291-$D2291)-(G2302-$D2302)</f>
        <v>177.824421095244</v>
      </c>
      <c r="K2303" s="4" t="s">
        <v>576</v>
      </c>
    </row>
    <row r="2304" customFormat="false" ht="15" hidden="false" customHeight="false" outlineLevel="0" collapsed="false">
      <c r="A2304" s="4" t="s">
        <v>447</v>
      </c>
      <c r="B2304" s="0" t="s">
        <v>76</v>
      </c>
      <c r="C2304" s="14" t="n">
        <f aca="false">C2303/C2291</f>
        <v>0.234772421305764</v>
      </c>
      <c r="D2304" s="14" t="n">
        <f aca="false">D2303/D2291</f>
        <v>0.294112034690999</v>
      </c>
      <c r="E2304" s="14" t="n">
        <f aca="false">E2303/E2291</f>
        <v>0.295618681882035</v>
      </c>
      <c r="F2304" s="14" t="n">
        <f aca="false">F2303/F2291</f>
        <v>0.234210810948802</v>
      </c>
      <c r="G2304" s="14" t="n">
        <f aca="false">G2303/G2291</f>
        <v>0.233673373100048</v>
      </c>
    </row>
    <row r="2305" customFormat="false" ht="17.15" hidden="false" customHeight="false" outlineLevel="0" collapsed="false">
      <c r="A2305" s="0" t="s">
        <v>449</v>
      </c>
      <c r="B2305" s="0" t="s">
        <v>234</v>
      </c>
      <c r="C2305" s="30" t="n">
        <f aca="false">a25_egp</f>
        <v>23.695</v>
      </c>
      <c r="D2305" s="30" t="n">
        <f aca="false">a26_egp</f>
        <v>27.00552</v>
      </c>
      <c r="E2305" s="30" t="n">
        <f aca="false">E2292*ems_gm</f>
        <v>29.415287</v>
      </c>
      <c r="F2305" s="30" t="n">
        <f aca="false">F2292*ems_gm</f>
        <v>29.415287</v>
      </c>
      <c r="G2305" s="30" t="n">
        <f aca="false">G2292*ems_gm</f>
        <v>29.415287</v>
      </c>
    </row>
    <row r="2306" customFormat="false" ht="15" hidden="false" customHeight="false" outlineLevel="0" collapsed="false">
      <c r="A2306" s="4" t="s">
        <v>577</v>
      </c>
      <c r="B2306" s="0" t="s">
        <v>234</v>
      </c>
      <c r="C2306" s="30" t="n">
        <f aca="false">a25_lgp</f>
        <v>-0.881999999999998</v>
      </c>
      <c r="D2306" s="30" t="n">
        <f aca="false">a26_lgp</f>
        <v>-0.948662139013863</v>
      </c>
      <c r="E2306" s="30" t="n">
        <f aca="false">$D2306/$D2293*E2293</f>
        <v>-1.16626300509458</v>
      </c>
      <c r="F2306" s="30" t="n">
        <f aca="false">$D2306/$D2293*F2293</f>
        <v>-1.12907249833438</v>
      </c>
      <c r="G2306" s="30" t="n">
        <f aca="false">$D2306/$D2293*G2293</f>
        <v>-1.20117258704733</v>
      </c>
    </row>
    <row r="2307" customFormat="false" ht="15" hidden="false" customHeight="false" outlineLevel="0" collapsed="false">
      <c r="A2307" s="4" t="s">
        <v>451</v>
      </c>
      <c r="B2307" s="0" t="s">
        <v>234</v>
      </c>
      <c r="C2307" s="30" t="n">
        <f aca="false">C2303+C2305+C2306</f>
        <v>114.193</v>
      </c>
      <c r="D2307" s="30" t="n">
        <f aca="false">D2303+D2305+D2306</f>
        <v>190.680245860986</v>
      </c>
      <c r="E2307" s="30" t="n">
        <f aca="false">E2303+E2305+E2306</f>
        <v>243.702221862615</v>
      </c>
      <c r="F2307" s="30" t="n">
        <f aca="false">F2303+F2305+F2306</f>
        <v>190.956110149396</v>
      </c>
      <c r="G2307" s="30" t="n">
        <f aca="false">G2303+G2305+G2306</f>
        <v>206.038535508196</v>
      </c>
    </row>
    <row r="2308" customFormat="false" ht="15" hidden="false" customHeight="false" outlineLevel="0" collapsed="false">
      <c r="A2308" s="4" t="s">
        <v>452</v>
      </c>
      <c r="B2308" s="0" t="s">
        <v>76</v>
      </c>
      <c r="C2308" s="14" t="n">
        <f aca="false">C2307/C2294</f>
        <v>0.176936974347214</v>
      </c>
      <c r="D2308" s="14" t="n">
        <f aca="false">D2307/D2294</f>
        <v>0.218879008327391</v>
      </c>
      <c r="E2308" s="14" t="n">
        <f aca="false">E2307/E2294</f>
        <v>0.227547970576207</v>
      </c>
      <c r="F2308" s="14" t="n">
        <f aca="false">F2307/F2294</f>
        <v>0.18417119570139</v>
      </c>
      <c r="G2308" s="14" t="n">
        <f aca="false">G2307/G2294</f>
        <v>0.186789740830147</v>
      </c>
    </row>
    <row r="2309" customFormat="false" ht="15" hidden="false" customHeight="false" outlineLevel="0" collapsed="false">
      <c r="A2309" s="4" t="s">
        <v>578</v>
      </c>
      <c r="B2309" s="0" t="s">
        <v>234</v>
      </c>
      <c r="C2309" s="30" t="n">
        <f aca="false">a25_opx</f>
        <v>63.437</v>
      </c>
      <c r="D2309" s="30" t="n">
        <f aca="false">a26_opx</f>
        <v>79.658</v>
      </c>
      <c r="E2309" s="30" t="n">
        <f aca="false">D2309*(1+phi*E2295)</f>
        <v>90.6210072145237</v>
      </c>
      <c r="F2309" s="30" t="n">
        <f aca="false">E2309*(1+phi*F2295)</f>
        <v>88.8871404108754</v>
      </c>
      <c r="G2309" s="30" t="n">
        <f aca="false">F2309*(1+phi*G2295)</f>
        <v>92.292822890177</v>
      </c>
    </row>
    <row r="2310" customFormat="false" ht="15" hidden="false" customHeight="false" outlineLevel="0" collapsed="false">
      <c r="A2310" s="4" t="s">
        <v>455</v>
      </c>
      <c r="B2310" s="0" t="s">
        <v>234</v>
      </c>
      <c r="C2310" s="30" t="n">
        <f aca="false">C2307-C2309</f>
        <v>50.756</v>
      </c>
      <c r="D2310" s="30" t="n">
        <f aca="false">D2307-D2309</f>
        <v>111.022245860986</v>
      </c>
      <c r="E2310" s="30" t="n">
        <f aca="false">E2307-E2309</f>
        <v>153.081214648091</v>
      </c>
      <c r="F2310" s="30" t="n">
        <f aca="false">F2307-F2309</f>
        <v>102.068969738521</v>
      </c>
      <c r="G2310" s="30" t="n">
        <f aca="false">G2307-G2309</f>
        <v>113.745712618019</v>
      </c>
    </row>
    <row r="2311" customFormat="false" ht="15" hidden="false" customHeight="false" outlineLevel="0" collapsed="false">
      <c r="A2311" s="4" t="s">
        <v>537</v>
      </c>
      <c r="B2311" s="0" t="s">
        <v>76</v>
      </c>
      <c r="C2311" s="14" t="n">
        <f aca="false">C2310/C2294</f>
        <v>0.0786441644406156</v>
      </c>
      <c r="D2311" s="14" t="n">
        <f aca="false">D2310/D2294</f>
        <v>0.127440779020437</v>
      </c>
      <c r="E2311" s="14" t="n">
        <f aca="false">E2310/E2294</f>
        <v>0.142933943975902</v>
      </c>
      <c r="F2311" s="14" t="n">
        <f aca="false">F2310/F2294</f>
        <v>0.0984423288997952</v>
      </c>
      <c r="G2311" s="14" t="n">
        <f aca="false">G2310/G2294</f>
        <v>0.103119215675143</v>
      </c>
    </row>
    <row r="2312" customFormat="false" ht="15" hidden="false" customHeight="false" outlineLevel="0" collapsed="false">
      <c r="A2312" s="4" t="s">
        <v>456</v>
      </c>
      <c r="B2312" s="0" t="s">
        <v>234</v>
      </c>
      <c r="C2312" s="30" t="n">
        <f aca="false">a25_nonop</f>
        <v>0.545</v>
      </c>
      <c r="D2312" s="30" t="n">
        <f aca="false">a26_nonop</f>
        <v>4.302</v>
      </c>
      <c r="E2312" s="30" t="n">
        <f aca="false">nonop_f</f>
        <v>-5</v>
      </c>
      <c r="F2312" s="30" t="n">
        <f aca="false">nonop_f</f>
        <v>-5</v>
      </c>
      <c r="G2312" s="30" t="n">
        <f aca="false">nonop_f</f>
        <v>-5</v>
      </c>
    </row>
    <row r="2313" customFormat="false" ht="15" hidden="false" customHeight="false" outlineLevel="0" collapsed="false">
      <c r="A2313" s="4" t="s">
        <v>459</v>
      </c>
      <c r="B2313" s="0" t="s">
        <v>234</v>
      </c>
      <c r="C2313" s="30" t="n">
        <f aca="false">C2310+C2312</f>
        <v>51.301</v>
      </c>
      <c r="D2313" s="30" t="n">
        <f aca="false">D2310+D2312</f>
        <v>115.324245860986</v>
      </c>
      <c r="E2313" s="30" t="n">
        <f aca="false">E2310+E2312</f>
        <v>148.081214648091</v>
      </c>
      <c r="F2313" s="30" t="n">
        <f aca="false">F2310+F2312</f>
        <v>97.0689697385208</v>
      </c>
      <c r="G2313" s="30" t="n">
        <f aca="false">G2310+G2312</f>
        <v>108.745712618019</v>
      </c>
    </row>
    <row r="2314" customFormat="false" ht="15" hidden="false" customHeight="false" outlineLevel="0" collapsed="false">
      <c r="A2314" s="4" t="s">
        <v>460</v>
      </c>
      <c r="B2314" s="0" t="s">
        <v>234</v>
      </c>
      <c r="C2314" s="30" t="n">
        <f aca="false">a25_tax</f>
        <v>9.461</v>
      </c>
      <c r="D2314" s="30" t="n">
        <f aca="false">a26_tax</f>
        <v>19.2197317963676</v>
      </c>
      <c r="E2314" s="30" t="n">
        <f aca="false">E2313*tax</f>
        <v>25.1738064901755</v>
      </c>
      <c r="F2314" s="30" t="n">
        <f aca="false">F2313*tax</f>
        <v>16.5017248555485</v>
      </c>
      <c r="G2314" s="30" t="n">
        <f aca="false">G2313*tax</f>
        <v>18.4867711450633</v>
      </c>
    </row>
    <row r="2315" customFormat="false" ht="15" hidden="false" customHeight="false" outlineLevel="0" collapsed="false">
      <c r="A2315" s="4" t="s">
        <v>461</v>
      </c>
      <c r="B2315" s="0" t="s">
        <v>234</v>
      </c>
      <c r="C2315" s="30" t="n">
        <f aca="false">a25_nci</f>
        <v>1.182</v>
      </c>
      <c r="D2315" s="30" t="n">
        <f aca="false">a26_nci</f>
        <v>2.543</v>
      </c>
      <c r="E2315" s="30" t="n">
        <f aca="false">nci</f>
        <v>3</v>
      </c>
      <c r="F2315" s="30" t="n">
        <f aca="false">nci</f>
        <v>3</v>
      </c>
      <c r="G2315" s="30" t="n">
        <f aca="false">nci</f>
        <v>3</v>
      </c>
    </row>
    <row r="2316" customFormat="false" ht="15" hidden="false" customHeight="false" outlineLevel="0" collapsed="false">
      <c r="A2316" s="4" t="s">
        <v>462</v>
      </c>
      <c r="B2316" s="0" t="s">
        <v>234</v>
      </c>
      <c r="C2316" s="30" t="n">
        <f aca="false">C2313-C2314-C2315</f>
        <v>40.658</v>
      </c>
      <c r="D2316" s="30" t="n">
        <f aca="false">D2313-D2314-D2315</f>
        <v>93.5615140646185</v>
      </c>
      <c r="E2316" s="30" t="n">
        <f aca="false">E2313-E2314-E2315</f>
        <v>119.907408157916</v>
      </c>
      <c r="F2316" s="30" t="n">
        <f aca="false">F2313-F2314-F2315</f>
        <v>77.5672448829723</v>
      </c>
      <c r="G2316" s="30" t="n">
        <f aca="false">G2313-G2314-G2315</f>
        <v>87.2589414729559</v>
      </c>
      <c r="H2316" s="31" t="n">
        <f aca="false">H2294*H2320</f>
        <v>84.8180981942196</v>
      </c>
      <c r="I2316" s="31" t="n">
        <f aca="false">I2294*I2320</f>
        <v>80.7838509249125</v>
      </c>
      <c r="J2316" s="31" t="n">
        <f aca="false">J2294*J2320</f>
        <v>75.2895284871752</v>
      </c>
    </row>
    <row r="2317" customFormat="false" ht="15" hidden="false" customHeight="false" outlineLevel="0" collapsed="false">
      <c r="A2317" s="4" t="s">
        <v>579</v>
      </c>
      <c r="B2317" s="4" t="s">
        <v>580</v>
      </c>
      <c r="C2317" s="18" t="n">
        <f aca="false">a25_sh</f>
        <v>4339.16755602988</v>
      </c>
      <c r="D2317" s="18" t="n">
        <f aca="false">a26_sh</f>
        <v>4392.90105184664</v>
      </c>
      <c r="E2317" s="18" t="n">
        <f aca="false">D2317*(1+sh_g)</f>
        <v>4414.86555710588</v>
      </c>
      <c r="F2317" s="18" t="n">
        <f aca="false">E2317*(1+sh_g)</f>
        <v>4436.9398848914</v>
      </c>
      <c r="G2317" s="18" t="n">
        <f aca="false">F2317*(1+sh_g)</f>
        <v>4459.12458431586</v>
      </c>
      <c r="H2317" s="25" t="n">
        <f aca="false">G2317*(1+sh_g)</f>
        <v>4481.42020723744</v>
      </c>
      <c r="I2317" s="25" t="n">
        <f aca="false">H2317*(1+sh_g)</f>
        <v>4503.82730827363</v>
      </c>
      <c r="J2317" s="25" t="n">
        <f aca="false">I2317*(1+sh_g)</f>
        <v>4526.34644481499</v>
      </c>
    </row>
    <row r="2318" customFormat="false" ht="17.15" hidden="false" customHeight="false" outlineLevel="0" collapsed="false">
      <c r="A2318" s="0" t="s">
        <v>465</v>
      </c>
      <c r="B2318" s="0" t="s">
        <v>304</v>
      </c>
      <c r="C2318" s="19" t="n">
        <f aca="false">a25_eps</f>
        <v>9.37</v>
      </c>
      <c r="D2318" s="19" t="n">
        <f aca="false">a26_eps</f>
        <v>21.2828697294455</v>
      </c>
      <c r="E2318" s="19" t="n">
        <f aca="false">E2316/E2317*1000</f>
        <v>27.159922902957</v>
      </c>
      <c r="F2318" s="19" t="n">
        <f aca="false">F2316/F2317*1000</f>
        <v>17.4821491603037</v>
      </c>
      <c r="G2318" s="19" t="n">
        <f aca="false">G2316/G2317*1000</f>
        <v>19.568626043747</v>
      </c>
      <c r="H2318" s="28" t="n">
        <f aca="false">H2316/H2317*1000</f>
        <v>18.9266112687311</v>
      </c>
      <c r="I2318" s="28" t="n">
        <f aca="false">I2316/I2317*1000</f>
        <v>17.9367114668253</v>
      </c>
      <c r="J2318" s="28" t="n">
        <f aca="false">J2316/J2317*1000</f>
        <v>16.6336203834818</v>
      </c>
    </row>
    <row r="2319" customFormat="false" ht="17.15" hidden="false" customHeight="false" outlineLevel="0" collapsed="false">
      <c r="A2319" s="0" t="s">
        <v>581</v>
      </c>
      <c r="B2319" s="0" t="s">
        <v>76</v>
      </c>
      <c r="D2319" s="21" t="n">
        <f aca="false">D2318/C2318-1</f>
        <v>1.27138417603474</v>
      </c>
      <c r="E2319" s="21" t="n">
        <f aca="false">E2318/D2318-1</f>
        <v>0.276140071720703</v>
      </c>
      <c r="F2319" s="21" t="n">
        <f aca="false">F2318/E2318-1</f>
        <v>-0.356325523354105</v>
      </c>
      <c r="G2319" s="21" t="n">
        <f aca="false">G2318/F2318-1</f>
        <v>0.119348992181181</v>
      </c>
      <c r="H2319" s="26" t="n">
        <f aca="false">H2318/G2318-1</f>
        <v>-0.0328083726256816</v>
      </c>
      <c r="I2319" s="26" t="n">
        <f aca="false">I2318/H2318-1</f>
        <v>-0.052302009474949</v>
      </c>
      <c r="J2319" s="26" t="n">
        <f aca="false">J2318/I2318-1</f>
        <v>-0.0726493864693975</v>
      </c>
    </row>
    <row r="2320" customFormat="false" ht="17.15" hidden="false" customHeight="false" outlineLevel="0" collapsed="false">
      <c r="A2320" s="4" t="s">
        <v>582</v>
      </c>
      <c r="B2320" s="0" t="s">
        <v>76</v>
      </c>
      <c r="C2320" s="14" t="n">
        <f aca="false">C2316/C2294</f>
        <v>0.0629977625862272</v>
      </c>
      <c r="D2320" s="14" t="n">
        <f aca="false">D2316/D2294</f>
        <v>0.107397865592237</v>
      </c>
      <c r="E2320" s="14" t="n">
        <f aca="false">E2316/E2294</f>
        <v>0.111959124438218</v>
      </c>
      <c r="F2320" s="14" t="n">
        <f aca="false">F2316/F2294</f>
        <v>0.074811181617509</v>
      </c>
      <c r="G2320" s="14" t="n">
        <f aca="false">G2316/G2294</f>
        <v>0.0791069254236572</v>
      </c>
      <c r="H2320" s="27" t="n">
        <f aca="false">$G2320+(fade_mC-$G2320)*1/3</f>
        <v>0.0732856363421486</v>
      </c>
      <c r="I2320" s="27" t="n">
        <f aca="false">$G2320+(fade_mC-$G2320)*2/3</f>
        <v>0.0674643472606401</v>
      </c>
      <c r="J2320" s="27" t="n">
        <f aca="false">$G2320+(fade_mC-$G2320)*3/3</f>
        <v>0.0616430581791315</v>
      </c>
    </row>
    <row r="2321" customFormat="false" ht="17.15" hidden="false" customHeight="false" outlineLevel="0" collapsed="false">
      <c r="A2321" s="4" t="s">
        <v>583</v>
      </c>
      <c r="B2321" s="0" t="s">
        <v>234</v>
      </c>
      <c r="C2321" s="30" t="n">
        <f aca="false">C2316+C2302-C2300</f>
        <v>-54.587</v>
      </c>
      <c r="D2321" s="30" t="n">
        <f aca="false">D2316+D2302-D2300</f>
        <v>-176.164485935382</v>
      </c>
      <c r="E2321" s="30" t="n">
        <f aca="false">E2316+E2302-E2300</f>
        <v>-165.252841842084</v>
      </c>
      <c r="F2321" s="30" t="n">
        <f aca="false">F2316+F2302-F2300</f>
        <v>-67.0000514009223</v>
      </c>
      <c r="G2321" s="30" t="n">
        <f aca="false">G2316+G2302-G2300</f>
        <v>-59.1005449390642</v>
      </c>
      <c r="K2321" s="4" t="s">
        <v>584</v>
      </c>
    </row>
    <row r="2322" customFormat="false" ht="17.15" hidden="false" customHeight="false" outlineLevel="0" collapsed="false">
      <c r="A2322" s="4" t="s">
        <v>585</v>
      </c>
      <c r="B2322" s="0" t="s">
        <v>76</v>
      </c>
      <c r="D2322" s="21" t="n">
        <f aca="false">(D2310-$C2310)/SUM($D2300:D2300)</f>
        <v>0.164280348537512</v>
      </c>
      <c r="E2322" s="21" t="n">
        <f aca="false">(E2310-$C2310)/SUM($D2300:E2300)</f>
        <v>0.130708583570405</v>
      </c>
      <c r="F2322" s="21" t="n">
        <f aca="false">(F2310-$C2310)/SUM($D2300:F2300)</f>
        <v>0.0469081929656824</v>
      </c>
      <c r="G2322" s="21" t="n">
        <f aca="false">(G2310-$C2310)/SUM($D2300:G2300)</f>
        <v>0.0442089764833535</v>
      </c>
      <c r="K2322" s="4" t="s">
        <v>586</v>
      </c>
    </row>
    <row r="2325" customFormat="false" ht="17.15" hidden="false" customHeight="false" outlineLevel="0" collapsed="false">
      <c r="A2325" s="1" t="s">
        <v>961</v>
      </c>
    </row>
    <row r="2326" customFormat="false" ht="17.15" hidden="false" customHeight="false" outlineLevel="0" collapsed="false">
      <c r="A2326" s="5" t="s">
        <v>21</v>
      </c>
      <c r="B2326" s="5" t="s">
        <v>22</v>
      </c>
      <c r="C2326" s="15" t="s">
        <v>424</v>
      </c>
      <c r="D2326" s="15" t="s">
        <v>524</v>
      </c>
      <c r="E2326" s="15" t="s">
        <v>525</v>
      </c>
      <c r="F2326" s="15" t="s">
        <v>526</v>
      </c>
      <c r="G2326" s="15" t="s">
        <v>527</v>
      </c>
      <c r="H2326" s="15" t="s">
        <v>528</v>
      </c>
      <c r="I2326" s="15" t="s">
        <v>529</v>
      </c>
      <c r="J2326" s="15" t="s">
        <v>530</v>
      </c>
      <c r="K2326" s="5" t="s">
        <v>382</v>
      </c>
    </row>
    <row r="2327" customFormat="false" ht="17.15" hidden="false" customHeight="false" outlineLevel="0" collapsed="false">
      <c r="A2327" s="6" t="s">
        <v>548</v>
      </c>
    </row>
    <row r="2328" customFormat="false" ht="17.15" hidden="false" customHeight="false" outlineLevel="0" collapsed="false">
      <c r="A2328" s="0" t="s">
        <v>549</v>
      </c>
      <c r="B2328" s="4" t="s">
        <v>32</v>
      </c>
      <c r="D2328" s="19" t="n">
        <f aca="false">units_26</f>
        <v>15.2</v>
      </c>
      <c r="E2328" s="19" t="n">
        <f aca="false">units_27*1</f>
        <v>23.7</v>
      </c>
      <c r="F2328" s="19" t="n">
        <f aca="false">units_28*um28_A*1</f>
        <v>26.5</v>
      </c>
      <c r="G2328" s="19" t="n">
        <f aca="false">units_29*um29_A*1</f>
        <v>30.15</v>
      </c>
    </row>
    <row r="2329" customFormat="false" ht="17.15" hidden="false" customHeight="false" outlineLevel="0" collapsed="false">
      <c r="A2329" s="4" t="s">
        <v>497</v>
      </c>
      <c r="B2329" s="0" t="s">
        <v>45</v>
      </c>
      <c r="D2329" s="22" t="n">
        <f aca="false">ar_26</f>
        <v>1</v>
      </c>
      <c r="E2329" s="22" t="n">
        <f aca="false">ar_27</f>
        <v>1.278156</v>
      </c>
      <c r="F2329" s="22" t="n">
        <f aca="false">ar_28</f>
        <v>1.428615</v>
      </c>
      <c r="G2329" s="22" t="n">
        <f aca="false">ar_29</f>
        <v>1.431796</v>
      </c>
    </row>
    <row r="2330" customFormat="false" ht="17.15" hidden="false" customHeight="false" outlineLevel="0" collapsed="false">
      <c r="A2330" s="4" t="s">
        <v>550</v>
      </c>
      <c r="B2330" s="0" t="s">
        <v>45</v>
      </c>
      <c r="D2330" s="19" t="n">
        <f aca="false">1</f>
        <v>1</v>
      </c>
      <c r="E2330" s="19" t="n">
        <f aca="false">rel27_A</f>
        <v>1.1</v>
      </c>
      <c r="F2330" s="19" t="n">
        <f aca="false">rel28_A</f>
        <v>1.15</v>
      </c>
      <c r="G2330" s="19" t="n">
        <f aca="false">rel29_A</f>
        <v>1.2</v>
      </c>
    </row>
    <row r="2331" customFormat="false" ht="17.15" hidden="false" customHeight="false" outlineLevel="0" collapsed="false">
      <c r="A2331" s="4" t="s">
        <v>551</v>
      </c>
      <c r="B2331" s="0" t="s">
        <v>502</v>
      </c>
      <c r="D2331" s="23" t="n">
        <f aca="false">D2332*1000/D2328</f>
        <v>236.842105263158</v>
      </c>
      <c r="E2331" s="23" t="n">
        <f aca="false">$D2331*E2329^el</f>
        <v>267.763172119488</v>
      </c>
      <c r="F2331" s="23" t="n">
        <f aca="false">$D2331*F2329^el</f>
        <v>283.084777049615</v>
      </c>
      <c r="G2331" s="23" t="n">
        <f aca="false">$D2331*G2329^el</f>
        <v>283.399764630809</v>
      </c>
      <c r="K2331" s="8" t="s">
        <v>552</v>
      </c>
    </row>
    <row r="2332" customFormat="false" ht="17.15" hidden="false" customHeight="false" outlineLevel="0" collapsed="false">
      <c r="A2332" s="0" t="s">
        <v>553</v>
      </c>
      <c r="B2332" s="0" t="s">
        <v>120</v>
      </c>
      <c r="D2332" s="22" t="n">
        <f aca="false">leap26-D2333-D2334</f>
        <v>3.6</v>
      </c>
      <c r="E2332" s="22" t="n">
        <f aca="false">E2328*E2330*E2331/1000</f>
        <v>6.98058589715504</v>
      </c>
      <c r="F2332" s="22" t="n">
        <f aca="false">F2328*F2330*F2331/1000</f>
        <v>8.627008580587</v>
      </c>
      <c r="G2332" s="22" t="n">
        <f aca="false">G2328*G2330*G2331/1000</f>
        <v>10.2534034843427</v>
      </c>
      <c r="K2332" s="8" t="s">
        <v>554</v>
      </c>
    </row>
    <row r="2333" customFormat="false" ht="17.15" hidden="false" customHeight="false" outlineLevel="0" collapsed="false">
      <c r="A2333" s="4" t="s">
        <v>555</v>
      </c>
      <c r="B2333" s="0" t="s">
        <v>120</v>
      </c>
      <c r="D2333" s="22" t="n">
        <f aca="false">fp26</f>
        <v>0.3</v>
      </c>
      <c r="E2333" s="22" t="n">
        <f aca="false">fp27_A</f>
        <v>1.2</v>
      </c>
      <c r="F2333" s="22" t="n">
        <f aca="false">E2333*F2328/E2328*(1+fp_g)</f>
        <v>1.74430379746835</v>
      </c>
      <c r="G2333" s="22" t="n">
        <f aca="false">F2333*G2328/F2328*(1+fp_g)</f>
        <v>2.57992405063291</v>
      </c>
    </row>
    <row r="2334" customFormat="false" ht="17.15" hidden="false" customHeight="false" outlineLevel="0" collapsed="false">
      <c r="A2334" s="0" t="s">
        <v>556</v>
      </c>
      <c r="B2334" s="0" t="s">
        <v>120</v>
      </c>
      <c r="D2334" s="22" t="n">
        <f aca="false">cpo27*cpo_A_26/cpo_A_27</f>
        <v>0.1</v>
      </c>
      <c r="E2334" s="22" t="n">
        <f aca="false">cpo27*cpo_A_27/cpo_A_27</f>
        <v>0.5</v>
      </c>
      <c r="F2334" s="22" t="n">
        <f aca="false">cpo27*cpo_A_28/cpo_A_27*F2328/E2328</f>
        <v>1.11814345991561</v>
      </c>
      <c r="G2334" s="22" t="n">
        <f aca="false">cpo27*cpo_A_29/cpo_A_27*G2328/E2328</f>
        <v>2.03544303797468</v>
      </c>
      <c r="K2334" s="8" t="s">
        <v>557</v>
      </c>
    </row>
    <row r="2335" customFormat="false" ht="17.15" hidden="false" customHeight="false" outlineLevel="0" collapsed="false">
      <c r="A2335" s="0" t="s">
        <v>510</v>
      </c>
      <c r="B2335" s="0" t="s">
        <v>120</v>
      </c>
      <c r="C2335" s="22" t="n">
        <f aca="false">leap25</f>
        <v>1.6</v>
      </c>
      <c r="D2335" s="22" t="n">
        <f aca="false">D2332+D2333+D2334</f>
        <v>4</v>
      </c>
      <c r="E2335" s="22" t="n">
        <f aca="false">E2332+E2333+E2334</f>
        <v>8.68058589715504</v>
      </c>
      <c r="F2335" s="22" t="n">
        <f aca="false">F2332+F2333+F2334</f>
        <v>11.489455837971</v>
      </c>
      <c r="G2335" s="22" t="n">
        <f aca="false">G2332+G2333+G2334</f>
        <v>14.8687705729503</v>
      </c>
    </row>
    <row r="2336" customFormat="false" ht="17.15" hidden="false" customHeight="false" outlineLevel="0" collapsed="false">
      <c r="A2336" s="4" t="s">
        <v>558</v>
      </c>
      <c r="B2336" s="0" t="s">
        <v>114</v>
      </c>
      <c r="C2336" s="19" t="n">
        <f aca="false">fx25</f>
        <v>31</v>
      </c>
      <c r="D2336" s="19" t="n">
        <f aca="false">a26_leap/D2335</f>
        <v>31.9</v>
      </c>
      <c r="E2336" s="19" t="n">
        <f aca="false">fx</f>
        <v>32</v>
      </c>
      <c r="F2336" s="19" t="n">
        <f aca="false">fx</f>
        <v>32</v>
      </c>
      <c r="G2336" s="19" t="n">
        <f aca="false">fx</f>
        <v>32</v>
      </c>
      <c r="K2336" s="8" t="s">
        <v>559</v>
      </c>
    </row>
    <row r="2337" customFormat="false" ht="17.15" hidden="false" customHeight="false" outlineLevel="0" collapsed="false">
      <c r="A2337" s="6" t="s">
        <v>560</v>
      </c>
    </row>
    <row r="2338" customFormat="false" ht="17.15" hidden="false" customHeight="false" outlineLevel="0" collapsed="false">
      <c r="A2338" s="0" t="s">
        <v>438</v>
      </c>
      <c r="B2338" s="0" t="s">
        <v>234</v>
      </c>
      <c r="C2338" s="30" t="n">
        <f aca="false">a25_leap</f>
        <v>49.6</v>
      </c>
      <c r="D2338" s="30" t="n">
        <f aca="false">a26_leap</f>
        <v>127.6</v>
      </c>
      <c r="E2338" s="30" t="n">
        <f aca="false">E2335*E2336</f>
        <v>277.778748708961</v>
      </c>
      <c r="F2338" s="30" t="n">
        <f aca="false">F2335*F2336</f>
        <v>367.662586815071</v>
      </c>
      <c r="G2338" s="30" t="n">
        <f aca="false">G2335*G2336</f>
        <v>475.800658334408</v>
      </c>
    </row>
    <row r="2339" customFormat="false" ht="15" hidden="false" customHeight="false" outlineLevel="0" collapsed="false">
      <c r="A2339" s="4" t="s">
        <v>561</v>
      </c>
      <c r="B2339" s="0" t="s">
        <v>234</v>
      </c>
      <c r="C2339" s="30" t="n">
        <f aca="false">a25_ms</f>
        <v>339.628</v>
      </c>
      <c r="D2339" s="30" t="n">
        <f aca="false">a26_ms</f>
        <v>432.1302</v>
      </c>
      <c r="E2339" s="30" t="n">
        <f aca="false">D2339*(1+g_ms27)</f>
        <v>496.94973</v>
      </c>
      <c r="F2339" s="30" t="n">
        <f aca="false">E2339*(1+g_msL)</f>
        <v>531.7362111</v>
      </c>
      <c r="G2339" s="30" t="n">
        <f aca="false">F2339*(1+g_msL)</f>
        <v>568.957745877</v>
      </c>
    </row>
    <row r="2340" customFormat="false" ht="17.15" hidden="false" customHeight="false" outlineLevel="0" collapsed="false">
      <c r="A2340" s="4" t="s">
        <v>562</v>
      </c>
      <c r="B2340" s="0" t="s">
        <v>234</v>
      </c>
      <c r="C2340" s="30" t="n">
        <f aca="false">C2338+C2339</f>
        <v>389.228</v>
      </c>
      <c r="D2340" s="30" t="n">
        <f aca="false">D2338+D2339</f>
        <v>559.7302</v>
      </c>
      <c r="E2340" s="30" t="n">
        <f aca="false">E2338+E2339</f>
        <v>774.728478708961</v>
      </c>
      <c r="F2340" s="30" t="n">
        <f aca="false">F2338+F2339</f>
        <v>899.398797915071</v>
      </c>
      <c r="G2340" s="30" t="n">
        <f aca="false">G2338+G2339</f>
        <v>1044.75840421141</v>
      </c>
    </row>
    <row r="2341" customFormat="false" ht="17.15" hidden="false" customHeight="false" outlineLevel="0" collapsed="false">
      <c r="A2341" s="0" t="s">
        <v>563</v>
      </c>
      <c r="B2341" s="0" t="s">
        <v>234</v>
      </c>
      <c r="C2341" s="30" t="n">
        <f aca="false">a25_ems</f>
        <v>259.079</v>
      </c>
      <c r="D2341" s="30" t="n">
        <f aca="false">a26_ems</f>
        <v>314.602</v>
      </c>
      <c r="E2341" s="30" t="n">
        <f aca="false">D2341*(1+g_ems27)</f>
        <v>346.0622</v>
      </c>
      <c r="F2341" s="30" t="n">
        <f aca="false">E2341*(1+g_emsL_hi)</f>
        <v>373.747176</v>
      </c>
      <c r="G2341" s="30" t="n">
        <f aca="false">F2341*(1+g_emsL_hi)</f>
        <v>403.64695008</v>
      </c>
    </row>
    <row r="2342" customFormat="false" ht="17.15" hidden="false" customHeight="false" outlineLevel="0" collapsed="false">
      <c r="A2342" s="4" t="s">
        <v>564</v>
      </c>
      <c r="B2342" s="0" t="s">
        <v>234</v>
      </c>
      <c r="C2342" s="30" t="n">
        <f aca="false">a25_elim</f>
        <v>-2.91899999999998</v>
      </c>
      <c r="D2342" s="30" t="n">
        <f aca="false">a26_elim</f>
        <v>-3.16484905982349</v>
      </c>
      <c r="E2342" s="30" t="n">
        <f aca="false">$D2342/($D2340+$D2341)*(E2340+E2341)</f>
        <v>-4.05696293213379</v>
      </c>
      <c r="F2342" s="30" t="n">
        <f aca="false">$D2342/($D2340+$D2341)*(F2340+F2341)</f>
        <v>-4.60844841190016</v>
      </c>
      <c r="G2342" s="30" t="n">
        <f aca="false">$D2342/($D2340+$D2341)*(G2340+G2341)</f>
        <v>-5.24284056308628</v>
      </c>
      <c r="K2342" s="4" t="s">
        <v>565</v>
      </c>
    </row>
    <row r="2343" customFormat="false" ht="17.15" hidden="false" customHeight="false" outlineLevel="0" collapsed="false">
      <c r="A2343" s="4" t="s">
        <v>431</v>
      </c>
      <c r="B2343" s="0" t="s">
        <v>234</v>
      </c>
      <c r="C2343" s="30" t="n">
        <f aca="false">C2340+C2341+C2342</f>
        <v>645.388</v>
      </c>
      <c r="D2343" s="30" t="n">
        <f aca="false">D2340+D2341+D2342</f>
        <v>871.167350940177</v>
      </c>
      <c r="E2343" s="30" t="n">
        <f aca="false">E2340+E2341+E2342</f>
        <v>1116.73371577683</v>
      </c>
      <c r="F2343" s="30" t="n">
        <f aca="false">F2340+F2341+F2342</f>
        <v>1268.53752550317</v>
      </c>
      <c r="G2343" s="30" t="n">
        <f aca="false">G2340+G2341+G2342</f>
        <v>1443.16251372832</v>
      </c>
      <c r="H2343" s="31" t="n">
        <f aca="false">G2343*(1+H2344)</f>
        <v>1604.46816684881</v>
      </c>
      <c r="I2343" s="31" t="n">
        <f aca="false">H2343*(1+I2344)</f>
        <v>1742.26979367635</v>
      </c>
      <c r="J2343" s="31" t="n">
        <f aca="false">I2343*(1+J2344)</f>
        <v>1846.80598129693</v>
      </c>
      <c r="K2343" s="8" t="s">
        <v>566</v>
      </c>
    </row>
    <row r="2344" customFormat="false" ht="15" hidden="false" customHeight="false" outlineLevel="0" collapsed="false">
      <c r="A2344" s="4" t="s">
        <v>567</v>
      </c>
      <c r="B2344" s="0" t="s">
        <v>76</v>
      </c>
      <c r="D2344" s="21" t="n">
        <f aca="false">D2343/C2343-1</f>
        <v>0.349835061916516</v>
      </c>
      <c r="E2344" s="21" t="n">
        <f aca="false">E2343/D2343-1</f>
        <v>0.281881965126026</v>
      </c>
      <c r="F2344" s="21" t="n">
        <f aca="false">F2343/E2343-1</f>
        <v>0.135935548091467</v>
      </c>
      <c r="G2344" s="21" t="n">
        <f aca="false">G2343/F2343-1</f>
        <v>0.137658512038014</v>
      </c>
      <c r="H2344" s="26" t="n">
        <f aca="false">$G2344+(fade_gA-$G2344)*1/3</f>
        <v>0.111772341358676</v>
      </c>
      <c r="I2344" s="26" t="n">
        <f aca="false">$G2344+(fade_gA-$G2344)*2/3</f>
        <v>0.0858861706793381</v>
      </c>
      <c r="J2344" s="26" t="n">
        <f aca="false">$G2344+(fade_gA-$G2344)*3/3</f>
        <v>0.06</v>
      </c>
    </row>
    <row r="2345" customFormat="false" ht="17.15" hidden="false" customHeight="false" outlineLevel="0" collapsed="false">
      <c r="A2345" s="0" t="s">
        <v>475</v>
      </c>
      <c r="B2345" s="0" t="s">
        <v>76</v>
      </c>
      <c r="C2345" s="21" t="n">
        <f aca="false">C2338/C2340</f>
        <v>0.127431736668482</v>
      </c>
      <c r="D2345" s="21" t="n">
        <f aca="false">D2338/D2340</f>
        <v>0.227966974088588</v>
      </c>
      <c r="E2345" s="21" t="n">
        <f aca="false">E2338/E2340</f>
        <v>0.35854980982739</v>
      </c>
      <c r="F2345" s="21" t="n">
        <f aca="false">F2338/F2340</f>
        <v>0.408787056050512</v>
      </c>
      <c r="G2345" s="21" t="n">
        <f aca="false">G2338/G2340</f>
        <v>0.455416923583923</v>
      </c>
    </row>
    <row r="2346" customFormat="false" ht="15" hidden="false" customHeight="false" outlineLevel="0" collapsed="false">
      <c r="A2346" s="4" t="s">
        <v>568</v>
      </c>
      <c r="B2346" s="0" t="s">
        <v>76</v>
      </c>
      <c r="D2346" s="21" t="n">
        <f aca="false">D2340/C2340-1</f>
        <v>0.438052247012034</v>
      </c>
      <c r="E2346" s="21" t="n">
        <f aca="false">E2340/D2340-1</f>
        <v>0.384110556673485</v>
      </c>
      <c r="F2346" s="21" t="n">
        <f aca="false">F2340/E2340-1</f>
        <v>0.160921306796241</v>
      </c>
      <c r="G2346" s="21" t="n">
        <f aca="false">G2340/F2340-1</f>
        <v>0.161618635285371</v>
      </c>
    </row>
    <row r="2347" customFormat="false" ht="17.15" hidden="false" customHeight="false" outlineLevel="0" collapsed="false">
      <c r="A2347" s="6" t="s">
        <v>569</v>
      </c>
    </row>
    <row r="2348" customFormat="false" ht="17.15" hidden="false" customHeight="false" outlineLevel="0" collapsed="false">
      <c r="A2348" s="4" t="s">
        <v>570</v>
      </c>
      <c r="B2348" s="0" t="s">
        <v>120</v>
      </c>
      <c r="C2348" s="19" t="n">
        <f aca="false">capex25</f>
        <v>5.5</v>
      </c>
      <c r="D2348" s="19" t="n">
        <f aca="false">capex26</f>
        <v>11.5</v>
      </c>
      <c r="E2348" s="19" t="n">
        <f aca="false">capex27</f>
        <v>13</v>
      </c>
      <c r="F2348" s="19" t="n">
        <f aca="false">capi*F2343/F2336</f>
        <v>11.8925393015922</v>
      </c>
      <c r="G2348" s="19" t="n">
        <f aca="false">capi*G2343/G2336</f>
        <v>13.529648566203</v>
      </c>
      <c r="K2348" s="8" t="s">
        <v>571</v>
      </c>
    </row>
    <row r="2349" customFormat="false" ht="15" hidden="false" customHeight="false" outlineLevel="0" collapsed="false">
      <c r="A2349" s="4" t="s">
        <v>572</v>
      </c>
      <c r="B2349" s="0" t="s">
        <v>234</v>
      </c>
      <c r="C2349" s="30" t="n">
        <f aca="false">C2348*C2336</f>
        <v>170.5</v>
      </c>
      <c r="D2349" s="30" t="n">
        <f aca="false">D2348*31.9</f>
        <v>366.85</v>
      </c>
      <c r="E2349" s="30" t="n">
        <f aca="false">E2348*E2336</f>
        <v>416</v>
      </c>
      <c r="F2349" s="30" t="n">
        <f aca="false">F2348*F2336</f>
        <v>380.561257650951</v>
      </c>
      <c r="G2349" s="30" t="n">
        <f aca="false">G2348*G2336</f>
        <v>432.948754118497</v>
      </c>
    </row>
    <row r="2350" customFormat="false" ht="17.15" hidden="false" customHeight="false" outlineLevel="0" collapsed="false">
      <c r="A2350" s="4" t="s">
        <v>473</v>
      </c>
      <c r="B2350" s="0" t="s">
        <v>76</v>
      </c>
      <c r="C2350" s="21" t="n">
        <f aca="false">C2349/C2343</f>
        <v>0.264182166386732</v>
      </c>
      <c r="D2350" s="21" t="n">
        <f aca="false">D2349/D2343</f>
        <v>0.421101639775745</v>
      </c>
      <c r="E2350" s="21" t="n">
        <f aca="false">E2349/E2343</f>
        <v>0.372514946153139</v>
      </c>
      <c r="F2350" s="21" t="n">
        <f aca="false">F2349/F2343</f>
        <v>0.3</v>
      </c>
      <c r="G2350" s="21" t="n">
        <f aca="false">G2349/G2343</f>
        <v>0.3</v>
      </c>
    </row>
    <row r="2351" customFormat="false" ht="17.15" hidden="false" customHeight="false" outlineLevel="0" collapsed="false">
      <c r="A2351" s="4" t="s">
        <v>573</v>
      </c>
      <c r="B2351" s="0" t="s">
        <v>234</v>
      </c>
      <c r="C2351" s="30" t="n">
        <f aca="false">a25_da</f>
        <v>75.255</v>
      </c>
      <c r="D2351" s="30" t="n">
        <f aca="false">a26_da</f>
        <v>97.124</v>
      </c>
      <c r="E2351" s="30" t="n">
        <f aca="false">D2351*(1-1/life)+D2349/life</f>
        <v>130.83975</v>
      </c>
      <c r="F2351" s="30" t="n">
        <f aca="false">E2351*(1-1/life)+E2349/life</f>
        <v>166.48478125</v>
      </c>
      <c r="G2351" s="30" t="n">
        <f aca="false">F2351*(1-1/life)+F2349/life</f>
        <v>193.244340800119</v>
      </c>
      <c r="K2351" s="4" t="s">
        <v>574</v>
      </c>
    </row>
    <row r="2352" customFormat="false" ht="17.15" hidden="false" customHeight="false" outlineLevel="0" collapsed="false">
      <c r="A2352" s="4" t="s">
        <v>575</v>
      </c>
      <c r="B2352" s="0" t="s">
        <v>234</v>
      </c>
      <c r="C2352" s="30" t="n">
        <f aca="false">a25_agp</f>
        <v>91.38</v>
      </c>
      <c r="D2352" s="30" t="n">
        <f aca="false">a26_agp</f>
        <v>164.623388</v>
      </c>
      <c r="E2352" s="30" t="n">
        <f aca="false">$D2352+ft*(E2340-$D2340)-(E2351-$D2351)</f>
        <v>238.406777354481</v>
      </c>
      <c r="F2352" s="30" t="n">
        <f aca="false">$D2352+ft*(F2340-$D2340)-(F2351-$D2351)</f>
        <v>265.096905707536</v>
      </c>
      <c r="G2352" s="30" t="n">
        <f aca="false">$D2352+ft*(G2340-$D2340)-(G2351-$D2351)</f>
        <v>311.017149305585</v>
      </c>
      <c r="K2352" s="4" t="s">
        <v>576</v>
      </c>
    </row>
    <row r="2353" customFormat="false" ht="15" hidden="false" customHeight="false" outlineLevel="0" collapsed="false">
      <c r="A2353" s="4" t="s">
        <v>447</v>
      </c>
      <c r="B2353" s="0" t="s">
        <v>76</v>
      </c>
      <c r="C2353" s="14" t="n">
        <f aca="false">C2352/C2340</f>
        <v>0.234772421305764</v>
      </c>
      <c r="D2353" s="14" t="n">
        <f aca="false">D2352/D2340</f>
        <v>0.294112034690999</v>
      </c>
      <c r="E2353" s="14" t="n">
        <f aca="false">E2352/E2340</f>
        <v>0.307729461232368</v>
      </c>
      <c r="F2353" s="14" t="n">
        <f aca="false">F2352/F2340</f>
        <v>0.294749010474626</v>
      </c>
      <c r="G2353" s="14" t="n">
        <f aca="false">G2352/G2340</f>
        <v>0.297692890578223</v>
      </c>
    </row>
    <row r="2354" customFormat="false" ht="17.15" hidden="false" customHeight="false" outlineLevel="0" collapsed="false">
      <c r="A2354" s="0" t="s">
        <v>449</v>
      </c>
      <c r="B2354" s="0" t="s">
        <v>234</v>
      </c>
      <c r="C2354" s="30" t="n">
        <f aca="false">a25_egp</f>
        <v>23.695</v>
      </c>
      <c r="D2354" s="30" t="n">
        <f aca="false">a26_egp</f>
        <v>27.00552</v>
      </c>
      <c r="E2354" s="30" t="n">
        <f aca="false">E2341*ems_gm</f>
        <v>29.415287</v>
      </c>
      <c r="F2354" s="30" t="n">
        <f aca="false">F2341*ems_gm</f>
        <v>31.76850996</v>
      </c>
      <c r="G2354" s="30" t="n">
        <f aca="false">G2341*ems_gm</f>
        <v>34.3099907568</v>
      </c>
    </row>
    <row r="2355" customFormat="false" ht="15" hidden="false" customHeight="false" outlineLevel="0" collapsed="false">
      <c r="A2355" s="4" t="s">
        <v>577</v>
      </c>
      <c r="B2355" s="0" t="s">
        <v>234</v>
      </c>
      <c r="C2355" s="30" t="n">
        <f aca="false">a25_lgp</f>
        <v>-0.881999999999998</v>
      </c>
      <c r="D2355" s="30" t="n">
        <f aca="false">a26_lgp</f>
        <v>-0.948662139013863</v>
      </c>
      <c r="E2355" s="30" t="n">
        <f aca="false">$D2355/$D2342*E2342</f>
        <v>-1.21607288699975</v>
      </c>
      <c r="F2355" s="30" t="n">
        <f aca="false">$D2355/$D2342*F2342</f>
        <v>-1.38138042141323</v>
      </c>
      <c r="G2355" s="30" t="n">
        <f aca="false">$D2355/$D2342*G2342</f>
        <v>-1.57153919478342</v>
      </c>
    </row>
    <row r="2356" customFormat="false" ht="15" hidden="false" customHeight="false" outlineLevel="0" collapsed="false">
      <c r="A2356" s="4" t="s">
        <v>451</v>
      </c>
      <c r="B2356" s="0" t="s">
        <v>234</v>
      </c>
      <c r="C2356" s="30" t="n">
        <f aca="false">C2352+C2354+C2355</f>
        <v>114.193</v>
      </c>
      <c r="D2356" s="30" t="n">
        <f aca="false">D2352+D2354+D2355</f>
        <v>190.680245860986</v>
      </c>
      <c r="E2356" s="30" t="n">
        <f aca="false">E2352+E2354+E2355</f>
        <v>266.605991467481</v>
      </c>
      <c r="F2356" s="30" t="n">
        <f aca="false">F2352+F2354+F2355</f>
        <v>295.484035246122</v>
      </c>
      <c r="G2356" s="30" t="n">
        <f aca="false">G2352+G2354+G2355</f>
        <v>343.755600867602</v>
      </c>
    </row>
    <row r="2357" customFormat="false" ht="15" hidden="false" customHeight="false" outlineLevel="0" collapsed="false">
      <c r="A2357" s="4" t="s">
        <v>452</v>
      </c>
      <c r="B2357" s="0" t="s">
        <v>76</v>
      </c>
      <c r="C2357" s="14" t="n">
        <f aca="false">C2356/C2343</f>
        <v>0.176936974347214</v>
      </c>
      <c r="D2357" s="14" t="n">
        <f aca="false">D2356/D2343</f>
        <v>0.218879008327391</v>
      </c>
      <c r="E2357" s="14" t="n">
        <f aca="false">E2356/E2343</f>
        <v>0.238737299412531</v>
      </c>
      <c r="F2357" s="14" t="n">
        <f aca="false">F2356/F2343</f>
        <v>0.23293282958178</v>
      </c>
      <c r="G2357" s="14" t="n">
        <f aca="false">G2356/G2343</f>
        <v>0.238196043479213</v>
      </c>
    </row>
    <row r="2358" customFormat="false" ht="15" hidden="false" customHeight="false" outlineLevel="0" collapsed="false">
      <c r="A2358" s="4" t="s">
        <v>578</v>
      </c>
      <c r="B2358" s="0" t="s">
        <v>234</v>
      </c>
      <c r="C2358" s="30" t="n">
        <f aca="false">a25_opx</f>
        <v>63.437</v>
      </c>
      <c r="D2358" s="30" t="n">
        <f aca="false">a26_opx</f>
        <v>79.658</v>
      </c>
      <c r="E2358" s="30" t="n">
        <f aca="false">D2358*(1+phi*E2344)</f>
        <v>93.1304921468054</v>
      </c>
      <c r="F2358" s="30" t="n">
        <f aca="false">E2358*(1+phi*F2344)</f>
        <v>100.726338843208</v>
      </c>
      <c r="G2358" s="30" t="n">
        <f aca="false">F2358*(1+phi*G2344)</f>
        <v>109.045841600123</v>
      </c>
    </row>
    <row r="2359" customFormat="false" ht="15" hidden="false" customHeight="false" outlineLevel="0" collapsed="false">
      <c r="A2359" s="4" t="s">
        <v>455</v>
      </c>
      <c r="B2359" s="0" t="s">
        <v>234</v>
      </c>
      <c r="C2359" s="30" t="n">
        <f aca="false">C2356-C2358</f>
        <v>50.756</v>
      </c>
      <c r="D2359" s="30" t="n">
        <f aca="false">D2356-D2358</f>
        <v>111.022245860986</v>
      </c>
      <c r="E2359" s="30" t="n">
        <f aca="false">E2356-E2358</f>
        <v>173.475499320676</v>
      </c>
      <c r="F2359" s="30" t="n">
        <f aca="false">F2356-F2358</f>
        <v>194.757696402915</v>
      </c>
      <c r="G2359" s="30" t="n">
        <f aca="false">G2356-G2358</f>
        <v>234.709759267478</v>
      </c>
    </row>
    <row r="2360" customFormat="false" ht="15" hidden="false" customHeight="false" outlineLevel="0" collapsed="false">
      <c r="A2360" s="4" t="s">
        <v>537</v>
      </c>
      <c r="B2360" s="0" t="s">
        <v>76</v>
      </c>
      <c r="C2360" s="14" t="n">
        <f aca="false">C2359/C2343</f>
        <v>0.0786441644406156</v>
      </c>
      <c r="D2360" s="14" t="n">
        <f aca="false">D2359/D2343</f>
        <v>0.127440779020437</v>
      </c>
      <c r="E2360" s="14" t="n">
        <f aca="false">E2359/E2343</f>
        <v>0.155341866077717</v>
      </c>
      <c r="F2360" s="14" t="n">
        <f aca="false">F2359/F2343</f>
        <v>0.153529314259476</v>
      </c>
      <c r="G2360" s="14" t="n">
        <f aca="false">G2359/G2343</f>
        <v>0.16263570944697</v>
      </c>
    </row>
    <row r="2361" customFormat="false" ht="15" hidden="false" customHeight="false" outlineLevel="0" collapsed="false">
      <c r="A2361" s="4" t="s">
        <v>456</v>
      </c>
      <c r="B2361" s="0" t="s">
        <v>234</v>
      </c>
      <c r="C2361" s="30" t="n">
        <f aca="false">a25_nonop</f>
        <v>0.545</v>
      </c>
      <c r="D2361" s="30" t="n">
        <f aca="false">a26_nonop</f>
        <v>4.302</v>
      </c>
      <c r="E2361" s="30" t="n">
        <f aca="false">nonop_f</f>
        <v>-5</v>
      </c>
      <c r="F2361" s="30" t="n">
        <f aca="false">nonop_f</f>
        <v>-5</v>
      </c>
      <c r="G2361" s="30" t="n">
        <f aca="false">nonop_f</f>
        <v>-5</v>
      </c>
    </row>
    <row r="2362" customFormat="false" ht="15" hidden="false" customHeight="false" outlineLevel="0" collapsed="false">
      <c r="A2362" s="4" t="s">
        <v>459</v>
      </c>
      <c r="B2362" s="0" t="s">
        <v>234</v>
      </c>
      <c r="C2362" s="30" t="n">
        <f aca="false">C2359+C2361</f>
        <v>51.301</v>
      </c>
      <c r="D2362" s="30" t="n">
        <f aca="false">D2359+D2361</f>
        <v>115.324245860986</v>
      </c>
      <c r="E2362" s="30" t="n">
        <f aca="false">E2359+E2361</f>
        <v>168.475499320676</v>
      </c>
      <c r="F2362" s="30" t="n">
        <f aca="false">F2359+F2361</f>
        <v>189.757696402915</v>
      </c>
      <c r="G2362" s="30" t="n">
        <f aca="false">G2359+G2361</f>
        <v>229.709759267478</v>
      </c>
    </row>
    <row r="2363" customFormat="false" ht="15" hidden="false" customHeight="false" outlineLevel="0" collapsed="false">
      <c r="A2363" s="4" t="s">
        <v>460</v>
      </c>
      <c r="B2363" s="0" t="s">
        <v>234</v>
      </c>
      <c r="C2363" s="30" t="n">
        <f aca="false">a25_tax</f>
        <v>9.461</v>
      </c>
      <c r="D2363" s="30" t="n">
        <f aca="false">a26_tax</f>
        <v>19.2197317963676</v>
      </c>
      <c r="E2363" s="30" t="n">
        <f aca="false">E2362*tax</f>
        <v>28.6408348845149</v>
      </c>
      <c r="F2363" s="30" t="n">
        <f aca="false">F2362*tax</f>
        <v>32.2588083884955</v>
      </c>
      <c r="G2363" s="30" t="n">
        <f aca="false">G2362*tax</f>
        <v>39.0506590754713</v>
      </c>
    </row>
    <row r="2364" customFormat="false" ht="15" hidden="false" customHeight="false" outlineLevel="0" collapsed="false">
      <c r="A2364" s="4" t="s">
        <v>461</v>
      </c>
      <c r="B2364" s="0" t="s">
        <v>234</v>
      </c>
      <c r="C2364" s="30" t="n">
        <f aca="false">a25_nci</f>
        <v>1.182</v>
      </c>
      <c r="D2364" s="30" t="n">
        <f aca="false">a26_nci</f>
        <v>2.543</v>
      </c>
      <c r="E2364" s="30" t="n">
        <f aca="false">nci</f>
        <v>3</v>
      </c>
      <c r="F2364" s="30" t="n">
        <f aca="false">nci</f>
        <v>3</v>
      </c>
      <c r="G2364" s="30" t="n">
        <f aca="false">nci</f>
        <v>3</v>
      </c>
    </row>
    <row r="2365" customFormat="false" ht="15" hidden="false" customHeight="false" outlineLevel="0" collapsed="false">
      <c r="A2365" s="4" t="s">
        <v>462</v>
      </c>
      <c r="B2365" s="0" t="s">
        <v>234</v>
      </c>
      <c r="C2365" s="30" t="n">
        <f aca="false">C2362-C2363-C2364</f>
        <v>40.658</v>
      </c>
      <c r="D2365" s="30" t="n">
        <f aca="false">D2362-D2363-D2364</f>
        <v>93.5615140646185</v>
      </c>
      <c r="E2365" s="30" t="n">
        <f aca="false">E2362-E2363-E2364</f>
        <v>136.834664436161</v>
      </c>
      <c r="F2365" s="30" t="n">
        <f aca="false">F2362-F2363-F2364</f>
        <v>154.498888014419</v>
      </c>
      <c r="G2365" s="30" t="n">
        <f aca="false">G2362-G2363-G2364</f>
        <v>187.659100192007</v>
      </c>
      <c r="H2365" s="31" t="n">
        <f aca="false">H2343*H2369</f>
        <v>209.582220186573</v>
      </c>
      <c r="I2365" s="31" t="n">
        <f aca="false">I2343*I2369</f>
        <v>228.611879573942</v>
      </c>
      <c r="J2365" s="31" t="n">
        <f aca="false">J2343*J2369</f>
        <v>243.419804104633</v>
      </c>
    </row>
    <row r="2366" customFormat="false" ht="15" hidden="false" customHeight="false" outlineLevel="0" collapsed="false">
      <c r="A2366" s="4" t="s">
        <v>579</v>
      </c>
      <c r="B2366" s="4" t="s">
        <v>580</v>
      </c>
      <c r="C2366" s="18" t="n">
        <f aca="false">a25_sh</f>
        <v>4339.16755602988</v>
      </c>
      <c r="D2366" s="18" t="n">
        <f aca="false">a26_sh</f>
        <v>4392.90105184664</v>
      </c>
      <c r="E2366" s="18" t="n">
        <f aca="false">D2366*(1+sh_g)</f>
        <v>4414.86555710588</v>
      </c>
      <c r="F2366" s="18" t="n">
        <f aca="false">E2366*(1+sh_g)</f>
        <v>4436.9398848914</v>
      </c>
      <c r="G2366" s="18" t="n">
        <f aca="false">F2366*(1+sh_g)</f>
        <v>4459.12458431586</v>
      </c>
      <c r="H2366" s="25" t="n">
        <f aca="false">G2366*(1+sh_g)</f>
        <v>4481.42020723744</v>
      </c>
      <c r="I2366" s="25" t="n">
        <f aca="false">H2366*(1+sh_g)</f>
        <v>4503.82730827363</v>
      </c>
      <c r="J2366" s="25" t="n">
        <f aca="false">I2366*(1+sh_g)</f>
        <v>4526.34644481499</v>
      </c>
    </row>
    <row r="2367" customFormat="false" ht="17.15" hidden="false" customHeight="false" outlineLevel="0" collapsed="false">
      <c r="A2367" s="0" t="s">
        <v>465</v>
      </c>
      <c r="B2367" s="0" t="s">
        <v>304</v>
      </c>
      <c r="C2367" s="19" t="n">
        <f aca="false">a25_eps</f>
        <v>9.37</v>
      </c>
      <c r="D2367" s="19" t="n">
        <f aca="false">a26_eps</f>
        <v>21.2828697294455</v>
      </c>
      <c r="E2367" s="19" t="n">
        <f aca="false">E2365/E2366*1000</f>
        <v>30.9940727902621</v>
      </c>
      <c r="F2367" s="19" t="n">
        <f aca="false">F2365/F2366*1000</f>
        <v>34.8210460413305</v>
      </c>
      <c r="G2367" s="19" t="n">
        <f aca="false">G2365/G2366*1000</f>
        <v>42.0842918029388</v>
      </c>
      <c r="H2367" s="28" t="n">
        <f aca="false">H2365/H2366*1000</f>
        <v>46.7669199706156</v>
      </c>
      <c r="I2367" s="28" t="n">
        <f aca="false">I2365/I2366*1000</f>
        <v>50.7594683201945</v>
      </c>
      <c r="J2367" s="28" t="n">
        <f aca="false">J2365/J2366*1000</f>
        <v>53.7784297053696</v>
      </c>
    </row>
    <row r="2368" customFormat="false" ht="17.15" hidden="false" customHeight="false" outlineLevel="0" collapsed="false">
      <c r="A2368" s="0" t="s">
        <v>581</v>
      </c>
      <c r="B2368" s="0" t="s">
        <v>76</v>
      </c>
      <c r="D2368" s="21" t="n">
        <f aca="false">D2367/C2367-1</f>
        <v>1.27138417603474</v>
      </c>
      <c r="E2368" s="21" t="n">
        <f aca="false">E2367/D2367-1</f>
        <v>0.456291993714591</v>
      </c>
      <c r="F2368" s="21" t="n">
        <f aca="false">F2367/E2367-1</f>
        <v>0.123474358370569</v>
      </c>
      <c r="G2368" s="21" t="n">
        <f aca="false">G2367/F2367-1</f>
        <v>0.208587810744896</v>
      </c>
      <c r="H2368" s="26" t="n">
        <f aca="false">H2367/G2367-1</f>
        <v>0.111267838118871</v>
      </c>
      <c r="I2368" s="26" t="n">
        <f aca="false">I2367/H2367-1</f>
        <v>0.0853712058028942</v>
      </c>
      <c r="J2368" s="26" t="n">
        <f aca="false">J2367/I2367-1</f>
        <v>0.0594758275664229</v>
      </c>
    </row>
    <row r="2369" customFormat="false" ht="17.15" hidden="false" customHeight="false" outlineLevel="0" collapsed="false">
      <c r="A2369" s="4" t="s">
        <v>582</v>
      </c>
      <c r="B2369" s="0" t="s">
        <v>76</v>
      </c>
      <c r="C2369" s="14" t="n">
        <f aca="false">C2365/C2343</f>
        <v>0.0629977625862272</v>
      </c>
      <c r="D2369" s="14" t="n">
        <f aca="false">D2365/D2343</f>
        <v>0.107397865592237</v>
      </c>
      <c r="E2369" s="14" t="n">
        <f aca="false">E2365/E2343</f>
        <v>0.122531148207498</v>
      </c>
      <c r="F2369" s="14" t="n">
        <f aca="false">F2365/F2343</f>
        <v>0.121792918938789</v>
      </c>
      <c r="G2369" s="14" t="n">
        <f aca="false">G2365/G2343</f>
        <v>0.130033241860753</v>
      </c>
      <c r="H2369" s="27" t="n">
        <f aca="false">$G2369+(fade_mA-$G2369)*1/3</f>
        <v>0.130624106178557</v>
      </c>
      <c r="I2369" s="27" t="n">
        <f aca="false">$G2369+(fade_mA-$G2369)*2/3</f>
        <v>0.13121497049636</v>
      </c>
      <c r="J2369" s="27" t="n">
        <f aca="false">$G2369+(fade_mA-$G2369)*3/3</f>
        <v>0.131805834814164</v>
      </c>
    </row>
    <row r="2370" customFormat="false" ht="17.15" hidden="false" customHeight="false" outlineLevel="0" collapsed="false">
      <c r="A2370" s="4" t="s">
        <v>583</v>
      </c>
      <c r="B2370" s="0" t="s">
        <v>234</v>
      </c>
      <c r="C2370" s="30" t="n">
        <f aca="false">C2365+C2351-C2349</f>
        <v>-54.587</v>
      </c>
      <c r="D2370" s="30" t="n">
        <f aca="false">D2365+D2351-D2349</f>
        <v>-176.164485935382</v>
      </c>
      <c r="E2370" s="30" t="n">
        <f aca="false">E2365+E2351-E2349</f>
        <v>-148.325585563839</v>
      </c>
      <c r="F2370" s="30" t="n">
        <f aca="false">F2365+F2351-F2349</f>
        <v>-59.5775883865322</v>
      </c>
      <c r="G2370" s="30" t="n">
        <f aca="false">G2365+G2351-G2349</f>
        <v>-52.0453131263708</v>
      </c>
      <c r="K2370" s="4" t="s">
        <v>584</v>
      </c>
    </row>
    <row r="2371" customFormat="false" ht="17.15" hidden="false" customHeight="false" outlineLevel="0" collapsed="false">
      <c r="A2371" s="4" t="s">
        <v>585</v>
      </c>
      <c r="B2371" s="0" t="s">
        <v>76</v>
      </c>
      <c r="D2371" s="21" t="n">
        <f aca="false">(D2359-$C2359)/SUM($D2349:D2349)</f>
        <v>0.164280348537512</v>
      </c>
      <c r="E2371" s="21" t="n">
        <f aca="false">(E2359-$C2359)/SUM($D2349:E2349)</f>
        <v>0.156759914824903</v>
      </c>
      <c r="F2371" s="21" t="n">
        <f aca="false">(F2359-$C2359)/SUM($D2349:F2349)</f>
        <v>0.123775402254289</v>
      </c>
      <c r="G2371" s="21" t="n">
        <f aca="false">(G2359-$C2359)/SUM($D2349:G2349)</f>
        <v>0.115233254348171</v>
      </c>
      <c r="K2371" s="4" t="s">
        <v>586</v>
      </c>
    </row>
    <row r="2374" customFormat="false" ht="17.15" hidden="false" customHeight="false" outlineLevel="0" collapsed="false">
      <c r="A2374" s="1" t="s">
        <v>962</v>
      </c>
    </row>
    <row r="2375" customFormat="false" ht="17.15" hidden="false" customHeight="false" outlineLevel="0" collapsed="false">
      <c r="A2375" s="5" t="s">
        <v>21</v>
      </c>
      <c r="B2375" s="5" t="s">
        <v>22</v>
      </c>
      <c r="C2375" s="15" t="s">
        <v>424</v>
      </c>
      <c r="D2375" s="15" t="s">
        <v>524</v>
      </c>
      <c r="E2375" s="15" t="s">
        <v>525</v>
      </c>
      <c r="F2375" s="15" t="s">
        <v>526</v>
      </c>
      <c r="G2375" s="15" t="s">
        <v>527</v>
      </c>
      <c r="H2375" s="15" t="s">
        <v>528</v>
      </c>
      <c r="I2375" s="15" t="s">
        <v>529</v>
      </c>
      <c r="J2375" s="15" t="s">
        <v>530</v>
      </c>
      <c r="K2375" s="5" t="s">
        <v>382</v>
      </c>
    </row>
    <row r="2376" customFormat="false" ht="17.15" hidden="false" customHeight="false" outlineLevel="0" collapsed="false">
      <c r="A2376" s="6" t="s">
        <v>548</v>
      </c>
    </row>
    <row r="2377" customFormat="false" ht="17.15" hidden="false" customHeight="false" outlineLevel="0" collapsed="false">
      <c r="A2377" s="0" t="s">
        <v>549</v>
      </c>
      <c r="B2377" s="4" t="s">
        <v>32</v>
      </c>
      <c r="D2377" s="19" t="n">
        <f aca="false">units_26</f>
        <v>15.2</v>
      </c>
      <c r="E2377" s="19" t="n">
        <f aca="false">units_27*1</f>
        <v>23.7</v>
      </c>
      <c r="F2377" s="19" t="n">
        <f aca="false">units_28*um28_B*1</f>
        <v>21.2</v>
      </c>
      <c r="G2377" s="19" t="n">
        <f aca="false">units_29*um29_B*1</f>
        <v>25.6275</v>
      </c>
    </row>
    <row r="2378" customFormat="false" ht="17.15" hidden="false" customHeight="false" outlineLevel="0" collapsed="false">
      <c r="A2378" s="4" t="s">
        <v>497</v>
      </c>
      <c r="B2378" s="0" t="s">
        <v>45</v>
      </c>
      <c r="D2378" s="22" t="n">
        <f aca="false">ar_26</f>
        <v>1</v>
      </c>
      <c r="E2378" s="22" t="n">
        <f aca="false">ar_27</f>
        <v>1.278156</v>
      </c>
      <c r="F2378" s="22" t="n">
        <f aca="false">ar_28</f>
        <v>1.428615</v>
      </c>
      <c r="G2378" s="22" t="n">
        <f aca="false">ar_29</f>
        <v>1.431796</v>
      </c>
    </row>
    <row r="2379" customFormat="false" ht="17.15" hidden="false" customHeight="false" outlineLevel="0" collapsed="false">
      <c r="A2379" s="4" t="s">
        <v>550</v>
      </c>
      <c r="B2379" s="0" t="s">
        <v>45</v>
      </c>
      <c r="D2379" s="19" t="n">
        <f aca="false">1</f>
        <v>1</v>
      </c>
      <c r="E2379" s="19" t="n">
        <f aca="false">rel27_B</f>
        <v>1.05</v>
      </c>
      <c r="F2379" s="19" t="n">
        <f aca="false">rel28_B</f>
        <v>1.08</v>
      </c>
      <c r="G2379" s="19" t="n">
        <f aca="false">rel29_B</f>
        <v>1.1</v>
      </c>
    </row>
    <row r="2380" customFormat="false" ht="17.15" hidden="false" customHeight="false" outlineLevel="0" collapsed="false">
      <c r="A2380" s="4" t="s">
        <v>551</v>
      </c>
      <c r="B2380" s="0" t="s">
        <v>502</v>
      </c>
      <c r="D2380" s="23" t="n">
        <f aca="false">D2381*1000/D2377</f>
        <v>236.842105263158</v>
      </c>
      <c r="E2380" s="23" t="n">
        <f aca="false">$D2380*E2378^el</f>
        <v>267.763172119488</v>
      </c>
      <c r="F2380" s="23" t="n">
        <f aca="false">$D2380*F2378^el</f>
        <v>283.084777049615</v>
      </c>
      <c r="G2380" s="23" t="n">
        <f aca="false">$D2380*G2378^el</f>
        <v>283.399764630809</v>
      </c>
      <c r="K2380" s="8" t="s">
        <v>552</v>
      </c>
    </row>
    <row r="2381" customFormat="false" ht="17.15" hidden="false" customHeight="false" outlineLevel="0" collapsed="false">
      <c r="A2381" s="0" t="s">
        <v>553</v>
      </c>
      <c r="B2381" s="0" t="s">
        <v>120</v>
      </c>
      <c r="D2381" s="22" t="n">
        <f aca="false">leap26-D2382-D2383</f>
        <v>3.6</v>
      </c>
      <c r="E2381" s="22" t="n">
        <f aca="false">E2377*E2379*E2380/1000</f>
        <v>6.66328653819345</v>
      </c>
      <c r="F2381" s="22" t="n">
        <f aca="false">F2377*F2379*F2380/1000</f>
        <v>6.48150905532798</v>
      </c>
      <c r="G2381" s="22" t="n">
        <f aca="false">G2377*G2379*G2380/1000</f>
        <v>7.98911021488366</v>
      </c>
      <c r="K2381" s="8" t="s">
        <v>554</v>
      </c>
    </row>
    <row r="2382" customFormat="false" ht="17.15" hidden="false" customHeight="false" outlineLevel="0" collapsed="false">
      <c r="A2382" s="4" t="s">
        <v>555</v>
      </c>
      <c r="B2382" s="0" t="s">
        <v>120</v>
      </c>
      <c r="D2382" s="22" t="n">
        <f aca="false">fp26</f>
        <v>0.3</v>
      </c>
      <c r="E2382" s="22" t="n">
        <f aca="false">fp27_B</f>
        <v>1</v>
      </c>
      <c r="F2382" s="22" t="n">
        <f aca="false">E2382*F2377/E2377*(1+fp_g)</f>
        <v>1.16286919831224</v>
      </c>
      <c r="G2382" s="22" t="n">
        <f aca="false">F2382*G2377/F2377*(1+fp_g)</f>
        <v>1.82744620253165</v>
      </c>
    </row>
    <row r="2383" customFormat="false" ht="17.15" hidden="false" customHeight="false" outlineLevel="0" collapsed="false">
      <c r="A2383" s="0" t="s">
        <v>556</v>
      </c>
      <c r="B2383" s="0" t="s">
        <v>120</v>
      </c>
      <c r="D2383" s="22" t="n">
        <f aca="false">cpo27*cpo_B_26/cpo_A_27</f>
        <v>0.1</v>
      </c>
      <c r="E2383" s="22" t="n">
        <f aca="false">cpo27*cpo_B_27/cpo_A_27</f>
        <v>0.3</v>
      </c>
      <c r="F2383" s="22" t="n">
        <f aca="false">cpo27*cpo_B_28/cpo_A_27*F2377/E2377</f>
        <v>0.447257383966245</v>
      </c>
      <c r="G2383" s="22" t="n">
        <f aca="false">cpo27*cpo_B_29/cpo_A_27*G2377/E2377</f>
        <v>0.86506329113924</v>
      </c>
      <c r="K2383" s="8" t="s">
        <v>557</v>
      </c>
    </row>
    <row r="2384" customFormat="false" ht="17.15" hidden="false" customHeight="false" outlineLevel="0" collapsed="false">
      <c r="A2384" s="0" t="s">
        <v>510</v>
      </c>
      <c r="B2384" s="0" t="s">
        <v>120</v>
      </c>
      <c r="C2384" s="22" t="n">
        <f aca="false">leap25</f>
        <v>1.6</v>
      </c>
      <c r="D2384" s="22" t="n">
        <f aca="false">D2381+D2382+D2383</f>
        <v>4</v>
      </c>
      <c r="E2384" s="22" t="n">
        <f aca="false">E2381+E2382+E2383</f>
        <v>7.96328653819345</v>
      </c>
      <c r="F2384" s="22" t="n">
        <f aca="false">F2381+F2382+F2383</f>
        <v>8.09163563760646</v>
      </c>
      <c r="G2384" s="22" t="n">
        <f aca="false">G2381+G2382+G2383</f>
        <v>10.6816197085545</v>
      </c>
    </row>
    <row r="2385" customFormat="false" ht="17.15" hidden="false" customHeight="false" outlineLevel="0" collapsed="false">
      <c r="A2385" s="4" t="s">
        <v>558</v>
      </c>
      <c r="B2385" s="0" t="s">
        <v>114</v>
      </c>
      <c r="C2385" s="19" t="n">
        <f aca="false">fx25</f>
        <v>31</v>
      </c>
      <c r="D2385" s="19" t="n">
        <f aca="false">a26_leap/D2384</f>
        <v>31.9</v>
      </c>
      <c r="E2385" s="19" t="n">
        <f aca="false">fx</f>
        <v>32</v>
      </c>
      <c r="F2385" s="19" t="n">
        <f aca="false">fx</f>
        <v>32</v>
      </c>
      <c r="G2385" s="19" t="n">
        <f aca="false">fx</f>
        <v>32</v>
      </c>
      <c r="K2385" s="8" t="s">
        <v>559</v>
      </c>
    </row>
    <row r="2386" customFormat="false" ht="17.15" hidden="false" customHeight="false" outlineLevel="0" collapsed="false">
      <c r="A2386" s="6" t="s">
        <v>560</v>
      </c>
    </row>
    <row r="2387" customFormat="false" ht="17.15" hidden="false" customHeight="false" outlineLevel="0" collapsed="false">
      <c r="A2387" s="0" t="s">
        <v>438</v>
      </c>
      <c r="B2387" s="0" t="s">
        <v>234</v>
      </c>
      <c r="C2387" s="30" t="n">
        <f aca="false">a25_leap</f>
        <v>49.6</v>
      </c>
      <c r="D2387" s="30" t="n">
        <f aca="false">a26_leap</f>
        <v>127.6</v>
      </c>
      <c r="E2387" s="30" t="n">
        <f aca="false">E2384*E2385</f>
        <v>254.82516922219</v>
      </c>
      <c r="F2387" s="30" t="n">
        <f aca="false">F2384*F2385</f>
        <v>258.932340403407</v>
      </c>
      <c r="G2387" s="30" t="n">
        <f aca="false">G2384*G2385</f>
        <v>341.811830673745</v>
      </c>
    </row>
    <row r="2388" customFormat="false" ht="15" hidden="false" customHeight="false" outlineLevel="0" collapsed="false">
      <c r="A2388" s="4" t="s">
        <v>561</v>
      </c>
      <c r="B2388" s="0" t="s">
        <v>234</v>
      </c>
      <c r="C2388" s="30" t="n">
        <f aca="false">a25_ms</f>
        <v>339.628</v>
      </c>
      <c r="D2388" s="30" t="n">
        <f aca="false">a26_ms</f>
        <v>432.1302</v>
      </c>
      <c r="E2388" s="30" t="n">
        <f aca="false">D2388*(1+g_ms27)</f>
        <v>496.94973</v>
      </c>
      <c r="F2388" s="30" t="n">
        <f aca="false">E2388*(1+g_msL)</f>
        <v>531.7362111</v>
      </c>
      <c r="G2388" s="30" t="n">
        <f aca="false">F2388*(1+g_msL)</f>
        <v>568.957745877</v>
      </c>
    </row>
    <row r="2389" customFormat="false" ht="17.15" hidden="false" customHeight="false" outlineLevel="0" collapsed="false">
      <c r="A2389" s="4" t="s">
        <v>562</v>
      </c>
      <c r="B2389" s="0" t="s">
        <v>234</v>
      </c>
      <c r="C2389" s="30" t="n">
        <f aca="false">C2387+C2388</f>
        <v>389.228</v>
      </c>
      <c r="D2389" s="30" t="n">
        <f aca="false">D2387+D2388</f>
        <v>559.7302</v>
      </c>
      <c r="E2389" s="30" t="n">
        <f aca="false">E2387+E2388</f>
        <v>751.77489922219</v>
      </c>
      <c r="F2389" s="30" t="n">
        <f aca="false">F2387+F2388</f>
        <v>790.668551503407</v>
      </c>
      <c r="G2389" s="30" t="n">
        <f aca="false">G2387+G2388</f>
        <v>910.769576550745</v>
      </c>
    </row>
    <row r="2390" customFormat="false" ht="17.15" hidden="false" customHeight="false" outlineLevel="0" collapsed="false">
      <c r="A2390" s="0" t="s">
        <v>563</v>
      </c>
      <c r="B2390" s="0" t="s">
        <v>234</v>
      </c>
      <c r="C2390" s="30" t="n">
        <f aca="false">a25_ems</f>
        <v>259.079</v>
      </c>
      <c r="D2390" s="30" t="n">
        <f aca="false">a26_ems</f>
        <v>314.602</v>
      </c>
      <c r="E2390" s="30" t="n">
        <f aca="false">D2390*(1+g_ems27)</f>
        <v>346.0622</v>
      </c>
      <c r="F2390" s="30" t="n">
        <f aca="false">E2390*(1+g_emsL_hi)</f>
        <v>373.747176</v>
      </c>
      <c r="G2390" s="30" t="n">
        <f aca="false">F2390*(1+g_emsL_hi)</f>
        <v>403.64695008</v>
      </c>
    </row>
    <row r="2391" customFormat="false" ht="17.15" hidden="false" customHeight="false" outlineLevel="0" collapsed="false">
      <c r="A2391" s="4" t="s">
        <v>564</v>
      </c>
      <c r="B2391" s="0" t="s">
        <v>234</v>
      </c>
      <c r="C2391" s="30" t="n">
        <f aca="false">a25_elim</f>
        <v>-2.91899999999998</v>
      </c>
      <c r="D2391" s="30" t="n">
        <f aca="false">a26_elim</f>
        <v>-3.16484905982349</v>
      </c>
      <c r="E2391" s="30" t="n">
        <f aca="false">$D2391/($D2389+$D2390)*(E2389+E2390)</f>
        <v>-3.97387710450638</v>
      </c>
      <c r="F2391" s="30" t="n">
        <f aca="false">$D2391/($D2389+$D2390)*(F2389+F2390)</f>
        <v>-4.21487395801371</v>
      </c>
      <c r="G2391" s="30" t="n">
        <f aca="false">$D2391/($D2389+$D2390)*(G2389+G2390)</f>
        <v>-4.75783679078017</v>
      </c>
      <c r="K2391" s="4" t="s">
        <v>565</v>
      </c>
    </row>
    <row r="2392" customFormat="false" ht="17.15" hidden="false" customHeight="false" outlineLevel="0" collapsed="false">
      <c r="A2392" s="4" t="s">
        <v>431</v>
      </c>
      <c r="B2392" s="0" t="s">
        <v>234</v>
      </c>
      <c r="C2392" s="30" t="n">
        <f aca="false">C2389+C2390+C2391</f>
        <v>645.388</v>
      </c>
      <c r="D2392" s="30" t="n">
        <f aca="false">D2389+D2390+D2391</f>
        <v>871.167350940177</v>
      </c>
      <c r="E2392" s="30" t="n">
        <f aca="false">E2389+E2390+E2391</f>
        <v>1093.86322211768</v>
      </c>
      <c r="F2392" s="30" t="n">
        <f aca="false">F2389+F2390+F2391</f>
        <v>1160.20085354539</v>
      </c>
      <c r="G2392" s="30" t="n">
        <f aca="false">G2389+G2390+G2391</f>
        <v>1309.65868983997</v>
      </c>
      <c r="H2392" s="31" t="n">
        <f aca="false">G2392*(1+H2393)</f>
        <v>1439.59486768536</v>
      </c>
      <c r="I2392" s="31" t="n">
        <f aca="false">H2392*(1+I2393)</f>
        <v>1539.80058308342</v>
      </c>
      <c r="J2392" s="31" t="n">
        <f aca="false">I2392*(1+J2393)</f>
        <v>1601.39260640676</v>
      </c>
      <c r="K2392" s="8" t="s">
        <v>566</v>
      </c>
    </row>
    <row r="2393" customFormat="false" ht="15" hidden="false" customHeight="false" outlineLevel="0" collapsed="false">
      <c r="A2393" s="4" t="s">
        <v>567</v>
      </c>
      <c r="B2393" s="0" t="s">
        <v>76</v>
      </c>
      <c r="D2393" s="21" t="n">
        <f aca="false">D2392/C2392-1</f>
        <v>0.349835061916516</v>
      </c>
      <c r="E2393" s="21" t="n">
        <f aca="false">E2392/D2392-1</f>
        <v>0.255629266796065</v>
      </c>
      <c r="F2393" s="21" t="n">
        <f aca="false">F2392/E2392-1</f>
        <v>0.0606452708952785</v>
      </c>
      <c r="G2393" s="21" t="n">
        <f aca="false">G2392/F2392-1</f>
        <v>0.128820657076619</v>
      </c>
      <c r="H2393" s="26" t="n">
        <f aca="false">$G2393+(fade_gB-$G2393)*1/3</f>
        <v>0.0992137713844129</v>
      </c>
      <c r="I2393" s="26" t="n">
        <f aca="false">$G2393+(fade_gB-$G2393)*2/3</f>
        <v>0.0696068856922064</v>
      </c>
      <c r="J2393" s="26" t="n">
        <f aca="false">$G2393+(fade_gB-$G2393)*3/3</f>
        <v>0.04</v>
      </c>
    </row>
    <row r="2394" customFormat="false" ht="17.15" hidden="false" customHeight="false" outlineLevel="0" collapsed="false">
      <c r="A2394" s="0" t="s">
        <v>475</v>
      </c>
      <c r="B2394" s="0" t="s">
        <v>76</v>
      </c>
      <c r="C2394" s="21" t="n">
        <f aca="false">C2387/C2389</f>
        <v>0.127431736668482</v>
      </c>
      <c r="D2394" s="21" t="n">
        <f aca="false">D2387/D2389</f>
        <v>0.227966974088588</v>
      </c>
      <c r="E2394" s="21" t="n">
        <f aca="false">E2387/E2389</f>
        <v>0.338964721335922</v>
      </c>
      <c r="F2394" s="21" t="n">
        <f aca="false">F2387/F2389</f>
        <v>0.327485315953269</v>
      </c>
      <c r="G2394" s="21" t="n">
        <f aca="false">G2387/G2389</f>
        <v>0.375300009436251</v>
      </c>
    </row>
    <row r="2395" customFormat="false" ht="15" hidden="false" customHeight="false" outlineLevel="0" collapsed="false">
      <c r="A2395" s="4" t="s">
        <v>568</v>
      </c>
      <c r="B2395" s="0" t="s">
        <v>76</v>
      </c>
      <c r="D2395" s="21" t="n">
        <f aca="false">D2389/C2389-1</f>
        <v>0.438052247012034</v>
      </c>
      <c r="E2395" s="21" t="n">
        <f aca="false">E2389/D2389-1</f>
        <v>0.343102264666424</v>
      </c>
      <c r="F2395" s="21" t="n">
        <f aca="false">F2389/E2389-1</f>
        <v>0.0517357686741828</v>
      </c>
      <c r="G2395" s="21" t="n">
        <f aca="false">G2389/F2389-1</f>
        <v>0.151898067551788</v>
      </c>
    </row>
    <row r="2396" customFormat="false" ht="17.15" hidden="false" customHeight="false" outlineLevel="0" collapsed="false">
      <c r="A2396" s="6" t="s">
        <v>569</v>
      </c>
    </row>
    <row r="2397" customFormat="false" ht="17.15" hidden="false" customHeight="false" outlineLevel="0" collapsed="false">
      <c r="A2397" s="4" t="s">
        <v>570</v>
      </c>
      <c r="B2397" s="0" t="s">
        <v>120</v>
      </c>
      <c r="C2397" s="19" t="n">
        <f aca="false">capex25</f>
        <v>5.5</v>
      </c>
      <c r="D2397" s="19" t="n">
        <f aca="false">capex26</f>
        <v>11.5</v>
      </c>
      <c r="E2397" s="19" t="n">
        <f aca="false">capex27</f>
        <v>13</v>
      </c>
      <c r="F2397" s="19" t="n">
        <f aca="false">capi*F2392/F2385</f>
        <v>10.8768830019881</v>
      </c>
      <c r="G2397" s="19" t="n">
        <f aca="false">capi*G2392/G2385</f>
        <v>12.2780502172497</v>
      </c>
      <c r="K2397" s="8" t="s">
        <v>571</v>
      </c>
    </row>
    <row r="2398" customFormat="false" ht="15" hidden="false" customHeight="false" outlineLevel="0" collapsed="false">
      <c r="A2398" s="4" t="s">
        <v>572</v>
      </c>
      <c r="B2398" s="0" t="s">
        <v>234</v>
      </c>
      <c r="C2398" s="30" t="n">
        <f aca="false">C2397*C2385</f>
        <v>170.5</v>
      </c>
      <c r="D2398" s="30" t="n">
        <f aca="false">D2397*31.9</f>
        <v>366.85</v>
      </c>
      <c r="E2398" s="30" t="n">
        <f aca="false">E2397*E2385</f>
        <v>416</v>
      </c>
      <c r="F2398" s="30" t="n">
        <f aca="false">F2397*F2385</f>
        <v>348.060256063618</v>
      </c>
      <c r="G2398" s="30" t="n">
        <f aca="false">G2397*G2385</f>
        <v>392.89760695199</v>
      </c>
    </row>
    <row r="2399" customFormat="false" ht="17.15" hidden="false" customHeight="false" outlineLevel="0" collapsed="false">
      <c r="A2399" s="4" t="s">
        <v>473</v>
      </c>
      <c r="B2399" s="0" t="s">
        <v>76</v>
      </c>
      <c r="C2399" s="21" t="n">
        <f aca="false">C2398/C2392</f>
        <v>0.264182166386732</v>
      </c>
      <c r="D2399" s="21" t="n">
        <f aca="false">D2398/D2392</f>
        <v>0.421101639775745</v>
      </c>
      <c r="E2399" s="21" t="n">
        <f aca="false">E2398/E2392</f>
        <v>0.380303489127861</v>
      </c>
      <c r="F2399" s="21" t="n">
        <f aca="false">F2398/F2392</f>
        <v>0.3</v>
      </c>
      <c r="G2399" s="21" t="n">
        <f aca="false">G2398/G2392</f>
        <v>0.3</v>
      </c>
    </row>
    <row r="2400" customFormat="false" ht="17.15" hidden="false" customHeight="false" outlineLevel="0" collapsed="false">
      <c r="A2400" s="4" t="s">
        <v>573</v>
      </c>
      <c r="B2400" s="0" t="s">
        <v>234</v>
      </c>
      <c r="C2400" s="30" t="n">
        <f aca="false">a25_da</f>
        <v>75.255</v>
      </c>
      <c r="D2400" s="30" t="n">
        <f aca="false">a26_da</f>
        <v>97.124</v>
      </c>
      <c r="E2400" s="30" t="n">
        <f aca="false">D2400*(1-1/life)+D2398/life</f>
        <v>130.83975</v>
      </c>
      <c r="F2400" s="30" t="n">
        <f aca="false">E2400*(1-1/life)+E2398/life</f>
        <v>166.48478125</v>
      </c>
      <c r="G2400" s="30" t="n">
        <f aca="false">F2400*(1-1/life)+F2398/life</f>
        <v>189.181715601702</v>
      </c>
      <c r="K2400" s="4" t="s">
        <v>574</v>
      </c>
    </row>
    <row r="2401" customFormat="false" ht="17.15" hidden="false" customHeight="false" outlineLevel="0" collapsed="false">
      <c r="A2401" s="4" t="s">
        <v>575</v>
      </c>
      <c r="B2401" s="0" t="s">
        <v>234</v>
      </c>
      <c r="C2401" s="30" t="n">
        <f aca="false">a25_agp</f>
        <v>91.38</v>
      </c>
      <c r="D2401" s="30" t="n">
        <f aca="false">a26_agp</f>
        <v>164.623388</v>
      </c>
      <c r="E2401" s="30" t="n">
        <f aca="false">$D2401+ft*(E2389-$D2389)-(E2400-$D2400)</f>
        <v>226.929987611095</v>
      </c>
      <c r="F2401" s="30" t="n">
        <f aca="false">$D2401+ft*(F2389-$D2389)-(F2400-$D2400)</f>
        <v>210.731782501703</v>
      </c>
      <c r="G2401" s="30" t="n">
        <f aca="false">$D2401+ft*(G2389-$D2389)-(G2400-$D2400)</f>
        <v>248.08536067367</v>
      </c>
      <c r="K2401" s="4" t="s">
        <v>576</v>
      </c>
    </row>
    <row r="2402" customFormat="false" ht="15" hidden="false" customHeight="false" outlineLevel="0" collapsed="false">
      <c r="A2402" s="4" t="s">
        <v>447</v>
      </c>
      <c r="B2402" s="0" t="s">
        <v>76</v>
      </c>
      <c r="C2402" s="14" t="n">
        <f aca="false">C2401/C2389</f>
        <v>0.234772421305764</v>
      </c>
      <c r="D2402" s="14" t="n">
        <f aca="false">D2401/D2389</f>
        <v>0.294112034690999</v>
      </c>
      <c r="E2402" s="14" t="n">
        <f aca="false">E2401/E2389</f>
        <v>0.301858957842147</v>
      </c>
      <c r="F2402" s="14" t="n">
        <f aca="false">F2401/F2389</f>
        <v>0.26652354150296</v>
      </c>
      <c r="G2402" s="14" t="n">
        <f aca="false">G2401/G2389</f>
        <v>0.272390917594345</v>
      </c>
    </row>
    <row r="2403" customFormat="false" ht="17.15" hidden="false" customHeight="false" outlineLevel="0" collapsed="false">
      <c r="A2403" s="0" t="s">
        <v>449</v>
      </c>
      <c r="B2403" s="0" t="s">
        <v>234</v>
      </c>
      <c r="C2403" s="30" t="n">
        <f aca="false">a25_egp</f>
        <v>23.695</v>
      </c>
      <c r="D2403" s="30" t="n">
        <f aca="false">a26_egp</f>
        <v>27.00552</v>
      </c>
      <c r="E2403" s="30" t="n">
        <f aca="false">E2390*ems_gm</f>
        <v>29.415287</v>
      </c>
      <c r="F2403" s="30" t="n">
        <f aca="false">F2390*ems_gm</f>
        <v>31.76850996</v>
      </c>
      <c r="G2403" s="30" t="n">
        <f aca="false">G2390*ems_gm</f>
        <v>34.3099907568</v>
      </c>
    </row>
    <row r="2404" customFormat="false" ht="15" hidden="false" customHeight="false" outlineLevel="0" collapsed="false">
      <c r="A2404" s="4" t="s">
        <v>577</v>
      </c>
      <c r="B2404" s="0" t="s">
        <v>234</v>
      </c>
      <c r="C2404" s="30" t="n">
        <f aca="false">a25_lgp</f>
        <v>-0.881999999999998</v>
      </c>
      <c r="D2404" s="30" t="n">
        <f aca="false">a26_lgp</f>
        <v>-0.948662139013863</v>
      </c>
      <c r="E2404" s="30" t="n">
        <f aca="false">$D2404/$D2391*E2391</f>
        <v>-1.19116794604716</v>
      </c>
      <c r="F2404" s="30" t="n">
        <f aca="false">$D2404/$D2391*F2391</f>
        <v>-1.26340664881697</v>
      </c>
      <c r="G2404" s="30" t="n">
        <f aca="false">$D2404/$D2391*G2391</f>
        <v>-1.42615952347254</v>
      </c>
    </row>
    <row r="2405" customFormat="false" ht="15" hidden="false" customHeight="false" outlineLevel="0" collapsed="false">
      <c r="A2405" s="4" t="s">
        <v>451</v>
      </c>
      <c r="B2405" s="0" t="s">
        <v>234</v>
      </c>
      <c r="C2405" s="30" t="n">
        <f aca="false">C2401+C2403+C2404</f>
        <v>114.193</v>
      </c>
      <c r="D2405" s="30" t="n">
        <f aca="false">D2401+D2403+D2404</f>
        <v>190.680245860986</v>
      </c>
      <c r="E2405" s="30" t="n">
        <f aca="false">E2401+E2403+E2404</f>
        <v>255.154106665048</v>
      </c>
      <c r="F2405" s="30" t="n">
        <f aca="false">F2401+F2403+F2404</f>
        <v>241.236885812886</v>
      </c>
      <c r="G2405" s="30" t="n">
        <f aca="false">G2401+G2403+G2404</f>
        <v>280.969191906998</v>
      </c>
    </row>
    <row r="2406" customFormat="false" ht="15" hidden="false" customHeight="false" outlineLevel="0" collapsed="false">
      <c r="A2406" s="4" t="s">
        <v>452</v>
      </c>
      <c r="B2406" s="0" t="s">
        <v>76</v>
      </c>
      <c r="C2406" s="14" t="n">
        <f aca="false">C2405/C2392</f>
        <v>0.176936974347214</v>
      </c>
      <c r="D2406" s="14" t="n">
        <f aca="false">D2405/D2392</f>
        <v>0.218879008327391</v>
      </c>
      <c r="E2406" s="14" t="n">
        <f aca="false">E2405/E2392</f>
        <v>0.233259608245241</v>
      </c>
      <c r="F2406" s="14" t="n">
        <f aca="false">F2405/F2392</f>
        <v>0.207926830148163</v>
      </c>
      <c r="G2406" s="14" t="n">
        <f aca="false">G2405/G2392</f>
        <v>0.214536194877866</v>
      </c>
    </row>
    <row r="2407" customFormat="false" ht="15" hidden="false" customHeight="false" outlineLevel="0" collapsed="false">
      <c r="A2407" s="4" t="s">
        <v>578</v>
      </c>
      <c r="B2407" s="0" t="s">
        <v>234</v>
      </c>
      <c r="C2407" s="30" t="n">
        <f aca="false">a25_opx</f>
        <v>63.437</v>
      </c>
      <c r="D2407" s="30" t="n">
        <f aca="false">a26_opx</f>
        <v>79.658</v>
      </c>
      <c r="E2407" s="30" t="n">
        <f aca="false">D2407*(1+phi*E2393)</f>
        <v>91.8757496806646</v>
      </c>
      <c r="F2407" s="30" t="n">
        <f aca="false">E2407*(1+phi*F2393)</f>
        <v>95.218847517519</v>
      </c>
      <c r="G2407" s="30" t="n">
        <f aca="false">F2407*(1+phi*G2393)</f>
        <v>102.57854021949</v>
      </c>
    </row>
    <row r="2408" customFormat="false" ht="15" hidden="false" customHeight="false" outlineLevel="0" collapsed="false">
      <c r="A2408" s="4" t="s">
        <v>455</v>
      </c>
      <c r="B2408" s="0" t="s">
        <v>234</v>
      </c>
      <c r="C2408" s="30" t="n">
        <f aca="false">C2405-C2407</f>
        <v>50.756</v>
      </c>
      <c r="D2408" s="30" t="n">
        <f aca="false">D2405-D2407</f>
        <v>111.022245860986</v>
      </c>
      <c r="E2408" s="30" t="n">
        <f aca="false">E2405-E2407</f>
        <v>163.278356984383</v>
      </c>
      <c r="F2408" s="30" t="n">
        <f aca="false">F2405-F2407</f>
        <v>146.018038295367</v>
      </c>
      <c r="G2408" s="30" t="n">
        <f aca="false">G2405-G2407</f>
        <v>178.390651687508</v>
      </c>
    </row>
    <row r="2409" customFormat="false" ht="15" hidden="false" customHeight="false" outlineLevel="0" collapsed="false">
      <c r="A2409" s="4" t="s">
        <v>537</v>
      </c>
      <c r="B2409" s="0" t="s">
        <v>76</v>
      </c>
      <c r="C2409" s="14" t="n">
        <f aca="false">C2408/C2392</f>
        <v>0.0786441644406156</v>
      </c>
      <c r="D2409" s="14" t="n">
        <f aca="false">D2408/D2392</f>
        <v>0.127440779020437</v>
      </c>
      <c r="E2409" s="14" t="n">
        <f aca="false">E2408/E2392</f>
        <v>0.149267617452465</v>
      </c>
      <c r="F2409" s="14" t="n">
        <f aca="false">F2408/F2392</f>
        <v>0.125855827332965</v>
      </c>
      <c r="G2409" s="14" t="n">
        <f aca="false">G2408/G2392</f>
        <v>0.136211558836987</v>
      </c>
    </row>
    <row r="2410" customFormat="false" ht="15" hidden="false" customHeight="false" outlineLevel="0" collapsed="false">
      <c r="A2410" s="4" t="s">
        <v>456</v>
      </c>
      <c r="B2410" s="0" t="s">
        <v>234</v>
      </c>
      <c r="C2410" s="30" t="n">
        <f aca="false">a25_nonop</f>
        <v>0.545</v>
      </c>
      <c r="D2410" s="30" t="n">
        <f aca="false">a26_nonop</f>
        <v>4.302</v>
      </c>
      <c r="E2410" s="30" t="n">
        <f aca="false">nonop_f</f>
        <v>-5</v>
      </c>
      <c r="F2410" s="30" t="n">
        <f aca="false">nonop_f</f>
        <v>-5</v>
      </c>
      <c r="G2410" s="30" t="n">
        <f aca="false">nonop_f</f>
        <v>-5</v>
      </c>
    </row>
    <row r="2411" customFormat="false" ht="15" hidden="false" customHeight="false" outlineLevel="0" collapsed="false">
      <c r="A2411" s="4" t="s">
        <v>459</v>
      </c>
      <c r="B2411" s="0" t="s">
        <v>234</v>
      </c>
      <c r="C2411" s="30" t="n">
        <f aca="false">C2408+C2410</f>
        <v>51.301</v>
      </c>
      <c r="D2411" s="30" t="n">
        <f aca="false">D2408+D2410</f>
        <v>115.324245860986</v>
      </c>
      <c r="E2411" s="30" t="n">
        <f aca="false">E2408+E2410</f>
        <v>158.278356984383</v>
      </c>
      <c r="F2411" s="30" t="n">
        <f aca="false">F2408+F2410</f>
        <v>141.018038295367</v>
      </c>
      <c r="G2411" s="30" t="n">
        <f aca="false">G2408+G2410</f>
        <v>173.390651687508</v>
      </c>
    </row>
    <row r="2412" customFormat="false" ht="15" hidden="false" customHeight="false" outlineLevel="0" collapsed="false">
      <c r="A2412" s="4" t="s">
        <v>460</v>
      </c>
      <c r="B2412" s="0" t="s">
        <v>234</v>
      </c>
      <c r="C2412" s="30" t="n">
        <f aca="false">a25_tax</f>
        <v>9.461</v>
      </c>
      <c r="D2412" s="30" t="n">
        <f aca="false">a26_tax</f>
        <v>19.2197317963676</v>
      </c>
      <c r="E2412" s="30" t="n">
        <f aca="false">E2411*tax</f>
        <v>26.9073206873452</v>
      </c>
      <c r="F2412" s="30" t="n">
        <f aca="false">F2411*tax</f>
        <v>23.9730665102125</v>
      </c>
      <c r="G2412" s="30" t="n">
        <f aca="false">G2411*tax</f>
        <v>29.4764107868763</v>
      </c>
    </row>
    <row r="2413" customFormat="false" ht="15" hidden="false" customHeight="false" outlineLevel="0" collapsed="false">
      <c r="A2413" s="4" t="s">
        <v>461</v>
      </c>
      <c r="B2413" s="0" t="s">
        <v>234</v>
      </c>
      <c r="C2413" s="30" t="n">
        <f aca="false">a25_nci</f>
        <v>1.182</v>
      </c>
      <c r="D2413" s="30" t="n">
        <f aca="false">a26_nci</f>
        <v>2.543</v>
      </c>
      <c r="E2413" s="30" t="n">
        <f aca="false">nci</f>
        <v>3</v>
      </c>
      <c r="F2413" s="30" t="n">
        <f aca="false">nci</f>
        <v>3</v>
      </c>
      <c r="G2413" s="30" t="n">
        <f aca="false">nci</f>
        <v>3</v>
      </c>
    </row>
    <row r="2414" customFormat="false" ht="15" hidden="false" customHeight="false" outlineLevel="0" collapsed="false">
      <c r="A2414" s="4" t="s">
        <v>462</v>
      </c>
      <c r="B2414" s="0" t="s">
        <v>234</v>
      </c>
      <c r="C2414" s="30" t="n">
        <f aca="false">C2411-C2412-C2413</f>
        <v>40.658</v>
      </c>
      <c r="D2414" s="30" t="n">
        <f aca="false">D2411-D2412-D2413</f>
        <v>93.5615140646185</v>
      </c>
      <c r="E2414" s="30" t="n">
        <f aca="false">E2411-E2412-E2413</f>
        <v>128.371036297038</v>
      </c>
      <c r="F2414" s="30" t="n">
        <f aca="false">F2411-F2412-F2413</f>
        <v>114.044971785155</v>
      </c>
      <c r="G2414" s="30" t="n">
        <f aca="false">G2411-G2412-G2413</f>
        <v>140.914240900631</v>
      </c>
      <c r="H2414" s="31" t="n">
        <f aca="false">H2392*H2418</f>
        <v>150.417069011536</v>
      </c>
      <c r="I2414" s="31" t="n">
        <f aca="false">I2392*I2418</f>
        <v>156.097641497097</v>
      </c>
      <c r="J2414" s="31" t="n">
        <f aca="false">J2392*J2418</f>
        <v>157.360476263968</v>
      </c>
    </row>
    <row r="2415" customFormat="false" ht="15" hidden="false" customHeight="false" outlineLevel="0" collapsed="false">
      <c r="A2415" s="4" t="s">
        <v>579</v>
      </c>
      <c r="B2415" s="4" t="s">
        <v>580</v>
      </c>
      <c r="C2415" s="18" t="n">
        <f aca="false">a25_sh</f>
        <v>4339.16755602988</v>
      </c>
      <c r="D2415" s="18" t="n">
        <f aca="false">a26_sh</f>
        <v>4392.90105184664</v>
      </c>
      <c r="E2415" s="18" t="n">
        <f aca="false">D2415*(1+sh_g)</f>
        <v>4414.86555710588</v>
      </c>
      <c r="F2415" s="18" t="n">
        <f aca="false">E2415*(1+sh_g)</f>
        <v>4436.9398848914</v>
      </c>
      <c r="G2415" s="18" t="n">
        <f aca="false">F2415*(1+sh_g)</f>
        <v>4459.12458431586</v>
      </c>
      <c r="H2415" s="25" t="n">
        <f aca="false">G2415*(1+sh_g)</f>
        <v>4481.42020723744</v>
      </c>
      <c r="I2415" s="25" t="n">
        <f aca="false">H2415*(1+sh_g)</f>
        <v>4503.82730827363</v>
      </c>
      <c r="J2415" s="25" t="n">
        <f aca="false">I2415*(1+sh_g)</f>
        <v>4526.34644481499</v>
      </c>
    </row>
    <row r="2416" customFormat="false" ht="17.15" hidden="false" customHeight="false" outlineLevel="0" collapsed="false">
      <c r="A2416" s="0" t="s">
        <v>465</v>
      </c>
      <c r="B2416" s="0" t="s">
        <v>304</v>
      </c>
      <c r="C2416" s="19" t="n">
        <f aca="false">a25_eps</f>
        <v>9.37</v>
      </c>
      <c r="D2416" s="19" t="n">
        <f aca="false">a26_eps</f>
        <v>21.2828697294455</v>
      </c>
      <c r="E2416" s="19" t="n">
        <f aca="false">E2414/E2415*1000</f>
        <v>29.0769978466096</v>
      </c>
      <c r="F2416" s="19" t="n">
        <f aca="false">F2414/F2415*1000</f>
        <v>25.7035197103975</v>
      </c>
      <c r="G2416" s="19" t="n">
        <f aca="false">G2414/G2415*1000</f>
        <v>31.6013240348276</v>
      </c>
      <c r="H2416" s="28" t="n">
        <f aca="false">H2414/H2415*1000</f>
        <v>33.5645982870819</v>
      </c>
      <c r="I2416" s="28" t="n">
        <f aca="false">I2414/I2415*1000</f>
        <v>34.6588869449639</v>
      </c>
      <c r="J2416" s="28" t="n">
        <f aca="false">J2414/J2415*1000</f>
        <v>34.765451160776</v>
      </c>
    </row>
    <row r="2417" customFormat="false" ht="17.15" hidden="false" customHeight="false" outlineLevel="0" collapsed="false">
      <c r="A2417" s="0" t="s">
        <v>581</v>
      </c>
      <c r="B2417" s="0" t="s">
        <v>76</v>
      </c>
      <c r="D2417" s="21" t="n">
        <f aca="false">D2416/C2416-1</f>
        <v>1.27138417603474</v>
      </c>
      <c r="E2417" s="21" t="n">
        <f aca="false">E2416/D2416-1</f>
        <v>0.366216032717646</v>
      </c>
      <c r="F2417" s="21" t="n">
        <f aca="false">F2416/E2416-1</f>
        <v>-0.116018791004774</v>
      </c>
      <c r="G2417" s="21" t="n">
        <f aca="false">G2416/F2416-1</f>
        <v>0.229455124857642</v>
      </c>
      <c r="H2417" s="26" t="n">
        <f aca="false">H2416/G2416-1</f>
        <v>0.0621263289503504</v>
      </c>
      <c r="I2417" s="26" t="n">
        <f aca="false">I2416/H2416-1</f>
        <v>0.0326024655061394</v>
      </c>
      <c r="J2417" s="26" t="n">
        <f aca="false">J2416/I2416-1</f>
        <v>0.0030746577632812</v>
      </c>
    </row>
    <row r="2418" customFormat="false" ht="17.15" hidden="false" customHeight="false" outlineLevel="0" collapsed="false">
      <c r="A2418" s="4" t="s">
        <v>582</v>
      </c>
      <c r="B2418" s="0" t="s">
        <v>76</v>
      </c>
      <c r="C2418" s="14" t="n">
        <f aca="false">C2414/C2392</f>
        <v>0.0629977625862272</v>
      </c>
      <c r="D2418" s="14" t="n">
        <f aca="false">D2414/D2392</f>
        <v>0.107397865592237</v>
      </c>
      <c r="E2418" s="14" t="n">
        <f aca="false">E2414/E2392</f>
        <v>0.117355656266161</v>
      </c>
      <c r="F2418" s="14" t="n">
        <f aca="false">F2414/F2392</f>
        <v>0.0982976106565094</v>
      </c>
      <c r="G2418" s="14" t="n">
        <f aca="false">G2414/G2392</f>
        <v>0.107596156154128</v>
      </c>
      <c r="H2418" s="27" t="n">
        <f aca="false">$G2418+(fade_mB-$G2418)*1/3</f>
        <v>0.104485694126837</v>
      </c>
      <c r="I2418" s="27" t="n">
        <f aca="false">$G2418+(fade_mB-$G2418)*2/3</f>
        <v>0.101375232099545</v>
      </c>
      <c r="J2418" s="27" t="n">
        <f aca="false">$G2418+(fade_mB-$G2418)*3/3</f>
        <v>0.0982647700722541</v>
      </c>
    </row>
    <row r="2419" customFormat="false" ht="17.15" hidden="false" customHeight="false" outlineLevel="0" collapsed="false">
      <c r="A2419" s="4" t="s">
        <v>583</v>
      </c>
      <c r="B2419" s="0" t="s">
        <v>234</v>
      </c>
      <c r="C2419" s="30" t="n">
        <f aca="false">C2414+C2400-C2398</f>
        <v>-54.587</v>
      </c>
      <c r="D2419" s="30" t="n">
        <f aca="false">D2414+D2400-D2398</f>
        <v>-176.164485935382</v>
      </c>
      <c r="E2419" s="30" t="n">
        <f aca="false">E2414+E2400-E2398</f>
        <v>-156.789213702962</v>
      </c>
      <c r="F2419" s="30" t="n">
        <f aca="false">F2414+F2400-F2398</f>
        <v>-67.530503028463</v>
      </c>
      <c r="G2419" s="30" t="n">
        <f aca="false">G2414+G2400-G2398</f>
        <v>-62.8016504496559</v>
      </c>
      <c r="K2419" s="4" t="s">
        <v>584</v>
      </c>
    </row>
    <row r="2420" customFormat="false" ht="17.15" hidden="false" customHeight="false" outlineLevel="0" collapsed="false">
      <c r="A2420" s="4" t="s">
        <v>585</v>
      </c>
      <c r="B2420" s="0" t="s">
        <v>76</v>
      </c>
      <c r="D2420" s="21" t="n">
        <f aca="false">(D2408-$C2408)/SUM($D2398:D2398)</f>
        <v>0.164280348537512</v>
      </c>
      <c r="E2420" s="21" t="n">
        <f aca="false">(E2408-$C2408)/SUM($D2398:E2398)</f>
        <v>0.143734249197654</v>
      </c>
      <c r="F2420" s="21" t="n">
        <f aca="false">(F2408-$C2408)/SUM($D2398:F2398)</f>
        <v>0.0842348345366926</v>
      </c>
      <c r="G2420" s="21" t="n">
        <f aca="false">(G2408-$C2408)/SUM($D2398:G2398)</f>
        <v>0.0837603314599779</v>
      </c>
      <c r="K2420" s="4" t="s">
        <v>586</v>
      </c>
    </row>
    <row r="2423" customFormat="false" ht="17.15" hidden="false" customHeight="false" outlineLevel="0" collapsed="false">
      <c r="A2423" s="1" t="s">
        <v>963</v>
      </c>
    </row>
    <row r="2424" customFormat="false" ht="17.15" hidden="false" customHeight="false" outlineLevel="0" collapsed="false">
      <c r="A2424" s="5" t="s">
        <v>21</v>
      </c>
      <c r="B2424" s="5" t="s">
        <v>22</v>
      </c>
      <c r="C2424" s="15" t="s">
        <v>424</v>
      </c>
      <c r="D2424" s="15" t="s">
        <v>524</v>
      </c>
      <c r="E2424" s="15" t="s">
        <v>525</v>
      </c>
      <c r="F2424" s="15" t="s">
        <v>526</v>
      </c>
      <c r="G2424" s="15" t="s">
        <v>527</v>
      </c>
      <c r="H2424" s="15" t="s">
        <v>528</v>
      </c>
      <c r="I2424" s="15" t="s">
        <v>529</v>
      </c>
      <c r="J2424" s="15" t="s">
        <v>530</v>
      </c>
      <c r="K2424" s="5" t="s">
        <v>382</v>
      </c>
    </row>
    <row r="2425" customFormat="false" ht="17.15" hidden="false" customHeight="false" outlineLevel="0" collapsed="false">
      <c r="A2425" s="6" t="s">
        <v>548</v>
      </c>
    </row>
    <row r="2426" customFormat="false" ht="17.15" hidden="false" customHeight="false" outlineLevel="0" collapsed="false">
      <c r="A2426" s="0" t="s">
        <v>549</v>
      </c>
      <c r="B2426" s="4" t="s">
        <v>32</v>
      </c>
      <c r="D2426" s="19" t="n">
        <f aca="false">units_26</f>
        <v>15.2</v>
      </c>
      <c r="E2426" s="19" t="n">
        <f aca="false">units_27*1</f>
        <v>23.7</v>
      </c>
      <c r="F2426" s="19" t="n">
        <f aca="false">units_28*um28_C*1</f>
        <v>15.9</v>
      </c>
      <c r="G2426" s="19" t="n">
        <f aca="false">units_29*um29_C*1</f>
        <v>18.09</v>
      </c>
    </row>
    <row r="2427" customFormat="false" ht="17.15" hidden="false" customHeight="false" outlineLevel="0" collapsed="false">
      <c r="A2427" s="4" t="s">
        <v>497</v>
      </c>
      <c r="B2427" s="0" t="s">
        <v>45</v>
      </c>
      <c r="D2427" s="22" t="n">
        <f aca="false">ar_26</f>
        <v>1</v>
      </c>
      <c r="E2427" s="22" t="n">
        <f aca="false">ar_27</f>
        <v>1.278156</v>
      </c>
      <c r="F2427" s="22" t="n">
        <f aca="false">ar_28</f>
        <v>1.428615</v>
      </c>
      <c r="G2427" s="22" t="n">
        <f aca="false">ar_29</f>
        <v>1.431796</v>
      </c>
    </row>
    <row r="2428" customFormat="false" ht="17.15" hidden="false" customHeight="false" outlineLevel="0" collapsed="false">
      <c r="A2428" s="4" t="s">
        <v>550</v>
      </c>
      <c r="B2428" s="0" t="s">
        <v>45</v>
      </c>
      <c r="D2428" s="19" t="n">
        <f aca="false">1</f>
        <v>1</v>
      </c>
      <c r="E2428" s="19" t="n">
        <f aca="false">rel27_C</f>
        <v>1</v>
      </c>
      <c r="F2428" s="19" t="n">
        <f aca="false">rel28_C</f>
        <v>0.95</v>
      </c>
      <c r="G2428" s="19" t="n">
        <f aca="false">rel29_C</f>
        <v>0.92</v>
      </c>
    </row>
    <row r="2429" customFormat="false" ht="17.15" hidden="false" customHeight="false" outlineLevel="0" collapsed="false">
      <c r="A2429" s="4" t="s">
        <v>551</v>
      </c>
      <c r="B2429" s="0" t="s">
        <v>502</v>
      </c>
      <c r="D2429" s="23" t="n">
        <f aca="false">D2430*1000/D2426</f>
        <v>236.842105263158</v>
      </c>
      <c r="E2429" s="23" t="n">
        <f aca="false">$D2429*E2427^el</f>
        <v>267.763172119488</v>
      </c>
      <c r="F2429" s="23" t="n">
        <f aca="false">$D2429*F2427^el</f>
        <v>283.084777049615</v>
      </c>
      <c r="G2429" s="23" t="n">
        <f aca="false">$D2429*G2427^el</f>
        <v>283.399764630809</v>
      </c>
      <c r="K2429" s="8" t="s">
        <v>552</v>
      </c>
    </row>
    <row r="2430" customFormat="false" ht="17.15" hidden="false" customHeight="false" outlineLevel="0" collapsed="false">
      <c r="A2430" s="0" t="s">
        <v>553</v>
      </c>
      <c r="B2430" s="0" t="s">
        <v>120</v>
      </c>
      <c r="D2430" s="22" t="n">
        <f aca="false">leap26-D2431-D2432</f>
        <v>3.6</v>
      </c>
      <c r="E2430" s="22" t="n">
        <f aca="false">E2426*E2428*E2429/1000</f>
        <v>6.34598717923185</v>
      </c>
      <c r="F2430" s="22" t="n">
        <f aca="false">F2426*F2428*F2429/1000</f>
        <v>4.27599555733443</v>
      </c>
      <c r="G2430" s="22" t="n">
        <f aca="false">G2426*G2428*G2429/1000</f>
        <v>4.71656560279762</v>
      </c>
      <c r="K2430" s="8" t="s">
        <v>554</v>
      </c>
    </row>
    <row r="2431" customFormat="false" ht="17.15" hidden="false" customHeight="false" outlineLevel="0" collapsed="false">
      <c r="A2431" s="4" t="s">
        <v>555</v>
      </c>
      <c r="B2431" s="0" t="s">
        <v>120</v>
      </c>
      <c r="D2431" s="22" t="n">
        <f aca="false">fp26</f>
        <v>0.3</v>
      </c>
      <c r="E2431" s="22" t="n">
        <f aca="false">fp27_C</f>
        <v>0.7</v>
      </c>
      <c r="F2431" s="22" t="n">
        <f aca="false">E2431*F2426/E2426*(1+fp_g)</f>
        <v>0.610506329113924</v>
      </c>
      <c r="G2431" s="22" t="n">
        <f aca="false">F2431*G2426/F2426*(1+fp_g)</f>
        <v>0.902973417721519</v>
      </c>
    </row>
    <row r="2432" customFormat="false" ht="17.15" hidden="false" customHeight="false" outlineLevel="0" collapsed="false">
      <c r="A2432" s="0" t="s">
        <v>556</v>
      </c>
      <c r="B2432" s="0" t="s">
        <v>120</v>
      </c>
      <c r="D2432" s="22" t="n">
        <f aca="false">cpo27*cpo_C_26/cpo_A_27</f>
        <v>0.1</v>
      </c>
      <c r="E2432" s="22" t="n">
        <f aca="false">cpo27*cpo_C_27/cpo_A_27</f>
        <v>0.2</v>
      </c>
      <c r="F2432" s="22" t="n">
        <f aca="false">cpo27*cpo_C_28/cpo_A_27*F2426/E2426</f>
        <v>0.20126582278481</v>
      </c>
      <c r="G2432" s="22" t="n">
        <f aca="false">cpo27*cpo_C_29/cpo_A_27*G2426/E2426</f>
        <v>0.381645569620253</v>
      </c>
      <c r="K2432" s="8" t="s">
        <v>557</v>
      </c>
    </row>
    <row r="2433" customFormat="false" ht="17.15" hidden="false" customHeight="false" outlineLevel="0" collapsed="false">
      <c r="A2433" s="0" t="s">
        <v>510</v>
      </c>
      <c r="B2433" s="0" t="s">
        <v>120</v>
      </c>
      <c r="C2433" s="22" t="n">
        <f aca="false">leap25</f>
        <v>1.6</v>
      </c>
      <c r="D2433" s="22" t="n">
        <f aca="false">D2430+D2431+D2432</f>
        <v>4</v>
      </c>
      <c r="E2433" s="22" t="n">
        <f aca="false">E2430+E2431+E2432</f>
        <v>7.24598717923186</v>
      </c>
      <c r="F2433" s="22" t="n">
        <f aca="false">F2430+F2431+F2432</f>
        <v>5.08776770923316</v>
      </c>
      <c r="G2433" s="22" t="n">
        <f aca="false">G2430+G2431+G2432</f>
        <v>6.0011845901394</v>
      </c>
    </row>
    <row r="2434" customFormat="false" ht="17.15" hidden="false" customHeight="false" outlineLevel="0" collapsed="false">
      <c r="A2434" s="4" t="s">
        <v>558</v>
      </c>
      <c r="B2434" s="0" t="s">
        <v>114</v>
      </c>
      <c r="C2434" s="19" t="n">
        <f aca="false">fx25</f>
        <v>31</v>
      </c>
      <c r="D2434" s="19" t="n">
        <f aca="false">a26_leap/D2433</f>
        <v>31.9</v>
      </c>
      <c r="E2434" s="19" t="n">
        <f aca="false">fx</f>
        <v>32</v>
      </c>
      <c r="F2434" s="19" t="n">
        <f aca="false">fx</f>
        <v>32</v>
      </c>
      <c r="G2434" s="19" t="n">
        <f aca="false">fx</f>
        <v>32</v>
      </c>
      <c r="K2434" s="8" t="s">
        <v>559</v>
      </c>
    </row>
    <row r="2435" customFormat="false" ht="17.15" hidden="false" customHeight="false" outlineLevel="0" collapsed="false">
      <c r="A2435" s="6" t="s">
        <v>560</v>
      </c>
    </row>
    <row r="2436" customFormat="false" ht="17.15" hidden="false" customHeight="false" outlineLevel="0" collapsed="false">
      <c r="A2436" s="0" t="s">
        <v>438</v>
      </c>
      <c r="B2436" s="0" t="s">
        <v>234</v>
      </c>
      <c r="C2436" s="30" t="n">
        <f aca="false">a25_leap</f>
        <v>49.6</v>
      </c>
      <c r="D2436" s="30" t="n">
        <f aca="false">a26_leap</f>
        <v>127.6</v>
      </c>
      <c r="E2436" s="30" t="n">
        <f aca="false">E2433*E2434</f>
        <v>231.871589735419</v>
      </c>
      <c r="F2436" s="30" t="n">
        <f aca="false">F2433*F2434</f>
        <v>162.808566695461</v>
      </c>
      <c r="G2436" s="30" t="n">
        <f aca="false">G2433*G2434</f>
        <v>192.037906884461</v>
      </c>
    </row>
    <row r="2437" customFormat="false" ht="15" hidden="false" customHeight="false" outlineLevel="0" collapsed="false">
      <c r="A2437" s="4" t="s">
        <v>561</v>
      </c>
      <c r="B2437" s="0" t="s">
        <v>234</v>
      </c>
      <c r="C2437" s="30" t="n">
        <f aca="false">a25_ms</f>
        <v>339.628</v>
      </c>
      <c r="D2437" s="30" t="n">
        <f aca="false">a26_ms</f>
        <v>432.1302</v>
      </c>
      <c r="E2437" s="30" t="n">
        <f aca="false">D2437*(1+g_ms27)</f>
        <v>496.94973</v>
      </c>
      <c r="F2437" s="30" t="n">
        <f aca="false">E2437*(1+g_msL)</f>
        <v>531.7362111</v>
      </c>
      <c r="G2437" s="30" t="n">
        <f aca="false">F2437*(1+g_msL)</f>
        <v>568.957745877</v>
      </c>
    </row>
    <row r="2438" customFormat="false" ht="17.15" hidden="false" customHeight="false" outlineLevel="0" collapsed="false">
      <c r="A2438" s="4" t="s">
        <v>562</v>
      </c>
      <c r="B2438" s="0" t="s">
        <v>234</v>
      </c>
      <c r="C2438" s="30" t="n">
        <f aca="false">C2436+C2437</f>
        <v>389.228</v>
      </c>
      <c r="D2438" s="30" t="n">
        <f aca="false">D2436+D2437</f>
        <v>559.7302</v>
      </c>
      <c r="E2438" s="30" t="n">
        <f aca="false">E2436+E2437</f>
        <v>728.821319735419</v>
      </c>
      <c r="F2438" s="30" t="n">
        <f aca="false">F2436+F2437</f>
        <v>694.544777795461</v>
      </c>
      <c r="G2438" s="30" t="n">
        <f aca="false">G2436+G2437</f>
        <v>760.995652761461</v>
      </c>
    </row>
    <row r="2439" customFormat="false" ht="17.15" hidden="false" customHeight="false" outlineLevel="0" collapsed="false">
      <c r="A2439" s="0" t="s">
        <v>563</v>
      </c>
      <c r="B2439" s="0" t="s">
        <v>234</v>
      </c>
      <c r="C2439" s="30" t="n">
        <f aca="false">a25_ems</f>
        <v>259.079</v>
      </c>
      <c r="D2439" s="30" t="n">
        <f aca="false">a26_ems</f>
        <v>314.602</v>
      </c>
      <c r="E2439" s="30" t="n">
        <f aca="false">D2439*(1+g_ems27)</f>
        <v>346.0622</v>
      </c>
      <c r="F2439" s="30" t="n">
        <f aca="false">E2439*(1+g_emsL_hi)</f>
        <v>373.747176</v>
      </c>
      <c r="G2439" s="30" t="n">
        <f aca="false">F2439*(1+g_emsL_hi)</f>
        <v>403.64695008</v>
      </c>
    </row>
    <row r="2440" customFormat="false" ht="17.15" hidden="false" customHeight="false" outlineLevel="0" collapsed="false">
      <c r="A2440" s="4" t="s">
        <v>564</v>
      </c>
      <c r="B2440" s="0" t="s">
        <v>234</v>
      </c>
      <c r="C2440" s="30" t="n">
        <f aca="false">a25_elim</f>
        <v>-2.91899999999998</v>
      </c>
      <c r="D2440" s="30" t="n">
        <f aca="false">a26_elim</f>
        <v>-3.16484905982349</v>
      </c>
      <c r="E2440" s="30" t="n">
        <f aca="false">$D2440/($D2438+$D2439)*(E2438+E2439)</f>
        <v>-3.89079127687897</v>
      </c>
      <c r="F2440" s="30" t="n">
        <f aca="false">$D2440/($D2438+$D2439)*(F2438+F2439)</f>
        <v>-3.86693156855776</v>
      </c>
      <c r="G2440" s="30" t="n">
        <f aca="false">$D2440/($D2438+$D2439)*(G2438+G2439)</f>
        <v>-4.21569518614684</v>
      </c>
      <c r="K2440" s="4" t="s">
        <v>565</v>
      </c>
    </row>
    <row r="2441" customFormat="false" ht="17.15" hidden="false" customHeight="false" outlineLevel="0" collapsed="false">
      <c r="A2441" s="4" t="s">
        <v>431</v>
      </c>
      <c r="B2441" s="0" t="s">
        <v>234</v>
      </c>
      <c r="C2441" s="30" t="n">
        <f aca="false">C2438+C2439+C2440</f>
        <v>645.388</v>
      </c>
      <c r="D2441" s="30" t="n">
        <f aca="false">D2438+D2439+D2440</f>
        <v>871.167350940177</v>
      </c>
      <c r="E2441" s="30" t="n">
        <f aca="false">E2438+E2439+E2440</f>
        <v>1070.99272845854</v>
      </c>
      <c r="F2441" s="30" t="n">
        <f aca="false">F2438+F2439+F2440</f>
        <v>1064.4250222269</v>
      </c>
      <c r="G2441" s="30" t="n">
        <f aca="false">G2438+G2439+G2440</f>
        <v>1160.42690765531</v>
      </c>
      <c r="H2441" s="31" t="n">
        <f aca="false">G2441*(1+H2442)</f>
        <v>1237.93670109453</v>
      </c>
      <c r="I2441" s="31" t="n">
        <f aca="false">H2441*(1+I2442)</f>
        <v>1291.65956736409</v>
      </c>
      <c r="J2441" s="31" t="n">
        <f aca="false">I2441*(1+J2442)</f>
        <v>1317.49275871137</v>
      </c>
      <c r="K2441" s="8" t="s">
        <v>566</v>
      </c>
    </row>
    <row r="2442" customFormat="false" ht="15" hidden="false" customHeight="false" outlineLevel="0" collapsed="false">
      <c r="A2442" s="4" t="s">
        <v>567</v>
      </c>
      <c r="B2442" s="0" t="s">
        <v>76</v>
      </c>
      <c r="D2442" s="21" t="n">
        <f aca="false">D2441/C2441-1</f>
        <v>0.349835061916516</v>
      </c>
      <c r="E2442" s="21" t="n">
        <f aca="false">E2441/D2441-1</f>
        <v>0.229376568466104</v>
      </c>
      <c r="F2442" s="21" t="n">
        <f aca="false">F2441/E2441-1</f>
        <v>-0.0061323537098984</v>
      </c>
      <c r="G2442" s="21" t="n">
        <f aca="false">G2441/F2441-1</f>
        <v>0.0901913083812733</v>
      </c>
      <c r="H2442" s="26" t="n">
        <f aca="false">$G2442+(fade_gC-$G2442)*1/3</f>
        <v>0.0667942055875156</v>
      </c>
      <c r="I2442" s="26" t="n">
        <f aca="false">$G2442+(fade_gC-$G2442)*2/3</f>
        <v>0.0433971027937578</v>
      </c>
      <c r="J2442" s="26" t="n">
        <f aca="false">$G2442+(fade_gC-$G2442)*3/3</f>
        <v>0.02</v>
      </c>
    </row>
    <row r="2443" customFormat="false" ht="17.15" hidden="false" customHeight="false" outlineLevel="0" collapsed="false">
      <c r="A2443" s="0" t="s">
        <v>475</v>
      </c>
      <c r="B2443" s="0" t="s">
        <v>76</v>
      </c>
      <c r="C2443" s="21" t="n">
        <f aca="false">C2436/C2438</f>
        <v>0.127431736668482</v>
      </c>
      <c r="D2443" s="21" t="n">
        <f aca="false">D2436/D2438</f>
        <v>0.227966974088588</v>
      </c>
      <c r="E2443" s="21" t="n">
        <f aca="false">E2436/E2438</f>
        <v>0.31814600294568</v>
      </c>
      <c r="F2443" s="21" t="n">
        <f aca="false">F2436/F2438</f>
        <v>0.234410468411019</v>
      </c>
      <c r="G2443" s="21" t="n">
        <f aca="false">G2436/G2438</f>
        <v>0.252350859282315</v>
      </c>
    </row>
    <row r="2444" customFormat="false" ht="15" hidden="false" customHeight="false" outlineLevel="0" collapsed="false">
      <c r="A2444" s="4" t="s">
        <v>568</v>
      </c>
      <c r="B2444" s="0" t="s">
        <v>76</v>
      </c>
      <c r="D2444" s="21" t="n">
        <f aca="false">D2438/C2438-1</f>
        <v>0.438052247012034</v>
      </c>
      <c r="E2444" s="21" t="n">
        <f aca="false">E2438/D2438-1</f>
        <v>0.302093972659362</v>
      </c>
      <c r="F2444" s="21" t="n">
        <f aca="false">F2438/E2438-1</f>
        <v>-0.047030103280186</v>
      </c>
      <c r="G2444" s="21" t="n">
        <f aca="false">G2438/F2438-1</f>
        <v>0.0956754367614998</v>
      </c>
    </row>
    <row r="2445" customFormat="false" ht="17.15" hidden="false" customHeight="false" outlineLevel="0" collapsed="false">
      <c r="A2445" s="6" t="s">
        <v>569</v>
      </c>
    </row>
    <row r="2446" customFormat="false" ht="17.15" hidden="false" customHeight="false" outlineLevel="0" collapsed="false">
      <c r="A2446" s="4" t="s">
        <v>570</v>
      </c>
      <c r="B2446" s="0" t="s">
        <v>120</v>
      </c>
      <c r="C2446" s="19" t="n">
        <f aca="false">capex25</f>
        <v>5.5</v>
      </c>
      <c r="D2446" s="19" t="n">
        <f aca="false">capex26</f>
        <v>11.5</v>
      </c>
      <c r="E2446" s="19" t="n">
        <f aca="false">capex27</f>
        <v>13</v>
      </c>
      <c r="F2446" s="19" t="n">
        <f aca="false">capi*F2441/F2434</f>
        <v>9.97898458337722</v>
      </c>
      <c r="G2446" s="19" t="n">
        <f aca="false">capi*G2441/G2434</f>
        <v>10.8790022592686</v>
      </c>
      <c r="K2446" s="8" t="s">
        <v>571</v>
      </c>
    </row>
    <row r="2447" customFormat="false" ht="15" hidden="false" customHeight="false" outlineLevel="0" collapsed="false">
      <c r="A2447" s="4" t="s">
        <v>572</v>
      </c>
      <c r="B2447" s="0" t="s">
        <v>234</v>
      </c>
      <c r="C2447" s="30" t="n">
        <f aca="false">C2446*C2434</f>
        <v>170.5</v>
      </c>
      <c r="D2447" s="30" t="n">
        <f aca="false">D2446*31.9</f>
        <v>366.85</v>
      </c>
      <c r="E2447" s="30" t="n">
        <f aca="false">E2446*E2434</f>
        <v>416</v>
      </c>
      <c r="F2447" s="30" t="n">
        <f aca="false">F2446*F2434</f>
        <v>319.327506668071</v>
      </c>
      <c r="G2447" s="30" t="n">
        <f aca="false">G2446*G2434</f>
        <v>348.128072296594</v>
      </c>
    </row>
    <row r="2448" customFormat="false" ht="17.15" hidden="false" customHeight="false" outlineLevel="0" collapsed="false">
      <c r="A2448" s="4" t="s">
        <v>473</v>
      </c>
      <c r="B2448" s="0" t="s">
        <v>76</v>
      </c>
      <c r="C2448" s="21" t="n">
        <f aca="false">C2447/C2441</f>
        <v>0.264182166386732</v>
      </c>
      <c r="D2448" s="21" t="n">
        <f aca="false">D2447/D2441</f>
        <v>0.421101639775745</v>
      </c>
      <c r="E2448" s="21" t="n">
        <f aca="false">E2447/E2441</f>
        <v>0.388424672685445</v>
      </c>
      <c r="F2448" s="21" t="n">
        <f aca="false">F2447/F2441</f>
        <v>0.3</v>
      </c>
      <c r="G2448" s="21" t="n">
        <f aca="false">G2447/G2441</f>
        <v>0.3</v>
      </c>
    </row>
    <row r="2449" customFormat="false" ht="17.15" hidden="false" customHeight="false" outlineLevel="0" collapsed="false">
      <c r="A2449" s="4" t="s">
        <v>573</v>
      </c>
      <c r="B2449" s="0" t="s">
        <v>234</v>
      </c>
      <c r="C2449" s="30" t="n">
        <f aca="false">a25_da</f>
        <v>75.255</v>
      </c>
      <c r="D2449" s="30" t="n">
        <f aca="false">a26_da</f>
        <v>97.124</v>
      </c>
      <c r="E2449" s="30" t="n">
        <f aca="false">D2449*(1-1/life)+D2447/life</f>
        <v>130.83975</v>
      </c>
      <c r="F2449" s="30" t="n">
        <f aca="false">E2449*(1-1/life)+E2447/life</f>
        <v>166.48478125</v>
      </c>
      <c r="G2449" s="30" t="n">
        <f aca="false">F2449*(1-1/life)+F2447/life</f>
        <v>185.590121927259</v>
      </c>
      <c r="K2449" s="4" t="s">
        <v>574</v>
      </c>
    </row>
    <row r="2450" customFormat="false" ht="17.15" hidden="false" customHeight="false" outlineLevel="0" collapsed="false">
      <c r="A2450" s="4" t="s">
        <v>575</v>
      </c>
      <c r="B2450" s="0" t="s">
        <v>234</v>
      </c>
      <c r="C2450" s="30" t="n">
        <f aca="false">a25_agp</f>
        <v>91.38</v>
      </c>
      <c r="D2450" s="30" t="n">
        <f aca="false">a26_agp</f>
        <v>164.623388</v>
      </c>
      <c r="E2450" s="30" t="n">
        <f aca="false">$D2450+ft*(E2438-$D2438)-(E2449-$D2449)</f>
        <v>215.45319786771</v>
      </c>
      <c r="F2450" s="30" t="n">
        <f aca="false">$D2450+ft*(F2438-$D2438)-(F2449-$D2449)</f>
        <v>162.669895647731</v>
      </c>
      <c r="G2450" s="30" t="n">
        <f aca="false">$D2450+ft*(G2438-$D2438)-(G2449-$D2449)</f>
        <v>176.789992453471</v>
      </c>
      <c r="K2450" s="4" t="s">
        <v>576</v>
      </c>
    </row>
    <row r="2451" customFormat="false" ht="15" hidden="false" customHeight="false" outlineLevel="0" collapsed="false">
      <c r="A2451" s="4" t="s">
        <v>447</v>
      </c>
      <c r="B2451" s="0" t="s">
        <v>76</v>
      </c>
      <c r="C2451" s="14" t="n">
        <f aca="false">C2450/C2438</f>
        <v>0.234772421305764</v>
      </c>
      <c r="D2451" s="14" t="n">
        <f aca="false">D2450/D2438</f>
        <v>0.294112034690999</v>
      </c>
      <c r="E2451" s="14" t="n">
        <f aca="false">E2450/E2438</f>
        <v>0.295618681882035</v>
      </c>
      <c r="F2451" s="14" t="n">
        <f aca="false">F2450/F2438</f>
        <v>0.234210810948802</v>
      </c>
      <c r="G2451" s="14" t="n">
        <f aca="false">G2450/G2438</f>
        <v>0.232314063571776</v>
      </c>
    </row>
    <row r="2452" customFormat="false" ht="17.15" hidden="false" customHeight="false" outlineLevel="0" collapsed="false">
      <c r="A2452" s="0" t="s">
        <v>449</v>
      </c>
      <c r="B2452" s="0" t="s">
        <v>234</v>
      </c>
      <c r="C2452" s="30" t="n">
        <f aca="false">a25_egp</f>
        <v>23.695</v>
      </c>
      <c r="D2452" s="30" t="n">
        <f aca="false">a26_egp</f>
        <v>27.00552</v>
      </c>
      <c r="E2452" s="30" t="n">
        <f aca="false">E2439*ems_gm</f>
        <v>29.415287</v>
      </c>
      <c r="F2452" s="30" t="n">
        <f aca="false">F2439*ems_gm</f>
        <v>31.76850996</v>
      </c>
      <c r="G2452" s="30" t="n">
        <f aca="false">G2439*ems_gm</f>
        <v>34.3099907568</v>
      </c>
    </row>
    <row r="2453" customFormat="false" ht="15" hidden="false" customHeight="false" outlineLevel="0" collapsed="false">
      <c r="A2453" s="4" t="s">
        <v>577</v>
      </c>
      <c r="B2453" s="0" t="s">
        <v>234</v>
      </c>
      <c r="C2453" s="30" t="n">
        <f aca="false">a25_lgp</f>
        <v>-0.881999999999998</v>
      </c>
      <c r="D2453" s="30" t="n">
        <f aca="false">a26_lgp</f>
        <v>-0.948662139013863</v>
      </c>
      <c r="E2453" s="30" t="n">
        <f aca="false">$D2453/$D2440*E2440</f>
        <v>-1.16626300509458</v>
      </c>
      <c r="F2453" s="30" t="n">
        <f aca="false">$D2453/$D2440*F2440</f>
        <v>-1.15911106782857</v>
      </c>
      <c r="G2453" s="30" t="n">
        <f aca="false">$D2453/$D2440*G2440</f>
        <v>-1.26365281159524</v>
      </c>
    </row>
    <row r="2454" customFormat="false" ht="15" hidden="false" customHeight="false" outlineLevel="0" collapsed="false">
      <c r="A2454" s="4" t="s">
        <v>451</v>
      </c>
      <c r="B2454" s="0" t="s">
        <v>234</v>
      </c>
      <c r="C2454" s="30" t="n">
        <f aca="false">C2450+C2452+C2453</f>
        <v>114.193</v>
      </c>
      <c r="D2454" s="30" t="n">
        <f aca="false">D2450+D2452+D2453</f>
        <v>190.680245860986</v>
      </c>
      <c r="E2454" s="30" t="n">
        <f aca="false">E2450+E2452+E2453</f>
        <v>243.702221862615</v>
      </c>
      <c r="F2454" s="30" t="n">
        <f aca="false">F2450+F2452+F2453</f>
        <v>193.279294539902</v>
      </c>
      <c r="G2454" s="30" t="n">
        <f aca="false">G2450+G2452+G2453</f>
        <v>209.836330398676</v>
      </c>
    </row>
    <row r="2455" customFormat="false" ht="15" hidden="false" customHeight="false" outlineLevel="0" collapsed="false">
      <c r="A2455" s="4" t="s">
        <v>452</v>
      </c>
      <c r="B2455" s="0" t="s">
        <v>76</v>
      </c>
      <c r="C2455" s="14" t="n">
        <f aca="false">C2454/C2441</f>
        <v>0.176936974347214</v>
      </c>
      <c r="D2455" s="14" t="n">
        <f aca="false">D2454/D2441</f>
        <v>0.218879008327391</v>
      </c>
      <c r="E2455" s="14" t="n">
        <f aca="false">E2454/E2441</f>
        <v>0.227547970576207</v>
      </c>
      <c r="F2455" s="14" t="n">
        <f aca="false">F2454/F2441</f>
        <v>0.181580938538573</v>
      </c>
      <c r="G2455" s="14" t="n">
        <f aca="false">G2454/G2441</f>
        <v>0.180826839686662</v>
      </c>
    </row>
    <row r="2456" customFormat="false" ht="15" hidden="false" customHeight="false" outlineLevel="0" collapsed="false">
      <c r="A2456" s="4" t="s">
        <v>578</v>
      </c>
      <c r="B2456" s="0" t="s">
        <v>234</v>
      </c>
      <c r="C2456" s="30" t="n">
        <f aca="false">a25_opx</f>
        <v>63.437</v>
      </c>
      <c r="D2456" s="30" t="n">
        <f aca="false">a26_opx</f>
        <v>79.658</v>
      </c>
      <c r="E2456" s="30" t="n">
        <f aca="false">D2456*(1+phi*E2442)</f>
        <v>90.6210072145237</v>
      </c>
      <c r="F2456" s="30" t="n">
        <f aca="false">E2456*(1+phi*F2442)</f>
        <v>90.2875751726517</v>
      </c>
      <c r="G2456" s="30" t="n">
        <f aca="false">F2456*(1+phi*G2442)</f>
        <v>95.1734678938881</v>
      </c>
    </row>
    <row r="2457" customFormat="false" ht="15" hidden="false" customHeight="false" outlineLevel="0" collapsed="false">
      <c r="A2457" s="4" t="s">
        <v>455</v>
      </c>
      <c r="B2457" s="0" t="s">
        <v>234</v>
      </c>
      <c r="C2457" s="30" t="n">
        <f aca="false">C2454-C2456</f>
        <v>50.756</v>
      </c>
      <c r="D2457" s="30" t="n">
        <f aca="false">D2454-D2456</f>
        <v>111.022245860986</v>
      </c>
      <c r="E2457" s="30" t="n">
        <f aca="false">E2454-E2456</f>
        <v>153.081214648091</v>
      </c>
      <c r="F2457" s="30" t="n">
        <f aca="false">F2454-F2456</f>
        <v>102.99171936725</v>
      </c>
      <c r="G2457" s="30" t="n">
        <f aca="false">G2454-G2456</f>
        <v>114.662862504788</v>
      </c>
    </row>
    <row r="2458" customFormat="false" ht="15" hidden="false" customHeight="false" outlineLevel="0" collapsed="false">
      <c r="A2458" s="4" t="s">
        <v>537</v>
      </c>
      <c r="B2458" s="0" t="s">
        <v>76</v>
      </c>
      <c r="C2458" s="14" t="n">
        <f aca="false">C2457/C2441</f>
        <v>0.0786441644406156</v>
      </c>
      <c r="D2458" s="14" t="n">
        <f aca="false">D2457/D2441</f>
        <v>0.127440779020437</v>
      </c>
      <c r="E2458" s="14" t="n">
        <f aca="false">E2457/E2441</f>
        <v>0.142933943975902</v>
      </c>
      <c r="F2458" s="14" t="n">
        <f aca="false">F2457/F2441</f>
        <v>0.096758078038958</v>
      </c>
      <c r="G2458" s="14" t="n">
        <f aca="false">G2457/G2441</f>
        <v>0.0988109304845996</v>
      </c>
    </row>
    <row r="2459" customFormat="false" ht="15" hidden="false" customHeight="false" outlineLevel="0" collapsed="false">
      <c r="A2459" s="4" t="s">
        <v>456</v>
      </c>
      <c r="B2459" s="0" t="s">
        <v>234</v>
      </c>
      <c r="C2459" s="30" t="n">
        <f aca="false">a25_nonop</f>
        <v>0.545</v>
      </c>
      <c r="D2459" s="30" t="n">
        <f aca="false">a26_nonop</f>
        <v>4.302</v>
      </c>
      <c r="E2459" s="30" t="n">
        <f aca="false">nonop_f</f>
        <v>-5</v>
      </c>
      <c r="F2459" s="30" t="n">
        <f aca="false">nonop_f</f>
        <v>-5</v>
      </c>
      <c r="G2459" s="30" t="n">
        <f aca="false">nonop_f</f>
        <v>-5</v>
      </c>
    </row>
    <row r="2460" customFormat="false" ht="15" hidden="false" customHeight="false" outlineLevel="0" collapsed="false">
      <c r="A2460" s="4" t="s">
        <v>459</v>
      </c>
      <c r="B2460" s="0" t="s">
        <v>234</v>
      </c>
      <c r="C2460" s="30" t="n">
        <f aca="false">C2457+C2459</f>
        <v>51.301</v>
      </c>
      <c r="D2460" s="30" t="n">
        <f aca="false">D2457+D2459</f>
        <v>115.324245860986</v>
      </c>
      <c r="E2460" s="30" t="n">
        <f aca="false">E2457+E2459</f>
        <v>148.081214648091</v>
      </c>
      <c r="F2460" s="30" t="n">
        <f aca="false">F2457+F2459</f>
        <v>97.9917193672503</v>
      </c>
      <c r="G2460" s="30" t="n">
        <f aca="false">G2457+G2459</f>
        <v>109.662862504788</v>
      </c>
    </row>
    <row r="2461" customFormat="false" ht="15" hidden="false" customHeight="false" outlineLevel="0" collapsed="false">
      <c r="A2461" s="4" t="s">
        <v>460</v>
      </c>
      <c r="B2461" s="0" t="s">
        <v>234</v>
      </c>
      <c r="C2461" s="30" t="n">
        <f aca="false">a25_tax</f>
        <v>9.461</v>
      </c>
      <c r="D2461" s="30" t="n">
        <f aca="false">a26_tax</f>
        <v>19.2197317963676</v>
      </c>
      <c r="E2461" s="30" t="n">
        <f aca="false">E2460*tax</f>
        <v>25.1738064901755</v>
      </c>
      <c r="F2461" s="30" t="n">
        <f aca="false">F2460*tax</f>
        <v>16.6585922924326</v>
      </c>
      <c r="G2461" s="30" t="n">
        <f aca="false">G2460*tax</f>
        <v>18.642686625814</v>
      </c>
    </row>
    <row r="2462" customFormat="false" ht="15" hidden="false" customHeight="false" outlineLevel="0" collapsed="false">
      <c r="A2462" s="4" t="s">
        <v>461</v>
      </c>
      <c r="B2462" s="0" t="s">
        <v>234</v>
      </c>
      <c r="C2462" s="30" t="n">
        <f aca="false">a25_nci</f>
        <v>1.182</v>
      </c>
      <c r="D2462" s="30" t="n">
        <f aca="false">a26_nci</f>
        <v>2.543</v>
      </c>
      <c r="E2462" s="30" t="n">
        <f aca="false">nci</f>
        <v>3</v>
      </c>
      <c r="F2462" s="30" t="n">
        <f aca="false">nci</f>
        <v>3</v>
      </c>
      <c r="G2462" s="30" t="n">
        <f aca="false">nci</f>
        <v>3</v>
      </c>
    </row>
    <row r="2463" customFormat="false" ht="15" hidden="false" customHeight="false" outlineLevel="0" collapsed="false">
      <c r="A2463" s="4" t="s">
        <v>462</v>
      </c>
      <c r="B2463" s="0" t="s">
        <v>234</v>
      </c>
      <c r="C2463" s="30" t="n">
        <f aca="false">C2460-C2461-C2462</f>
        <v>40.658</v>
      </c>
      <c r="D2463" s="30" t="n">
        <f aca="false">D2460-D2461-D2462</f>
        <v>93.5615140646185</v>
      </c>
      <c r="E2463" s="30" t="n">
        <f aca="false">E2460-E2461-E2462</f>
        <v>119.907408157916</v>
      </c>
      <c r="F2463" s="30" t="n">
        <f aca="false">F2460-F2461-F2462</f>
        <v>78.3331270748178</v>
      </c>
      <c r="G2463" s="30" t="n">
        <f aca="false">G2460-G2461-G2462</f>
        <v>88.0201758789741</v>
      </c>
      <c r="H2463" s="31" t="n">
        <f aca="false">H2441*H2467</f>
        <v>88.0363437642064</v>
      </c>
      <c r="I2463" s="31" t="n">
        <f aca="false">I2441*I2467</f>
        <v>85.7393559413924</v>
      </c>
      <c r="J2463" s="31" t="n">
        <f aca="false">J2441*J2467</f>
        <v>81.2142827758297</v>
      </c>
    </row>
    <row r="2464" customFormat="false" ht="15" hidden="false" customHeight="false" outlineLevel="0" collapsed="false">
      <c r="A2464" s="4" t="s">
        <v>579</v>
      </c>
      <c r="B2464" s="4" t="s">
        <v>580</v>
      </c>
      <c r="C2464" s="18" t="n">
        <f aca="false">a25_sh</f>
        <v>4339.16755602988</v>
      </c>
      <c r="D2464" s="18" t="n">
        <f aca="false">a26_sh</f>
        <v>4392.90105184664</v>
      </c>
      <c r="E2464" s="18" t="n">
        <f aca="false">D2464*(1+sh_g)</f>
        <v>4414.86555710588</v>
      </c>
      <c r="F2464" s="18" t="n">
        <f aca="false">E2464*(1+sh_g)</f>
        <v>4436.9398848914</v>
      </c>
      <c r="G2464" s="18" t="n">
        <f aca="false">F2464*(1+sh_g)</f>
        <v>4459.12458431586</v>
      </c>
      <c r="H2464" s="25" t="n">
        <f aca="false">G2464*(1+sh_g)</f>
        <v>4481.42020723744</v>
      </c>
      <c r="I2464" s="25" t="n">
        <f aca="false">H2464*(1+sh_g)</f>
        <v>4503.82730827363</v>
      </c>
      <c r="J2464" s="25" t="n">
        <f aca="false">I2464*(1+sh_g)</f>
        <v>4526.34644481499</v>
      </c>
    </row>
    <row r="2465" customFormat="false" ht="17.15" hidden="false" customHeight="false" outlineLevel="0" collapsed="false">
      <c r="A2465" s="0" t="s">
        <v>465</v>
      </c>
      <c r="B2465" s="0" t="s">
        <v>304</v>
      </c>
      <c r="C2465" s="19" t="n">
        <f aca="false">a25_eps</f>
        <v>9.37</v>
      </c>
      <c r="D2465" s="19" t="n">
        <f aca="false">a26_eps</f>
        <v>21.2828697294455</v>
      </c>
      <c r="E2465" s="19" t="n">
        <f aca="false">E2463/E2464*1000</f>
        <v>27.159922902957</v>
      </c>
      <c r="F2465" s="19" t="n">
        <f aca="false">F2463/F2464*1000</f>
        <v>17.6547641182961</v>
      </c>
      <c r="G2465" s="19" t="n">
        <f aca="false">G2463/G2464*1000</f>
        <v>19.7393399118223</v>
      </c>
      <c r="H2465" s="28" t="n">
        <f aca="false">H2463/H2464*1000</f>
        <v>19.6447419998751</v>
      </c>
      <c r="I2465" s="28" t="n">
        <f aca="false">I2463/I2464*1000</f>
        <v>19.0369989950297</v>
      </c>
      <c r="J2465" s="28" t="n">
        <f aca="false">J2463/J2464*1000</f>
        <v>17.9425688612196</v>
      </c>
    </row>
    <row r="2466" customFormat="false" ht="17.15" hidden="false" customHeight="false" outlineLevel="0" collapsed="false">
      <c r="A2466" s="0" t="s">
        <v>581</v>
      </c>
      <c r="B2466" s="0" t="s">
        <v>76</v>
      </c>
      <c r="D2466" s="21" t="n">
        <f aca="false">D2465/C2465-1</f>
        <v>1.27138417603474</v>
      </c>
      <c r="E2466" s="21" t="n">
        <f aca="false">E2465/D2465-1</f>
        <v>0.276140071720703</v>
      </c>
      <c r="F2466" s="21" t="n">
        <f aca="false">F2465/E2465-1</f>
        <v>-0.349970020851053</v>
      </c>
      <c r="G2466" s="21" t="n">
        <f aca="false">G2465/F2465-1</f>
        <v>0.118074406407156</v>
      </c>
      <c r="H2466" s="26" t="n">
        <f aca="false">H2465/G2465-1</f>
        <v>-0.0047923543730316</v>
      </c>
      <c r="I2466" s="26" t="n">
        <f aca="false">I2465/H2465-1</f>
        <v>-0.0309366753123694</v>
      </c>
      <c r="J2466" s="26" t="n">
        <f aca="false">J2465/I2465-1</f>
        <v>-0.0574896355300444</v>
      </c>
    </row>
    <row r="2467" customFormat="false" ht="17.15" hidden="false" customHeight="false" outlineLevel="0" collapsed="false">
      <c r="A2467" s="4" t="s">
        <v>582</v>
      </c>
      <c r="B2467" s="0" t="s">
        <v>76</v>
      </c>
      <c r="C2467" s="14" t="n">
        <f aca="false">C2463/C2441</f>
        <v>0.0629977625862272</v>
      </c>
      <c r="D2467" s="14" t="n">
        <f aca="false">D2463/D2441</f>
        <v>0.107397865592237</v>
      </c>
      <c r="E2467" s="14" t="n">
        <f aca="false">E2463/E2441</f>
        <v>0.111959124438218</v>
      </c>
      <c r="F2467" s="14" t="n">
        <f aca="false">F2463/F2441</f>
        <v>0.0735919632093349</v>
      </c>
      <c r="G2467" s="14" t="n">
        <f aca="false">G2463/G2441</f>
        <v>0.0758515467870546</v>
      </c>
      <c r="H2467" s="27" t="n">
        <f aca="false">$G2467+(fade_mC-$G2467)*1/3</f>
        <v>0.0711153839177469</v>
      </c>
      <c r="I2467" s="27" t="n">
        <f aca="false">$G2467+(fade_mC-$G2467)*2/3</f>
        <v>0.0663792210484392</v>
      </c>
      <c r="J2467" s="27" t="n">
        <f aca="false">$G2467+(fade_mC-$G2467)*3/3</f>
        <v>0.0616430581791315</v>
      </c>
    </row>
    <row r="2468" customFormat="false" ht="17.15" hidden="false" customHeight="false" outlineLevel="0" collapsed="false">
      <c r="A2468" s="4" t="s">
        <v>583</v>
      </c>
      <c r="B2468" s="0" t="s">
        <v>234</v>
      </c>
      <c r="C2468" s="30" t="n">
        <f aca="false">C2463+C2449-C2447</f>
        <v>-54.587</v>
      </c>
      <c r="D2468" s="30" t="n">
        <f aca="false">D2463+D2449-D2447</f>
        <v>-176.164485935382</v>
      </c>
      <c r="E2468" s="30" t="n">
        <f aca="false">E2463+E2449-E2447</f>
        <v>-165.252841842084</v>
      </c>
      <c r="F2468" s="30" t="n">
        <f aca="false">F2463+F2449-F2447</f>
        <v>-74.5095983432533</v>
      </c>
      <c r="G2468" s="30" t="n">
        <f aca="false">G2463+G2449-G2447</f>
        <v>-74.5177744903612</v>
      </c>
      <c r="K2468" s="4" t="s">
        <v>584</v>
      </c>
    </row>
    <row r="2469" customFormat="false" ht="17.15" hidden="false" customHeight="false" outlineLevel="0" collapsed="false">
      <c r="A2469" s="4" t="s">
        <v>585</v>
      </c>
      <c r="B2469" s="0" t="s">
        <v>76</v>
      </c>
      <c r="D2469" s="21" t="n">
        <f aca="false">(D2457-$C2457)/SUM($D2447:D2447)</f>
        <v>0.164280348537512</v>
      </c>
      <c r="E2469" s="21" t="n">
        <f aca="false">(E2457-$C2457)/SUM($D2447:E2447)</f>
        <v>0.130708583570405</v>
      </c>
      <c r="F2469" s="21" t="n">
        <f aca="false">(F2457-$C2457)/SUM($D2447:F2447)</f>
        <v>0.0473932003250194</v>
      </c>
      <c r="G2469" s="21" t="n">
        <f aca="false">(G2457-$C2457)/SUM($D2447:G2447)</f>
        <v>0.0440644119637253</v>
      </c>
      <c r="K2469" s="4" t="s">
        <v>586</v>
      </c>
    </row>
    <row r="2472" customFormat="false" ht="17.15" hidden="false" customHeight="false" outlineLevel="0" collapsed="false">
      <c r="A2472" s="1" t="s">
        <v>964</v>
      </c>
    </row>
    <row r="2473" customFormat="false" ht="17.15" hidden="false" customHeight="false" outlineLevel="0" collapsed="false">
      <c r="A2473" s="5" t="s">
        <v>21</v>
      </c>
      <c r="B2473" s="5" t="s">
        <v>22</v>
      </c>
      <c r="C2473" s="15" t="s">
        <v>424</v>
      </c>
      <c r="D2473" s="15" t="s">
        <v>524</v>
      </c>
      <c r="E2473" s="15" t="s">
        <v>525</v>
      </c>
      <c r="F2473" s="15" t="s">
        <v>526</v>
      </c>
      <c r="G2473" s="15" t="s">
        <v>527</v>
      </c>
      <c r="H2473" s="15" t="s">
        <v>528</v>
      </c>
      <c r="I2473" s="15" t="s">
        <v>529</v>
      </c>
      <c r="J2473" s="15" t="s">
        <v>530</v>
      </c>
      <c r="K2473" s="5" t="s">
        <v>382</v>
      </c>
    </row>
    <row r="2474" customFormat="false" ht="17.15" hidden="false" customHeight="false" outlineLevel="0" collapsed="false">
      <c r="A2474" s="6" t="s">
        <v>548</v>
      </c>
    </row>
    <row r="2475" customFormat="false" ht="17.15" hidden="false" customHeight="false" outlineLevel="0" collapsed="false">
      <c r="A2475" s="0" t="s">
        <v>549</v>
      </c>
      <c r="B2475" s="4" t="s">
        <v>32</v>
      </c>
      <c r="D2475" s="19" t="n">
        <f aca="false">units_26</f>
        <v>15.2</v>
      </c>
      <c r="E2475" s="19" t="n">
        <f aca="false">units_27*1</f>
        <v>23.7</v>
      </c>
      <c r="F2475" s="19" t="n">
        <f aca="false">units_28*um28_A*1</f>
        <v>26.5</v>
      </c>
      <c r="G2475" s="19" t="n">
        <f aca="false">units_29*um29_A*1</f>
        <v>30.15</v>
      </c>
    </row>
    <row r="2476" customFormat="false" ht="17.15" hidden="false" customHeight="false" outlineLevel="0" collapsed="false">
      <c r="A2476" s="4" t="s">
        <v>497</v>
      </c>
      <c r="B2476" s="0" t="s">
        <v>45</v>
      </c>
      <c r="D2476" s="22" t="n">
        <f aca="false">ar_26</f>
        <v>1</v>
      </c>
      <c r="E2476" s="22" t="n">
        <f aca="false">ar_27</f>
        <v>1.278156</v>
      </c>
      <c r="F2476" s="22" t="n">
        <f aca="false">ar_28</f>
        <v>1.428615</v>
      </c>
      <c r="G2476" s="22" t="n">
        <f aca="false">ar_29</f>
        <v>1.431796</v>
      </c>
    </row>
    <row r="2477" customFormat="false" ht="17.15" hidden="false" customHeight="false" outlineLevel="0" collapsed="false">
      <c r="A2477" s="4" t="s">
        <v>550</v>
      </c>
      <c r="B2477" s="0" t="s">
        <v>45</v>
      </c>
      <c r="D2477" s="19" t="n">
        <f aca="false">1</f>
        <v>1</v>
      </c>
      <c r="E2477" s="19" t="n">
        <f aca="false">rel27_A</f>
        <v>1.1</v>
      </c>
      <c r="F2477" s="19" t="n">
        <f aca="false">rel28_A</f>
        <v>1.15</v>
      </c>
      <c r="G2477" s="19" t="n">
        <f aca="false">rel29_A</f>
        <v>1.2</v>
      </c>
    </row>
    <row r="2478" customFormat="false" ht="17.15" hidden="false" customHeight="false" outlineLevel="0" collapsed="false">
      <c r="A2478" s="4" t="s">
        <v>551</v>
      </c>
      <c r="B2478" s="0" t="s">
        <v>502</v>
      </c>
      <c r="D2478" s="23" t="n">
        <f aca="false">D2479*1000/D2475</f>
        <v>236.842105263158</v>
      </c>
      <c r="E2478" s="23" t="n">
        <f aca="false">$D2478*E2476^el</f>
        <v>267.763172119488</v>
      </c>
      <c r="F2478" s="23" t="n">
        <f aca="false">$D2478*F2476^el</f>
        <v>283.084777049615</v>
      </c>
      <c r="G2478" s="23" t="n">
        <f aca="false">$D2478*G2476^el</f>
        <v>283.399764630809</v>
      </c>
      <c r="K2478" s="8" t="s">
        <v>552</v>
      </c>
    </row>
    <row r="2479" customFormat="false" ht="17.15" hidden="false" customHeight="false" outlineLevel="0" collapsed="false">
      <c r="A2479" s="0" t="s">
        <v>553</v>
      </c>
      <c r="B2479" s="0" t="s">
        <v>120</v>
      </c>
      <c r="D2479" s="22" t="n">
        <f aca="false">leap26-D2480-D2481</f>
        <v>3.6</v>
      </c>
      <c r="E2479" s="22" t="n">
        <f aca="false">E2475*E2477*E2478/1000</f>
        <v>6.98058589715504</v>
      </c>
      <c r="F2479" s="22" t="n">
        <f aca="false">F2475*F2477*F2478/1000</f>
        <v>8.627008580587</v>
      </c>
      <c r="G2479" s="22" t="n">
        <f aca="false">G2475*G2477*G2478/1000</f>
        <v>10.2534034843427</v>
      </c>
      <c r="K2479" s="8" t="s">
        <v>554</v>
      </c>
    </row>
    <row r="2480" customFormat="false" ht="17.15" hidden="false" customHeight="false" outlineLevel="0" collapsed="false">
      <c r="A2480" s="4" t="s">
        <v>555</v>
      </c>
      <c r="B2480" s="0" t="s">
        <v>120</v>
      </c>
      <c r="D2480" s="22" t="n">
        <f aca="false">fp26</f>
        <v>0.3</v>
      </c>
      <c r="E2480" s="22" t="n">
        <f aca="false">fp27_A</f>
        <v>1.2</v>
      </c>
      <c r="F2480" s="22" t="n">
        <f aca="false">E2480*F2475/E2475*(1+fp_g)</f>
        <v>1.74430379746835</v>
      </c>
      <c r="G2480" s="22" t="n">
        <f aca="false">F2480*G2475/F2475*(1+fp_g)</f>
        <v>2.57992405063291</v>
      </c>
    </row>
    <row r="2481" customFormat="false" ht="17.15" hidden="false" customHeight="false" outlineLevel="0" collapsed="false">
      <c r="A2481" s="0" t="s">
        <v>556</v>
      </c>
      <c r="B2481" s="0" t="s">
        <v>120</v>
      </c>
      <c r="D2481" s="22" t="n">
        <f aca="false">cpo27*cpo_A_26/cpo_A_27</f>
        <v>0.1</v>
      </c>
      <c r="E2481" s="22" t="n">
        <f aca="false">cpo27*cpo_A_27/cpo_A_27</f>
        <v>0.5</v>
      </c>
      <c r="F2481" s="22" t="n">
        <f aca="false">cpo27*cpo_A_28/cpo_A_27*F2475/E2475</f>
        <v>1.11814345991561</v>
      </c>
      <c r="G2481" s="22" t="n">
        <f aca="false">cpo27*cpo_A_29/cpo_A_27*G2475/E2475</f>
        <v>2.03544303797468</v>
      </c>
      <c r="K2481" s="8" t="s">
        <v>557</v>
      </c>
    </row>
    <row r="2482" customFormat="false" ht="17.15" hidden="false" customHeight="false" outlineLevel="0" collapsed="false">
      <c r="A2482" s="0" t="s">
        <v>510</v>
      </c>
      <c r="B2482" s="0" t="s">
        <v>120</v>
      </c>
      <c r="C2482" s="22" t="n">
        <f aca="false">leap25</f>
        <v>1.6</v>
      </c>
      <c r="D2482" s="22" t="n">
        <f aca="false">D2479+D2480+D2481</f>
        <v>4</v>
      </c>
      <c r="E2482" s="22" t="n">
        <f aca="false">E2479+E2480+E2481</f>
        <v>8.68058589715504</v>
      </c>
      <c r="F2482" s="22" t="n">
        <f aca="false">F2479+F2480+F2481</f>
        <v>11.489455837971</v>
      </c>
      <c r="G2482" s="22" t="n">
        <f aca="false">G2479+G2480+G2481</f>
        <v>14.8687705729503</v>
      </c>
    </row>
    <row r="2483" customFormat="false" ht="17.15" hidden="false" customHeight="false" outlineLevel="0" collapsed="false">
      <c r="A2483" s="4" t="s">
        <v>558</v>
      </c>
      <c r="B2483" s="0" t="s">
        <v>114</v>
      </c>
      <c r="C2483" s="19" t="n">
        <f aca="false">fx25</f>
        <v>31</v>
      </c>
      <c r="D2483" s="19" t="n">
        <f aca="false">a26_leap/D2482</f>
        <v>31.9</v>
      </c>
      <c r="E2483" s="19" t="n">
        <f aca="false">fx</f>
        <v>32</v>
      </c>
      <c r="F2483" s="19" t="n">
        <f aca="false">fx</f>
        <v>32</v>
      </c>
      <c r="G2483" s="19" t="n">
        <f aca="false">fx</f>
        <v>32</v>
      </c>
      <c r="K2483" s="8" t="s">
        <v>559</v>
      </c>
    </row>
    <row r="2484" customFormat="false" ht="17.15" hidden="false" customHeight="false" outlineLevel="0" collapsed="false">
      <c r="A2484" s="6" t="s">
        <v>560</v>
      </c>
    </row>
    <row r="2485" customFormat="false" ht="17.15" hidden="false" customHeight="false" outlineLevel="0" collapsed="false">
      <c r="A2485" s="0" t="s">
        <v>438</v>
      </c>
      <c r="B2485" s="0" t="s">
        <v>234</v>
      </c>
      <c r="C2485" s="30" t="n">
        <f aca="false">a25_leap</f>
        <v>49.6</v>
      </c>
      <c r="D2485" s="30" t="n">
        <f aca="false">a26_leap</f>
        <v>127.6</v>
      </c>
      <c r="E2485" s="30" t="n">
        <f aca="false">E2482*E2483</f>
        <v>277.778748708961</v>
      </c>
      <c r="F2485" s="30" t="n">
        <f aca="false">F2482*F2483</f>
        <v>367.662586815071</v>
      </c>
      <c r="G2485" s="30" t="n">
        <f aca="false">G2482*G2483</f>
        <v>475.800658334408</v>
      </c>
    </row>
    <row r="2486" customFormat="false" ht="15" hidden="false" customHeight="false" outlineLevel="0" collapsed="false">
      <c r="A2486" s="4" t="s">
        <v>561</v>
      </c>
      <c r="B2486" s="0" t="s">
        <v>234</v>
      </c>
      <c r="C2486" s="30" t="n">
        <f aca="false">a25_ms</f>
        <v>339.628</v>
      </c>
      <c r="D2486" s="30" t="n">
        <f aca="false">a26_ms</f>
        <v>432.1302</v>
      </c>
      <c r="E2486" s="30" t="n">
        <f aca="false">D2486*(1+g_ms27)</f>
        <v>496.94973</v>
      </c>
      <c r="F2486" s="30" t="n">
        <f aca="false">E2486*(1+g_msL)</f>
        <v>531.7362111</v>
      </c>
      <c r="G2486" s="30" t="n">
        <f aca="false">F2486*(1+g_msL)</f>
        <v>568.957745877</v>
      </c>
    </row>
    <row r="2487" customFormat="false" ht="17.15" hidden="false" customHeight="false" outlineLevel="0" collapsed="false">
      <c r="A2487" s="4" t="s">
        <v>562</v>
      </c>
      <c r="B2487" s="0" t="s">
        <v>234</v>
      </c>
      <c r="C2487" s="30" t="n">
        <f aca="false">C2485+C2486</f>
        <v>389.228</v>
      </c>
      <c r="D2487" s="30" t="n">
        <f aca="false">D2485+D2486</f>
        <v>559.7302</v>
      </c>
      <c r="E2487" s="30" t="n">
        <f aca="false">E2485+E2486</f>
        <v>774.728478708961</v>
      </c>
      <c r="F2487" s="30" t="n">
        <f aca="false">F2485+F2486</f>
        <v>899.398797915071</v>
      </c>
      <c r="G2487" s="30" t="n">
        <f aca="false">G2485+G2486</f>
        <v>1044.75840421141</v>
      </c>
    </row>
    <row r="2488" customFormat="false" ht="17.15" hidden="false" customHeight="false" outlineLevel="0" collapsed="false">
      <c r="A2488" s="0" t="s">
        <v>563</v>
      </c>
      <c r="B2488" s="0" t="s">
        <v>234</v>
      </c>
      <c r="C2488" s="30" t="n">
        <f aca="false">a25_ems</f>
        <v>259.079</v>
      </c>
      <c r="D2488" s="30" t="n">
        <f aca="false">a26_ems</f>
        <v>314.602</v>
      </c>
      <c r="E2488" s="30" t="n">
        <f aca="false">D2488*(1+g_ems27)</f>
        <v>346.0622</v>
      </c>
      <c r="F2488" s="30" t="n">
        <f aca="false">E2488*(1+g_emsL)</f>
        <v>363.36531</v>
      </c>
      <c r="G2488" s="30" t="n">
        <f aca="false">F2488*(1+g_emsL)</f>
        <v>381.5335755</v>
      </c>
    </row>
    <row r="2489" customFormat="false" ht="17.15" hidden="false" customHeight="false" outlineLevel="0" collapsed="false">
      <c r="A2489" s="4" t="s">
        <v>564</v>
      </c>
      <c r="B2489" s="0" t="s">
        <v>234</v>
      </c>
      <c r="C2489" s="30" t="n">
        <f aca="false">a25_elim</f>
        <v>-2.91899999999998</v>
      </c>
      <c r="D2489" s="30" t="n">
        <f aca="false">a26_elim</f>
        <v>-3.16484905982349</v>
      </c>
      <c r="E2489" s="30" t="n">
        <f aca="false">$D2489/($D2487+$D2488)*(E2487+E2488)</f>
        <v>-4.05696293213379</v>
      </c>
      <c r="F2489" s="30" t="n">
        <f aca="false">$D2489/($D2487+$D2488)*(F2487+F2488)</f>
        <v>-4.57086882962089</v>
      </c>
      <c r="G2489" s="30" t="n">
        <f aca="false">$D2489/($D2487+$D2488)*(G2487+G2488)</f>
        <v>-5.16279605283144</v>
      </c>
      <c r="K2489" s="4" t="s">
        <v>565</v>
      </c>
    </row>
    <row r="2490" customFormat="false" ht="17.15" hidden="false" customHeight="false" outlineLevel="0" collapsed="false">
      <c r="A2490" s="4" t="s">
        <v>431</v>
      </c>
      <c r="B2490" s="0" t="s">
        <v>234</v>
      </c>
      <c r="C2490" s="30" t="n">
        <f aca="false">C2487+C2488+C2489</f>
        <v>645.388</v>
      </c>
      <c r="D2490" s="30" t="n">
        <f aca="false">D2487+D2488+D2489</f>
        <v>871.167350940177</v>
      </c>
      <c r="E2490" s="30" t="n">
        <f aca="false">E2487+E2488+E2489</f>
        <v>1116.73371577683</v>
      </c>
      <c r="F2490" s="30" t="n">
        <f aca="false">F2487+F2488+F2489</f>
        <v>1258.19323908545</v>
      </c>
      <c r="G2490" s="30" t="n">
        <f aca="false">G2487+G2488+G2489</f>
        <v>1421.12918365858</v>
      </c>
      <c r="H2490" s="31" t="n">
        <f aca="false">G2490*(1+H2491)</f>
        <v>1572.24252669828</v>
      </c>
      <c r="I2490" s="31" t="n">
        <f aca="false">H2490*(1+I2491)</f>
        <v>1703.00066355907</v>
      </c>
      <c r="J2490" s="31" t="n">
        <f aca="false">I2490*(1+J2491)</f>
        <v>1805.18070337261</v>
      </c>
      <c r="K2490" s="8" t="s">
        <v>566</v>
      </c>
    </row>
    <row r="2491" customFormat="false" ht="15" hidden="false" customHeight="false" outlineLevel="0" collapsed="false">
      <c r="A2491" s="4" t="s">
        <v>567</v>
      </c>
      <c r="B2491" s="0" t="s">
        <v>76</v>
      </c>
      <c r="D2491" s="21" t="n">
        <f aca="false">D2490/C2490-1</f>
        <v>0.349835061916516</v>
      </c>
      <c r="E2491" s="21" t="n">
        <f aca="false">E2490/D2490-1</f>
        <v>0.281881965126026</v>
      </c>
      <c r="F2491" s="21" t="n">
        <f aca="false">F2490/E2490-1</f>
        <v>0.126672564202309</v>
      </c>
      <c r="G2491" s="21" t="n">
        <f aca="false">G2490/F2490-1</f>
        <v>0.129499936505429</v>
      </c>
      <c r="H2491" s="26" t="n">
        <f aca="false">$G2491+(fade_gA-$G2491)*1/3</f>
        <v>0.10633329100362</v>
      </c>
      <c r="I2491" s="26" t="n">
        <f aca="false">$G2491+(fade_gA-$G2491)*2/3</f>
        <v>0.0831666455018098</v>
      </c>
      <c r="J2491" s="26" t="n">
        <f aca="false">$G2491+(fade_gA-$G2491)*3/3</f>
        <v>0.06</v>
      </c>
    </row>
    <row r="2492" customFormat="false" ht="17.15" hidden="false" customHeight="false" outlineLevel="0" collapsed="false">
      <c r="A2492" s="0" t="s">
        <v>475</v>
      </c>
      <c r="B2492" s="0" t="s">
        <v>76</v>
      </c>
      <c r="C2492" s="21" t="n">
        <f aca="false">C2485/C2487</f>
        <v>0.127431736668482</v>
      </c>
      <c r="D2492" s="21" t="n">
        <f aca="false">D2485/D2487</f>
        <v>0.227966974088588</v>
      </c>
      <c r="E2492" s="21" t="n">
        <f aca="false">E2485/E2487</f>
        <v>0.35854980982739</v>
      </c>
      <c r="F2492" s="21" t="n">
        <f aca="false">F2485/F2487</f>
        <v>0.408787056050512</v>
      </c>
      <c r="G2492" s="21" t="n">
        <f aca="false">G2485/G2487</f>
        <v>0.455416923583923</v>
      </c>
    </row>
    <row r="2493" customFormat="false" ht="15" hidden="false" customHeight="false" outlineLevel="0" collapsed="false">
      <c r="A2493" s="4" t="s">
        <v>568</v>
      </c>
      <c r="B2493" s="0" t="s">
        <v>76</v>
      </c>
      <c r="D2493" s="21" t="n">
        <f aca="false">D2487/C2487-1</f>
        <v>0.438052247012034</v>
      </c>
      <c r="E2493" s="21" t="n">
        <f aca="false">E2487/D2487-1</f>
        <v>0.384110556673485</v>
      </c>
      <c r="F2493" s="21" t="n">
        <f aca="false">F2487/E2487-1</f>
        <v>0.160921306796241</v>
      </c>
      <c r="G2493" s="21" t="n">
        <f aca="false">G2487/F2487-1</f>
        <v>0.161618635285371</v>
      </c>
    </row>
    <row r="2494" customFormat="false" ht="17.15" hidden="false" customHeight="false" outlineLevel="0" collapsed="false">
      <c r="A2494" s="6" t="s">
        <v>569</v>
      </c>
    </row>
    <row r="2495" customFormat="false" ht="17.15" hidden="false" customHeight="false" outlineLevel="0" collapsed="false">
      <c r="A2495" s="4" t="s">
        <v>570</v>
      </c>
      <c r="B2495" s="0" t="s">
        <v>120</v>
      </c>
      <c r="C2495" s="19" t="n">
        <f aca="false">capex25</f>
        <v>5.5</v>
      </c>
      <c r="D2495" s="19" t="n">
        <f aca="false">capex26</f>
        <v>11.5</v>
      </c>
      <c r="E2495" s="19" t="n">
        <f aca="false">capex27</f>
        <v>13</v>
      </c>
      <c r="F2495" s="19" t="n">
        <f aca="false">capi*F2490/F2483</f>
        <v>11.7955616164261</v>
      </c>
      <c r="G2495" s="19" t="n">
        <f aca="false">capi*G2490/G2483</f>
        <v>13.3230860967992</v>
      </c>
      <c r="K2495" s="8" t="s">
        <v>571</v>
      </c>
    </row>
    <row r="2496" customFormat="false" ht="15" hidden="false" customHeight="false" outlineLevel="0" collapsed="false">
      <c r="A2496" s="4" t="s">
        <v>572</v>
      </c>
      <c r="B2496" s="0" t="s">
        <v>234</v>
      </c>
      <c r="C2496" s="30" t="n">
        <f aca="false">C2495*C2483</f>
        <v>170.5</v>
      </c>
      <c r="D2496" s="30" t="n">
        <f aca="false">D2495*31.9</f>
        <v>366.85</v>
      </c>
      <c r="E2496" s="30" t="n">
        <f aca="false">E2495*E2483</f>
        <v>416</v>
      </c>
      <c r="F2496" s="30" t="n">
        <f aca="false">F2495*F2483</f>
        <v>377.457971725635</v>
      </c>
      <c r="G2496" s="30" t="n">
        <f aca="false">G2495*G2483</f>
        <v>426.338755097573</v>
      </c>
    </row>
    <row r="2497" customFormat="false" ht="17.15" hidden="false" customHeight="false" outlineLevel="0" collapsed="false">
      <c r="A2497" s="4" t="s">
        <v>473</v>
      </c>
      <c r="B2497" s="0" t="s">
        <v>76</v>
      </c>
      <c r="C2497" s="21" t="n">
        <f aca="false">C2496/C2490</f>
        <v>0.264182166386732</v>
      </c>
      <c r="D2497" s="21" t="n">
        <f aca="false">D2496/D2490</f>
        <v>0.421101639775745</v>
      </c>
      <c r="E2497" s="21" t="n">
        <f aca="false">E2496/E2490</f>
        <v>0.372514946153139</v>
      </c>
      <c r="F2497" s="21" t="n">
        <f aca="false">F2496/F2490</f>
        <v>0.3</v>
      </c>
      <c r="G2497" s="21" t="n">
        <f aca="false">G2496/G2490</f>
        <v>0.3</v>
      </c>
    </row>
    <row r="2498" customFormat="false" ht="17.15" hidden="false" customHeight="false" outlineLevel="0" collapsed="false">
      <c r="A2498" s="4" t="s">
        <v>573</v>
      </c>
      <c r="B2498" s="0" t="s">
        <v>234</v>
      </c>
      <c r="C2498" s="30" t="n">
        <f aca="false">a25_da</f>
        <v>75.255</v>
      </c>
      <c r="D2498" s="30" t="n">
        <f aca="false">a26_da</f>
        <v>97.124</v>
      </c>
      <c r="E2498" s="30" t="n">
        <f aca="false">D2498*(1-1/life)+D2496/life</f>
        <v>130.83975</v>
      </c>
      <c r="F2498" s="30" t="n">
        <f aca="false">E2498*(1-1/life)+E2496/life</f>
        <v>166.48478125</v>
      </c>
      <c r="G2498" s="30" t="n">
        <f aca="false">F2498*(1-1/life)+F2496/life</f>
        <v>192.856430059454</v>
      </c>
      <c r="K2498" s="4" t="s">
        <v>574</v>
      </c>
    </row>
    <row r="2499" customFormat="false" ht="17.15" hidden="false" customHeight="false" outlineLevel="0" collapsed="false">
      <c r="A2499" s="4" t="s">
        <v>575</v>
      </c>
      <c r="B2499" s="0" t="s">
        <v>234</v>
      </c>
      <c r="C2499" s="30" t="n">
        <f aca="false">a25_agp</f>
        <v>91.38</v>
      </c>
      <c r="D2499" s="30" t="n">
        <f aca="false">a26_agp</f>
        <v>164.623388</v>
      </c>
      <c r="E2499" s="30" t="n">
        <f aca="false">$D2499+ft*(E2487-$D2487)-(E2498-$D2498)</f>
        <v>238.406777354481</v>
      </c>
      <c r="F2499" s="30" t="n">
        <f aca="false">$D2499+ft*(F2487-$D2487)-(F2498-$D2498)</f>
        <v>265.096905707536</v>
      </c>
      <c r="G2499" s="30" t="n">
        <f aca="false">$D2499+ft*(G2487-$D2487)-(G2498-$D2498)</f>
        <v>311.40506004625</v>
      </c>
      <c r="K2499" s="4" t="s">
        <v>576</v>
      </c>
    </row>
    <row r="2500" customFormat="false" ht="15" hidden="false" customHeight="false" outlineLevel="0" collapsed="false">
      <c r="A2500" s="4" t="s">
        <v>447</v>
      </c>
      <c r="B2500" s="0" t="s">
        <v>76</v>
      </c>
      <c r="C2500" s="14" t="n">
        <f aca="false">C2499/C2487</f>
        <v>0.234772421305764</v>
      </c>
      <c r="D2500" s="14" t="n">
        <f aca="false">D2499/D2487</f>
        <v>0.294112034690999</v>
      </c>
      <c r="E2500" s="14" t="n">
        <f aca="false">E2499/E2487</f>
        <v>0.307729461232368</v>
      </c>
      <c r="F2500" s="14" t="n">
        <f aca="false">F2499/F2487</f>
        <v>0.294749010474626</v>
      </c>
      <c r="G2500" s="14" t="n">
        <f aca="false">G2499/G2487</f>
        <v>0.298064182868479</v>
      </c>
    </row>
    <row r="2501" customFormat="false" ht="17.15" hidden="false" customHeight="false" outlineLevel="0" collapsed="false">
      <c r="A2501" s="0" t="s">
        <v>449</v>
      </c>
      <c r="B2501" s="0" t="s">
        <v>234</v>
      </c>
      <c r="C2501" s="30" t="n">
        <f aca="false">a25_egp</f>
        <v>23.695</v>
      </c>
      <c r="D2501" s="30" t="n">
        <f aca="false">a26_egp</f>
        <v>27.00552</v>
      </c>
      <c r="E2501" s="30" t="n">
        <f aca="false">E2488*ems_gm_lo</f>
        <v>25.954665</v>
      </c>
      <c r="F2501" s="30" t="n">
        <f aca="false">F2488*ems_gm_lo</f>
        <v>27.25239825</v>
      </c>
      <c r="G2501" s="30" t="n">
        <f aca="false">G2488*ems_gm_lo</f>
        <v>28.6150181625</v>
      </c>
    </row>
    <row r="2502" customFormat="false" ht="15" hidden="false" customHeight="false" outlineLevel="0" collapsed="false">
      <c r="A2502" s="4" t="s">
        <v>577</v>
      </c>
      <c r="B2502" s="0" t="s">
        <v>234</v>
      </c>
      <c r="C2502" s="30" t="n">
        <f aca="false">a25_lgp</f>
        <v>-0.881999999999998</v>
      </c>
      <c r="D2502" s="30" t="n">
        <f aca="false">a26_lgp</f>
        <v>-0.948662139013863</v>
      </c>
      <c r="E2502" s="30" t="n">
        <f aca="false">$D2502/$D2489*E2489</f>
        <v>-1.21607288699975</v>
      </c>
      <c r="F2502" s="30" t="n">
        <f aca="false">$D2502/$D2489*F2489</f>
        <v>-1.37011595785291</v>
      </c>
      <c r="G2502" s="30" t="n">
        <f aca="false">$D2502/$D2489*G2489</f>
        <v>-1.54754588739994</v>
      </c>
    </row>
    <row r="2503" customFormat="false" ht="15" hidden="false" customHeight="false" outlineLevel="0" collapsed="false">
      <c r="A2503" s="4" t="s">
        <v>451</v>
      </c>
      <c r="B2503" s="0" t="s">
        <v>234</v>
      </c>
      <c r="C2503" s="30" t="n">
        <f aca="false">C2499+C2501+C2502</f>
        <v>114.193</v>
      </c>
      <c r="D2503" s="30" t="n">
        <f aca="false">D2499+D2501+D2502</f>
        <v>190.680245860986</v>
      </c>
      <c r="E2503" s="30" t="n">
        <f aca="false">E2499+E2501+E2502</f>
        <v>263.145369467481</v>
      </c>
      <c r="F2503" s="30" t="n">
        <f aca="false">F2499+F2501+F2502</f>
        <v>290.979187999683</v>
      </c>
      <c r="G2503" s="30" t="n">
        <f aca="false">G2499+G2501+G2502</f>
        <v>338.47253232135</v>
      </c>
    </row>
    <row r="2504" customFormat="false" ht="15" hidden="false" customHeight="false" outlineLevel="0" collapsed="false">
      <c r="A2504" s="4" t="s">
        <v>452</v>
      </c>
      <c r="B2504" s="0" t="s">
        <v>76</v>
      </c>
      <c r="C2504" s="14" t="n">
        <f aca="false">C2503/C2490</f>
        <v>0.176936974347214</v>
      </c>
      <c r="D2504" s="14" t="n">
        <f aca="false">D2503/D2490</f>
        <v>0.218879008327391</v>
      </c>
      <c r="E2504" s="14" t="n">
        <f aca="false">E2503/E2490</f>
        <v>0.23563842100391</v>
      </c>
      <c r="F2504" s="14" t="n">
        <f aca="false">F2503/F2490</f>
        <v>0.231267486551738</v>
      </c>
      <c r="G2504" s="14" t="n">
        <f aca="false">G2503/G2490</f>
        <v>0.23817154429971</v>
      </c>
    </row>
    <row r="2505" customFormat="false" ht="15" hidden="false" customHeight="false" outlineLevel="0" collapsed="false">
      <c r="A2505" s="4" t="s">
        <v>578</v>
      </c>
      <c r="B2505" s="0" t="s">
        <v>234</v>
      </c>
      <c r="C2505" s="30" t="n">
        <f aca="false">a25_opx</f>
        <v>63.437</v>
      </c>
      <c r="D2505" s="30" t="n">
        <f aca="false">a26_opx</f>
        <v>79.658</v>
      </c>
      <c r="E2505" s="30" t="n">
        <f aca="false">D2505*(1+phi*E2491)</f>
        <v>93.1304921468054</v>
      </c>
      <c r="F2505" s="30" t="n">
        <f aca="false">E2505*(1+phi*F2491)</f>
        <v>100.208739094201</v>
      </c>
      <c r="G2505" s="30" t="n">
        <f aca="false">F2505*(1+phi*G2491)</f>
        <v>107.994954304194</v>
      </c>
    </row>
    <row r="2506" customFormat="false" ht="15" hidden="false" customHeight="false" outlineLevel="0" collapsed="false">
      <c r="A2506" s="4" t="s">
        <v>455</v>
      </c>
      <c r="B2506" s="0" t="s">
        <v>234</v>
      </c>
      <c r="C2506" s="30" t="n">
        <f aca="false">C2503-C2505</f>
        <v>50.756</v>
      </c>
      <c r="D2506" s="30" t="n">
        <f aca="false">D2503-D2505</f>
        <v>111.022245860986</v>
      </c>
      <c r="E2506" s="30" t="n">
        <f aca="false">E2503-E2505</f>
        <v>170.014877320676</v>
      </c>
      <c r="F2506" s="30" t="n">
        <f aca="false">F2503-F2505</f>
        <v>190.770448905482</v>
      </c>
      <c r="G2506" s="30" t="n">
        <f aca="false">G2503-G2505</f>
        <v>230.477578017156</v>
      </c>
    </row>
    <row r="2507" customFormat="false" ht="15" hidden="false" customHeight="false" outlineLevel="0" collapsed="false">
      <c r="A2507" s="4" t="s">
        <v>537</v>
      </c>
      <c r="B2507" s="0" t="s">
        <v>76</v>
      </c>
      <c r="C2507" s="14" t="n">
        <f aca="false">C2506/C2490</f>
        <v>0.0786441644406156</v>
      </c>
      <c r="D2507" s="14" t="n">
        <f aca="false">D2506/D2490</f>
        <v>0.127440779020437</v>
      </c>
      <c r="E2507" s="14" t="n">
        <f aca="false">E2506/E2490</f>
        <v>0.152242987669096</v>
      </c>
      <c r="F2507" s="14" t="n">
        <f aca="false">F2506/F2490</f>
        <v>0.151622535377911</v>
      </c>
      <c r="G2507" s="14" t="n">
        <f aca="false">G2506/G2490</f>
        <v>0.162179188681363</v>
      </c>
    </row>
    <row r="2508" customFormat="false" ht="15" hidden="false" customHeight="false" outlineLevel="0" collapsed="false">
      <c r="A2508" s="4" t="s">
        <v>456</v>
      </c>
      <c r="B2508" s="0" t="s">
        <v>234</v>
      </c>
      <c r="C2508" s="30" t="n">
        <f aca="false">a25_nonop</f>
        <v>0.545</v>
      </c>
      <c r="D2508" s="30" t="n">
        <f aca="false">a26_nonop</f>
        <v>4.302</v>
      </c>
      <c r="E2508" s="30" t="n">
        <f aca="false">nonop_f</f>
        <v>-5</v>
      </c>
      <c r="F2508" s="30" t="n">
        <f aca="false">nonop_f</f>
        <v>-5</v>
      </c>
      <c r="G2508" s="30" t="n">
        <f aca="false">nonop_f</f>
        <v>-5</v>
      </c>
    </row>
    <row r="2509" customFormat="false" ht="15" hidden="false" customHeight="false" outlineLevel="0" collapsed="false">
      <c r="A2509" s="4" t="s">
        <v>459</v>
      </c>
      <c r="B2509" s="0" t="s">
        <v>234</v>
      </c>
      <c r="C2509" s="30" t="n">
        <f aca="false">C2506+C2508</f>
        <v>51.301</v>
      </c>
      <c r="D2509" s="30" t="n">
        <f aca="false">D2506+D2508</f>
        <v>115.324245860986</v>
      </c>
      <c r="E2509" s="30" t="n">
        <f aca="false">E2506+E2508</f>
        <v>165.014877320676</v>
      </c>
      <c r="F2509" s="30" t="n">
        <f aca="false">F2506+F2508</f>
        <v>185.770448905482</v>
      </c>
      <c r="G2509" s="30" t="n">
        <f aca="false">G2506+G2508</f>
        <v>225.477578017156</v>
      </c>
    </row>
    <row r="2510" customFormat="false" ht="15" hidden="false" customHeight="false" outlineLevel="0" collapsed="false">
      <c r="A2510" s="4" t="s">
        <v>460</v>
      </c>
      <c r="B2510" s="0" t="s">
        <v>234</v>
      </c>
      <c r="C2510" s="30" t="n">
        <f aca="false">a25_tax</f>
        <v>9.461</v>
      </c>
      <c r="D2510" s="30" t="n">
        <f aca="false">a26_tax</f>
        <v>19.2197317963676</v>
      </c>
      <c r="E2510" s="30" t="n">
        <f aca="false">E2509*tax</f>
        <v>28.0525291445149</v>
      </c>
      <c r="F2510" s="30" t="n">
        <f aca="false">F2509*tax</f>
        <v>31.580976313932</v>
      </c>
      <c r="G2510" s="30" t="n">
        <f aca="false">G2509*tax</f>
        <v>38.3311882629166</v>
      </c>
    </row>
    <row r="2511" customFormat="false" ht="15" hidden="false" customHeight="false" outlineLevel="0" collapsed="false">
      <c r="A2511" s="4" t="s">
        <v>461</v>
      </c>
      <c r="B2511" s="0" t="s">
        <v>234</v>
      </c>
      <c r="C2511" s="30" t="n">
        <f aca="false">a25_nci</f>
        <v>1.182</v>
      </c>
      <c r="D2511" s="30" t="n">
        <f aca="false">a26_nci</f>
        <v>2.543</v>
      </c>
      <c r="E2511" s="30" t="n">
        <f aca="false">nci</f>
        <v>3</v>
      </c>
      <c r="F2511" s="30" t="n">
        <f aca="false">nci</f>
        <v>3</v>
      </c>
      <c r="G2511" s="30" t="n">
        <f aca="false">nci</f>
        <v>3</v>
      </c>
    </row>
    <row r="2512" customFormat="false" ht="15" hidden="false" customHeight="false" outlineLevel="0" collapsed="false">
      <c r="A2512" s="4" t="s">
        <v>462</v>
      </c>
      <c r="B2512" s="0" t="s">
        <v>234</v>
      </c>
      <c r="C2512" s="30" t="n">
        <f aca="false">C2509-C2510-C2511</f>
        <v>40.658</v>
      </c>
      <c r="D2512" s="30" t="n">
        <f aca="false">D2509-D2510-D2511</f>
        <v>93.5615140646185</v>
      </c>
      <c r="E2512" s="30" t="n">
        <f aca="false">E2509-E2510-E2511</f>
        <v>133.962348176161</v>
      </c>
      <c r="F2512" s="30" t="n">
        <f aca="false">F2509-F2510-F2511</f>
        <v>151.18947259155</v>
      </c>
      <c r="G2512" s="30" t="n">
        <f aca="false">G2509-G2510-G2511</f>
        <v>184.14638975424</v>
      </c>
      <c r="H2512" s="31" t="n">
        <f aca="false">H2490*H2516</f>
        <v>204.895100522761</v>
      </c>
      <c r="I2512" s="31" t="n">
        <f aca="false">I2490*I2516</f>
        <v>223.200481431236</v>
      </c>
      <c r="J2512" s="31" t="n">
        <f aca="false">J2490*J2516</f>
        <v>237.933349598446</v>
      </c>
    </row>
    <row r="2513" customFormat="false" ht="15" hidden="false" customHeight="false" outlineLevel="0" collapsed="false">
      <c r="A2513" s="4" t="s">
        <v>579</v>
      </c>
      <c r="B2513" s="4" t="s">
        <v>580</v>
      </c>
      <c r="C2513" s="18" t="n">
        <f aca="false">a25_sh</f>
        <v>4339.16755602988</v>
      </c>
      <c r="D2513" s="18" t="n">
        <f aca="false">a26_sh</f>
        <v>4392.90105184664</v>
      </c>
      <c r="E2513" s="18" t="n">
        <f aca="false">D2513*(1+sh_g)</f>
        <v>4414.86555710588</v>
      </c>
      <c r="F2513" s="18" t="n">
        <f aca="false">E2513*(1+sh_g)</f>
        <v>4436.9398848914</v>
      </c>
      <c r="G2513" s="18" t="n">
        <f aca="false">F2513*(1+sh_g)</f>
        <v>4459.12458431586</v>
      </c>
      <c r="H2513" s="25" t="n">
        <f aca="false">G2513*(1+sh_g)</f>
        <v>4481.42020723744</v>
      </c>
      <c r="I2513" s="25" t="n">
        <f aca="false">H2513*(1+sh_g)</f>
        <v>4503.82730827363</v>
      </c>
      <c r="J2513" s="25" t="n">
        <f aca="false">I2513*(1+sh_g)</f>
        <v>4526.34644481499</v>
      </c>
    </row>
    <row r="2514" customFormat="false" ht="17.15" hidden="false" customHeight="false" outlineLevel="0" collapsed="false">
      <c r="A2514" s="0" t="s">
        <v>465</v>
      </c>
      <c r="B2514" s="0" t="s">
        <v>304</v>
      </c>
      <c r="C2514" s="19" t="n">
        <f aca="false">a25_eps</f>
        <v>9.37</v>
      </c>
      <c r="D2514" s="19" t="n">
        <f aca="false">a26_eps</f>
        <v>21.2828697294455</v>
      </c>
      <c r="E2514" s="19" t="n">
        <f aca="false">E2512/E2513*1000</f>
        <v>30.343471719211</v>
      </c>
      <c r="F2514" s="19" t="n">
        <f aca="false">F2512/F2513*1000</f>
        <v>34.0751681370257</v>
      </c>
      <c r="G2514" s="19" t="n">
        <f aca="false">G2512/G2513*1000</f>
        <v>41.2965339434427</v>
      </c>
      <c r="H2514" s="28" t="n">
        <f aca="false">H2512/H2513*1000</f>
        <v>45.721019464289</v>
      </c>
      <c r="I2514" s="28" t="n">
        <f aca="false">I2512/I2513*1000</f>
        <v>49.5579573002749</v>
      </c>
      <c r="J2514" s="28" t="n">
        <f aca="false">J2512/J2513*1000</f>
        <v>52.5663142446825</v>
      </c>
    </row>
    <row r="2515" customFormat="false" ht="17.15" hidden="false" customHeight="false" outlineLevel="0" collapsed="false">
      <c r="A2515" s="0" t="s">
        <v>581</v>
      </c>
      <c r="B2515" s="0" t="s">
        <v>76</v>
      </c>
      <c r="D2515" s="21" t="n">
        <f aca="false">D2514/C2514-1</f>
        <v>1.27138417603474</v>
      </c>
      <c r="E2515" s="21" t="n">
        <f aca="false">E2514/D2514-1</f>
        <v>0.425722757548519</v>
      </c>
      <c r="F2515" s="21" t="n">
        <f aca="false">F2514/E2514-1</f>
        <v>0.122981854296261</v>
      </c>
      <c r="G2515" s="21" t="n">
        <f aca="false">G2514/F2514-1</f>
        <v>0.211924583244252</v>
      </c>
      <c r="H2515" s="26" t="n">
        <f aca="false">H2514/G2514-1</f>
        <v>0.107139391574747</v>
      </c>
      <c r="I2515" s="26" t="n">
        <f aca="false">I2514/H2514-1</f>
        <v>0.0839206535843489</v>
      </c>
      <c r="J2515" s="26" t="n">
        <f aca="false">J2514/I2514-1</f>
        <v>0.0607038124307611</v>
      </c>
    </row>
    <row r="2516" customFormat="false" ht="17.15" hidden="false" customHeight="false" outlineLevel="0" collapsed="false">
      <c r="A2516" s="4" t="s">
        <v>582</v>
      </c>
      <c r="B2516" s="0" t="s">
        <v>76</v>
      </c>
      <c r="C2516" s="14" t="n">
        <f aca="false">C2512/C2490</f>
        <v>0.0629977625862272</v>
      </c>
      <c r="D2516" s="14" t="n">
        <f aca="false">D2512/D2490</f>
        <v>0.107397865592237</v>
      </c>
      <c r="E2516" s="14" t="n">
        <f aca="false">E2512/E2490</f>
        <v>0.119959079128343</v>
      </c>
      <c r="F2516" s="14" t="n">
        <f aca="false">F2512/F2490</f>
        <v>0.120163952479546</v>
      </c>
      <c r="G2516" s="14" t="n">
        <f aca="false">G2512/G2490</f>
        <v>0.129577516155266</v>
      </c>
      <c r="H2516" s="27" t="n">
        <f aca="false">$G2516+(fade_mA-$G2516)*1/3</f>
        <v>0.130320289041565</v>
      </c>
      <c r="I2516" s="27" t="n">
        <f aca="false">$G2516+(fade_mA-$G2516)*2/3</f>
        <v>0.131063061927865</v>
      </c>
      <c r="J2516" s="27" t="n">
        <f aca="false">$G2516+(fade_mA-$G2516)*3/3</f>
        <v>0.131805834814164</v>
      </c>
    </row>
    <row r="2517" customFormat="false" ht="17.15" hidden="false" customHeight="false" outlineLevel="0" collapsed="false">
      <c r="A2517" s="4" t="s">
        <v>583</v>
      </c>
      <c r="B2517" s="0" t="s">
        <v>234</v>
      </c>
      <c r="C2517" s="30" t="n">
        <f aca="false">C2512+C2498-C2496</f>
        <v>-54.587</v>
      </c>
      <c r="D2517" s="30" t="n">
        <f aca="false">D2512+D2498-D2496</f>
        <v>-176.164485935382</v>
      </c>
      <c r="E2517" s="30" t="n">
        <f aca="false">E2512+E2498-E2496</f>
        <v>-151.197901823839</v>
      </c>
      <c r="F2517" s="30" t="n">
        <f aca="false">F2512+F2498-F2496</f>
        <v>-59.7837178840851</v>
      </c>
      <c r="G2517" s="30" t="n">
        <f aca="false">G2512+G2498-G2496</f>
        <v>-49.335935283879</v>
      </c>
      <c r="K2517" s="4" t="s">
        <v>584</v>
      </c>
    </row>
    <row r="2518" customFormat="false" ht="17.15" hidden="false" customHeight="false" outlineLevel="0" collapsed="false">
      <c r="A2518" s="4" t="s">
        <v>585</v>
      </c>
      <c r="B2518" s="0" t="s">
        <v>76</v>
      </c>
      <c r="D2518" s="21" t="n">
        <f aca="false">(D2506-$C2506)/SUM($D2496:D2496)</f>
        <v>0.164280348537512</v>
      </c>
      <c r="E2518" s="21" t="n">
        <f aca="false">(E2506-$C2506)/SUM($D2496:E2496)</f>
        <v>0.152339371936738</v>
      </c>
      <c r="F2518" s="21" t="n">
        <f aca="false">(F2506-$C2506)/SUM($D2496:F2496)</f>
        <v>0.120670074081495</v>
      </c>
      <c r="G2518" s="21" t="n">
        <f aca="false">(G2506-$C2506)/SUM($D2496:G2496)</f>
        <v>0.113271325606927</v>
      </c>
      <c r="K2518" s="4" t="s">
        <v>586</v>
      </c>
    </row>
    <row r="2521" customFormat="false" ht="17.15" hidden="false" customHeight="false" outlineLevel="0" collapsed="false">
      <c r="A2521" s="1" t="s">
        <v>965</v>
      </c>
    </row>
    <row r="2522" customFormat="false" ht="17.15" hidden="false" customHeight="false" outlineLevel="0" collapsed="false">
      <c r="A2522" s="5" t="s">
        <v>21</v>
      </c>
      <c r="B2522" s="5" t="s">
        <v>22</v>
      </c>
      <c r="C2522" s="15" t="s">
        <v>424</v>
      </c>
      <c r="D2522" s="15" t="s">
        <v>524</v>
      </c>
      <c r="E2522" s="15" t="s">
        <v>525</v>
      </c>
      <c r="F2522" s="15" t="s">
        <v>526</v>
      </c>
      <c r="G2522" s="15" t="s">
        <v>527</v>
      </c>
      <c r="H2522" s="15" t="s">
        <v>528</v>
      </c>
      <c r="I2522" s="15" t="s">
        <v>529</v>
      </c>
      <c r="J2522" s="15" t="s">
        <v>530</v>
      </c>
      <c r="K2522" s="5" t="s">
        <v>382</v>
      </c>
    </row>
    <row r="2523" customFormat="false" ht="17.15" hidden="false" customHeight="false" outlineLevel="0" collapsed="false">
      <c r="A2523" s="6" t="s">
        <v>548</v>
      </c>
    </row>
    <row r="2524" customFormat="false" ht="17.15" hidden="false" customHeight="false" outlineLevel="0" collapsed="false">
      <c r="A2524" s="0" t="s">
        <v>549</v>
      </c>
      <c r="B2524" s="4" t="s">
        <v>32</v>
      </c>
      <c r="D2524" s="19" t="n">
        <f aca="false">units_26</f>
        <v>15.2</v>
      </c>
      <c r="E2524" s="19" t="n">
        <f aca="false">units_27*1</f>
        <v>23.7</v>
      </c>
      <c r="F2524" s="19" t="n">
        <f aca="false">units_28*um28_B*1</f>
        <v>21.2</v>
      </c>
      <c r="G2524" s="19" t="n">
        <f aca="false">units_29*um29_B*1</f>
        <v>25.6275</v>
      </c>
    </row>
    <row r="2525" customFormat="false" ht="17.15" hidden="false" customHeight="false" outlineLevel="0" collapsed="false">
      <c r="A2525" s="4" t="s">
        <v>497</v>
      </c>
      <c r="B2525" s="0" t="s">
        <v>45</v>
      </c>
      <c r="D2525" s="22" t="n">
        <f aca="false">ar_26</f>
        <v>1</v>
      </c>
      <c r="E2525" s="22" t="n">
        <f aca="false">ar_27</f>
        <v>1.278156</v>
      </c>
      <c r="F2525" s="22" t="n">
        <f aca="false">ar_28</f>
        <v>1.428615</v>
      </c>
      <c r="G2525" s="22" t="n">
        <f aca="false">ar_29</f>
        <v>1.431796</v>
      </c>
    </row>
    <row r="2526" customFormat="false" ht="17.15" hidden="false" customHeight="false" outlineLevel="0" collapsed="false">
      <c r="A2526" s="4" t="s">
        <v>550</v>
      </c>
      <c r="B2526" s="0" t="s">
        <v>45</v>
      </c>
      <c r="D2526" s="19" t="n">
        <f aca="false">1</f>
        <v>1</v>
      </c>
      <c r="E2526" s="19" t="n">
        <f aca="false">rel27_B</f>
        <v>1.05</v>
      </c>
      <c r="F2526" s="19" t="n">
        <f aca="false">rel28_B</f>
        <v>1.08</v>
      </c>
      <c r="G2526" s="19" t="n">
        <f aca="false">rel29_B</f>
        <v>1.1</v>
      </c>
    </row>
    <row r="2527" customFormat="false" ht="17.15" hidden="false" customHeight="false" outlineLevel="0" collapsed="false">
      <c r="A2527" s="4" t="s">
        <v>551</v>
      </c>
      <c r="B2527" s="0" t="s">
        <v>502</v>
      </c>
      <c r="D2527" s="23" t="n">
        <f aca="false">D2528*1000/D2524</f>
        <v>236.842105263158</v>
      </c>
      <c r="E2527" s="23" t="n">
        <f aca="false">$D2527*E2525^el</f>
        <v>267.763172119488</v>
      </c>
      <c r="F2527" s="23" t="n">
        <f aca="false">$D2527*F2525^el</f>
        <v>283.084777049615</v>
      </c>
      <c r="G2527" s="23" t="n">
        <f aca="false">$D2527*G2525^el</f>
        <v>283.399764630809</v>
      </c>
      <c r="K2527" s="8" t="s">
        <v>552</v>
      </c>
    </row>
    <row r="2528" customFormat="false" ht="17.15" hidden="false" customHeight="false" outlineLevel="0" collapsed="false">
      <c r="A2528" s="0" t="s">
        <v>553</v>
      </c>
      <c r="B2528" s="0" t="s">
        <v>120</v>
      </c>
      <c r="D2528" s="22" t="n">
        <f aca="false">leap26-D2529-D2530</f>
        <v>3.6</v>
      </c>
      <c r="E2528" s="22" t="n">
        <f aca="false">E2524*E2526*E2527/1000</f>
        <v>6.66328653819345</v>
      </c>
      <c r="F2528" s="22" t="n">
        <f aca="false">F2524*F2526*F2527/1000</f>
        <v>6.48150905532798</v>
      </c>
      <c r="G2528" s="22" t="n">
        <f aca="false">G2524*G2526*G2527/1000</f>
        <v>7.98911021488366</v>
      </c>
      <c r="K2528" s="8" t="s">
        <v>554</v>
      </c>
    </row>
    <row r="2529" customFormat="false" ht="17.15" hidden="false" customHeight="false" outlineLevel="0" collapsed="false">
      <c r="A2529" s="4" t="s">
        <v>555</v>
      </c>
      <c r="B2529" s="0" t="s">
        <v>120</v>
      </c>
      <c r="D2529" s="22" t="n">
        <f aca="false">fp26</f>
        <v>0.3</v>
      </c>
      <c r="E2529" s="22" t="n">
        <f aca="false">fp27_B</f>
        <v>1</v>
      </c>
      <c r="F2529" s="22" t="n">
        <f aca="false">E2529*F2524/E2524*(1+fp_g)</f>
        <v>1.16286919831224</v>
      </c>
      <c r="G2529" s="22" t="n">
        <f aca="false">F2529*G2524/F2524*(1+fp_g)</f>
        <v>1.82744620253165</v>
      </c>
    </row>
    <row r="2530" customFormat="false" ht="17.15" hidden="false" customHeight="false" outlineLevel="0" collapsed="false">
      <c r="A2530" s="0" t="s">
        <v>556</v>
      </c>
      <c r="B2530" s="0" t="s">
        <v>120</v>
      </c>
      <c r="D2530" s="22" t="n">
        <f aca="false">cpo27*cpo_B_26/cpo_A_27</f>
        <v>0.1</v>
      </c>
      <c r="E2530" s="22" t="n">
        <f aca="false">cpo27*cpo_B_27/cpo_A_27</f>
        <v>0.3</v>
      </c>
      <c r="F2530" s="22" t="n">
        <f aca="false">cpo27*cpo_B_28/cpo_A_27*F2524/E2524</f>
        <v>0.447257383966245</v>
      </c>
      <c r="G2530" s="22" t="n">
        <f aca="false">cpo27*cpo_B_29/cpo_A_27*G2524/E2524</f>
        <v>0.86506329113924</v>
      </c>
      <c r="K2530" s="8" t="s">
        <v>557</v>
      </c>
    </row>
    <row r="2531" customFormat="false" ht="17.15" hidden="false" customHeight="false" outlineLevel="0" collapsed="false">
      <c r="A2531" s="0" t="s">
        <v>510</v>
      </c>
      <c r="B2531" s="0" t="s">
        <v>120</v>
      </c>
      <c r="C2531" s="22" t="n">
        <f aca="false">leap25</f>
        <v>1.6</v>
      </c>
      <c r="D2531" s="22" t="n">
        <f aca="false">D2528+D2529+D2530</f>
        <v>4</v>
      </c>
      <c r="E2531" s="22" t="n">
        <f aca="false">E2528+E2529+E2530</f>
        <v>7.96328653819345</v>
      </c>
      <c r="F2531" s="22" t="n">
        <f aca="false">F2528+F2529+F2530</f>
        <v>8.09163563760646</v>
      </c>
      <c r="G2531" s="22" t="n">
        <f aca="false">G2528+G2529+G2530</f>
        <v>10.6816197085545</v>
      </c>
    </row>
    <row r="2532" customFormat="false" ht="17.15" hidden="false" customHeight="false" outlineLevel="0" collapsed="false">
      <c r="A2532" s="4" t="s">
        <v>558</v>
      </c>
      <c r="B2532" s="0" t="s">
        <v>114</v>
      </c>
      <c r="C2532" s="19" t="n">
        <f aca="false">fx25</f>
        <v>31</v>
      </c>
      <c r="D2532" s="19" t="n">
        <f aca="false">a26_leap/D2531</f>
        <v>31.9</v>
      </c>
      <c r="E2532" s="19" t="n">
        <f aca="false">fx</f>
        <v>32</v>
      </c>
      <c r="F2532" s="19" t="n">
        <f aca="false">fx</f>
        <v>32</v>
      </c>
      <c r="G2532" s="19" t="n">
        <f aca="false">fx</f>
        <v>32</v>
      </c>
      <c r="K2532" s="8" t="s">
        <v>559</v>
      </c>
    </row>
    <row r="2533" customFormat="false" ht="17.15" hidden="false" customHeight="false" outlineLevel="0" collapsed="false">
      <c r="A2533" s="6" t="s">
        <v>560</v>
      </c>
    </row>
    <row r="2534" customFormat="false" ht="17.15" hidden="false" customHeight="false" outlineLevel="0" collapsed="false">
      <c r="A2534" s="0" t="s">
        <v>438</v>
      </c>
      <c r="B2534" s="0" t="s">
        <v>234</v>
      </c>
      <c r="C2534" s="30" t="n">
        <f aca="false">a25_leap</f>
        <v>49.6</v>
      </c>
      <c r="D2534" s="30" t="n">
        <f aca="false">a26_leap</f>
        <v>127.6</v>
      </c>
      <c r="E2534" s="30" t="n">
        <f aca="false">E2531*E2532</f>
        <v>254.82516922219</v>
      </c>
      <c r="F2534" s="30" t="n">
        <f aca="false">F2531*F2532</f>
        <v>258.932340403407</v>
      </c>
      <c r="G2534" s="30" t="n">
        <f aca="false">G2531*G2532</f>
        <v>341.811830673745</v>
      </c>
    </row>
    <row r="2535" customFormat="false" ht="15" hidden="false" customHeight="false" outlineLevel="0" collapsed="false">
      <c r="A2535" s="4" t="s">
        <v>561</v>
      </c>
      <c r="B2535" s="0" t="s">
        <v>234</v>
      </c>
      <c r="C2535" s="30" t="n">
        <f aca="false">a25_ms</f>
        <v>339.628</v>
      </c>
      <c r="D2535" s="30" t="n">
        <f aca="false">a26_ms</f>
        <v>432.1302</v>
      </c>
      <c r="E2535" s="30" t="n">
        <f aca="false">D2535*(1+g_ms27)</f>
        <v>496.94973</v>
      </c>
      <c r="F2535" s="30" t="n">
        <f aca="false">E2535*(1+g_msL)</f>
        <v>531.7362111</v>
      </c>
      <c r="G2535" s="30" t="n">
        <f aca="false">F2535*(1+g_msL)</f>
        <v>568.957745877</v>
      </c>
    </row>
    <row r="2536" customFormat="false" ht="17.15" hidden="false" customHeight="false" outlineLevel="0" collapsed="false">
      <c r="A2536" s="4" t="s">
        <v>562</v>
      </c>
      <c r="B2536" s="0" t="s">
        <v>234</v>
      </c>
      <c r="C2536" s="30" t="n">
        <f aca="false">C2534+C2535</f>
        <v>389.228</v>
      </c>
      <c r="D2536" s="30" t="n">
        <f aca="false">D2534+D2535</f>
        <v>559.7302</v>
      </c>
      <c r="E2536" s="30" t="n">
        <f aca="false">E2534+E2535</f>
        <v>751.77489922219</v>
      </c>
      <c r="F2536" s="30" t="n">
        <f aca="false">F2534+F2535</f>
        <v>790.668551503407</v>
      </c>
      <c r="G2536" s="30" t="n">
        <f aca="false">G2534+G2535</f>
        <v>910.769576550745</v>
      </c>
    </row>
    <row r="2537" customFormat="false" ht="17.15" hidden="false" customHeight="false" outlineLevel="0" collapsed="false">
      <c r="A2537" s="0" t="s">
        <v>563</v>
      </c>
      <c r="B2537" s="0" t="s">
        <v>234</v>
      </c>
      <c r="C2537" s="30" t="n">
        <f aca="false">a25_ems</f>
        <v>259.079</v>
      </c>
      <c r="D2537" s="30" t="n">
        <f aca="false">a26_ems</f>
        <v>314.602</v>
      </c>
      <c r="E2537" s="30" t="n">
        <f aca="false">D2537*(1+g_ems27)</f>
        <v>346.0622</v>
      </c>
      <c r="F2537" s="30" t="n">
        <f aca="false">E2537*(1+g_emsL)</f>
        <v>363.36531</v>
      </c>
      <c r="G2537" s="30" t="n">
        <f aca="false">F2537*(1+g_emsL)</f>
        <v>381.5335755</v>
      </c>
    </row>
    <row r="2538" customFormat="false" ht="17.15" hidden="false" customHeight="false" outlineLevel="0" collapsed="false">
      <c r="A2538" s="4" t="s">
        <v>564</v>
      </c>
      <c r="B2538" s="0" t="s">
        <v>234</v>
      </c>
      <c r="C2538" s="30" t="n">
        <f aca="false">a25_elim</f>
        <v>-2.91899999999998</v>
      </c>
      <c r="D2538" s="30" t="n">
        <f aca="false">a26_elim</f>
        <v>-3.16484905982349</v>
      </c>
      <c r="E2538" s="30" t="n">
        <f aca="false">$D2538/($D2536+$D2537)*(E2536+E2537)</f>
        <v>-3.97387710450638</v>
      </c>
      <c r="F2538" s="30" t="n">
        <f aca="false">$D2538/($D2536+$D2537)*(F2536+F2537)</f>
        <v>-4.17729437573445</v>
      </c>
      <c r="G2538" s="30" t="n">
        <f aca="false">$D2538/($D2536+$D2537)*(G2536+G2537)</f>
        <v>-4.67779228052533</v>
      </c>
      <c r="K2538" s="4" t="s">
        <v>565</v>
      </c>
    </row>
    <row r="2539" customFormat="false" ht="17.15" hidden="false" customHeight="false" outlineLevel="0" collapsed="false">
      <c r="A2539" s="4" t="s">
        <v>431</v>
      </c>
      <c r="B2539" s="0" t="s">
        <v>234</v>
      </c>
      <c r="C2539" s="30" t="n">
        <f aca="false">C2536+C2537+C2538</f>
        <v>645.388</v>
      </c>
      <c r="D2539" s="30" t="n">
        <f aca="false">D2536+D2537+D2538</f>
        <v>871.167350940177</v>
      </c>
      <c r="E2539" s="30" t="n">
        <f aca="false">E2536+E2537+E2538</f>
        <v>1093.86322211768</v>
      </c>
      <c r="F2539" s="30" t="n">
        <f aca="false">F2536+F2537+F2538</f>
        <v>1149.85656712767</v>
      </c>
      <c r="G2539" s="30" t="n">
        <f aca="false">G2536+G2537+G2538</f>
        <v>1287.62535977022</v>
      </c>
      <c r="H2539" s="31" t="n">
        <f aca="false">G2539*(1+H2540)</f>
        <v>1407.64396999115</v>
      </c>
      <c r="I2539" s="31" t="n">
        <f aca="false">H2539*(1+I2540)</f>
        <v>1501.39957757674</v>
      </c>
      <c r="J2539" s="31" t="n">
        <f aca="false">I2539*(1+J2540)</f>
        <v>1561.45556067981</v>
      </c>
      <c r="K2539" s="8" t="s">
        <v>566</v>
      </c>
    </row>
    <row r="2540" customFormat="false" ht="15" hidden="false" customHeight="false" outlineLevel="0" collapsed="false">
      <c r="A2540" s="4" t="s">
        <v>567</v>
      </c>
      <c r="B2540" s="0" t="s">
        <v>76</v>
      </c>
      <c r="D2540" s="21" t="n">
        <f aca="false">D2539/C2539-1</f>
        <v>0.349835061916516</v>
      </c>
      <c r="E2540" s="21" t="n">
        <f aca="false">E2539/D2539-1</f>
        <v>0.255629266796065</v>
      </c>
      <c r="F2540" s="21" t="n">
        <f aca="false">F2539/E2539-1</f>
        <v>0.0511886165270159</v>
      </c>
      <c r="G2540" s="21" t="n">
        <f aca="false">G2539/F2539-1</f>
        <v>0.11981389382042</v>
      </c>
      <c r="H2540" s="26" t="n">
        <f aca="false">$G2540+(fade_gB-$G2540)*1/3</f>
        <v>0.0932092625469469</v>
      </c>
      <c r="I2540" s="26" t="n">
        <f aca="false">$G2540+(fade_gB-$G2540)*2/3</f>
        <v>0.0666046312734734</v>
      </c>
      <c r="J2540" s="26" t="n">
        <f aca="false">$G2540+(fade_gB-$G2540)*3/3</f>
        <v>0.04</v>
      </c>
    </row>
    <row r="2541" customFormat="false" ht="17.15" hidden="false" customHeight="false" outlineLevel="0" collapsed="false">
      <c r="A2541" s="0" t="s">
        <v>475</v>
      </c>
      <c r="B2541" s="0" t="s">
        <v>76</v>
      </c>
      <c r="C2541" s="21" t="n">
        <f aca="false">C2534/C2536</f>
        <v>0.127431736668482</v>
      </c>
      <c r="D2541" s="21" t="n">
        <f aca="false">D2534/D2536</f>
        <v>0.227966974088588</v>
      </c>
      <c r="E2541" s="21" t="n">
        <f aca="false">E2534/E2536</f>
        <v>0.338964721335922</v>
      </c>
      <c r="F2541" s="21" t="n">
        <f aca="false">F2534/F2536</f>
        <v>0.327485315953269</v>
      </c>
      <c r="G2541" s="21" t="n">
        <f aca="false">G2534/G2536</f>
        <v>0.375300009436251</v>
      </c>
    </row>
    <row r="2542" customFormat="false" ht="15" hidden="false" customHeight="false" outlineLevel="0" collapsed="false">
      <c r="A2542" s="4" t="s">
        <v>568</v>
      </c>
      <c r="B2542" s="0" t="s">
        <v>76</v>
      </c>
      <c r="D2542" s="21" t="n">
        <f aca="false">D2536/C2536-1</f>
        <v>0.438052247012034</v>
      </c>
      <c r="E2542" s="21" t="n">
        <f aca="false">E2536/D2536-1</f>
        <v>0.343102264666424</v>
      </c>
      <c r="F2542" s="21" t="n">
        <f aca="false">F2536/E2536-1</f>
        <v>0.0517357686741828</v>
      </c>
      <c r="G2542" s="21" t="n">
        <f aca="false">G2536/F2536-1</f>
        <v>0.151898067551788</v>
      </c>
    </row>
    <row r="2543" customFormat="false" ht="17.15" hidden="false" customHeight="false" outlineLevel="0" collapsed="false">
      <c r="A2543" s="6" t="s">
        <v>569</v>
      </c>
    </row>
    <row r="2544" customFormat="false" ht="17.15" hidden="false" customHeight="false" outlineLevel="0" collapsed="false">
      <c r="A2544" s="4" t="s">
        <v>570</v>
      </c>
      <c r="B2544" s="0" t="s">
        <v>120</v>
      </c>
      <c r="C2544" s="19" t="n">
        <f aca="false">capex25</f>
        <v>5.5</v>
      </c>
      <c r="D2544" s="19" t="n">
        <f aca="false">capex26</f>
        <v>11.5</v>
      </c>
      <c r="E2544" s="19" t="n">
        <f aca="false">capex27</f>
        <v>13</v>
      </c>
      <c r="F2544" s="19" t="n">
        <f aca="false">capi*F2539/F2532</f>
        <v>10.7799053168219</v>
      </c>
      <c r="G2544" s="19" t="n">
        <f aca="false">capi*G2539/G2532</f>
        <v>12.0714877478458</v>
      </c>
      <c r="K2544" s="8" t="s">
        <v>571</v>
      </c>
    </row>
    <row r="2545" customFormat="false" ht="15" hidden="false" customHeight="false" outlineLevel="0" collapsed="false">
      <c r="A2545" s="4" t="s">
        <v>572</v>
      </c>
      <c r="B2545" s="0" t="s">
        <v>234</v>
      </c>
      <c r="C2545" s="30" t="n">
        <f aca="false">C2544*C2532</f>
        <v>170.5</v>
      </c>
      <c r="D2545" s="30" t="n">
        <f aca="false">D2544*31.9</f>
        <v>366.85</v>
      </c>
      <c r="E2545" s="30" t="n">
        <f aca="false">E2544*E2532</f>
        <v>416</v>
      </c>
      <c r="F2545" s="30" t="n">
        <f aca="false">F2544*F2532</f>
        <v>344.956970138302</v>
      </c>
      <c r="G2545" s="30" t="n">
        <f aca="false">G2544*G2532</f>
        <v>386.287607931066</v>
      </c>
    </row>
    <row r="2546" customFormat="false" ht="17.15" hidden="false" customHeight="false" outlineLevel="0" collapsed="false">
      <c r="A2546" s="4" t="s">
        <v>473</v>
      </c>
      <c r="B2546" s="0" t="s">
        <v>76</v>
      </c>
      <c r="C2546" s="21" t="n">
        <f aca="false">C2545/C2539</f>
        <v>0.264182166386732</v>
      </c>
      <c r="D2546" s="21" t="n">
        <f aca="false">D2545/D2539</f>
        <v>0.421101639775745</v>
      </c>
      <c r="E2546" s="21" t="n">
        <f aca="false">E2545/E2539</f>
        <v>0.380303489127861</v>
      </c>
      <c r="F2546" s="21" t="n">
        <f aca="false">F2545/F2539</f>
        <v>0.3</v>
      </c>
      <c r="G2546" s="21" t="n">
        <f aca="false">G2545/G2539</f>
        <v>0.3</v>
      </c>
    </row>
    <row r="2547" customFormat="false" ht="17.15" hidden="false" customHeight="false" outlineLevel="0" collapsed="false">
      <c r="A2547" s="4" t="s">
        <v>573</v>
      </c>
      <c r="B2547" s="0" t="s">
        <v>234</v>
      </c>
      <c r="C2547" s="30" t="n">
        <f aca="false">a25_da</f>
        <v>75.255</v>
      </c>
      <c r="D2547" s="30" t="n">
        <f aca="false">a26_da</f>
        <v>97.124</v>
      </c>
      <c r="E2547" s="30" t="n">
        <f aca="false">D2547*(1-1/life)+D2545/life</f>
        <v>130.83975</v>
      </c>
      <c r="F2547" s="30" t="n">
        <f aca="false">E2547*(1-1/life)+E2545/life</f>
        <v>166.48478125</v>
      </c>
      <c r="G2547" s="30" t="n">
        <f aca="false">F2547*(1-1/life)+F2545/life</f>
        <v>188.793804861038</v>
      </c>
      <c r="K2547" s="4" t="s">
        <v>574</v>
      </c>
    </row>
    <row r="2548" customFormat="false" ht="17.15" hidden="false" customHeight="false" outlineLevel="0" collapsed="false">
      <c r="A2548" s="4" t="s">
        <v>575</v>
      </c>
      <c r="B2548" s="0" t="s">
        <v>234</v>
      </c>
      <c r="C2548" s="30" t="n">
        <f aca="false">a25_agp</f>
        <v>91.38</v>
      </c>
      <c r="D2548" s="30" t="n">
        <f aca="false">a26_agp</f>
        <v>164.623388</v>
      </c>
      <c r="E2548" s="30" t="n">
        <f aca="false">$D2548+ft*(E2536-$D2536)-(E2547-$D2547)</f>
        <v>226.929987611095</v>
      </c>
      <c r="F2548" s="30" t="n">
        <f aca="false">$D2548+ft*(F2536-$D2536)-(F2547-$D2547)</f>
        <v>210.731782501703</v>
      </c>
      <c r="G2548" s="30" t="n">
        <f aca="false">$D2548+ft*(G2536-$D2536)-(G2547-$D2547)</f>
        <v>248.473271414335</v>
      </c>
      <c r="K2548" s="4" t="s">
        <v>576</v>
      </c>
    </row>
    <row r="2549" customFormat="false" ht="15" hidden="false" customHeight="false" outlineLevel="0" collapsed="false">
      <c r="A2549" s="4" t="s">
        <v>447</v>
      </c>
      <c r="B2549" s="0" t="s">
        <v>76</v>
      </c>
      <c r="C2549" s="14" t="n">
        <f aca="false">C2548/C2536</f>
        <v>0.234772421305764</v>
      </c>
      <c r="D2549" s="14" t="n">
        <f aca="false">D2548/D2536</f>
        <v>0.294112034690999</v>
      </c>
      <c r="E2549" s="14" t="n">
        <f aca="false">E2548/E2536</f>
        <v>0.301858957842147</v>
      </c>
      <c r="F2549" s="14" t="n">
        <f aca="false">F2548/F2536</f>
        <v>0.26652354150296</v>
      </c>
      <c r="G2549" s="14" t="n">
        <f aca="false">G2548/G2536</f>
        <v>0.272816832941818</v>
      </c>
    </row>
    <row r="2550" customFormat="false" ht="17.15" hidden="false" customHeight="false" outlineLevel="0" collapsed="false">
      <c r="A2550" s="0" t="s">
        <v>449</v>
      </c>
      <c r="B2550" s="0" t="s">
        <v>234</v>
      </c>
      <c r="C2550" s="30" t="n">
        <f aca="false">a25_egp</f>
        <v>23.695</v>
      </c>
      <c r="D2550" s="30" t="n">
        <f aca="false">a26_egp</f>
        <v>27.00552</v>
      </c>
      <c r="E2550" s="30" t="n">
        <f aca="false">E2537*ems_gm_lo</f>
        <v>25.954665</v>
      </c>
      <c r="F2550" s="30" t="n">
        <f aca="false">F2537*ems_gm_lo</f>
        <v>27.25239825</v>
      </c>
      <c r="G2550" s="30" t="n">
        <f aca="false">G2537*ems_gm_lo</f>
        <v>28.6150181625</v>
      </c>
    </row>
    <row r="2551" customFormat="false" ht="15" hidden="false" customHeight="false" outlineLevel="0" collapsed="false">
      <c r="A2551" s="4" t="s">
        <v>577</v>
      </c>
      <c r="B2551" s="0" t="s">
        <v>234</v>
      </c>
      <c r="C2551" s="30" t="n">
        <f aca="false">a25_lgp</f>
        <v>-0.881999999999998</v>
      </c>
      <c r="D2551" s="30" t="n">
        <f aca="false">a26_lgp</f>
        <v>-0.948662139013863</v>
      </c>
      <c r="E2551" s="30" t="n">
        <f aca="false">$D2551/$D2538*E2538</f>
        <v>-1.19116794604716</v>
      </c>
      <c r="F2551" s="30" t="n">
        <f aca="false">$D2551/$D2538*F2538</f>
        <v>-1.25214218525664</v>
      </c>
      <c r="G2551" s="30" t="n">
        <f aca="false">$D2551/$D2538*G2538</f>
        <v>-1.40216621608905</v>
      </c>
    </row>
    <row r="2552" customFormat="false" ht="15" hidden="false" customHeight="false" outlineLevel="0" collapsed="false">
      <c r="A2552" s="4" t="s">
        <v>451</v>
      </c>
      <c r="B2552" s="0" t="s">
        <v>234</v>
      </c>
      <c r="C2552" s="30" t="n">
        <f aca="false">C2548+C2550+C2551</f>
        <v>114.193</v>
      </c>
      <c r="D2552" s="30" t="n">
        <f aca="false">D2548+D2550+D2551</f>
        <v>190.680245860986</v>
      </c>
      <c r="E2552" s="30" t="n">
        <f aca="false">E2548+E2550+E2551</f>
        <v>251.693484665048</v>
      </c>
      <c r="F2552" s="30" t="n">
        <f aca="false">F2548+F2550+F2551</f>
        <v>236.732038566447</v>
      </c>
      <c r="G2552" s="30" t="n">
        <f aca="false">G2548+G2550+G2551</f>
        <v>275.686123360746</v>
      </c>
    </row>
    <row r="2553" customFormat="false" ht="15" hidden="false" customHeight="false" outlineLevel="0" collapsed="false">
      <c r="A2553" s="4" t="s">
        <v>452</v>
      </c>
      <c r="B2553" s="0" t="s">
        <v>76</v>
      </c>
      <c r="C2553" s="14" t="n">
        <f aca="false">C2552/C2539</f>
        <v>0.176936974347214</v>
      </c>
      <c r="D2553" s="14" t="n">
        <f aca="false">D2552/D2539</f>
        <v>0.218879008327391</v>
      </c>
      <c r="E2553" s="14" t="n">
        <f aca="false">E2552/E2539</f>
        <v>0.230095938482855</v>
      </c>
      <c r="F2553" s="14" t="n">
        <f aca="false">F2552/F2539</f>
        <v>0.205879624758591</v>
      </c>
      <c r="G2553" s="14" t="n">
        <f aca="false">G2552/G2539</f>
        <v>0.214104297704996</v>
      </c>
    </row>
    <row r="2554" customFormat="false" ht="15" hidden="false" customHeight="false" outlineLevel="0" collapsed="false">
      <c r="A2554" s="4" t="s">
        <v>578</v>
      </c>
      <c r="B2554" s="0" t="s">
        <v>234</v>
      </c>
      <c r="C2554" s="30" t="n">
        <f aca="false">a25_opx</f>
        <v>63.437</v>
      </c>
      <c r="D2554" s="30" t="n">
        <f aca="false">a26_opx</f>
        <v>79.658</v>
      </c>
      <c r="E2554" s="30" t="n">
        <f aca="false">D2554*(1+phi*E2540)</f>
        <v>91.8757496806646</v>
      </c>
      <c r="F2554" s="30" t="n">
        <f aca="false">E2554*(1+phi*F2540)</f>
        <v>94.6975451917859</v>
      </c>
      <c r="G2554" s="30" t="n">
        <f aca="false">F2554*(1+phi*G2540)</f>
        <v>101.505194166584</v>
      </c>
    </row>
    <row r="2555" customFormat="false" ht="15" hidden="false" customHeight="false" outlineLevel="0" collapsed="false">
      <c r="A2555" s="4" t="s">
        <v>455</v>
      </c>
      <c r="B2555" s="0" t="s">
        <v>234</v>
      </c>
      <c r="C2555" s="30" t="n">
        <f aca="false">C2552-C2554</f>
        <v>50.756</v>
      </c>
      <c r="D2555" s="30" t="n">
        <f aca="false">D2552-D2554</f>
        <v>111.022245860986</v>
      </c>
      <c r="E2555" s="30" t="n">
        <f aca="false">E2552-E2554</f>
        <v>159.817734984383</v>
      </c>
      <c r="F2555" s="30" t="n">
        <f aca="false">F2552-F2554</f>
        <v>142.034493374661</v>
      </c>
      <c r="G2555" s="30" t="n">
        <f aca="false">G2552-G2554</f>
        <v>174.180929194162</v>
      </c>
    </row>
    <row r="2556" customFormat="false" ht="15" hidden="false" customHeight="false" outlineLevel="0" collapsed="false">
      <c r="A2556" s="4" t="s">
        <v>537</v>
      </c>
      <c r="B2556" s="0" t="s">
        <v>76</v>
      </c>
      <c r="C2556" s="14" t="n">
        <f aca="false">C2555/C2539</f>
        <v>0.0786441644406156</v>
      </c>
      <c r="D2556" s="14" t="n">
        <f aca="false">D2555/D2539</f>
        <v>0.127440779020437</v>
      </c>
      <c r="E2556" s="14" t="n">
        <f aca="false">E2555/E2539</f>
        <v>0.146103947690079</v>
      </c>
      <c r="F2556" s="14" t="n">
        <f aca="false">F2555/F2539</f>
        <v>0.123523661502809</v>
      </c>
      <c r="G2556" s="14" t="n">
        <f aca="false">G2555/G2539</f>
        <v>0.135272987497889</v>
      </c>
    </row>
    <row r="2557" customFormat="false" ht="15" hidden="false" customHeight="false" outlineLevel="0" collapsed="false">
      <c r="A2557" s="4" t="s">
        <v>456</v>
      </c>
      <c r="B2557" s="0" t="s">
        <v>234</v>
      </c>
      <c r="C2557" s="30" t="n">
        <f aca="false">a25_nonop</f>
        <v>0.545</v>
      </c>
      <c r="D2557" s="30" t="n">
        <f aca="false">a26_nonop</f>
        <v>4.302</v>
      </c>
      <c r="E2557" s="30" t="n">
        <f aca="false">nonop_f</f>
        <v>-5</v>
      </c>
      <c r="F2557" s="30" t="n">
        <f aca="false">nonop_f</f>
        <v>-5</v>
      </c>
      <c r="G2557" s="30" t="n">
        <f aca="false">nonop_f</f>
        <v>-5</v>
      </c>
    </row>
    <row r="2558" customFormat="false" ht="15" hidden="false" customHeight="false" outlineLevel="0" collapsed="false">
      <c r="A2558" s="4" t="s">
        <v>459</v>
      </c>
      <c r="B2558" s="0" t="s">
        <v>234</v>
      </c>
      <c r="C2558" s="30" t="n">
        <f aca="false">C2555+C2557</f>
        <v>51.301</v>
      </c>
      <c r="D2558" s="30" t="n">
        <f aca="false">D2555+D2557</f>
        <v>115.324245860986</v>
      </c>
      <c r="E2558" s="30" t="n">
        <f aca="false">E2555+E2557</f>
        <v>154.817734984383</v>
      </c>
      <c r="F2558" s="30" t="n">
        <f aca="false">F2555+F2557</f>
        <v>137.034493374661</v>
      </c>
      <c r="G2558" s="30" t="n">
        <f aca="false">G2555+G2557</f>
        <v>169.180929194162</v>
      </c>
    </row>
    <row r="2559" customFormat="false" ht="15" hidden="false" customHeight="false" outlineLevel="0" collapsed="false">
      <c r="A2559" s="4" t="s">
        <v>460</v>
      </c>
      <c r="B2559" s="0" t="s">
        <v>234</v>
      </c>
      <c r="C2559" s="30" t="n">
        <f aca="false">a25_tax</f>
        <v>9.461</v>
      </c>
      <c r="D2559" s="30" t="n">
        <f aca="false">a26_tax</f>
        <v>19.2197317963676</v>
      </c>
      <c r="E2559" s="30" t="n">
        <f aca="false">E2558*tax</f>
        <v>26.3190149473452</v>
      </c>
      <c r="F2559" s="30" t="n">
        <f aca="false">F2558*tax</f>
        <v>23.2958638736923</v>
      </c>
      <c r="G2559" s="30" t="n">
        <f aca="false">G2558*tax</f>
        <v>28.7607579630076</v>
      </c>
    </row>
    <row r="2560" customFormat="false" ht="15" hidden="false" customHeight="false" outlineLevel="0" collapsed="false">
      <c r="A2560" s="4" t="s">
        <v>461</v>
      </c>
      <c r="B2560" s="0" t="s">
        <v>234</v>
      </c>
      <c r="C2560" s="30" t="n">
        <f aca="false">a25_nci</f>
        <v>1.182</v>
      </c>
      <c r="D2560" s="30" t="n">
        <f aca="false">a26_nci</f>
        <v>2.543</v>
      </c>
      <c r="E2560" s="30" t="n">
        <f aca="false">nci</f>
        <v>3</v>
      </c>
      <c r="F2560" s="30" t="n">
        <f aca="false">nci</f>
        <v>3</v>
      </c>
      <c r="G2560" s="30" t="n">
        <f aca="false">nci</f>
        <v>3</v>
      </c>
    </row>
    <row r="2561" customFormat="false" ht="15" hidden="false" customHeight="false" outlineLevel="0" collapsed="false">
      <c r="A2561" s="4" t="s">
        <v>462</v>
      </c>
      <c r="B2561" s="0" t="s">
        <v>234</v>
      </c>
      <c r="C2561" s="30" t="n">
        <f aca="false">C2558-C2559-C2560</f>
        <v>40.658</v>
      </c>
      <c r="D2561" s="30" t="n">
        <f aca="false">D2558-D2559-D2560</f>
        <v>93.5615140646185</v>
      </c>
      <c r="E2561" s="30" t="n">
        <f aca="false">E2558-E2559-E2560</f>
        <v>125.498720037038</v>
      </c>
      <c r="F2561" s="30" t="n">
        <f aca="false">F2558-F2559-F2560</f>
        <v>110.738629500968</v>
      </c>
      <c r="G2561" s="30" t="n">
        <f aca="false">G2558-G2559-G2560</f>
        <v>137.420171231155</v>
      </c>
      <c r="H2561" s="31" t="n">
        <f aca="false">H2539*H2565</f>
        <v>146.259939718716</v>
      </c>
      <c r="I2561" s="31" t="n">
        <f aca="false">I2539*I2565</f>
        <v>151.768106675459</v>
      </c>
      <c r="J2561" s="31" t="n">
        <f aca="false">J2539*J2565</f>
        <v>153.436071648244</v>
      </c>
    </row>
    <row r="2562" customFormat="false" ht="15" hidden="false" customHeight="false" outlineLevel="0" collapsed="false">
      <c r="A2562" s="4" t="s">
        <v>579</v>
      </c>
      <c r="B2562" s="4" t="s">
        <v>580</v>
      </c>
      <c r="C2562" s="18" t="n">
        <f aca="false">a25_sh</f>
        <v>4339.16755602988</v>
      </c>
      <c r="D2562" s="18" t="n">
        <f aca="false">a26_sh</f>
        <v>4392.90105184664</v>
      </c>
      <c r="E2562" s="18" t="n">
        <f aca="false">D2562*(1+sh_g)</f>
        <v>4414.86555710588</v>
      </c>
      <c r="F2562" s="18" t="n">
        <f aca="false">E2562*(1+sh_g)</f>
        <v>4436.9398848914</v>
      </c>
      <c r="G2562" s="18" t="n">
        <f aca="false">F2562*(1+sh_g)</f>
        <v>4459.12458431586</v>
      </c>
      <c r="H2562" s="25" t="n">
        <f aca="false">G2562*(1+sh_g)</f>
        <v>4481.42020723744</v>
      </c>
      <c r="I2562" s="25" t="n">
        <f aca="false">H2562*(1+sh_g)</f>
        <v>4503.82730827363</v>
      </c>
      <c r="J2562" s="25" t="n">
        <f aca="false">I2562*(1+sh_g)</f>
        <v>4526.34644481499</v>
      </c>
    </row>
    <row r="2563" customFormat="false" ht="17.15" hidden="false" customHeight="false" outlineLevel="0" collapsed="false">
      <c r="A2563" s="0" t="s">
        <v>465</v>
      </c>
      <c r="B2563" s="0" t="s">
        <v>304</v>
      </c>
      <c r="C2563" s="19" t="n">
        <f aca="false">a25_eps</f>
        <v>9.37</v>
      </c>
      <c r="D2563" s="19" t="n">
        <f aca="false">a26_eps</f>
        <v>21.2828697294455</v>
      </c>
      <c r="E2563" s="19" t="n">
        <f aca="false">E2561/E2562*1000</f>
        <v>28.4263967755584</v>
      </c>
      <c r="F2563" s="19" t="n">
        <f aca="false">F2561/F2562*1000</f>
        <v>24.9583344318128</v>
      </c>
      <c r="G2563" s="19" t="n">
        <f aca="false">G2561/G2562*1000</f>
        <v>30.8177465403197</v>
      </c>
      <c r="H2563" s="28" t="n">
        <f aca="false">H2561/H2562*1000</f>
        <v>32.6369617119384</v>
      </c>
      <c r="I2563" s="28" t="n">
        <f aca="false">I2561/I2562*1000</f>
        <v>33.6975856948729</v>
      </c>
      <c r="J2563" s="28" t="n">
        <f aca="false">J2561/J2562*1000</f>
        <v>33.8984374083887</v>
      </c>
    </row>
    <row r="2564" customFormat="false" ht="17.15" hidden="false" customHeight="false" outlineLevel="0" collapsed="false">
      <c r="A2564" s="0" t="s">
        <v>581</v>
      </c>
      <c r="B2564" s="0" t="s">
        <v>76</v>
      </c>
      <c r="D2564" s="21" t="n">
        <f aca="false">D2563/C2563-1</f>
        <v>1.27138417603474</v>
      </c>
      <c r="E2564" s="21" t="n">
        <f aca="false">E2563/D2563-1</f>
        <v>0.335646796551574</v>
      </c>
      <c r="F2564" s="21" t="n">
        <f aca="false">F2563/E2563-1</f>
        <v>-0.122001475288192</v>
      </c>
      <c r="G2564" s="21" t="n">
        <f aca="false">G2563/F2563-1</f>
        <v>0.234767753614133</v>
      </c>
      <c r="H2564" s="26" t="n">
        <f aca="false">H2563/G2563-1</f>
        <v>0.0590314145532549</v>
      </c>
      <c r="I2564" s="26" t="n">
        <f aca="false">I2563/H2563-1</f>
        <v>0.0324976323560933</v>
      </c>
      <c r="J2564" s="26" t="n">
        <f aca="false">J2563/I2563-1</f>
        <v>0.00596041850993401</v>
      </c>
    </row>
    <row r="2565" customFormat="false" ht="17.15" hidden="false" customHeight="false" outlineLevel="0" collapsed="false">
      <c r="A2565" s="4" t="s">
        <v>582</v>
      </c>
      <c r="B2565" s="0" t="s">
        <v>76</v>
      </c>
      <c r="C2565" s="14" t="n">
        <f aca="false">C2561/C2539</f>
        <v>0.0629977625862272</v>
      </c>
      <c r="D2565" s="14" t="n">
        <f aca="false">D2561/D2539</f>
        <v>0.107397865592237</v>
      </c>
      <c r="E2565" s="14" t="n">
        <f aca="false">E2561/E2539</f>
        <v>0.114729810363381</v>
      </c>
      <c r="F2565" s="14" t="n">
        <f aca="false">F2561/F2539</f>
        <v>0.0963064721868678</v>
      </c>
      <c r="G2565" s="14" t="n">
        <f aca="false">G2561/G2539</f>
        <v>0.106723722229017</v>
      </c>
      <c r="H2565" s="27" t="n">
        <f aca="false">$G2565+(fade_mB-$G2565)*1/3</f>
        <v>0.103904071510096</v>
      </c>
      <c r="I2565" s="27" t="n">
        <f aca="false">$G2565+(fade_mB-$G2565)*2/3</f>
        <v>0.101084420791175</v>
      </c>
      <c r="J2565" s="27" t="n">
        <f aca="false">$G2565+(fade_mB-$G2565)*3/3</f>
        <v>0.0982647700722541</v>
      </c>
    </row>
    <row r="2566" customFormat="false" ht="17.15" hidden="false" customHeight="false" outlineLevel="0" collapsed="false">
      <c r="A2566" s="4" t="s">
        <v>583</v>
      </c>
      <c r="B2566" s="0" t="s">
        <v>234</v>
      </c>
      <c r="C2566" s="30" t="n">
        <f aca="false">C2561+C2547-C2545</f>
        <v>-54.587</v>
      </c>
      <c r="D2566" s="30" t="n">
        <f aca="false">D2561+D2547-D2545</f>
        <v>-176.164485935382</v>
      </c>
      <c r="E2566" s="30" t="n">
        <f aca="false">E2561+E2547-E2545</f>
        <v>-159.661529962962</v>
      </c>
      <c r="F2566" s="30" t="n">
        <f aca="false">F2561+F2547-F2545</f>
        <v>-67.7335593873332</v>
      </c>
      <c r="G2566" s="30" t="n">
        <f aca="false">G2561+G2547-G2545</f>
        <v>-60.0736318388737</v>
      </c>
      <c r="K2566" s="4" t="s">
        <v>584</v>
      </c>
    </row>
    <row r="2567" customFormat="false" ht="17.15" hidden="false" customHeight="false" outlineLevel="0" collapsed="false">
      <c r="A2567" s="4" t="s">
        <v>585</v>
      </c>
      <c r="B2567" s="0" t="s">
        <v>76</v>
      </c>
      <c r="D2567" s="21" t="n">
        <f aca="false">(D2555-$C2555)/SUM($D2545:D2545)</f>
        <v>0.164280348537512</v>
      </c>
      <c r="E2567" s="21" t="n">
        <f aca="false">(E2555-$C2555)/SUM($D2545:E2545)</f>
        <v>0.139313706309489</v>
      </c>
      <c r="F2567" s="21" t="n">
        <f aca="false">(F2555-$C2555)/SUM($D2545:F2545)</f>
        <v>0.0809345001330036</v>
      </c>
      <c r="G2567" s="21" t="n">
        <f aca="false">(G2555-$C2555)/SUM($D2545:G2545)</f>
        <v>0.0815173179944559</v>
      </c>
      <c r="K2567" s="4" t="s">
        <v>586</v>
      </c>
    </row>
    <row r="2570" customFormat="false" ht="17.15" hidden="false" customHeight="false" outlineLevel="0" collapsed="false">
      <c r="A2570" s="1" t="s">
        <v>966</v>
      </c>
    </row>
    <row r="2571" customFormat="false" ht="17.15" hidden="false" customHeight="false" outlineLevel="0" collapsed="false">
      <c r="A2571" s="5" t="s">
        <v>21</v>
      </c>
      <c r="B2571" s="5" t="s">
        <v>22</v>
      </c>
      <c r="C2571" s="15" t="s">
        <v>424</v>
      </c>
      <c r="D2571" s="15" t="s">
        <v>524</v>
      </c>
      <c r="E2571" s="15" t="s">
        <v>525</v>
      </c>
      <c r="F2571" s="15" t="s">
        <v>526</v>
      </c>
      <c r="G2571" s="15" t="s">
        <v>527</v>
      </c>
      <c r="H2571" s="15" t="s">
        <v>528</v>
      </c>
      <c r="I2571" s="15" t="s">
        <v>529</v>
      </c>
      <c r="J2571" s="15" t="s">
        <v>530</v>
      </c>
      <c r="K2571" s="5" t="s">
        <v>382</v>
      </c>
    </row>
    <row r="2572" customFormat="false" ht="17.15" hidden="false" customHeight="false" outlineLevel="0" collapsed="false">
      <c r="A2572" s="6" t="s">
        <v>548</v>
      </c>
    </row>
    <row r="2573" customFormat="false" ht="17.15" hidden="false" customHeight="false" outlineLevel="0" collapsed="false">
      <c r="A2573" s="0" t="s">
        <v>549</v>
      </c>
      <c r="B2573" s="4" t="s">
        <v>32</v>
      </c>
      <c r="D2573" s="19" t="n">
        <f aca="false">units_26</f>
        <v>15.2</v>
      </c>
      <c r="E2573" s="19" t="n">
        <f aca="false">units_27*1</f>
        <v>23.7</v>
      </c>
      <c r="F2573" s="19" t="n">
        <f aca="false">units_28*um28_C*1</f>
        <v>15.9</v>
      </c>
      <c r="G2573" s="19" t="n">
        <f aca="false">units_29*um29_C*1</f>
        <v>18.09</v>
      </c>
    </row>
    <row r="2574" customFormat="false" ht="17.15" hidden="false" customHeight="false" outlineLevel="0" collapsed="false">
      <c r="A2574" s="4" t="s">
        <v>497</v>
      </c>
      <c r="B2574" s="0" t="s">
        <v>45</v>
      </c>
      <c r="D2574" s="22" t="n">
        <f aca="false">ar_26</f>
        <v>1</v>
      </c>
      <c r="E2574" s="22" t="n">
        <f aca="false">ar_27</f>
        <v>1.278156</v>
      </c>
      <c r="F2574" s="22" t="n">
        <f aca="false">ar_28</f>
        <v>1.428615</v>
      </c>
      <c r="G2574" s="22" t="n">
        <f aca="false">ar_29</f>
        <v>1.431796</v>
      </c>
    </row>
    <row r="2575" customFormat="false" ht="17.15" hidden="false" customHeight="false" outlineLevel="0" collapsed="false">
      <c r="A2575" s="4" t="s">
        <v>550</v>
      </c>
      <c r="B2575" s="0" t="s">
        <v>45</v>
      </c>
      <c r="D2575" s="19" t="n">
        <f aca="false">1</f>
        <v>1</v>
      </c>
      <c r="E2575" s="19" t="n">
        <f aca="false">rel27_C</f>
        <v>1</v>
      </c>
      <c r="F2575" s="19" t="n">
        <f aca="false">rel28_C</f>
        <v>0.95</v>
      </c>
      <c r="G2575" s="19" t="n">
        <f aca="false">rel29_C</f>
        <v>0.92</v>
      </c>
    </row>
    <row r="2576" customFormat="false" ht="17.15" hidden="false" customHeight="false" outlineLevel="0" collapsed="false">
      <c r="A2576" s="4" t="s">
        <v>551</v>
      </c>
      <c r="B2576" s="0" t="s">
        <v>502</v>
      </c>
      <c r="D2576" s="23" t="n">
        <f aca="false">D2577*1000/D2573</f>
        <v>236.842105263158</v>
      </c>
      <c r="E2576" s="23" t="n">
        <f aca="false">$D2576*E2574^el</f>
        <v>267.763172119488</v>
      </c>
      <c r="F2576" s="23" t="n">
        <f aca="false">$D2576*F2574^el</f>
        <v>283.084777049615</v>
      </c>
      <c r="G2576" s="23" t="n">
        <f aca="false">$D2576*G2574^el</f>
        <v>283.399764630809</v>
      </c>
      <c r="K2576" s="8" t="s">
        <v>552</v>
      </c>
    </row>
    <row r="2577" customFormat="false" ht="17.15" hidden="false" customHeight="false" outlineLevel="0" collapsed="false">
      <c r="A2577" s="0" t="s">
        <v>553</v>
      </c>
      <c r="B2577" s="0" t="s">
        <v>120</v>
      </c>
      <c r="D2577" s="22" t="n">
        <f aca="false">leap26-D2578-D2579</f>
        <v>3.6</v>
      </c>
      <c r="E2577" s="22" t="n">
        <f aca="false">E2573*E2575*E2576/1000</f>
        <v>6.34598717923185</v>
      </c>
      <c r="F2577" s="22" t="n">
        <f aca="false">F2573*F2575*F2576/1000</f>
        <v>4.27599555733443</v>
      </c>
      <c r="G2577" s="22" t="n">
        <f aca="false">G2573*G2575*G2576/1000</f>
        <v>4.71656560279762</v>
      </c>
      <c r="K2577" s="8" t="s">
        <v>554</v>
      </c>
    </row>
    <row r="2578" customFormat="false" ht="17.15" hidden="false" customHeight="false" outlineLevel="0" collapsed="false">
      <c r="A2578" s="4" t="s">
        <v>555</v>
      </c>
      <c r="B2578" s="0" t="s">
        <v>120</v>
      </c>
      <c r="D2578" s="22" t="n">
        <f aca="false">fp26</f>
        <v>0.3</v>
      </c>
      <c r="E2578" s="22" t="n">
        <f aca="false">fp27_C</f>
        <v>0.7</v>
      </c>
      <c r="F2578" s="22" t="n">
        <f aca="false">E2578*F2573/E2573*(1+fp_g)</f>
        <v>0.610506329113924</v>
      </c>
      <c r="G2578" s="22" t="n">
        <f aca="false">F2578*G2573/F2573*(1+fp_g)</f>
        <v>0.902973417721519</v>
      </c>
    </row>
    <row r="2579" customFormat="false" ht="17.15" hidden="false" customHeight="false" outlineLevel="0" collapsed="false">
      <c r="A2579" s="0" t="s">
        <v>556</v>
      </c>
      <c r="B2579" s="0" t="s">
        <v>120</v>
      </c>
      <c r="D2579" s="22" t="n">
        <f aca="false">cpo27*cpo_C_26/cpo_A_27</f>
        <v>0.1</v>
      </c>
      <c r="E2579" s="22" t="n">
        <f aca="false">cpo27*cpo_C_27/cpo_A_27</f>
        <v>0.2</v>
      </c>
      <c r="F2579" s="22" t="n">
        <f aca="false">cpo27*cpo_C_28/cpo_A_27*F2573/E2573</f>
        <v>0.20126582278481</v>
      </c>
      <c r="G2579" s="22" t="n">
        <f aca="false">cpo27*cpo_C_29/cpo_A_27*G2573/E2573</f>
        <v>0.381645569620253</v>
      </c>
      <c r="K2579" s="8" t="s">
        <v>557</v>
      </c>
    </row>
    <row r="2580" customFormat="false" ht="17.15" hidden="false" customHeight="false" outlineLevel="0" collapsed="false">
      <c r="A2580" s="0" t="s">
        <v>510</v>
      </c>
      <c r="B2580" s="0" t="s">
        <v>120</v>
      </c>
      <c r="C2580" s="22" t="n">
        <f aca="false">leap25</f>
        <v>1.6</v>
      </c>
      <c r="D2580" s="22" t="n">
        <f aca="false">D2577+D2578+D2579</f>
        <v>4</v>
      </c>
      <c r="E2580" s="22" t="n">
        <f aca="false">E2577+E2578+E2579</f>
        <v>7.24598717923186</v>
      </c>
      <c r="F2580" s="22" t="n">
        <f aca="false">F2577+F2578+F2579</f>
        <v>5.08776770923316</v>
      </c>
      <c r="G2580" s="22" t="n">
        <f aca="false">G2577+G2578+G2579</f>
        <v>6.0011845901394</v>
      </c>
    </row>
    <row r="2581" customFormat="false" ht="17.15" hidden="false" customHeight="false" outlineLevel="0" collapsed="false">
      <c r="A2581" s="4" t="s">
        <v>558</v>
      </c>
      <c r="B2581" s="0" t="s">
        <v>114</v>
      </c>
      <c r="C2581" s="19" t="n">
        <f aca="false">fx25</f>
        <v>31</v>
      </c>
      <c r="D2581" s="19" t="n">
        <f aca="false">a26_leap/D2580</f>
        <v>31.9</v>
      </c>
      <c r="E2581" s="19" t="n">
        <f aca="false">fx</f>
        <v>32</v>
      </c>
      <c r="F2581" s="19" t="n">
        <f aca="false">fx</f>
        <v>32</v>
      </c>
      <c r="G2581" s="19" t="n">
        <f aca="false">fx</f>
        <v>32</v>
      </c>
      <c r="K2581" s="8" t="s">
        <v>559</v>
      </c>
    </row>
    <row r="2582" customFormat="false" ht="17.15" hidden="false" customHeight="false" outlineLevel="0" collapsed="false">
      <c r="A2582" s="6" t="s">
        <v>560</v>
      </c>
    </row>
    <row r="2583" customFormat="false" ht="17.15" hidden="false" customHeight="false" outlineLevel="0" collapsed="false">
      <c r="A2583" s="0" t="s">
        <v>438</v>
      </c>
      <c r="B2583" s="0" t="s">
        <v>234</v>
      </c>
      <c r="C2583" s="30" t="n">
        <f aca="false">a25_leap</f>
        <v>49.6</v>
      </c>
      <c r="D2583" s="30" t="n">
        <f aca="false">a26_leap</f>
        <v>127.6</v>
      </c>
      <c r="E2583" s="30" t="n">
        <f aca="false">E2580*E2581</f>
        <v>231.871589735419</v>
      </c>
      <c r="F2583" s="30" t="n">
        <f aca="false">F2580*F2581</f>
        <v>162.808566695461</v>
      </c>
      <c r="G2583" s="30" t="n">
        <f aca="false">G2580*G2581</f>
        <v>192.037906884461</v>
      </c>
    </row>
    <row r="2584" customFormat="false" ht="15" hidden="false" customHeight="false" outlineLevel="0" collapsed="false">
      <c r="A2584" s="4" t="s">
        <v>561</v>
      </c>
      <c r="B2584" s="0" t="s">
        <v>234</v>
      </c>
      <c r="C2584" s="30" t="n">
        <f aca="false">a25_ms</f>
        <v>339.628</v>
      </c>
      <c r="D2584" s="30" t="n">
        <f aca="false">a26_ms</f>
        <v>432.1302</v>
      </c>
      <c r="E2584" s="30" t="n">
        <f aca="false">D2584*(1+g_ms27)</f>
        <v>496.94973</v>
      </c>
      <c r="F2584" s="30" t="n">
        <f aca="false">E2584*(1+g_msL)</f>
        <v>531.7362111</v>
      </c>
      <c r="G2584" s="30" t="n">
        <f aca="false">F2584*(1+g_msL)</f>
        <v>568.957745877</v>
      </c>
    </row>
    <row r="2585" customFormat="false" ht="17.15" hidden="false" customHeight="false" outlineLevel="0" collapsed="false">
      <c r="A2585" s="4" t="s">
        <v>562</v>
      </c>
      <c r="B2585" s="0" t="s">
        <v>234</v>
      </c>
      <c r="C2585" s="30" t="n">
        <f aca="false">C2583+C2584</f>
        <v>389.228</v>
      </c>
      <c r="D2585" s="30" t="n">
        <f aca="false">D2583+D2584</f>
        <v>559.7302</v>
      </c>
      <c r="E2585" s="30" t="n">
        <f aca="false">E2583+E2584</f>
        <v>728.821319735419</v>
      </c>
      <c r="F2585" s="30" t="n">
        <f aca="false">F2583+F2584</f>
        <v>694.544777795461</v>
      </c>
      <c r="G2585" s="30" t="n">
        <f aca="false">G2583+G2584</f>
        <v>760.995652761461</v>
      </c>
    </row>
    <row r="2586" customFormat="false" ht="17.15" hidden="false" customHeight="false" outlineLevel="0" collapsed="false">
      <c r="A2586" s="0" t="s">
        <v>563</v>
      </c>
      <c r="B2586" s="0" t="s">
        <v>234</v>
      </c>
      <c r="C2586" s="30" t="n">
        <f aca="false">a25_ems</f>
        <v>259.079</v>
      </c>
      <c r="D2586" s="30" t="n">
        <f aca="false">a26_ems</f>
        <v>314.602</v>
      </c>
      <c r="E2586" s="30" t="n">
        <f aca="false">D2586*(1+g_ems27)</f>
        <v>346.0622</v>
      </c>
      <c r="F2586" s="30" t="n">
        <f aca="false">E2586*(1+g_emsL)</f>
        <v>363.36531</v>
      </c>
      <c r="G2586" s="30" t="n">
        <f aca="false">F2586*(1+g_emsL)</f>
        <v>381.5335755</v>
      </c>
    </row>
    <row r="2587" customFormat="false" ht="17.15" hidden="false" customHeight="false" outlineLevel="0" collapsed="false">
      <c r="A2587" s="4" t="s">
        <v>564</v>
      </c>
      <c r="B2587" s="0" t="s">
        <v>234</v>
      </c>
      <c r="C2587" s="30" t="n">
        <f aca="false">a25_elim</f>
        <v>-2.91899999999998</v>
      </c>
      <c r="D2587" s="30" t="n">
        <f aca="false">a26_elim</f>
        <v>-3.16484905982349</v>
      </c>
      <c r="E2587" s="30" t="n">
        <f aca="false">$D2587/($D2585+$D2586)*(E2585+E2586)</f>
        <v>-3.89079127687897</v>
      </c>
      <c r="F2587" s="30" t="n">
        <f aca="false">$D2587/($D2585+$D2586)*(F2585+F2586)</f>
        <v>-3.8293519862785</v>
      </c>
      <c r="G2587" s="30" t="n">
        <f aca="false">$D2587/($D2585+$D2586)*(G2585+G2586)</f>
        <v>-4.135650675892</v>
      </c>
      <c r="K2587" s="4" t="s">
        <v>565</v>
      </c>
    </row>
    <row r="2588" customFormat="false" ht="17.15" hidden="false" customHeight="false" outlineLevel="0" collapsed="false">
      <c r="A2588" s="4" t="s">
        <v>431</v>
      </c>
      <c r="B2588" s="0" t="s">
        <v>234</v>
      </c>
      <c r="C2588" s="30" t="n">
        <f aca="false">C2585+C2586+C2587</f>
        <v>645.388</v>
      </c>
      <c r="D2588" s="30" t="n">
        <f aca="false">D2585+D2586+D2587</f>
        <v>871.167350940177</v>
      </c>
      <c r="E2588" s="30" t="n">
        <f aca="false">E2585+E2586+E2587</f>
        <v>1070.99272845854</v>
      </c>
      <c r="F2588" s="30" t="n">
        <f aca="false">F2585+F2586+F2587</f>
        <v>1054.08073580918</v>
      </c>
      <c r="G2588" s="30" t="n">
        <f aca="false">G2585+G2586+G2587</f>
        <v>1138.39357758557</v>
      </c>
      <c r="H2588" s="31" t="n">
        <f aca="false">G2588*(1+H2589)</f>
        <v>1206.68738805437</v>
      </c>
      <c r="I2588" s="31" t="n">
        <f aca="false">H2588*(1+I2589)</f>
        <v>1254.9496874</v>
      </c>
      <c r="J2588" s="31" t="n">
        <f aca="false">I2588*(1+J2589)</f>
        <v>1280.048681148</v>
      </c>
      <c r="K2588" s="8" t="s">
        <v>566</v>
      </c>
    </row>
    <row r="2589" customFormat="false" ht="15" hidden="false" customHeight="false" outlineLevel="0" collapsed="false">
      <c r="A2589" s="4" t="s">
        <v>567</v>
      </c>
      <c r="B2589" s="0" t="s">
        <v>76</v>
      </c>
      <c r="D2589" s="21" t="n">
        <f aca="false">D2588/C2588-1</f>
        <v>0.349835061916516</v>
      </c>
      <c r="E2589" s="21" t="n">
        <f aca="false">E2588/D2588-1</f>
        <v>0.229376568466104</v>
      </c>
      <c r="F2589" s="21" t="n">
        <f aca="false">F2588/E2588-1</f>
        <v>-0.0157909500223209</v>
      </c>
      <c r="G2589" s="21" t="n">
        <f aca="false">G2588/F2588-1</f>
        <v>0.079987081550885</v>
      </c>
      <c r="H2589" s="26" t="n">
        <f aca="false">$G2589+(fade_gC-$G2589)*1/3</f>
        <v>0.05999138770059</v>
      </c>
      <c r="I2589" s="26" t="n">
        <f aca="false">$G2589+(fade_gC-$G2589)*2/3</f>
        <v>0.039995693850295</v>
      </c>
      <c r="J2589" s="26" t="n">
        <f aca="false">$G2589+(fade_gC-$G2589)*3/3</f>
        <v>0.02</v>
      </c>
    </row>
    <row r="2590" customFormat="false" ht="17.15" hidden="false" customHeight="false" outlineLevel="0" collapsed="false">
      <c r="A2590" s="0" t="s">
        <v>475</v>
      </c>
      <c r="B2590" s="0" t="s">
        <v>76</v>
      </c>
      <c r="C2590" s="21" t="n">
        <f aca="false">C2583/C2585</f>
        <v>0.127431736668482</v>
      </c>
      <c r="D2590" s="21" t="n">
        <f aca="false">D2583/D2585</f>
        <v>0.227966974088588</v>
      </c>
      <c r="E2590" s="21" t="n">
        <f aca="false">E2583/E2585</f>
        <v>0.31814600294568</v>
      </c>
      <c r="F2590" s="21" t="n">
        <f aca="false">F2583/F2585</f>
        <v>0.234410468411019</v>
      </c>
      <c r="G2590" s="21" t="n">
        <f aca="false">G2583/G2585</f>
        <v>0.252350859282315</v>
      </c>
    </row>
    <row r="2591" customFormat="false" ht="15" hidden="false" customHeight="false" outlineLevel="0" collapsed="false">
      <c r="A2591" s="4" t="s">
        <v>568</v>
      </c>
      <c r="B2591" s="0" t="s">
        <v>76</v>
      </c>
      <c r="D2591" s="21" t="n">
        <f aca="false">D2585/C2585-1</f>
        <v>0.438052247012034</v>
      </c>
      <c r="E2591" s="21" t="n">
        <f aca="false">E2585/D2585-1</f>
        <v>0.302093972659362</v>
      </c>
      <c r="F2591" s="21" t="n">
        <f aca="false">F2585/E2585-1</f>
        <v>-0.047030103280186</v>
      </c>
      <c r="G2591" s="21" t="n">
        <f aca="false">G2585/F2585-1</f>
        <v>0.0956754367614998</v>
      </c>
    </row>
    <row r="2592" customFormat="false" ht="17.15" hidden="false" customHeight="false" outlineLevel="0" collapsed="false">
      <c r="A2592" s="6" t="s">
        <v>569</v>
      </c>
    </row>
    <row r="2593" customFormat="false" ht="17.15" hidden="false" customHeight="false" outlineLevel="0" collapsed="false">
      <c r="A2593" s="4" t="s">
        <v>570</v>
      </c>
      <c r="B2593" s="0" t="s">
        <v>120</v>
      </c>
      <c r="C2593" s="19" t="n">
        <f aca="false">capex25</f>
        <v>5.5</v>
      </c>
      <c r="D2593" s="19" t="n">
        <f aca="false">capex26</f>
        <v>11.5</v>
      </c>
      <c r="E2593" s="19" t="n">
        <f aca="false">capex27</f>
        <v>13</v>
      </c>
      <c r="F2593" s="19" t="n">
        <f aca="false">capi*F2588/F2581</f>
        <v>9.88200689821109</v>
      </c>
      <c r="G2593" s="19" t="n">
        <f aca="false">capi*G2588/G2581</f>
        <v>10.6724397898647</v>
      </c>
      <c r="K2593" s="8" t="s">
        <v>571</v>
      </c>
    </row>
    <row r="2594" customFormat="false" ht="15" hidden="false" customHeight="false" outlineLevel="0" collapsed="false">
      <c r="A2594" s="4" t="s">
        <v>572</v>
      </c>
      <c r="B2594" s="0" t="s">
        <v>234</v>
      </c>
      <c r="C2594" s="30" t="n">
        <f aca="false">C2593*C2581</f>
        <v>170.5</v>
      </c>
      <c r="D2594" s="30" t="n">
        <f aca="false">D2593*31.9</f>
        <v>366.85</v>
      </c>
      <c r="E2594" s="30" t="n">
        <f aca="false">E2593*E2581</f>
        <v>416</v>
      </c>
      <c r="F2594" s="30" t="n">
        <f aca="false">F2593*F2581</f>
        <v>316.224220742755</v>
      </c>
      <c r="G2594" s="30" t="n">
        <f aca="false">G2593*G2581</f>
        <v>341.518073275671</v>
      </c>
    </row>
    <row r="2595" customFormat="false" ht="17.15" hidden="false" customHeight="false" outlineLevel="0" collapsed="false">
      <c r="A2595" s="4" t="s">
        <v>473</v>
      </c>
      <c r="B2595" s="0" t="s">
        <v>76</v>
      </c>
      <c r="C2595" s="21" t="n">
        <f aca="false">C2594/C2588</f>
        <v>0.264182166386732</v>
      </c>
      <c r="D2595" s="21" t="n">
        <f aca="false">D2594/D2588</f>
        <v>0.421101639775745</v>
      </c>
      <c r="E2595" s="21" t="n">
        <f aca="false">E2594/E2588</f>
        <v>0.388424672685445</v>
      </c>
      <c r="F2595" s="21" t="n">
        <f aca="false">F2594/F2588</f>
        <v>0.3</v>
      </c>
      <c r="G2595" s="21" t="n">
        <f aca="false">G2594/G2588</f>
        <v>0.3</v>
      </c>
    </row>
    <row r="2596" customFormat="false" ht="17.15" hidden="false" customHeight="false" outlineLevel="0" collapsed="false">
      <c r="A2596" s="4" t="s">
        <v>573</v>
      </c>
      <c r="B2596" s="0" t="s">
        <v>234</v>
      </c>
      <c r="C2596" s="30" t="n">
        <f aca="false">a25_da</f>
        <v>75.255</v>
      </c>
      <c r="D2596" s="30" t="n">
        <f aca="false">a26_da</f>
        <v>97.124</v>
      </c>
      <c r="E2596" s="30" t="n">
        <f aca="false">D2596*(1-1/life)+D2594/life</f>
        <v>130.83975</v>
      </c>
      <c r="F2596" s="30" t="n">
        <f aca="false">E2596*(1-1/life)+E2594/life</f>
        <v>166.48478125</v>
      </c>
      <c r="G2596" s="30" t="n">
        <f aca="false">F2596*(1-1/life)+F2594/life</f>
        <v>185.202211186594</v>
      </c>
      <c r="K2596" s="4" t="s">
        <v>574</v>
      </c>
    </row>
    <row r="2597" customFormat="false" ht="17.15" hidden="false" customHeight="false" outlineLevel="0" collapsed="false">
      <c r="A2597" s="4" t="s">
        <v>575</v>
      </c>
      <c r="B2597" s="0" t="s">
        <v>234</v>
      </c>
      <c r="C2597" s="30" t="n">
        <f aca="false">a25_agp</f>
        <v>91.38</v>
      </c>
      <c r="D2597" s="30" t="n">
        <f aca="false">a26_agp</f>
        <v>164.623388</v>
      </c>
      <c r="E2597" s="30" t="n">
        <f aca="false">$D2597+ft*(E2585-$D2585)-(E2596-$D2596)</f>
        <v>215.45319786771</v>
      </c>
      <c r="F2597" s="30" t="n">
        <f aca="false">$D2597+ft*(F2585-$D2585)-(F2596-$D2596)</f>
        <v>162.669895647731</v>
      </c>
      <c r="G2597" s="30" t="n">
        <f aca="false">$D2597+ft*(G2585-$D2585)-(G2596-$D2596)</f>
        <v>177.177903194136</v>
      </c>
      <c r="K2597" s="4" t="s">
        <v>576</v>
      </c>
    </row>
    <row r="2598" customFormat="false" ht="15" hidden="false" customHeight="false" outlineLevel="0" collapsed="false">
      <c r="A2598" s="4" t="s">
        <v>447</v>
      </c>
      <c r="B2598" s="0" t="s">
        <v>76</v>
      </c>
      <c r="C2598" s="14" t="n">
        <f aca="false">C2597/C2585</f>
        <v>0.234772421305764</v>
      </c>
      <c r="D2598" s="14" t="n">
        <f aca="false">D2597/D2585</f>
        <v>0.294112034690999</v>
      </c>
      <c r="E2598" s="14" t="n">
        <f aca="false">E2597/E2585</f>
        <v>0.295618681882035</v>
      </c>
      <c r="F2598" s="14" t="n">
        <f aca="false">F2597/F2585</f>
        <v>0.234210810948802</v>
      </c>
      <c r="G2598" s="14" t="n">
        <f aca="false">G2597/G2585</f>
        <v>0.232823804644878</v>
      </c>
    </row>
    <row r="2599" customFormat="false" ht="17.15" hidden="false" customHeight="false" outlineLevel="0" collapsed="false">
      <c r="A2599" s="0" t="s">
        <v>449</v>
      </c>
      <c r="B2599" s="0" t="s">
        <v>234</v>
      </c>
      <c r="C2599" s="30" t="n">
        <f aca="false">a25_egp</f>
        <v>23.695</v>
      </c>
      <c r="D2599" s="30" t="n">
        <f aca="false">a26_egp</f>
        <v>27.00552</v>
      </c>
      <c r="E2599" s="30" t="n">
        <f aca="false">E2586*ems_gm_lo</f>
        <v>25.954665</v>
      </c>
      <c r="F2599" s="30" t="n">
        <f aca="false">F2586*ems_gm_lo</f>
        <v>27.25239825</v>
      </c>
      <c r="G2599" s="30" t="n">
        <f aca="false">G2586*ems_gm_lo</f>
        <v>28.6150181625</v>
      </c>
    </row>
    <row r="2600" customFormat="false" ht="15" hidden="false" customHeight="false" outlineLevel="0" collapsed="false">
      <c r="A2600" s="4" t="s">
        <v>577</v>
      </c>
      <c r="B2600" s="0" t="s">
        <v>234</v>
      </c>
      <c r="C2600" s="30" t="n">
        <f aca="false">a25_lgp</f>
        <v>-0.881999999999998</v>
      </c>
      <c r="D2600" s="30" t="n">
        <f aca="false">a26_lgp</f>
        <v>-0.948662139013863</v>
      </c>
      <c r="E2600" s="30" t="n">
        <f aca="false">$D2600/$D2587*E2587</f>
        <v>-1.16626300509458</v>
      </c>
      <c r="F2600" s="30" t="n">
        <f aca="false">$D2600/$D2587*F2587</f>
        <v>-1.14784660426825</v>
      </c>
      <c r="G2600" s="30" t="n">
        <f aca="false">$D2600/$D2587*G2587</f>
        <v>-1.23965950421176</v>
      </c>
    </row>
    <row r="2601" customFormat="false" ht="15" hidden="false" customHeight="false" outlineLevel="0" collapsed="false">
      <c r="A2601" s="4" t="s">
        <v>451</v>
      </c>
      <c r="B2601" s="0" t="s">
        <v>234</v>
      </c>
      <c r="C2601" s="30" t="n">
        <f aca="false">C2597+C2599+C2600</f>
        <v>114.193</v>
      </c>
      <c r="D2601" s="30" t="n">
        <f aca="false">D2597+D2599+D2600</f>
        <v>190.680245860986</v>
      </c>
      <c r="E2601" s="30" t="n">
        <f aca="false">E2597+E2599+E2600</f>
        <v>240.241599862615</v>
      </c>
      <c r="F2601" s="30" t="n">
        <f aca="false">F2597+F2599+F2600</f>
        <v>188.774447293462</v>
      </c>
      <c r="G2601" s="30" t="n">
        <f aca="false">G2597+G2599+G2600</f>
        <v>204.553261852424</v>
      </c>
    </row>
    <row r="2602" customFormat="false" ht="15" hidden="false" customHeight="false" outlineLevel="0" collapsed="false">
      <c r="A2602" s="4" t="s">
        <v>452</v>
      </c>
      <c r="B2602" s="0" t="s">
        <v>76</v>
      </c>
      <c r="C2602" s="14" t="n">
        <f aca="false">C2601/C2588</f>
        <v>0.176936974347214</v>
      </c>
      <c r="D2602" s="14" t="n">
        <f aca="false">D2601/D2588</f>
        <v>0.218879008327391</v>
      </c>
      <c r="E2602" s="14" t="n">
        <f aca="false">E2601/E2588</f>
        <v>0.224316742288615</v>
      </c>
      <c r="F2602" s="14" t="n">
        <f aca="false">F2601/F2588</f>
        <v>0.179089173040001</v>
      </c>
      <c r="G2602" s="14" t="n">
        <f aca="false">G2601/G2588</f>
        <v>0.179685888852486</v>
      </c>
    </row>
    <row r="2603" customFormat="false" ht="15" hidden="false" customHeight="false" outlineLevel="0" collapsed="false">
      <c r="A2603" s="4" t="s">
        <v>578</v>
      </c>
      <c r="B2603" s="0" t="s">
        <v>234</v>
      </c>
      <c r="C2603" s="30" t="n">
        <f aca="false">a25_opx</f>
        <v>63.437</v>
      </c>
      <c r="D2603" s="30" t="n">
        <f aca="false">a26_opx</f>
        <v>79.658</v>
      </c>
      <c r="E2603" s="30" t="n">
        <f aca="false">D2603*(1+phi*E2589)</f>
        <v>90.6210072145237</v>
      </c>
      <c r="F2603" s="30" t="n">
        <f aca="false">E2603*(1+phi*F2589)</f>
        <v>89.7624121369856</v>
      </c>
      <c r="G2603" s="30" t="n">
        <f aca="false">F2603*(1+phi*G2589)</f>
        <v>94.0703121648687</v>
      </c>
    </row>
    <row r="2604" customFormat="false" ht="15" hidden="false" customHeight="false" outlineLevel="0" collapsed="false">
      <c r="A2604" s="4" t="s">
        <v>455</v>
      </c>
      <c r="B2604" s="0" t="s">
        <v>234</v>
      </c>
      <c r="C2604" s="30" t="n">
        <f aca="false">C2601-C2603</f>
        <v>50.756</v>
      </c>
      <c r="D2604" s="30" t="n">
        <f aca="false">D2601-D2603</f>
        <v>111.022245860986</v>
      </c>
      <c r="E2604" s="30" t="n">
        <f aca="false">E2601-E2603</f>
        <v>149.620592648091</v>
      </c>
      <c r="F2604" s="30" t="n">
        <f aca="false">F2601-F2603</f>
        <v>99.0120351564768</v>
      </c>
      <c r="G2604" s="30" t="n">
        <f aca="false">G2601-G2603</f>
        <v>110.482949687556</v>
      </c>
    </row>
    <row r="2605" customFormat="false" ht="15" hidden="false" customHeight="false" outlineLevel="0" collapsed="false">
      <c r="A2605" s="4" t="s">
        <v>537</v>
      </c>
      <c r="B2605" s="0" t="s">
        <v>76</v>
      </c>
      <c r="C2605" s="14" t="n">
        <f aca="false">C2604/C2588</f>
        <v>0.0786441644406156</v>
      </c>
      <c r="D2605" s="14" t="n">
        <f aca="false">D2604/D2588</f>
        <v>0.127440779020437</v>
      </c>
      <c r="E2605" s="14" t="n">
        <f aca="false">E2604/E2588</f>
        <v>0.13970271568831</v>
      </c>
      <c r="F2605" s="14" t="n">
        <f aca="false">F2604/F2588</f>
        <v>0.0939321171451526</v>
      </c>
      <c r="G2605" s="14" t="n">
        <f aca="false">G2604/G2588</f>
        <v>0.097051627717261</v>
      </c>
    </row>
    <row r="2606" customFormat="false" ht="15" hidden="false" customHeight="false" outlineLevel="0" collapsed="false">
      <c r="A2606" s="4" t="s">
        <v>456</v>
      </c>
      <c r="B2606" s="0" t="s">
        <v>234</v>
      </c>
      <c r="C2606" s="30" t="n">
        <f aca="false">a25_nonop</f>
        <v>0.545</v>
      </c>
      <c r="D2606" s="30" t="n">
        <f aca="false">a26_nonop</f>
        <v>4.302</v>
      </c>
      <c r="E2606" s="30" t="n">
        <f aca="false">nonop_f</f>
        <v>-5</v>
      </c>
      <c r="F2606" s="30" t="n">
        <f aca="false">nonop_f</f>
        <v>-5</v>
      </c>
      <c r="G2606" s="30" t="n">
        <f aca="false">nonop_f</f>
        <v>-5</v>
      </c>
    </row>
    <row r="2607" customFormat="false" ht="15" hidden="false" customHeight="false" outlineLevel="0" collapsed="false">
      <c r="A2607" s="4" t="s">
        <v>459</v>
      </c>
      <c r="B2607" s="0" t="s">
        <v>234</v>
      </c>
      <c r="C2607" s="30" t="n">
        <f aca="false">C2604+C2606</f>
        <v>51.301</v>
      </c>
      <c r="D2607" s="30" t="n">
        <f aca="false">D2604+D2606</f>
        <v>115.324245860986</v>
      </c>
      <c r="E2607" s="30" t="n">
        <f aca="false">E2604+E2606</f>
        <v>144.620592648091</v>
      </c>
      <c r="F2607" s="30" t="n">
        <f aca="false">F2604+F2606</f>
        <v>94.0120351564768</v>
      </c>
      <c r="G2607" s="30" t="n">
        <f aca="false">G2604+G2606</f>
        <v>105.482949687556</v>
      </c>
    </row>
    <row r="2608" customFormat="false" ht="15" hidden="false" customHeight="false" outlineLevel="0" collapsed="false">
      <c r="A2608" s="4" t="s">
        <v>460</v>
      </c>
      <c r="B2608" s="0" t="s">
        <v>234</v>
      </c>
      <c r="C2608" s="30" t="n">
        <f aca="false">a25_tax</f>
        <v>9.461</v>
      </c>
      <c r="D2608" s="30" t="n">
        <f aca="false">a26_tax</f>
        <v>19.2197317963676</v>
      </c>
      <c r="E2608" s="30" t="n">
        <f aca="false">E2607*tax</f>
        <v>24.5855007501755</v>
      </c>
      <c r="F2608" s="30" t="n">
        <f aca="false">F2607*tax</f>
        <v>15.9820459766011</v>
      </c>
      <c r="G2608" s="30" t="n">
        <f aca="false">G2607*tax</f>
        <v>17.9321014468844</v>
      </c>
    </row>
    <row r="2609" customFormat="false" ht="15" hidden="false" customHeight="false" outlineLevel="0" collapsed="false">
      <c r="A2609" s="4" t="s">
        <v>461</v>
      </c>
      <c r="B2609" s="0" t="s">
        <v>234</v>
      </c>
      <c r="C2609" s="30" t="n">
        <f aca="false">a25_nci</f>
        <v>1.182</v>
      </c>
      <c r="D2609" s="30" t="n">
        <f aca="false">a26_nci</f>
        <v>2.543</v>
      </c>
      <c r="E2609" s="30" t="n">
        <f aca="false">nci</f>
        <v>3</v>
      </c>
      <c r="F2609" s="30" t="n">
        <f aca="false">nci</f>
        <v>3</v>
      </c>
      <c r="G2609" s="30" t="n">
        <f aca="false">nci</f>
        <v>3</v>
      </c>
    </row>
    <row r="2610" customFormat="false" ht="15" hidden="false" customHeight="false" outlineLevel="0" collapsed="false">
      <c r="A2610" s="4" t="s">
        <v>462</v>
      </c>
      <c r="B2610" s="0" t="s">
        <v>234</v>
      </c>
      <c r="C2610" s="30" t="n">
        <f aca="false">C2607-C2608-C2609</f>
        <v>40.658</v>
      </c>
      <c r="D2610" s="30" t="n">
        <f aca="false">D2607-D2608-D2609</f>
        <v>93.5615140646185</v>
      </c>
      <c r="E2610" s="30" t="n">
        <f aca="false">E2607-E2608-E2609</f>
        <v>117.035091897916</v>
      </c>
      <c r="F2610" s="30" t="n">
        <f aca="false">F2607-F2608-F2609</f>
        <v>75.0299891798757</v>
      </c>
      <c r="G2610" s="30" t="n">
        <f aca="false">G2607-G2608-G2609</f>
        <v>84.5508482406711</v>
      </c>
      <c r="H2610" s="31" t="n">
        <f aca="false">H2588*H2614</f>
        <v>84.5434142605471</v>
      </c>
      <c r="I2610" s="31" t="n">
        <f aca="false">I2588*I2614</f>
        <v>82.6418616833259</v>
      </c>
      <c r="J2610" s="31" t="n">
        <f aca="false">J2588*J2614</f>
        <v>78.9061153241268</v>
      </c>
    </row>
    <row r="2611" customFormat="false" ht="15" hidden="false" customHeight="false" outlineLevel="0" collapsed="false">
      <c r="A2611" s="4" t="s">
        <v>579</v>
      </c>
      <c r="B2611" s="4" t="s">
        <v>580</v>
      </c>
      <c r="C2611" s="18" t="n">
        <f aca="false">a25_sh</f>
        <v>4339.16755602988</v>
      </c>
      <c r="D2611" s="18" t="n">
        <f aca="false">a26_sh</f>
        <v>4392.90105184664</v>
      </c>
      <c r="E2611" s="18" t="n">
        <f aca="false">D2611*(1+sh_g)</f>
        <v>4414.86555710588</v>
      </c>
      <c r="F2611" s="18" t="n">
        <f aca="false">E2611*(1+sh_g)</f>
        <v>4436.9398848914</v>
      </c>
      <c r="G2611" s="18" t="n">
        <f aca="false">F2611*(1+sh_g)</f>
        <v>4459.12458431586</v>
      </c>
      <c r="H2611" s="25" t="n">
        <f aca="false">G2611*(1+sh_g)</f>
        <v>4481.42020723744</v>
      </c>
      <c r="I2611" s="25" t="n">
        <f aca="false">H2611*(1+sh_g)</f>
        <v>4503.82730827363</v>
      </c>
      <c r="J2611" s="25" t="n">
        <f aca="false">I2611*(1+sh_g)</f>
        <v>4526.34644481499</v>
      </c>
    </row>
    <row r="2612" customFormat="false" ht="17.15" hidden="false" customHeight="false" outlineLevel="0" collapsed="false">
      <c r="A2612" s="0" t="s">
        <v>465</v>
      </c>
      <c r="B2612" s="0" t="s">
        <v>304</v>
      </c>
      <c r="C2612" s="19" t="n">
        <f aca="false">a25_eps</f>
        <v>9.37</v>
      </c>
      <c r="D2612" s="19" t="n">
        <f aca="false">a26_eps</f>
        <v>21.2828697294455</v>
      </c>
      <c r="E2612" s="19" t="n">
        <f aca="false">E2610/E2611*1000</f>
        <v>26.5093218319058</v>
      </c>
      <c r="F2612" s="19" t="n">
        <f aca="false">F2610/F2611*1000</f>
        <v>16.9103010467567</v>
      </c>
      <c r="G2612" s="19" t="n">
        <f aca="false">G2610/G2611*1000</f>
        <v>18.9613110470299</v>
      </c>
      <c r="H2612" s="28" t="n">
        <f aca="false">H2610/H2611*1000</f>
        <v>18.8653173215068</v>
      </c>
      <c r="I2612" s="28" t="n">
        <f aca="false">I2610/I2611*1000</f>
        <v>18.3492518755129</v>
      </c>
      <c r="J2612" s="28" t="n">
        <f aca="false">J2610/J2611*1000</f>
        <v>17.4326283430017</v>
      </c>
    </row>
    <row r="2613" customFormat="false" ht="17.15" hidden="false" customHeight="false" outlineLevel="0" collapsed="false">
      <c r="A2613" s="0" t="s">
        <v>581</v>
      </c>
      <c r="B2613" s="0" t="s">
        <v>76</v>
      </c>
      <c r="D2613" s="21" t="n">
        <f aca="false">D2612/C2612-1</f>
        <v>1.27138417603474</v>
      </c>
      <c r="E2613" s="21" t="n">
        <f aca="false">E2612/D2612-1</f>
        <v>0.245570835554631</v>
      </c>
      <c r="F2613" s="21" t="n">
        <f aca="false">F2612/E2612-1</f>
        <v>-0.362099824583065</v>
      </c>
      <c r="G2613" s="21" t="n">
        <f aca="false">G2612/F2612-1</f>
        <v>0.121287610114226</v>
      </c>
      <c r="H2613" s="26" t="n">
        <f aca="false">H2612/G2612-1</f>
        <v>-0.00506261013729592</v>
      </c>
      <c r="I2613" s="26" t="n">
        <f aca="false">I2612/H2612-1</f>
        <v>-0.0273552486395565</v>
      </c>
      <c r="J2613" s="26" t="n">
        <f aca="false">J2612/I2612-1</f>
        <v>-0.0499542727262039</v>
      </c>
    </row>
    <row r="2614" customFormat="false" ht="17.15" hidden="false" customHeight="false" outlineLevel="0" collapsed="false">
      <c r="A2614" s="4" t="s">
        <v>582</v>
      </c>
      <c r="B2614" s="0" t="s">
        <v>76</v>
      </c>
      <c r="C2614" s="14" t="n">
        <f aca="false">C2610/C2588</f>
        <v>0.0629977625862272</v>
      </c>
      <c r="D2614" s="14" t="n">
        <f aca="false">D2610/D2588</f>
        <v>0.107397865592237</v>
      </c>
      <c r="E2614" s="14" t="n">
        <f aca="false">E2610/E2588</f>
        <v>0.109277204959517</v>
      </c>
      <c r="F2614" s="14" t="n">
        <f aca="false">F2610/F2588</f>
        <v>0.0711804956024338</v>
      </c>
      <c r="G2614" s="14" t="n">
        <f aca="false">G2610/G2588</f>
        <v>0.0742720706664525</v>
      </c>
      <c r="H2614" s="27" t="n">
        <f aca="false">$G2614+(fade_mC-$G2614)*1/3</f>
        <v>0.0700623998373455</v>
      </c>
      <c r="I2614" s="27" t="n">
        <f aca="false">$G2614+(fade_mC-$G2614)*2/3</f>
        <v>0.0658527290082385</v>
      </c>
      <c r="J2614" s="27" t="n">
        <f aca="false">$G2614+(fade_mC-$G2614)*3/3</f>
        <v>0.0616430581791315</v>
      </c>
    </row>
    <row r="2615" customFormat="false" ht="17.15" hidden="false" customHeight="false" outlineLevel="0" collapsed="false">
      <c r="A2615" s="4" t="s">
        <v>583</v>
      </c>
      <c r="B2615" s="0" t="s">
        <v>234</v>
      </c>
      <c r="C2615" s="30" t="n">
        <f aca="false">C2610+C2596-C2594</f>
        <v>-54.587</v>
      </c>
      <c r="D2615" s="30" t="n">
        <f aca="false">D2610+D2596-D2594</f>
        <v>-176.164485935382</v>
      </c>
      <c r="E2615" s="30" t="n">
        <f aca="false">E2610+E2596-E2594</f>
        <v>-168.125158102084</v>
      </c>
      <c r="F2615" s="30" t="n">
        <f aca="false">F2610+F2596-F2594</f>
        <v>-74.7094503128791</v>
      </c>
      <c r="G2615" s="30" t="n">
        <f aca="false">G2610+G2596-G2594</f>
        <v>-71.7650138484052</v>
      </c>
      <c r="K2615" s="4" t="s">
        <v>584</v>
      </c>
    </row>
    <row r="2616" customFormat="false" ht="17.15" hidden="false" customHeight="false" outlineLevel="0" collapsed="false">
      <c r="A2616" s="4" t="s">
        <v>585</v>
      </c>
      <c r="B2616" s="0" t="s">
        <v>76</v>
      </c>
      <c r="D2616" s="21" t="n">
        <f aca="false">(D2604-$C2604)/SUM($D2594:D2594)</f>
        <v>0.164280348537512</v>
      </c>
      <c r="E2616" s="21" t="n">
        <f aca="false">(E2604-$C2604)/SUM($D2594:E2594)</f>
        <v>0.12628804068224</v>
      </c>
      <c r="F2616" s="21" t="n">
        <f aca="false">(F2604-$C2604)/SUM($D2594:F2594)</f>
        <v>0.0439060749908822</v>
      </c>
      <c r="G2616" s="21" t="n">
        <f aca="false">(G2604-$C2604)/SUM($D2594:G2594)</f>
        <v>0.0414599952641366</v>
      </c>
      <c r="K2616" s="4" t="s">
        <v>586</v>
      </c>
    </row>
    <row r="2619" customFormat="false" ht="17.15" hidden="false" customHeight="false" outlineLevel="0" collapsed="false">
      <c r="A2619" s="1" t="s">
        <v>967</v>
      </c>
    </row>
    <row r="2620" customFormat="false" ht="17.15" hidden="false" customHeight="false" outlineLevel="0" collapsed="false">
      <c r="A2620" s="5" t="s">
        <v>21</v>
      </c>
      <c r="B2620" s="5" t="s">
        <v>22</v>
      </c>
      <c r="C2620" s="15" t="s">
        <v>424</v>
      </c>
      <c r="D2620" s="15" t="s">
        <v>524</v>
      </c>
      <c r="E2620" s="15" t="s">
        <v>525</v>
      </c>
      <c r="F2620" s="15" t="s">
        <v>526</v>
      </c>
      <c r="G2620" s="15" t="s">
        <v>527</v>
      </c>
      <c r="H2620" s="15" t="s">
        <v>528</v>
      </c>
      <c r="I2620" s="15" t="s">
        <v>529</v>
      </c>
      <c r="J2620" s="15" t="s">
        <v>530</v>
      </c>
      <c r="K2620" s="5" t="s">
        <v>382</v>
      </c>
    </row>
    <row r="2621" customFormat="false" ht="17.15" hidden="false" customHeight="false" outlineLevel="0" collapsed="false">
      <c r="A2621" s="6" t="s">
        <v>548</v>
      </c>
    </row>
    <row r="2622" customFormat="false" ht="17.15" hidden="false" customHeight="false" outlineLevel="0" collapsed="false">
      <c r="A2622" s="0" t="s">
        <v>549</v>
      </c>
      <c r="B2622" s="4" t="s">
        <v>32</v>
      </c>
      <c r="D2622" s="19" t="n">
        <f aca="false">units_26</f>
        <v>15.2</v>
      </c>
      <c r="E2622" s="19" t="n">
        <f aca="false">units_27*1</f>
        <v>23.7</v>
      </c>
      <c r="F2622" s="19" t="n">
        <f aca="false">units_28*um28_A*1</f>
        <v>26.5</v>
      </c>
      <c r="G2622" s="19" t="n">
        <f aca="false">units_29*um29_A*1</f>
        <v>30.15</v>
      </c>
    </row>
    <row r="2623" customFormat="false" ht="17.15" hidden="false" customHeight="false" outlineLevel="0" collapsed="false">
      <c r="A2623" s="4" t="s">
        <v>497</v>
      </c>
      <c r="B2623" s="0" t="s">
        <v>45</v>
      </c>
      <c r="D2623" s="22" t="n">
        <f aca="false">ar_26</f>
        <v>1</v>
      </c>
      <c r="E2623" s="22" t="n">
        <f aca="false">ar_27</f>
        <v>1.278156</v>
      </c>
      <c r="F2623" s="22" t="n">
        <f aca="false">ar_28</f>
        <v>1.428615</v>
      </c>
      <c r="G2623" s="22" t="n">
        <f aca="false">ar_29</f>
        <v>1.431796</v>
      </c>
    </row>
    <row r="2624" customFormat="false" ht="17.15" hidden="false" customHeight="false" outlineLevel="0" collapsed="false">
      <c r="A2624" s="4" t="s">
        <v>550</v>
      </c>
      <c r="B2624" s="0" t="s">
        <v>45</v>
      </c>
      <c r="D2624" s="19" t="n">
        <f aca="false">1</f>
        <v>1</v>
      </c>
      <c r="E2624" s="19" t="n">
        <f aca="false">rel27_A</f>
        <v>1.1</v>
      </c>
      <c r="F2624" s="19" t="n">
        <f aca="false">rel28_A</f>
        <v>1.15</v>
      </c>
      <c r="G2624" s="19" t="n">
        <f aca="false">rel29_A</f>
        <v>1.2</v>
      </c>
    </row>
    <row r="2625" customFormat="false" ht="17.15" hidden="false" customHeight="false" outlineLevel="0" collapsed="false">
      <c r="A2625" s="4" t="s">
        <v>551</v>
      </c>
      <c r="B2625" s="0" t="s">
        <v>502</v>
      </c>
      <c r="D2625" s="23" t="n">
        <f aca="false">D2626*1000/D2622</f>
        <v>236.842105263158</v>
      </c>
      <c r="E2625" s="23" t="n">
        <f aca="false">$D2625*E2623^el</f>
        <v>267.763172119488</v>
      </c>
      <c r="F2625" s="23" t="n">
        <f aca="false">$D2625*F2623^el</f>
        <v>283.084777049615</v>
      </c>
      <c r="G2625" s="23" t="n">
        <f aca="false">$D2625*G2623^el</f>
        <v>283.399764630809</v>
      </c>
      <c r="K2625" s="8" t="s">
        <v>552</v>
      </c>
    </row>
    <row r="2626" customFormat="false" ht="17.15" hidden="false" customHeight="false" outlineLevel="0" collapsed="false">
      <c r="A2626" s="0" t="s">
        <v>553</v>
      </c>
      <c r="B2626" s="0" t="s">
        <v>120</v>
      </c>
      <c r="D2626" s="22" t="n">
        <f aca="false">leap26-D2627-D2628</f>
        <v>3.6</v>
      </c>
      <c r="E2626" s="22" t="n">
        <f aca="false">E2622*E2624*E2625/1000</f>
        <v>6.98058589715504</v>
      </c>
      <c r="F2626" s="22" t="n">
        <f aca="false">F2622*F2624*F2625/1000</f>
        <v>8.627008580587</v>
      </c>
      <c r="G2626" s="22" t="n">
        <f aca="false">G2622*G2624*G2625/1000</f>
        <v>10.2534034843427</v>
      </c>
      <c r="K2626" s="8" t="s">
        <v>554</v>
      </c>
    </row>
    <row r="2627" customFormat="false" ht="17.15" hidden="false" customHeight="false" outlineLevel="0" collapsed="false">
      <c r="A2627" s="4" t="s">
        <v>555</v>
      </c>
      <c r="B2627" s="0" t="s">
        <v>120</v>
      </c>
      <c r="D2627" s="22" t="n">
        <f aca="false">fp26</f>
        <v>0.3</v>
      </c>
      <c r="E2627" s="22" t="n">
        <f aca="false">fp27_A</f>
        <v>1.2</v>
      </c>
      <c r="F2627" s="22" t="n">
        <f aca="false">E2627*F2622/E2622*(1+fp_g)</f>
        <v>1.74430379746835</v>
      </c>
      <c r="G2627" s="22" t="n">
        <f aca="false">F2627*G2622/F2622*(1+fp_g)</f>
        <v>2.57992405063291</v>
      </c>
    </row>
    <row r="2628" customFormat="false" ht="17.15" hidden="false" customHeight="false" outlineLevel="0" collapsed="false">
      <c r="A2628" s="0" t="s">
        <v>556</v>
      </c>
      <c r="B2628" s="0" t="s">
        <v>120</v>
      </c>
      <c r="D2628" s="22" t="n">
        <f aca="false">cpo27*cpo_A_26/cpo_A_27</f>
        <v>0.1</v>
      </c>
      <c r="E2628" s="22" t="n">
        <f aca="false">cpo27*cpo_A_27/cpo_A_27</f>
        <v>0.5</v>
      </c>
      <c r="F2628" s="22" t="n">
        <f aca="false">cpo27*cpo_A_28/cpo_A_27*F2622/E2622</f>
        <v>1.11814345991561</v>
      </c>
      <c r="G2628" s="22" t="n">
        <f aca="false">cpo27*cpo_A_29/cpo_A_27*G2622/E2622</f>
        <v>2.03544303797468</v>
      </c>
      <c r="K2628" s="8" t="s">
        <v>557</v>
      </c>
    </row>
    <row r="2629" customFormat="false" ht="17.15" hidden="false" customHeight="false" outlineLevel="0" collapsed="false">
      <c r="A2629" s="0" t="s">
        <v>510</v>
      </c>
      <c r="B2629" s="0" t="s">
        <v>120</v>
      </c>
      <c r="C2629" s="22" t="n">
        <f aca="false">leap25</f>
        <v>1.6</v>
      </c>
      <c r="D2629" s="22" t="n">
        <f aca="false">D2626+D2627+D2628</f>
        <v>4</v>
      </c>
      <c r="E2629" s="22" t="n">
        <f aca="false">E2626+E2627+E2628</f>
        <v>8.68058589715504</v>
      </c>
      <c r="F2629" s="22" t="n">
        <f aca="false">F2626+F2627+F2628</f>
        <v>11.489455837971</v>
      </c>
      <c r="G2629" s="22" t="n">
        <f aca="false">G2626+G2627+G2628</f>
        <v>14.8687705729503</v>
      </c>
    </row>
    <row r="2630" customFormat="false" ht="17.15" hidden="false" customHeight="false" outlineLevel="0" collapsed="false">
      <c r="A2630" s="4" t="s">
        <v>558</v>
      </c>
      <c r="B2630" s="0" t="s">
        <v>114</v>
      </c>
      <c r="C2630" s="19" t="n">
        <f aca="false">fx25</f>
        <v>31</v>
      </c>
      <c r="D2630" s="19" t="n">
        <f aca="false">a26_leap/D2629</f>
        <v>31.9</v>
      </c>
      <c r="E2630" s="19" t="n">
        <f aca="false">fx</f>
        <v>32</v>
      </c>
      <c r="F2630" s="19" t="n">
        <f aca="false">fx</f>
        <v>32</v>
      </c>
      <c r="G2630" s="19" t="n">
        <f aca="false">fx</f>
        <v>32</v>
      </c>
      <c r="K2630" s="8" t="s">
        <v>559</v>
      </c>
    </row>
    <row r="2631" customFormat="false" ht="17.15" hidden="false" customHeight="false" outlineLevel="0" collapsed="false">
      <c r="A2631" s="6" t="s">
        <v>560</v>
      </c>
    </row>
    <row r="2632" customFormat="false" ht="17.15" hidden="false" customHeight="false" outlineLevel="0" collapsed="false">
      <c r="A2632" s="0" t="s">
        <v>438</v>
      </c>
      <c r="B2632" s="0" t="s">
        <v>234</v>
      </c>
      <c r="C2632" s="30" t="n">
        <f aca="false">a25_leap</f>
        <v>49.6</v>
      </c>
      <c r="D2632" s="30" t="n">
        <f aca="false">a26_leap</f>
        <v>127.6</v>
      </c>
      <c r="E2632" s="30" t="n">
        <f aca="false">E2629*E2630</f>
        <v>277.778748708961</v>
      </c>
      <c r="F2632" s="30" t="n">
        <f aca="false">F2629*F2630</f>
        <v>367.662586815071</v>
      </c>
      <c r="G2632" s="30" t="n">
        <f aca="false">G2629*G2630</f>
        <v>475.800658334408</v>
      </c>
    </row>
    <row r="2633" customFormat="false" ht="15" hidden="false" customHeight="false" outlineLevel="0" collapsed="false">
      <c r="A2633" s="4" t="s">
        <v>561</v>
      </c>
      <c r="B2633" s="0" t="s">
        <v>234</v>
      </c>
      <c r="C2633" s="30" t="n">
        <f aca="false">a25_ms</f>
        <v>339.628</v>
      </c>
      <c r="D2633" s="30" t="n">
        <f aca="false">a26_ms</f>
        <v>432.1302</v>
      </c>
      <c r="E2633" s="30" t="n">
        <f aca="false">D2633*(1+g_ms27)</f>
        <v>496.94973</v>
      </c>
      <c r="F2633" s="30" t="n">
        <f aca="false">E2633*(1+g_msL)</f>
        <v>531.7362111</v>
      </c>
      <c r="G2633" s="30" t="n">
        <f aca="false">F2633*(1+g_msL)</f>
        <v>568.957745877</v>
      </c>
    </row>
    <row r="2634" customFormat="false" ht="17.15" hidden="false" customHeight="false" outlineLevel="0" collapsed="false">
      <c r="A2634" s="4" t="s">
        <v>562</v>
      </c>
      <c r="B2634" s="0" t="s">
        <v>234</v>
      </c>
      <c r="C2634" s="30" t="n">
        <f aca="false">C2632+C2633</f>
        <v>389.228</v>
      </c>
      <c r="D2634" s="30" t="n">
        <f aca="false">D2632+D2633</f>
        <v>559.7302</v>
      </c>
      <c r="E2634" s="30" t="n">
        <f aca="false">E2632+E2633</f>
        <v>774.728478708961</v>
      </c>
      <c r="F2634" s="30" t="n">
        <f aca="false">F2632+F2633</f>
        <v>899.398797915071</v>
      </c>
      <c r="G2634" s="30" t="n">
        <f aca="false">G2632+G2633</f>
        <v>1044.75840421141</v>
      </c>
    </row>
    <row r="2635" customFormat="false" ht="17.15" hidden="false" customHeight="false" outlineLevel="0" collapsed="false">
      <c r="A2635" s="0" t="s">
        <v>563</v>
      </c>
      <c r="B2635" s="0" t="s">
        <v>234</v>
      </c>
      <c r="C2635" s="30" t="n">
        <f aca="false">a25_ems</f>
        <v>259.079</v>
      </c>
      <c r="D2635" s="30" t="n">
        <f aca="false">a26_ems</f>
        <v>314.602</v>
      </c>
      <c r="E2635" s="30" t="n">
        <f aca="false">D2635*(1+g_ems27)</f>
        <v>346.0622</v>
      </c>
      <c r="F2635" s="30" t="n">
        <f aca="false">E2635*(1+g_emsL)</f>
        <v>363.36531</v>
      </c>
      <c r="G2635" s="30" t="n">
        <f aca="false">F2635*(1+g_emsL)</f>
        <v>381.5335755</v>
      </c>
    </row>
    <row r="2636" customFormat="false" ht="17.15" hidden="false" customHeight="false" outlineLevel="0" collapsed="false">
      <c r="A2636" s="4" t="s">
        <v>564</v>
      </c>
      <c r="B2636" s="0" t="s">
        <v>234</v>
      </c>
      <c r="C2636" s="30" t="n">
        <f aca="false">a25_elim</f>
        <v>-2.91899999999998</v>
      </c>
      <c r="D2636" s="30" t="n">
        <f aca="false">a26_elim</f>
        <v>-3.16484905982349</v>
      </c>
      <c r="E2636" s="30" t="n">
        <f aca="false">$D2636/($D2634+$D2635)*(E2634+E2635)</f>
        <v>-4.05696293213379</v>
      </c>
      <c r="F2636" s="30" t="n">
        <f aca="false">$D2636/($D2634+$D2635)*(F2634+F2635)</f>
        <v>-4.57086882962089</v>
      </c>
      <c r="G2636" s="30" t="n">
        <f aca="false">$D2636/($D2634+$D2635)*(G2634+G2635)</f>
        <v>-5.16279605283144</v>
      </c>
      <c r="K2636" s="4" t="s">
        <v>565</v>
      </c>
    </row>
    <row r="2637" customFormat="false" ht="17.15" hidden="false" customHeight="false" outlineLevel="0" collapsed="false">
      <c r="A2637" s="4" t="s">
        <v>431</v>
      </c>
      <c r="B2637" s="0" t="s">
        <v>234</v>
      </c>
      <c r="C2637" s="30" t="n">
        <f aca="false">C2634+C2635+C2636</f>
        <v>645.388</v>
      </c>
      <c r="D2637" s="30" t="n">
        <f aca="false">D2634+D2635+D2636</f>
        <v>871.167350940177</v>
      </c>
      <c r="E2637" s="30" t="n">
        <f aca="false">E2634+E2635+E2636</f>
        <v>1116.73371577683</v>
      </c>
      <c r="F2637" s="30" t="n">
        <f aca="false">F2634+F2635+F2636</f>
        <v>1258.19323908545</v>
      </c>
      <c r="G2637" s="30" t="n">
        <f aca="false">G2634+G2635+G2636</f>
        <v>1421.12918365858</v>
      </c>
      <c r="H2637" s="31" t="n">
        <f aca="false">G2637*(1+H2638)</f>
        <v>1572.24252669828</v>
      </c>
      <c r="I2637" s="31" t="n">
        <f aca="false">H2637*(1+I2638)</f>
        <v>1703.00066355907</v>
      </c>
      <c r="J2637" s="31" t="n">
        <f aca="false">I2637*(1+J2638)</f>
        <v>1805.18070337261</v>
      </c>
      <c r="K2637" s="8" t="s">
        <v>566</v>
      </c>
    </row>
    <row r="2638" customFormat="false" ht="15" hidden="false" customHeight="false" outlineLevel="0" collapsed="false">
      <c r="A2638" s="4" t="s">
        <v>567</v>
      </c>
      <c r="B2638" s="0" t="s">
        <v>76</v>
      </c>
      <c r="D2638" s="21" t="n">
        <f aca="false">D2637/C2637-1</f>
        <v>0.349835061916516</v>
      </c>
      <c r="E2638" s="21" t="n">
        <f aca="false">E2637/D2637-1</f>
        <v>0.281881965126026</v>
      </c>
      <c r="F2638" s="21" t="n">
        <f aca="false">F2637/E2637-1</f>
        <v>0.126672564202309</v>
      </c>
      <c r="G2638" s="21" t="n">
        <f aca="false">G2637/F2637-1</f>
        <v>0.129499936505429</v>
      </c>
      <c r="H2638" s="26" t="n">
        <f aca="false">$G2638+(fade_gA-$G2638)*1/3</f>
        <v>0.10633329100362</v>
      </c>
      <c r="I2638" s="26" t="n">
        <f aca="false">$G2638+(fade_gA-$G2638)*2/3</f>
        <v>0.0831666455018098</v>
      </c>
      <c r="J2638" s="26" t="n">
        <f aca="false">$G2638+(fade_gA-$G2638)*3/3</f>
        <v>0.06</v>
      </c>
    </row>
    <row r="2639" customFormat="false" ht="17.15" hidden="false" customHeight="false" outlineLevel="0" collapsed="false">
      <c r="A2639" s="0" t="s">
        <v>475</v>
      </c>
      <c r="B2639" s="0" t="s">
        <v>76</v>
      </c>
      <c r="C2639" s="21" t="n">
        <f aca="false">C2632/C2634</f>
        <v>0.127431736668482</v>
      </c>
      <c r="D2639" s="21" t="n">
        <f aca="false">D2632/D2634</f>
        <v>0.227966974088588</v>
      </c>
      <c r="E2639" s="21" t="n">
        <f aca="false">E2632/E2634</f>
        <v>0.35854980982739</v>
      </c>
      <c r="F2639" s="21" t="n">
        <f aca="false">F2632/F2634</f>
        <v>0.408787056050512</v>
      </c>
      <c r="G2639" s="21" t="n">
        <f aca="false">G2632/G2634</f>
        <v>0.455416923583923</v>
      </c>
    </row>
    <row r="2640" customFormat="false" ht="15" hidden="false" customHeight="false" outlineLevel="0" collapsed="false">
      <c r="A2640" s="4" t="s">
        <v>568</v>
      </c>
      <c r="B2640" s="0" t="s">
        <v>76</v>
      </c>
      <c r="D2640" s="21" t="n">
        <f aca="false">D2634/C2634-1</f>
        <v>0.438052247012034</v>
      </c>
      <c r="E2640" s="21" t="n">
        <f aca="false">E2634/D2634-1</f>
        <v>0.384110556673485</v>
      </c>
      <c r="F2640" s="21" t="n">
        <f aca="false">F2634/E2634-1</f>
        <v>0.160921306796241</v>
      </c>
      <c r="G2640" s="21" t="n">
        <f aca="false">G2634/F2634-1</f>
        <v>0.161618635285371</v>
      </c>
    </row>
    <row r="2641" customFormat="false" ht="17.15" hidden="false" customHeight="false" outlineLevel="0" collapsed="false">
      <c r="A2641" s="6" t="s">
        <v>569</v>
      </c>
    </row>
    <row r="2642" customFormat="false" ht="17.15" hidden="false" customHeight="false" outlineLevel="0" collapsed="false">
      <c r="A2642" s="4" t="s">
        <v>570</v>
      </c>
      <c r="B2642" s="0" t="s">
        <v>120</v>
      </c>
      <c r="C2642" s="19" t="n">
        <f aca="false">capex25</f>
        <v>5.5</v>
      </c>
      <c r="D2642" s="19" t="n">
        <f aca="false">capex26</f>
        <v>11.5</v>
      </c>
      <c r="E2642" s="19" t="n">
        <f aca="false">capex27</f>
        <v>13</v>
      </c>
      <c r="F2642" s="19" t="n">
        <f aca="false">capi*F2637/F2630</f>
        <v>11.7955616164261</v>
      </c>
      <c r="G2642" s="19" t="n">
        <f aca="false">capi*G2637/G2630</f>
        <v>13.3230860967992</v>
      </c>
      <c r="K2642" s="8" t="s">
        <v>571</v>
      </c>
    </row>
    <row r="2643" customFormat="false" ht="15" hidden="false" customHeight="false" outlineLevel="0" collapsed="false">
      <c r="A2643" s="4" t="s">
        <v>572</v>
      </c>
      <c r="B2643" s="0" t="s">
        <v>234</v>
      </c>
      <c r="C2643" s="30" t="n">
        <f aca="false">C2642*C2630</f>
        <v>170.5</v>
      </c>
      <c r="D2643" s="30" t="n">
        <f aca="false">D2642*31.9</f>
        <v>366.85</v>
      </c>
      <c r="E2643" s="30" t="n">
        <f aca="false">E2642*E2630</f>
        <v>416</v>
      </c>
      <c r="F2643" s="30" t="n">
        <f aca="false">F2642*F2630</f>
        <v>377.457971725635</v>
      </c>
      <c r="G2643" s="30" t="n">
        <f aca="false">G2642*G2630</f>
        <v>426.338755097573</v>
      </c>
    </row>
    <row r="2644" customFormat="false" ht="17.15" hidden="false" customHeight="false" outlineLevel="0" collapsed="false">
      <c r="A2644" s="4" t="s">
        <v>473</v>
      </c>
      <c r="B2644" s="0" t="s">
        <v>76</v>
      </c>
      <c r="C2644" s="21" t="n">
        <f aca="false">C2643/C2637</f>
        <v>0.264182166386732</v>
      </c>
      <c r="D2644" s="21" t="n">
        <f aca="false">D2643/D2637</f>
        <v>0.421101639775745</v>
      </c>
      <c r="E2644" s="21" t="n">
        <f aca="false">E2643/E2637</f>
        <v>0.372514946153139</v>
      </c>
      <c r="F2644" s="21" t="n">
        <f aca="false">F2643/F2637</f>
        <v>0.3</v>
      </c>
      <c r="G2644" s="21" t="n">
        <f aca="false">G2643/G2637</f>
        <v>0.3</v>
      </c>
    </row>
    <row r="2645" customFormat="false" ht="17.15" hidden="false" customHeight="false" outlineLevel="0" collapsed="false">
      <c r="A2645" s="4" t="s">
        <v>573</v>
      </c>
      <c r="B2645" s="0" t="s">
        <v>234</v>
      </c>
      <c r="C2645" s="30" t="n">
        <f aca="false">a25_da</f>
        <v>75.255</v>
      </c>
      <c r="D2645" s="30" t="n">
        <f aca="false">a26_da</f>
        <v>97.124</v>
      </c>
      <c r="E2645" s="30" t="n">
        <f aca="false">D2645*(1-1/life)+D2643/life</f>
        <v>130.83975</v>
      </c>
      <c r="F2645" s="30" t="n">
        <f aca="false">E2645*(1-1/life)+E2643/life</f>
        <v>166.48478125</v>
      </c>
      <c r="G2645" s="30" t="n">
        <f aca="false">F2645*(1-1/life)+F2643/life</f>
        <v>192.856430059454</v>
      </c>
      <c r="K2645" s="4" t="s">
        <v>574</v>
      </c>
    </row>
    <row r="2646" customFormat="false" ht="17.15" hidden="false" customHeight="false" outlineLevel="0" collapsed="false">
      <c r="A2646" s="4" t="s">
        <v>575</v>
      </c>
      <c r="B2646" s="0" t="s">
        <v>234</v>
      </c>
      <c r="C2646" s="30" t="n">
        <f aca="false">a25_agp</f>
        <v>91.38</v>
      </c>
      <c r="D2646" s="30" t="n">
        <f aca="false">a26_agp</f>
        <v>164.623388</v>
      </c>
      <c r="E2646" s="30" t="n">
        <f aca="false">$D2646+ft*(E2634-$D2634)-(E2645-$D2645)</f>
        <v>238.406777354481</v>
      </c>
      <c r="F2646" s="30" t="n">
        <f aca="false">$D2646+ft*(F2634-$D2634)-(F2645-$D2645)</f>
        <v>265.096905707536</v>
      </c>
      <c r="G2646" s="30" t="n">
        <f aca="false">$D2646+ft*(G2634-$D2634)-(G2645-$D2645)</f>
        <v>311.40506004625</v>
      </c>
      <c r="K2646" s="4" t="s">
        <v>576</v>
      </c>
    </row>
    <row r="2647" customFormat="false" ht="15" hidden="false" customHeight="false" outlineLevel="0" collapsed="false">
      <c r="A2647" s="4" t="s">
        <v>447</v>
      </c>
      <c r="B2647" s="0" t="s">
        <v>76</v>
      </c>
      <c r="C2647" s="14" t="n">
        <f aca="false">C2646/C2634</f>
        <v>0.234772421305764</v>
      </c>
      <c r="D2647" s="14" t="n">
        <f aca="false">D2646/D2634</f>
        <v>0.294112034690999</v>
      </c>
      <c r="E2647" s="14" t="n">
        <f aca="false">E2646/E2634</f>
        <v>0.307729461232368</v>
      </c>
      <c r="F2647" s="14" t="n">
        <f aca="false">F2646/F2634</f>
        <v>0.294749010474626</v>
      </c>
      <c r="G2647" s="14" t="n">
        <f aca="false">G2646/G2634</f>
        <v>0.298064182868479</v>
      </c>
    </row>
    <row r="2648" customFormat="false" ht="17.15" hidden="false" customHeight="false" outlineLevel="0" collapsed="false">
      <c r="A2648" s="0" t="s">
        <v>449</v>
      </c>
      <c r="B2648" s="0" t="s">
        <v>234</v>
      </c>
      <c r="C2648" s="30" t="n">
        <f aca="false">a25_egp</f>
        <v>23.695</v>
      </c>
      <c r="D2648" s="30" t="n">
        <f aca="false">a26_egp</f>
        <v>27.00552</v>
      </c>
      <c r="E2648" s="30" t="n">
        <f aca="false">E2635*ems_gm_hi</f>
        <v>32.875909</v>
      </c>
      <c r="F2648" s="30" t="n">
        <f aca="false">F2635*ems_gm_hi</f>
        <v>34.51970445</v>
      </c>
      <c r="G2648" s="30" t="n">
        <f aca="false">G2635*ems_gm_hi</f>
        <v>36.2456896725</v>
      </c>
    </row>
    <row r="2649" customFormat="false" ht="15" hidden="false" customHeight="false" outlineLevel="0" collapsed="false">
      <c r="A2649" s="4" t="s">
        <v>577</v>
      </c>
      <c r="B2649" s="0" t="s">
        <v>234</v>
      </c>
      <c r="C2649" s="30" t="n">
        <f aca="false">a25_lgp</f>
        <v>-0.881999999999998</v>
      </c>
      <c r="D2649" s="30" t="n">
        <f aca="false">a26_lgp</f>
        <v>-0.948662139013863</v>
      </c>
      <c r="E2649" s="30" t="n">
        <f aca="false">$D2649/$D2636*E2636</f>
        <v>-1.21607288699975</v>
      </c>
      <c r="F2649" s="30" t="n">
        <f aca="false">$D2649/$D2636*F2636</f>
        <v>-1.37011595785291</v>
      </c>
      <c r="G2649" s="30" t="n">
        <f aca="false">$D2649/$D2636*G2636</f>
        <v>-1.54754588739994</v>
      </c>
    </row>
    <row r="2650" customFormat="false" ht="15" hidden="false" customHeight="false" outlineLevel="0" collapsed="false">
      <c r="A2650" s="4" t="s">
        <v>451</v>
      </c>
      <c r="B2650" s="0" t="s">
        <v>234</v>
      </c>
      <c r="C2650" s="30" t="n">
        <f aca="false">C2646+C2648+C2649</f>
        <v>114.193</v>
      </c>
      <c r="D2650" s="30" t="n">
        <f aca="false">D2646+D2648+D2649</f>
        <v>190.680245860986</v>
      </c>
      <c r="E2650" s="30" t="n">
        <f aca="false">E2646+E2648+E2649</f>
        <v>270.066613467481</v>
      </c>
      <c r="F2650" s="30" t="n">
        <f aca="false">F2646+F2648+F2649</f>
        <v>298.246494199683</v>
      </c>
      <c r="G2650" s="30" t="n">
        <f aca="false">G2646+G2648+G2649</f>
        <v>346.10320383135</v>
      </c>
    </row>
    <row r="2651" customFormat="false" ht="15" hidden="false" customHeight="false" outlineLevel="0" collapsed="false">
      <c r="A2651" s="4" t="s">
        <v>452</v>
      </c>
      <c r="B2651" s="0" t="s">
        <v>76</v>
      </c>
      <c r="C2651" s="14" t="n">
        <f aca="false">C2650/C2637</f>
        <v>0.176936974347214</v>
      </c>
      <c r="D2651" s="14" t="n">
        <f aca="false">D2650/D2637</f>
        <v>0.218879008327391</v>
      </c>
      <c r="E2651" s="14" t="n">
        <f aca="false">E2650/E2637</f>
        <v>0.241836177821152</v>
      </c>
      <c r="F2651" s="14" t="n">
        <f aca="false">F2650/F2637</f>
        <v>0.237043472286078</v>
      </c>
      <c r="G2651" s="14" t="n">
        <f aca="false">G2650/G2637</f>
        <v>0.24354098685127</v>
      </c>
    </row>
    <row r="2652" customFormat="false" ht="15" hidden="false" customHeight="false" outlineLevel="0" collapsed="false">
      <c r="A2652" s="4" t="s">
        <v>578</v>
      </c>
      <c r="B2652" s="0" t="s">
        <v>234</v>
      </c>
      <c r="C2652" s="30" t="n">
        <f aca="false">a25_opx</f>
        <v>63.437</v>
      </c>
      <c r="D2652" s="30" t="n">
        <f aca="false">a26_opx</f>
        <v>79.658</v>
      </c>
      <c r="E2652" s="30" t="n">
        <f aca="false">D2652*(1+phi*E2638)</f>
        <v>93.1304921468054</v>
      </c>
      <c r="F2652" s="30" t="n">
        <f aca="false">E2652*(1+phi*F2638)</f>
        <v>100.208739094201</v>
      </c>
      <c r="G2652" s="30" t="n">
        <f aca="false">F2652*(1+phi*G2638)</f>
        <v>107.994954304194</v>
      </c>
    </row>
    <row r="2653" customFormat="false" ht="15" hidden="false" customHeight="false" outlineLevel="0" collapsed="false">
      <c r="A2653" s="4" t="s">
        <v>455</v>
      </c>
      <c r="B2653" s="0" t="s">
        <v>234</v>
      </c>
      <c r="C2653" s="30" t="n">
        <f aca="false">C2650-C2652</f>
        <v>50.756</v>
      </c>
      <c r="D2653" s="30" t="n">
        <f aca="false">D2650-D2652</f>
        <v>111.022245860986</v>
      </c>
      <c r="E2653" s="30" t="n">
        <f aca="false">E2650-E2652</f>
        <v>176.936121320676</v>
      </c>
      <c r="F2653" s="30" t="n">
        <f aca="false">F2650-F2652</f>
        <v>198.037755105482</v>
      </c>
      <c r="G2653" s="30" t="n">
        <f aca="false">G2650-G2652</f>
        <v>238.108249527156</v>
      </c>
    </row>
    <row r="2654" customFormat="false" ht="15" hidden="false" customHeight="false" outlineLevel="0" collapsed="false">
      <c r="A2654" s="4" t="s">
        <v>537</v>
      </c>
      <c r="B2654" s="0" t="s">
        <v>76</v>
      </c>
      <c r="C2654" s="14" t="n">
        <f aca="false">C2653/C2637</f>
        <v>0.0786441644406156</v>
      </c>
      <c r="D2654" s="14" t="n">
        <f aca="false">D2653/D2637</f>
        <v>0.127440779020437</v>
      </c>
      <c r="E2654" s="14" t="n">
        <f aca="false">E2653/E2637</f>
        <v>0.158440744486338</v>
      </c>
      <c r="F2654" s="14" t="n">
        <f aca="false">F2653/F2637</f>
        <v>0.15739852111225</v>
      </c>
      <c r="G2654" s="14" t="n">
        <f aca="false">G2653/G2637</f>
        <v>0.167548631232923</v>
      </c>
    </row>
    <row r="2655" customFormat="false" ht="15" hidden="false" customHeight="false" outlineLevel="0" collapsed="false">
      <c r="A2655" s="4" t="s">
        <v>456</v>
      </c>
      <c r="B2655" s="0" t="s">
        <v>234</v>
      </c>
      <c r="C2655" s="30" t="n">
        <f aca="false">a25_nonop</f>
        <v>0.545</v>
      </c>
      <c r="D2655" s="30" t="n">
        <f aca="false">a26_nonop</f>
        <v>4.302</v>
      </c>
      <c r="E2655" s="30" t="n">
        <f aca="false">nonop_f</f>
        <v>-5</v>
      </c>
      <c r="F2655" s="30" t="n">
        <f aca="false">nonop_f</f>
        <v>-5</v>
      </c>
      <c r="G2655" s="30" t="n">
        <f aca="false">nonop_f</f>
        <v>-5</v>
      </c>
    </row>
    <row r="2656" customFormat="false" ht="15" hidden="false" customHeight="false" outlineLevel="0" collapsed="false">
      <c r="A2656" s="4" t="s">
        <v>459</v>
      </c>
      <c r="B2656" s="0" t="s">
        <v>234</v>
      </c>
      <c r="C2656" s="30" t="n">
        <f aca="false">C2653+C2655</f>
        <v>51.301</v>
      </c>
      <c r="D2656" s="30" t="n">
        <f aca="false">D2653+D2655</f>
        <v>115.324245860986</v>
      </c>
      <c r="E2656" s="30" t="n">
        <f aca="false">E2653+E2655</f>
        <v>171.936121320676</v>
      </c>
      <c r="F2656" s="30" t="n">
        <f aca="false">F2653+F2655</f>
        <v>193.037755105482</v>
      </c>
      <c r="G2656" s="30" t="n">
        <f aca="false">G2653+G2655</f>
        <v>233.108249527156</v>
      </c>
    </row>
    <row r="2657" customFormat="false" ht="15" hidden="false" customHeight="false" outlineLevel="0" collapsed="false">
      <c r="A2657" s="4" t="s">
        <v>460</v>
      </c>
      <c r="B2657" s="0" t="s">
        <v>234</v>
      </c>
      <c r="C2657" s="30" t="n">
        <f aca="false">a25_tax</f>
        <v>9.461</v>
      </c>
      <c r="D2657" s="30" t="n">
        <f aca="false">a26_tax</f>
        <v>19.2197317963676</v>
      </c>
      <c r="E2657" s="30" t="n">
        <f aca="false">E2656*tax</f>
        <v>29.2291406245148</v>
      </c>
      <c r="F2657" s="30" t="n">
        <f aca="false">F2656*tax</f>
        <v>32.8164183679319</v>
      </c>
      <c r="G2657" s="30" t="n">
        <f aca="false">G2656*tax</f>
        <v>39.6284024196166</v>
      </c>
    </row>
    <row r="2658" customFormat="false" ht="15" hidden="false" customHeight="false" outlineLevel="0" collapsed="false">
      <c r="A2658" s="4" t="s">
        <v>461</v>
      </c>
      <c r="B2658" s="0" t="s">
        <v>234</v>
      </c>
      <c r="C2658" s="30" t="n">
        <f aca="false">a25_nci</f>
        <v>1.182</v>
      </c>
      <c r="D2658" s="30" t="n">
        <f aca="false">a26_nci</f>
        <v>2.543</v>
      </c>
      <c r="E2658" s="30" t="n">
        <f aca="false">nci</f>
        <v>3</v>
      </c>
      <c r="F2658" s="30" t="n">
        <f aca="false">nci</f>
        <v>3</v>
      </c>
      <c r="G2658" s="30" t="n">
        <f aca="false">nci</f>
        <v>3</v>
      </c>
    </row>
    <row r="2659" customFormat="false" ht="15" hidden="false" customHeight="false" outlineLevel="0" collapsed="false">
      <c r="A2659" s="4" t="s">
        <v>462</v>
      </c>
      <c r="B2659" s="0" t="s">
        <v>234</v>
      </c>
      <c r="C2659" s="30" t="n">
        <f aca="false">C2656-C2657-C2658</f>
        <v>40.658</v>
      </c>
      <c r="D2659" s="30" t="n">
        <f aca="false">D2656-D2657-D2658</f>
        <v>93.5615140646185</v>
      </c>
      <c r="E2659" s="30" t="n">
        <f aca="false">E2656-E2657-E2658</f>
        <v>139.706980696161</v>
      </c>
      <c r="F2659" s="30" t="n">
        <f aca="false">F2656-F2657-F2658</f>
        <v>157.22133673755</v>
      </c>
      <c r="G2659" s="30" t="n">
        <f aca="false">G2656-G2657-G2658</f>
        <v>190.47984710754</v>
      </c>
      <c r="H2659" s="31" t="n">
        <f aca="false">H2637*H2663</f>
        <v>209.566377000833</v>
      </c>
      <c r="I2659" s="31" t="n">
        <f aca="false">I2637*I2663</f>
        <v>225.730366867719</v>
      </c>
      <c r="J2659" s="31" t="n">
        <f aca="false">J2637*J2663</f>
        <v>237.933349598446</v>
      </c>
    </row>
    <row r="2660" customFormat="false" ht="15" hidden="false" customHeight="false" outlineLevel="0" collapsed="false">
      <c r="A2660" s="4" t="s">
        <v>579</v>
      </c>
      <c r="B2660" s="4" t="s">
        <v>580</v>
      </c>
      <c r="C2660" s="18" t="n">
        <f aca="false">a25_sh</f>
        <v>4339.16755602988</v>
      </c>
      <c r="D2660" s="18" t="n">
        <f aca="false">a26_sh</f>
        <v>4392.90105184664</v>
      </c>
      <c r="E2660" s="18" t="n">
        <f aca="false">D2660*(1+sh_g)</f>
        <v>4414.86555710588</v>
      </c>
      <c r="F2660" s="18" t="n">
        <f aca="false">E2660*(1+sh_g)</f>
        <v>4436.9398848914</v>
      </c>
      <c r="G2660" s="18" t="n">
        <f aca="false">F2660*(1+sh_g)</f>
        <v>4459.12458431586</v>
      </c>
      <c r="H2660" s="25" t="n">
        <f aca="false">G2660*(1+sh_g)</f>
        <v>4481.42020723744</v>
      </c>
      <c r="I2660" s="25" t="n">
        <f aca="false">H2660*(1+sh_g)</f>
        <v>4503.82730827363</v>
      </c>
      <c r="J2660" s="25" t="n">
        <f aca="false">I2660*(1+sh_g)</f>
        <v>4526.34644481499</v>
      </c>
    </row>
    <row r="2661" customFormat="false" ht="17.15" hidden="false" customHeight="false" outlineLevel="0" collapsed="false">
      <c r="A2661" s="0" t="s">
        <v>465</v>
      </c>
      <c r="B2661" s="0" t="s">
        <v>304</v>
      </c>
      <c r="C2661" s="19" t="n">
        <f aca="false">a25_eps</f>
        <v>9.37</v>
      </c>
      <c r="D2661" s="19" t="n">
        <f aca="false">a26_eps</f>
        <v>21.2828697294455</v>
      </c>
      <c r="E2661" s="19" t="n">
        <f aca="false">E2659/E2660*1000</f>
        <v>31.6446738613133</v>
      </c>
      <c r="F2661" s="19" t="n">
        <f aca="false">F2659/F2660*1000</f>
        <v>35.4346330616102</v>
      </c>
      <c r="G2661" s="19" t="n">
        <f aca="false">G2659/G2660*1000</f>
        <v>42.7168704318146</v>
      </c>
      <c r="H2661" s="28" t="n">
        <f aca="false">H2659/H2660*1000</f>
        <v>46.763384665956</v>
      </c>
      <c r="I2661" s="28" t="n">
        <f aca="false">I2659/I2660*1000</f>
        <v>50.1196763146418</v>
      </c>
      <c r="J2661" s="28" t="n">
        <f aca="false">J2659/J2660*1000</f>
        <v>52.5663142446825</v>
      </c>
    </row>
    <row r="2662" customFormat="false" ht="17.15" hidden="false" customHeight="false" outlineLevel="0" collapsed="false">
      <c r="A2662" s="0" t="s">
        <v>581</v>
      </c>
      <c r="B2662" s="0" t="s">
        <v>76</v>
      </c>
      <c r="D2662" s="21" t="n">
        <f aca="false">D2661/C2661-1</f>
        <v>1.27138417603474</v>
      </c>
      <c r="E2662" s="21" t="n">
        <f aca="false">E2661/D2661-1</f>
        <v>0.486861229880663</v>
      </c>
      <c r="F2662" s="21" t="n">
        <f aca="false">F2661/E2661-1</f>
        <v>0.119766100826537</v>
      </c>
      <c r="G2662" s="21" t="n">
        <f aca="false">G2661/F2661-1</f>
        <v>0.205511860600975</v>
      </c>
      <c r="H2662" s="26" t="n">
        <f aca="false">H2661/G2661-1</f>
        <v>0.094728714749845</v>
      </c>
      <c r="I2662" s="26" t="n">
        <f aca="false">I2661/H2661-1</f>
        <v>0.0717717862524427</v>
      </c>
      <c r="J2662" s="26" t="n">
        <f aca="false">J2661/I2661-1</f>
        <v>0.0488159164213498</v>
      </c>
    </row>
    <row r="2663" customFormat="false" ht="17.15" hidden="false" customHeight="false" outlineLevel="0" collapsed="false">
      <c r="A2663" s="4" t="s">
        <v>582</v>
      </c>
      <c r="B2663" s="0" t="s">
        <v>76</v>
      </c>
      <c r="C2663" s="14" t="n">
        <f aca="false">C2659/C2637</f>
        <v>0.0629977625862272</v>
      </c>
      <c r="D2663" s="14" t="n">
        <f aca="false">D2659/D2637</f>
        <v>0.107397865592237</v>
      </c>
      <c r="E2663" s="14" t="n">
        <f aca="false">E2659/E2637</f>
        <v>0.125103217286654</v>
      </c>
      <c r="F2663" s="14" t="n">
        <f aca="false">F2659/F2637</f>
        <v>0.124958020639048</v>
      </c>
      <c r="G2663" s="14" t="n">
        <f aca="false">G2659/G2637</f>
        <v>0.134034153473061</v>
      </c>
      <c r="H2663" s="27" t="n">
        <f aca="false">$G2663+(fade_mA-$G2663)*1/3</f>
        <v>0.133291380586762</v>
      </c>
      <c r="I2663" s="27" t="n">
        <f aca="false">$G2663+(fade_mA-$G2663)*2/3</f>
        <v>0.132548607700463</v>
      </c>
      <c r="J2663" s="27" t="n">
        <f aca="false">$G2663+(fade_mA-$G2663)*3/3</f>
        <v>0.131805834814164</v>
      </c>
    </row>
    <row r="2664" customFormat="false" ht="17.15" hidden="false" customHeight="false" outlineLevel="0" collapsed="false">
      <c r="A2664" s="4" t="s">
        <v>583</v>
      </c>
      <c r="B2664" s="0" t="s">
        <v>234</v>
      </c>
      <c r="C2664" s="30" t="n">
        <f aca="false">C2659+C2645-C2643</f>
        <v>-54.587</v>
      </c>
      <c r="D2664" s="30" t="n">
        <f aca="false">D2659+D2645-D2643</f>
        <v>-176.164485935382</v>
      </c>
      <c r="E2664" s="30" t="n">
        <f aca="false">E2659+E2645-E2643</f>
        <v>-145.453269303839</v>
      </c>
      <c r="F2664" s="30" t="n">
        <f aca="false">F2659+F2645-F2643</f>
        <v>-53.7518537380851</v>
      </c>
      <c r="G2664" s="30" t="n">
        <f aca="false">G2659+G2645-G2643</f>
        <v>-43.002477930579</v>
      </c>
      <c r="K2664" s="4" t="s">
        <v>584</v>
      </c>
    </row>
    <row r="2665" customFormat="false" ht="17.15" hidden="false" customHeight="false" outlineLevel="0" collapsed="false">
      <c r="A2665" s="4" t="s">
        <v>585</v>
      </c>
      <c r="B2665" s="0" t="s">
        <v>76</v>
      </c>
      <c r="D2665" s="21" t="n">
        <f aca="false">(D2653-$C2653)/SUM($D2643:D2643)</f>
        <v>0.164280348537512</v>
      </c>
      <c r="E2665" s="21" t="n">
        <f aca="false">(E2653-$C2653)/SUM($D2643:E2643)</f>
        <v>0.161180457713068</v>
      </c>
      <c r="F2665" s="21" t="n">
        <f aca="false">(F2653-$C2653)/SUM($D2643:F2643)</f>
        <v>0.126933330369558</v>
      </c>
      <c r="G2665" s="21" t="n">
        <f aca="false">(G2653-$C2653)/SUM($D2643:G2643)</f>
        <v>0.118080632796107</v>
      </c>
      <c r="K2665" s="4" t="s">
        <v>586</v>
      </c>
    </row>
    <row r="2668" customFormat="false" ht="17.15" hidden="false" customHeight="false" outlineLevel="0" collapsed="false">
      <c r="A2668" s="1" t="s">
        <v>968</v>
      </c>
    </row>
    <row r="2669" customFormat="false" ht="17.15" hidden="false" customHeight="false" outlineLevel="0" collapsed="false">
      <c r="A2669" s="5" t="s">
        <v>21</v>
      </c>
      <c r="B2669" s="5" t="s">
        <v>22</v>
      </c>
      <c r="C2669" s="15" t="s">
        <v>424</v>
      </c>
      <c r="D2669" s="15" t="s">
        <v>524</v>
      </c>
      <c r="E2669" s="15" t="s">
        <v>525</v>
      </c>
      <c r="F2669" s="15" t="s">
        <v>526</v>
      </c>
      <c r="G2669" s="15" t="s">
        <v>527</v>
      </c>
      <c r="H2669" s="15" t="s">
        <v>528</v>
      </c>
      <c r="I2669" s="15" t="s">
        <v>529</v>
      </c>
      <c r="J2669" s="15" t="s">
        <v>530</v>
      </c>
      <c r="K2669" s="5" t="s">
        <v>382</v>
      </c>
    </row>
    <row r="2670" customFormat="false" ht="17.15" hidden="false" customHeight="false" outlineLevel="0" collapsed="false">
      <c r="A2670" s="6" t="s">
        <v>548</v>
      </c>
    </row>
    <row r="2671" customFormat="false" ht="17.15" hidden="false" customHeight="false" outlineLevel="0" collapsed="false">
      <c r="A2671" s="0" t="s">
        <v>549</v>
      </c>
      <c r="B2671" s="4" t="s">
        <v>32</v>
      </c>
      <c r="D2671" s="19" t="n">
        <f aca="false">units_26</f>
        <v>15.2</v>
      </c>
      <c r="E2671" s="19" t="n">
        <f aca="false">units_27*1</f>
        <v>23.7</v>
      </c>
      <c r="F2671" s="19" t="n">
        <f aca="false">units_28*um28_B*1</f>
        <v>21.2</v>
      </c>
      <c r="G2671" s="19" t="n">
        <f aca="false">units_29*um29_B*1</f>
        <v>25.6275</v>
      </c>
    </row>
    <row r="2672" customFormat="false" ht="17.15" hidden="false" customHeight="false" outlineLevel="0" collapsed="false">
      <c r="A2672" s="4" t="s">
        <v>497</v>
      </c>
      <c r="B2672" s="0" t="s">
        <v>45</v>
      </c>
      <c r="D2672" s="22" t="n">
        <f aca="false">ar_26</f>
        <v>1</v>
      </c>
      <c r="E2672" s="22" t="n">
        <f aca="false">ar_27</f>
        <v>1.278156</v>
      </c>
      <c r="F2672" s="22" t="n">
        <f aca="false">ar_28</f>
        <v>1.428615</v>
      </c>
      <c r="G2672" s="22" t="n">
        <f aca="false">ar_29</f>
        <v>1.431796</v>
      </c>
    </row>
    <row r="2673" customFormat="false" ht="17.15" hidden="false" customHeight="false" outlineLevel="0" collapsed="false">
      <c r="A2673" s="4" t="s">
        <v>550</v>
      </c>
      <c r="B2673" s="0" t="s">
        <v>45</v>
      </c>
      <c r="D2673" s="19" t="n">
        <f aca="false">1</f>
        <v>1</v>
      </c>
      <c r="E2673" s="19" t="n">
        <f aca="false">rel27_B</f>
        <v>1.05</v>
      </c>
      <c r="F2673" s="19" t="n">
        <f aca="false">rel28_B</f>
        <v>1.08</v>
      </c>
      <c r="G2673" s="19" t="n">
        <f aca="false">rel29_B</f>
        <v>1.1</v>
      </c>
    </row>
    <row r="2674" customFormat="false" ht="17.15" hidden="false" customHeight="false" outlineLevel="0" collapsed="false">
      <c r="A2674" s="4" t="s">
        <v>551</v>
      </c>
      <c r="B2674" s="0" t="s">
        <v>502</v>
      </c>
      <c r="D2674" s="23" t="n">
        <f aca="false">D2675*1000/D2671</f>
        <v>236.842105263158</v>
      </c>
      <c r="E2674" s="23" t="n">
        <f aca="false">$D2674*E2672^el</f>
        <v>267.763172119488</v>
      </c>
      <c r="F2674" s="23" t="n">
        <f aca="false">$D2674*F2672^el</f>
        <v>283.084777049615</v>
      </c>
      <c r="G2674" s="23" t="n">
        <f aca="false">$D2674*G2672^el</f>
        <v>283.399764630809</v>
      </c>
      <c r="K2674" s="8" t="s">
        <v>552</v>
      </c>
    </row>
    <row r="2675" customFormat="false" ht="17.15" hidden="false" customHeight="false" outlineLevel="0" collapsed="false">
      <c r="A2675" s="0" t="s">
        <v>553</v>
      </c>
      <c r="B2675" s="0" t="s">
        <v>120</v>
      </c>
      <c r="D2675" s="22" t="n">
        <f aca="false">leap26-D2676-D2677</f>
        <v>3.6</v>
      </c>
      <c r="E2675" s="22" t="n">
        <f aca="false">E2671*E2673*E2674/1000</f>
        <v>6.66328653819345</v>
      </c>
      <c r="F2675" s="22" t="n">
        <f aca="false">F2671*F2673*F2674/1000</f>
        <v>6.48150905532798</v>
      </c>
      <c r="G2675" s="22" t="n">
        <f aca="false">G2671*G2673*G2674/1000</f>
        <v>7.98911021488366</v>
      </c>
      <c r="K2675" s="8" t="s">
        <v>554</v>
      </c>
    </row>
    <row r="2676" customFormat="false" ht="17.15" hidden="false" customHeight="false" outlineLevel="0" collapsed="false">
      <c r="A2676" s="4" t="s">
        <v>555</v>
      </c>
      <c r="B2676" s="0" t="s">
        <v>120</v>
      </c>
      <c r="D2676" s="22" t="n">
        <f aca="false">fp26</f>
        <v>0.3</v>
      </c>
      <c r="E2676" s="22" t="n">
        <f aca="false">fp27_B</f>
        <v>1</v>
      </c>
      <c r="F2676" s="22" t="n">
        <f aca="false">E2676*F2671/E2671*(1+fp_g)</f>
        <v>1.16286919831224</v>
      </c>
      <c r="G2676" s="22" t="n">
        <f aca="false">F2676*G2671/F2671*(1+fp_g)</f>
        <v>1.82744620253165</v>
      </c>
    </row>
    <row r="2677" customFormat="false" ht="17.15" hidden="false" customHeight="false" outlineLevel="0" collapsed="false">
      <c r="A2677" s="0" t="s">
        <v>556</v>
      </c>
      <c r="B2677" s="0" t="s">
        <v>120</v>
      </c>
      <c r="D2677" s="22" t="n">
        <f aca="false">cpo27*cpo_B_26/cpo_A_27</f>
        <v>0.1</v>
      </c>
      <c r="E2677" s="22" t="n">
        <f aca="false">cpo27*cpo_B_27/cpo_A_27</f>
        <v>0.3</v>
      </c>
      <c r="F2677" s="22" t="n">
        <f aca="false">cpo27*cpo_B_28/cpo_A_27*F2671/E2671</f>
        <v>0.447257383966245</v>
      </c>
      <c r="G2677" s="22" t="n">
        <f aca="false">cpo27*cpo_B_29/cpo_A_27*G2671/E2671</f>
        <v>0.86506329113924</v>
      </c>
      <c r="K2677" s="8" t="s">
        <v>557</v>
      </c>
    </row>
    <row r="2678" customFormat="false" ht="17.15" hidden="false" customHeight="false" outlineLevel="0" collapsed="false">
      <c r="A2678" s="0" t="s">
        <v>510</v>
      </c>
      <c r="B2678" s="0" t="s">
        <v>120</v>
      </c>
      <c r="C2678" s="22" t="n">
        <f aca="false">leap25</f>
        <v>1.6</v>
      </c>
      <c r="D2678" s="22" t="n">
        <f aca="false">D2675+D2676+D2677</f>
        <v>4</v>
      </c>
      <c r="E2678" s="22" t="n">
        <f aca="false">E2675+E2676+E2677</f>
        <v>7.96328653819345</v>
      </c>
      <c r="F2678" s="22" t="n">
        <f aca="false">F2675+F2676+F2677</f>
        <v>8.09163563760646</v>
      </c>
      <c r="G2678" s="22" t="n">
        <f aca="false">G2675+G2676+G2677</f>
        <v>10.6816197085545</v>
      </c>
    </row>
    <row r="2679" customFormat="false" ht="17.15" hidden="false" customHeight="false" outlineLevel="0" collapsed="false">
      <c r="A2679" s="4" t="s">
        <v>558</v>
      </c>
      <c r="B2679" s="0" t="s">
        <v>114</v>
      </c>
      <c r="C2679" s="19" t="n">
        <f aca="false">fx25</f>
        <v>31</v>
      </c>
      <c r="D2679" s="19" t="n">
        <f aca="false">a26_leap/D2678</f>
        <v>31.9</v>
      </c>
      <c r="E2679" s="19" t="n">
        <f aca="false">fx</f>
        <v>32</v>
      </c>
      <c r="F2679" s="19" t="n">
        <f aca="false">fx</f>
        <v>32</v>
      </c>
      <c r="G2679" s="19" t="n">
        <f aca="false">fx</f>
        <v>32</v>
      </c>
      <c r="K2679" s="8" t="s">
        <v>559</v>
      </c>
    </row>
    <row r="2680" customFormat="false" ht="17.15" hidden="false" customHeight="false" outlineLevel="0" collapsed="false">
      <c r="A2680" s="6" t="s">
        <v>560</v>
      </c>
    </row>
    <row r="2681" customFormat="false" ht="17.15" hidden="false" customHeight="false" outlineLevel="0" collapsed="false">
      <c r="A2681" s="0" t="s">
        <v>438</v>
      </c>
      <c r="B2681" s="0" t="s">
        <v>234</v>
      </c>
      <c r="C2681" s="30" t="n">
        <f aca="false">a25_leap</f>
        <v>49.6</v>
      </c>
      <c r="D2681" s="30" t="n">
        <f aca="false">a26_leap</f>
        <v>127.6</v>
      </c>
      <c r="E2681" s="30" t="n">
        <f aca="false">E2678*E2679</f>
        <v>254.82516922219</v>
      </c>
      <c r="F2681" s="30" t="n">
        <f aca="false">F2678*F2679</f>
        <v>258.932340403407</v>
      </c>
      <c r="G2681" s="30" t="n">
        <f aca="false">G2678*G2679</f>
        <v>341.811830673745</v>
      </c>
    </row>
    <row r="2682" customFormat="false" ht="15" hidden="false" customHeight="false" outlineLevel="0" collapsed="false">
      <c r="A2682" s="4" t="s">
        <v>561</v>
      </c>
      <c r="B2682" s="0" t="s">
        <v>234</v>
      </c>
      <c r="C2682" s="30" t="n">
        <f aca="false">a25_ms</f>
        <v>339.628</v>
      </c>
      <c r="D2682" s="30" t="n">
        <f aca="false">a26_ms</f>
        <v>432.1302</v>
      </c>
      <c r="E2682" s="30" t="n">
        <f aca="false">D2682*(1+g_ms27)</f>
        <v>496.94973</v>
      </c>
      <c r="F2682" s="30" t="n">
        <f aca="false">E2682*(1+g_msL)</f>
        <v>531.7362111</v>
      </c>
      <c r="G2682" s="30" t="n">
        <f aca="false">F2682*(1+g_msL)</f>
        <v>568.957745877</v>
      </c>
    </row>
    <row r="2683" customFormat="false" ht="17.15" hidden="false" customHeight="false" outlineLevel="0" collapsed="false">
      <c r="A2683" s="4" t="s">
        <v>562</v>
      </c>
      <c r="B2683" s="0" t="s">
        <v>234</v>
      </c>
      <c r="C2683" s="30" t="n">
        <f aca="false">C2681+C2682</f>
        <v>389.228</v>
      </c>
      <c r="D2683" s="30" t="n">
        <f aca="false">D2681+D2682</f>
        <v>559.7302</v>
      </c>
      <c r="E2683" s="30" t="n">
        <f aca="false">E2681+E2682</f>
        <v>751.77489922219</v>
      </c>
      <c r="F2683" s="30" t="n">
        <f aca="false">F2681+F2682</f>
        <v>790.668551503407</v>
      </c>
      <c r="G2683" s="30" t="n">
        <f aca="false">G2681+G2682</f>
        <v>910.769576550745</v>
      </c>
    </row>
    <row r="2684" customFormat="false" ht="17.15" hidden="false" customHeight="false" outlineLevel="0" collapsed="false">
      <c r="A2684" s="0" t="s">
        <v>563</v>
      </c>
      <c r="B2684" s="0" t="s">
        <v>234</v>
      </c>
      <c r="C2684" s="30" t="n">
        <f aca="false">a25_ems</f>
        <v>259.079</v>
      </c>
      <c r="D2684" s="30" t="n">
        <f aca="false">a26_ems</f>
        <v>314.602</v>
      </c>
      <c r="E2684" s="30" t="n">
        <f aca="false">D2684*(1+g_ems27)</f>
        <v>346.0622</v>
      </c>
      <c r="F2684" s="30" t="n">
        <f aca="false">E2684*(1+g_emsL)</f>
        <v>363.36531</v>
      </c>
      <c r="G2684" s="30" t="n">
        <f aca="false">F2684*(1+g_emsL)</f>
        <v>381.5335755</v>
      </c>
    </row>
    <row r="2685" customFormat="false" ht="17.15" hidden="false" customHeight="false" outlineLevel="0" collapsed="false">
      <c r="A2685" s="4" t="s">
        <v>564</v>
      </c>
      <c r="B2685" s="0" t="s">
        <v>234</v>
      </c>
      <c r="C2685" s="30" t="n">
        <f aca="false">a25_elim</f>
        <v>-2.91899999999998</v>
      </c>
      <c r="D2685" s="30" t="n">
        <f aca="false">a26_elim</f>
        <v>-3.16484905982349</v>
      </c>
      <c r="E2685" s="30" t="n">
        <f aca="false">$D2685/($D2683+$D2684)*(E2683+E2684)</f>
        <v>-3.97387710450638</v>
      </c>
      <c r="F2685" s="30" t="n">
        <f aca="false">$D2685/($D2683+$D2684)*(F2683+F2684)</f>
        <v>-4.17729437573445</v>
      </c>
      <c r="G2685" s="30" t="n">
        <f aca="false">$D2685/($D2683+$D2684)*(G2683+G2684)</f>
        <v>-4.67779228052533</v>
      </c>
      <c r="K2685" s="4" t="s">
        <v>565</v>
      </c>
    </row>
    <row r="2686" customFormat="false" ht="17.15" hidden="false" customHeight="false" outlineLevel="0" collapsed="false">
      <c r="A2686" s="4" t="s">
        <v>431</v>
      </c>
      <c r="B2686" s="0" t="s">
        <v>234</v>
      </c>
      <c r="C2686" s="30" t="n">
        <f aca="false">C2683+C2684+C2685</f>
        <v>645.388</v>
      </c>
      <c r="D2686" s="30" t="n">
        <f aca="false">D2683+D2684+D2685</f>
        <v>871.167350940177</v>
      </c>
      <c r="E2686" s="30" t="n">
        <f aca="false">E2683+E2684+E2685</f>
        <v>1093.86322211768</v>
      </c>
      <c r="F2686" s="30" t="n">
        <f aca="false">F2683+F2684+F2685</f>
        <v>1149.85656712767</v>
      </c>
      <c r="G2686" s="30" t="n">
        <f aca="false">G2683+G2684+G2685</f>
        <v>1287.62535977022</v>
      </c>
      <c r="H2686" s="31" t="n">
        <f aca="false">G2686*(1+H2687)</f>
        <v>1407.64396999115</v>
      </c>
      <c r="I2686" s="31" t="n">
        <f aca="false">H2686*(1+I2687)</f>
        <v>1501.39957757674</v>
      </c>
      <c r="J2686" s="31" t="n">
        <f aca="false">I2686*(1+J2687)</f>
        <v>1561.45556067981</v>
      </c>
      <c r="K2686" s="8" t="s">
        <v>566</v>
      </c>
    </row>
    <row r="2687" customFormat="false" ht="15" hidden="false" customHeight="false" outlineLevel="0" collapsed="false">
      <c r="A2687" s="4" t="s">
        <v>567</v>
      </c>
      <c r="B2687" s="0" t="s">
        <v>76</v>
      </c>
      <c r="D2687" s="21" t="n">
        <f aca="false">D2686/C2686-1</f>
        <v>0.349835061916516</v>
      </c>
      <c r="E2687" s="21" t="n">
        <f aca="false">E2686/D2686-1</f>
        <v>0.255629266796065</v>
      </c>
      <c r="F2687" s="21" t="n">
        <f aca="false">F2686/E2686-1</f>
        <v>0.0511886165270159</v>
      </c>
      <c r="G2687" s="21" t="n">
        <f aca="false">G2686/F2686-1</f>
        <v>0.11981389382042</v>
      </c>
      <c r="H2687" s="26" t="n">
        <f aca="false">$G2687+(fade_gB-$G2687)*1/3</f>
        <v>0.0932092625469469</v>
      </c>
      <c r="I2687" s="26" t="n">
        <f aca="false">$G2687+(fade_gB-$G2687)*2/3</f>
        <v>0.0666046312734734</v>
      </c>
      <c r="J2687" s="26" t="n">
        <f aca="false">$G2687+(fade_gB-$G2687)*3/3</f>
        <v>0.04</v>
      </c>
    </row>
    <row r="2688" customFormat="false" ht="17.15" hidden="false" customHeight="false" outlineLevel="0" collapsed="false">
      <c r="A2688" s="0" t="s">
        <v>475</v>
      </c>
      <c r="B2688" s="0" t="s">
        <v>76</v>
      </c>
      <c r="C2688" s="21" t="n">
        <f aca="false">C2681/C2683</f>
        <v>0.127431736668482</v>
      </c>
      <c r="D2688" s="21" t="n">
        <f aca="false">D2681/D2683</f>
        <v>0.227966974088588</v>
      </c>
      <c r="E2688" s="21" t="n">
        <f aca="false">E2681/E2683</f>
        <v>0.338964721335922</v>
      </c>
      <c r="F2688" s="21" t="n">
        <f aca="false">F2681/F2683</f>
        <v>0.327485315953269</v>
      </c>
      <c r="G2688" s="21" t="n">
        <f aca="false">G2681/G2683</f>
        <v>0.375300009436251</v>
      </c>
    </row>
    <row r="2689" customFormat="false" ht="15" hidden="false" customHeight="false" outlineLevel="0" collapsed="false">
      <c r="A2689" s="4" t="s">
        <v>568</v>
      </c>
      <c r="B2689" s="0" t="s">
        <v>76</v>
      </c>
      <c r="D2689" s="21" t="n">
        <f aca="false">D2683/C2683-1</f>
        <v>0.438052247012034</v>
      </c>
      <c r="E2689" s="21" t="n">
        <f aca="false">E2683/D2683-1</f>
        <v>0.343102264666424</v>
      </c>
      <c r="F2689" s="21" t="n">
        <f aca="false">F2683/E2683-1</f>
        <v>0.0517357686741828</v>
      </c>
      <c r="G2689" s="21" t="n">
        <f aca="false">G2683/F2683-1</f>
        <v>0.151898067551788</v>
      </c>
    </row>
    <row r="2690" customFormat="false" ht="17.15" hidden="false" customHeight="false" outlineLevel="0" collapsed="false">
      <c r="A2690" s="6" t="s">
        <v>569</v>
      </c>
    </row>
    <row r="2691" customFormat="false" ht="17.15" hidden="false" customHeight="false" outlineLevel="0" collapsed="false">
      <c r="A2691" s="4" t="s">
        <v>570</v>
      </c>
      <c r="B2691" s="0" t="s">
        <v>120</v>
      </c>
      <c r="C2691" s="19" t="n">
        <f aca="false">capex25</f>
        <v>5.5</v>
      </c>
      <c r="D2691" s="19" t="n">
        <f aca="false">capex26</f>
        <v>11.5</v>
      </c>
      <c r="E2691" s="19" t="n">
        <f aca="false">capex27</f>
        <v>13</v>
      </c>
      <c r="F2691" s="19" t="n">
        <f aca="false">capi*F2686/F2679</f>
        <v>10.7799053168219</v>
      </c>
      <c r="G2691" s="19" t="n">
        <f aca="false">capi*G2686/G2679</f>
        <v>12.0714877478458</v>
      </c>
      <c r="K2691" s="8" t="s">
        <v>571</v>
      </c>
    </row>
    <row r="2692" customFormat="false" ht="15" hidden="false" customHeight="false" outlineLevel="0" collapsed="false">
      <c r="A2692" s="4" t="s">
        <v>572</v>
      </c>
      <c r="B2692" s="0" t="s">
        <v>234</v>
      </c>
      <c r="C2692" s="30" t="n">
        <f aca="false">C2691*C2679</f>
        <v>170.5</v>
      </c>
      <c r="D2692" s="30" t="n">
        <f aca="false">D2691*31.9</f>
        <v>366.85</v>
      </c>
      <c r="E2692" s="30" t="n">
        <f aca="false">E2691*E2679</f>
        <v>416</v>
      </c>
      <c r="F2692" s="30" t="n">
        <f aca="false">F2691*F2679</f>
        <v>344.956970138302</v>
      </c>
      <c r="G2692" s="30" t="n">
        <f aca="false">G2691*G2679</f>
        <v>386.287607931066</v>
      </c>
    </row>
    <row r="2693" customFormat="false" ht="17.15" hidden="false" customHeight="false" outlineLevel="0" collapsed="false">
      <c r="A2693" s="4" t="s">
        <v>473</v>
      </c>
      <c r="B2693" s="0" t="s">
        <v>76</v>
      </c>
      <c r="C2693" s="21" t="n">
        <f aca="false">C2692/C2686</f>
        <v>0.264182166386732</v>
      </c>
      <c r="D2693" s="21" t="n">
        <f aca="false">D2692/D2686</f>
        <v>0.421101639775745</v>
      </c>
      <c r="E2693" s="21" t="n">
        <f aca="false">E2692/E2686</f>
        <v>0.380303489127861</v>
      </c>
      <c r="F2693" s="21" t="n">
        <f aca="false">F2692/F2686</f>
        <v>0.3</v>
      </c>
      <c r="G2693" s="21" t="n">
        <f aca="false">G2692/G2686</f>
        <v>0.3</v>
      </c>
    </row>
    <row r="2694" customFormat="false" ht="17.15" hidden="false" customHeight="false" outlineLevel="0" collapsed="false">
      <c r="A2694" s="4" t="s">
        <v>573</v>
      </c>
      <c r="B2694" s="0" t="s">
        <v>234</v>
      </c>
      <c r="C2694" s="30" t="n">
        <f aca="false">a25_da</f>
        <v>75.255</v>
      </c>
      <c r="D2694" s="30" t="n">
        <f aca="false">a26_da</f>
        <v>97.124</v>
      </c>
      <c r="E2694" s="30" t="n">
        <f aca="false">D2694*(1-1/life)+D2692/life</f>
        <v>130.83975</v>
      </c>
      <c r="F2694" s="30" t="n">
        <f aca="false">E2694*(1-1/life)+E2692/life</f>
        <v>166.48478125</v>
      </c>
      <c r="G2694" s="30" t="n">
        <f aca="false">F2694*(1-1/life)+F2692/life</f>
        <v>188.793804861038</v>
      </c>
      <c r="K2694" s="4" t="s">
        <v>574</v>
      </c>
    </row>
    <row r="2695" customFormat="false" ht="17.15" hidden="false" customHeight="false" outlineLevel="0" collapsed="false">
      <c r="A2695" s="4" t="s">
        <v>575</v>
      </c>
      <c r="B2695" s="0" t="s">
        <v>234</v>
      </c>
      <c r="C2695" s="30" t="n">
        <f aca="false">a25_agp</f>
        <v>91.38</v>
      </c>
      <c r="D2695" s="30" t="n">
        <f aca="false">a26_agp</f>
        <v>164.623388</v>
      </c>
      <c r="E2695" s="30" t="n">
        <f aca="false">$D2695+ft*(E2683-$D2683)-(E2694-$D2694)</f>
        <v>226.929987611095</v>
      </c>
      <c r="F2695" s="30" t="n">
        <f aca="false">$D2695+ft*(F2683-$D2683)-(F2694-$D2694)</f>
        <v>210.731782501703</v>
      </c>
      <c r="G2695" s="30" t="n">
        <f aca="false">$D2695+ft*(G2683-$D2683)-(G2694-$D2694)</f>
        <v>248.473271414335</v>
      </c>
      <c r="K2695" s="4" t="s">
        <v>576</v>
      </c>
    </row>
    <row r="2696" customFormat="false" ht="15" hidden="false" customHeight="false" outlineLevel="0" collapsed="false">
      <c r="A2696" s="4" t="s">
        <v>447</v>
      </c>
      <c r="B2696" s="0" t="s">
        <v>76</v>
      </c>
      <c r="C2696" s="14" t="n">
        <f aca="false">C2695/C2683</f>
        <v>0.234772421305764</v>
      </c>
      <c r="D2696" s="14" t="n">
        <f aca="false">D2695/D2683</f>
        <v>0.294112034690999</v>
      </c>
      <c r="E2696" s="14" t="n">
        <f aca="false">E2695/E2683</f>
        <v>0.301858957842147</v>
      </c>
      <c r="F2696" s="14" t="n">
        <f aca="false">F2695/F2683</f>
        <v>0.26652354150296</v>
      </c>
      <c r="G2696" s="14" t="n">
        <f aca="false">G2695/G2683</f>
        <v>0.272816832941818</v>
      </c>
    </row>
    <row r="2697" customFormat="false" ht="17.15" hidden="false" customHeight="false" outlineLevel="0" collapsed="false">
      <c r="A2697" s="0" t="s">
        <v>449</v>
      </c>
      <c r="B2697" s="0" t="s">
        <v>234</v>
      </c>
      <c r="C2697" s="30" t="n">
        <f aca="false">a25_egp</f>
        <v>23.695</v>
      </c>
      <c r="D2697" s="30" t="n">
        <f aca="false">a26_egp</f>
        <v>27.00552</v>
      </c>
      <c r="E2697" s="30" t="n">
        <f aca="false">E2684*ems_gm_hi</f>
        <v>32.875909</v>
      </c>
      <c r="F2697" s="30" t="n">
        <f aca="false">F2684*ems_gm_hi</f>
        <v>34.51970445</v>
      </c>
      <c r="G2697" s="30" t="n">
        <f aca="false">G2684*ems_gm_hi</f>
        <v>36.2456896725</v>
      </c>
    </row>
    <row r="2698" customFormat="false" ht="15" hidden="false" customHeight="false" outlineLevel="0" collapsed="false">
      <c r="A2698" s="4" t="s">
        <v>577</v>
      </c>
      <c r="B2698" s="0" t="s">
        <v>234</v>
      </c>
      <c r="C2698" s="30" t="n">
        <f aca="false">a25_lgp</f>
        <v>-0.881999999999998</v>
      </c>
      <c r="D2698" s="30" t="n">
        <f aca="false">a26_lgp</f>
        <v>-0.948662139013863</v>
      </c>
      <c r="E2698" s="30" t="n">
        <f aca="false">$D2698/$D2685*E2685</f>
        <v>-1.19116794604716</v>
      </c>
      <c r="F2698" s="30" t="n">
        <f aca="false">$D2698/$D2685*F2685</f>
        <v>-1.25214218525664</v>
      </c>
      <c r="G2698" s="30" t="n">
        <f aca="false">$D2698/$D2685*G2685</f>
        <v>-1.40216621608905</v>
      </c>
    </row>
    <row r="2699" customFormat="false" ht="15" hidden="false" customHeight="false" outlineLevel="0" collapsed="false">
      <c r="A2699" s="4" t="s">
        <v>451</v>
      </c>
      <c r="B2699" s="0" t="s">
        <v>234</v>
      </c>
      <c r="C2699" s="30" t="n">
        <f aca="false">C2695+C2697+C2698</f>
        <v>114.193</v>
      </c>
      <c r="D2699" s="30" t="n">
        <f aca="false">D2695+D2697+D2698</f>
        <v>190.680245860986</v>
      </c>
      <c r="E2699" s="30" t="n">
        <f aca="false">E2695+E2697+E2698</f>
        <v>258.614728665048</v>
      </c>
      <c r="F2699" s="30" t="n">
        <f aca="false">F2695+F2697+F2698</f>
        <v>243.999344766447</v>
      </c>
      <c r="G2699" s="30" t="n">
        <f aca="false">G2695+G2697+G2698</f>
        <v>283.316794870746</v>
      </c>
    </row>
    <row r="2700" customFormat="false" ht="15" hidden="false" customHeight="false" outlineLevel="0" collapsed="false">
      <c r="A2700" s="4" t="s">
        <v>452</v>
      </c>
      <c r="B2700" s="0" t="s">
        <v>76</v>
      </c>
      <c r="C2700" s="14" t="n">
        <f aca="false">C2699/C2686</f>
        <v>0.176936974347214</v>
      </c>
      <c r="D2700" s="14" t="n">
        <f aca="false">D2699/D2686</f>
        <v>0.218879008327391</v>
      </c>
      <c r="E2700" s="14" t="n">
        <f aca="false">E2699/E2686</f>
        <v>0.236423278007627</v>
      </c>
      <c r="F2700" s="14" t="n">
        <f aca="false">F2699/F2686</f>
        <v>0.212199809734491</v>
      </c>
      <c r="G2700" s="14" t="n">
        <f aca="false">G2699/G2686</f>
        <v>0.22003045584727</v>
      </c>
    </row>
    <row r="2701" customFormat="false" ht="15" hidden="false" customHeight="false" outlineLevel="0" collapsed="false">
      <c r="A2701" s="4" t="s">
        <v>578</v>
      </c>
      <c r="B2701" s="0" t="s">
        <v>234</v>
      </c>
      <c r="C2701" s="30" t="n">
        <f aca="false">a25_opx</f>
        <v>63.437</v>
      </c>
      <c r="D2701" s="30" t="n">
        <f aca="false">a26_opx</f>
        <v>79.658</v>
      </c>
      <c r="E2701" s="30" t="n">
        <f aca="false">D2701*(1+phi*E2687)</f>
        <v>91.8757496806646</v>
      </c>
      <c r="F2701" s="30" t="n">
        <f aca="false">E2701*(1+phi*F2687)</f>
        <v>94.6975451917859</v>
      </c>
      <c r="G2701" s="30" t="n">
        <f aca="false">F2701*(1+phi*G2687)</f>
        <v>101.505194166584</v>
      </c>
    </row>
    <row r="2702" customFormat="false" ht="15" hidden="false" customHeight="false" outlineLevel="0" collapsed="false">
      <c r="A2702" s="4" t="s">
        <v>455</v>
      </c>
      <c r="B2702" s="0" t="s">
        <v>234</v>
      </c>
      <c r="C2702" s="30" t="n">
        <f aca="false">C2699-C2701</f>
        <v>50.756</v>
      </c>
      <c r="D2702" s="30" t="n">
        <f aca="false">D2699-D2701</f>
        <v>111.022245860986</v>
      </c>
      <c r="E2702" s="30" t="n">
        <f aca="false">E2699-E2701</f>
        <v>166.738978984383</v>
      </c>
      <c r="F2702" s="30" t="n">
        <f aca="false">F2699-F2701</f>
        <v>149.301799574661</v>
      </c>
      <c r="G2702" s="30" t="n">
        <f aca="false">G2699-G2701</f>
        <v>181.811600704162</v>
      </c>
    </row>
    <row r="2703" customFormat="false" ht="15" hidden="false" customHeight="false" outlineLevel="0" collapsed="false">
      <c r="A2703" s="4" t="s">
        <v>537</v>
      </c>
      <c r="B2703" s="0" t="s">
        <v>76</v>
      </c>
      <c r="C2703" s="14" t="n">
        <f aca="false">C2702/C2686</f>
        <v>0.0786441644406156</v>
      </c>
      <c r="D2703" s="14" t="n">
        <f aca="false">D2702/D2686</f>
        <v>0.127440779020437</v>
      </c>
      <c r="E2703" s="14" t="n">
        <f aca="false">E2702/E2686</f>
        <v>0.152431287214851</v>
      </c>
      <c r="F2703" s="14" t="n">
        <f aca="false">F2702/F2686</f>
        <v>0.129843846478709</v>
      </c>
      <c r="G2703" s="14" t="n">
        <f aca="false">G2702/G2686</f>
        <v>0.141199145640163</v>
      </c>
    </row>
    <row r="2704" customFormat="false" ht="15" hidden="false" customHeight="false" outlineLevel="0" collapsed="false">
      <c r="A2704" s="4" t="s">
        <v>456</v>
      </c>
      <c r="B2704" s="0" t="s">
        <v>234</v>
      </c>
      <c r="C2704" s="30" t="n">
        <f aca="false">a25_nonop</f>
        <v>0.545</v>
      </c>
      <c r="D2704" s="30" t="n">
        <f aca="false">a26_nonop</f>
        <v>4.302</v>
      </c>
      <c r="E2704" s="30" t="n">
        <f aca="false">nonop_f</f>
        <v>-5</v>
      </c>
      <c r="F2704" s="30" t="n">
        <f aca="false">nonop_f</f>
        <v>-5</v>
      </c>
      <c r="G2704" s="30" t="n">
        <f aca="false">nonop_f</f>
        <v>-5</v>
      </c>
    </row>
    <row r="2705" customFormat="false" ht="15" hidden="false" customHeight="false" outlineLevel="0" collapsed="false">
      <c r="A2705" s="4" t="s">
        <v>459</v>
      </c>
      <c r="B2705" s="0" t="s">
        <v>234</v>
      </c>
      <c r="C2705" s="30" t="n">
        <f aca="false">C2702+C2704</f>
        <v>51.301</v>
      </c>
      <c r="D2705" s="30" t="n">
        <f aca="false">D2702+D2704</f>
        <v>115.324245860986</v>
      </c>
      <c r="E2705" s="30" t="n">
        <f aca="false">E2702+E2704</f>
        <v>161.738978984383</v>
      </c>
      <c r="F2705" s="30" t="n">
        <f aca="false">F2702+F2704</f>
        <v>144.301799574661</v>
      </c>
      <c r="G2705" s="30" t="n">
        <f aca="false">G2702+G2704</f>
        <v>176.811600704162</v>
      </c>
    </row>
    <row r="2706" customFormat="false" ht="15" hidden="false" customHeight="false" outlineLevel="0" collapsed="false">
      <c r="A2706" s="4" t="s">
        <v>460</v>
      </c>
      <c r="B2706" s="0" t="s">
        <v>234</v>
      </c>
      <c r="C2706" s="30" t="n">
        <f aca="false">a25_tax</f>
        <v>9.461</v>
      </c>
      <c r="D2706" s="30" t="n">
        <f aca="false">a26_tax</f>
        <v>19.2197317963676</v>
      </c>
      <c r="E2706" s="30" t="n">
        <f aca="false">E2705*tax</f>
        <v>27.4956264273452</v>
      </c>
      <c r="F2706" s="30" t="n">
        <f aca="false">F2705*tax</f>
        <v>24.5313059276923</v>
      </c>
      <c r="G2706" s="30" t="n">
        <f aca="false">G2705*tax</f>
        <v>30.0579721197076</v>
      </c>
    </row>
    <row r="2707" customFormat="false" ht="15" hidden="false" customHeight="false" outlineLevel="0" collapsed="false">
      <c r="A2707" s="4" t="s">
        <v>461</v>
      </c>
      <c r="B2707" s="0" t="s">
        <v>234</v>
      </c>
      <c r="C2707" s="30" t="n">
        <f aca="false">a25_nci</f>
        <v>1.182</v>
      </c>
      <c r="D2707" s="30" t="n">
        <f aca="false">a26_nci</f>
        <v>2.543</v>
      </c>
      <c r="E2707" s="30" t="n">
        <f aca="false">nci</f>
        <v>3</v>
      </c>
      <c r="F2707" s="30" t="n">
        <f aca="false">nci</f>
        <v>3</v>
      </c>
      <c r="G2707" s="30" t="n">
        <f aca="false">nci</f>
        <v>3</v>
      </c>
    </row>
    <row r="2708" customFormat="false" ht="15" hidden="false" customHeight="false" outlineLevel="0" collapsed="false">
      <c r="A2708" s="4" t="s">
        <v>462</v>
      </c>
      <c r="B2708" s="0" t="s">
        <v>234</v>
      </c>
      <c r="C2708" s="30" t="n">
        <f aca="false">C2705-C2706-C2707</f>
        <v>40.658</v>
      </c>
      <c r="D2708" s="30" t="n">
        <f aca="false">D2705-D2706-D2707</f>
        <v>93.5615140646185</v>
      </c>
      <c r="E2708" s="30" t="n">
        <f aca="false">E2705-E2706-E2707</f>
        <v>131.243352557038</v>
      </c>
      <c r="F2708" s="30" t="n">
        <f aca="false">F2705-F2706-F2707</f>
        <v>116.770493646968</v>
      </c>
      <c r="G2708" s="30" t="n">
        <f aca="false">G2705-G2706-G2707</f>
        <v>143.753628584455</v>
      </c>
      <c r="H2708" s="31" t="n">
        <f aca="false">H2686*H2712</f>
        <v>150.875802547098</v>
      </c>
      <c r="I2708" s="31" t="n">
        <f aca="false">I2686*I2712</f>
        <v>154.229757010497</v>
      </c>
      <c r="J2708" s="31" t="n">
        <f aca="false">J2686*J2712</f>
        <v>153.436071648244</v>
      </c>
    </row>
    <row r="2709" customFormat="false" ht="15" hidden="false" customHeight="false" outlineLevel="0" collapsed="false">
      <c r="A2709" s="4" t="s">
        <v>579</v>
      </c>
      <c r="B2709" s="4" t="s">
        <v>580</v>
      </c>
      <c r="C2709" s="18" t="n">
        <f aca="false">a25_sh</f>
        <v>4339.16755602988</v>
      </c>
      <c r="D2709" s="18" t="n">
        <f aca="false">a26_sh</f>
        <v>4392.90105184664</v>
      </c>
      <c r="E2709" s="18" t="n">
        <f aca="false">D2709*(1+sh_g)</f>
        <v>4414.86555710588</v>
      </c>
      <c r="F2709" s="18" t="n">
        <f aca="false">E2709*(1+sh_g)</f>
        <v>4436.9398848914</v>
      </c>
      <c r="G2709" s="18" t="n">
        <f aca="false">F2709*(1+sh_g)</f>
        <v>4459.12458431586</v>
      </c>
      <c r="H2709" s="25" t="n">
        <f aca="false">G2709*(1+sh_g)</f>
        <v>4481.42020723744</v>
      </c>
      <c r="I2709" s="25" t="n">
        <f aca="false">H2709*(1+sh_g)</f>
        <v>4503.82730827363</v>
      </c>
      <c r="J2709" s="25" t="n">
        <f aca="false">I2709*(1+sh_g)</f>
        <v>4526.34644481499</v>
      </c>
    </row>
    <row r="2710" customFormat="false" ht="17.15" hidden="false" customHeight="false" outlineLevel="0" collapsed="false">
      <c r="A2710" s="0" t="s">
        <v>465</v>
      </c>
      <c r="B2710" s="0" t="s">
        <v>304</v>
      </c>
      <c r="C2710" s="19" t="n">
        <f aca="false">a25_eps</f>
        <v>9.37</v>
      </c>
      <c r="D2710" s="19" t="n">
        <f aca="false">a26_eps</f>
        <v>21.2828697294455</v>
      </c>
      <c r="E2710" s="19" t="n">
        <f aca="false">E2708/E2709*1000</f>
        <v>29.7275989176607</v>
      </c>
      <c r="F2710" s="19" t="n">
        <f aca="false">F2708/F2709*1000</f>
        <v>26.3177993563973</v>
      </c>
      <c r="G2710" s="19" t="n">
        <f aca="false">G2708/G2709*1000</f>
        <v>32.2380830286916</v>
      </c>
      <c r="H2710" s="28" t="n">
        <f aca="false">H2708/H2709*1000</f>
        <v>33.6669617152695</v>
      </c>
      <c r="I2710" s="28" t="n">
        <f aca="false">I2708/I2709*1000</f>
        <v>34.2441542390344</v>
      </c>
      <c r="J2710" s="28" t="n">
        <f aca="false">J2708/J2709*1000</f>
        <v>33.8984374083887</v>
      </c>
    </row>
    <row r="2711" customFormat="false" ht="17.15" hidden="false" customHeight="false" outlineLevel="0" collapsed="false">
      <c r="A2711" s="0" t="s">
        <v>581</v>
      </c>
      <c r="B2711" s="0" t="s">
        <v>76</v>
      </c>
      <c r="D2711" s="21" t="n">
        <f aca="false">D2710/C2710-1</f>
        <v>1.27138417603474</v>
      </c>
      <c r="E2711" s="21" t="n">
        <f aca="false">E2710/D2710-1</f>
        <v>0.396785268883718</v>
      </c>
      <c r="F2711" s="21" t="n">
        <f aca="false">F2710/E2710-1</f>
        <v>-0.114701478942442</v>
      </c>
      <c r="G2711" s="21" t="n">
        <f aca="false">G2710/F2710-1</f>
        <v>0.224953598593919</v>
      </c>
      <c r="H2711" s="26" t="n">
        <f aca="false">H2710/G2710-1</f>
        <v>0.0443226939178181</v>
      </c>
      <c r="I2711" s="26" t="n">
        <f aca="false">I2710/H2710-1</f>
        <v>0.0171441821405323</v>
      </c>
      <c r="J2711" s="26" t="n">
        <f aca="false">J2710/I2710-1</f>
        <v>-0.0100956451788083</v>
      </c>
    </row>
    <row r="2712" customFormat="false" ht="17.15" hidden="false" customHeight="false" outlineLevel="0" collapsed="false">
      <c r="A2712" s="4" t="s">
        <v>582</v>
      </c>
      <c r="B2712" s="0" t="s">
        <v>76</v>
      </c>
      <c r="C2712" s="14" t="n">
        <f aca="false">C2708/C2686</f>
        <v>0.0629977625862272</v>
      </c>
      <c r="D2712" s="14" t="n">
        <f aca="false">D2708/D2686</f>
        <v>0.107397865592237</v>
      </c>
      <c r="E2712" s="14" t="n">
        <f aca="false">E2708/E2686</f>
        <v>0.119981502168941</v>
      </c>
      <c r="F2712" s="14" t="n">
        <f aca="false">F2708/F2686</f>
        <v>0.101552225716865</v>
      </c>
      <c r="G2712" s="14" t="n">
        <f aca="false">G2708/G2686</f>
        <v>0.111642433487104</v>
      </c>
      <c r="H2712" s="27" t="n">
        <f aca="false">$G2712+(fade_mB-$G2712)*1/3</f>
        <v>0.10718321234882</v>
      </c>
      <c r="I2712" s="27" t="n">
        <f aca="false">$G2712+(fade_mB-$G2712)*2/3</f>
        <v>0.102723991210537</v>
      </c>
      <c r="J2712" s="27" t="n">
        <f aca="false">$G2712+(fade_mB-$G2712)*3/3</f>
        <v>0.0982647700722541</v>
      </c>
    </row>
    <row r="2713" customFormat="false" ht="17.15" hidden="false" customHeight="false" outlineLevel="0" collapsed="false">
      <c r="A2713" s="4" t="s">
        <v>583</v>
      </c>
      <c r="B2713" s="0" t="s">
        <v>234</v>
      </c>
      <c r="C2713" s="30" t="n">
        <f aca="false">C2708+C2694-C2692</f>
        <v>-54.587</v>
      </c>
      <c r="D2713" s="30" t="n">
        <f aca="false">D2708+D2694-D2692</f>
        <v>-176.164485935382</v>
      </c>
      <c r="E2713" s="30" t="n">
        <f aca="false">E2708+E2694-E2692</f>
        <v>-153.916897442962</v>
      </c>
      <c r="F2713" s="30" t="n">
        <f aca="false">F2708+F2694-F2692</f>
        <v>-61.7016952413332</v>
      </c>
      <c r="G2713" s="30" t="n">
        <f aca="false">G2708+G2694-G2692</f>
        <v>-53.7401744855737</v>
      </c>
      <c r="K2713" s="4" t="s">
        <v>584</v>
      </c>
    </row>
    <row r="2714" customFormat="false" ht="17.15" hidden="false" customHeight="false" outlineLevel="0" collapsed="false">
      <c r="A2714" s="4" t="s">
        <v>585</v>
      </c>
      <c r="B2714" s="0" t="s">
        <v>76</v>
      </c>
      <c r="D2714" s="21" t="n">
        <f aca="false">(D2702-$C2702)/SUM($D2692:D2692)</f>
        <v>0.164280348537512</v>
      </c>
      <c r="E2714" s="21" t="n">
        <f aca="false">(E2702-$C2702)/SUM($D2692:E2692)</f>
        <v>0.148154792085819</v>
      </c>
      <c r="F2714" s="21" t="n">
        <f aca="false">(F2702-$C2702)/SUM($D2692:F2692)</f>
        <v>0.0873782501650759</v>
      </c>
      <c r="G2714" s="21" t="n">
        <f aca="false">(G2702-$C2702)/SUM($D2692:G2692)</f>
        <v>0.0865570768183267</v>
      </c>
      <c r="K2714" s="4" t="s">
        <v>586</v>
      </c>
    </row>
    <row r="2717" customFormat="false" ht="17.15" hidden="false" customHeight="false" outlineLevel="0" collapsed="false">
      <c r="A2717" s="1" t="s">
        <v>969</v>
      </c>
    </row>
    <row r="2718" customFormat="false" ht="17.15" hidden="false" customHeight="false" outlineLevel="0" collapsed="false">
      <c r="A2718" s="5" t="s">
        <v>21</v>
      </c>
      <c r="B2718" s="5" t="s">
        <v>22</v>
      </c>
      <c r="C2718" s="15" t="s">
        <v>424</v>
      </c>
      <c r="D2718" s="15" t="s">
        <v>524</v>
      </c>
      <c r="E2718" s="15" t="s">
        <v>525</v>
      </c>
      <c r="F2718" s="15" t="s">
        <v>526</v>
      </c>
      <c r="G2718" s="15" t="s">
        <v>527</v>
      </c>
      <c r="H2718" s="15" t="s">
        <v>528</v>
      </c>
      <c r="I2718" s="15" t="s">
        <v>529</v>
      </c>
      <c r="J2718" s="15" t="s">
        <v>530</v>
      </c>
      <c r="K2718" s="5" t="s">
        <v>382</v>
      </c>
    </row>
    <row r="2719" customFormat="false" ht="17.15" hidden="false" customHeight="false" outlineLevel="0" collapsed="false">
      <c r="A2719" s="6" t="s">
        <v>548</v>
      </c>
    </row>
    <row r="2720" customFormat="false" ht="17.15" hidden="false" customHeight="false" outlineLevel="0" collapsed="false">
      <c r="A2720" s="0" t="s">
        <v>549</v>
      </c>
      <c r="B2720" s="4" t="s">
        <v>32</v>
      </c>
      <c r="D2720" s="19" t="n">
        <f aca="false">units_26</f>
        <v>15.2</v>
      </c>
      <c r="E2720" s="19" t="n">
        <f aca="false">units_27*1</f>
        <v>23.7</v>
      </c>
      <c r="F2720" s="19" t="n">
        <f aca="false">units_28*um28_C*1</f>
        <v>15.9</v>
      </c>
      <c r="G2720" s="19" t="n">
        <f aca="false">units_29*um29_C*1</f>
        <v>18.09</v>
      </c>
    </row>
    <row r="2721" customFormat="false" ht="17.15" hidden="false" customHeight="false" outlineLevel="0" collapsed="false">
      <c r="A2721" s="4" t="s">
        <v>497</v>
      </c>
      <c r="B2721" s="0" t="s">
        <v>45</v>
      </c>
      <c r="D2721" s="22" t="n">
        <f aca="false">ar_26</f>
        <v>1</v>
      </c>
      <c r="E2721" s="22" t="n">
        <f aca="false">ar_27</f>
        <v>1.278156</v>
      </c>
      <c r="F2721" s="22" t="n">
        <f aca="false">ar_28</f>
        <v>1.428615</v>
      </c>
      <c r="G2721" s="22" t="n">
        <f aca="false">ar_29</f>
        <v>1.431796</v>
      </c>
    </row>
    <row r="2722" customFormat="false" ht="17.15" hidden="false" customHeight="false" outlineLevel="0" collapsed="false">
      <c r="A2722" s="4" t="s">
        <v>550</v>
      </c>
      <c r="B2722" s="0" t="s">
        <v>45</v>
      </c>
      <c r="D2722" s="19" t="n">
        <f aca="false">1</f>
        <v>1</v>
      </c>
      <c r="E2722" s="19" t="n">
        <f aca="false">rel27_C</f>
        <v>1</v>
      </c>
      <c r="F2722" s="19" t="n">
        <f aca="false">rel28_C</f>
        <v>0.95</v>
      </c>
      <c r="G2722" s="19" t="n">
        <f aca="false">rel29_C</f>
        <v>0.92</v>
      </c>
    </row>
    <row r="2723" customFormat="false" ht="17.15" hidden="false" customHeight="false" outlineLevel="0" collapsed="false">
      <c r="A2723" s="4" t="s">
        <v>551</v>
      </c>
      <c r="B2723" s="0" t="s">
        <v>502</v>
      </c>
      <c r="D2723" s="23" t="n">
        <f aca="false">D2724*1000/D2720</f>
        <v>236.842105263158</v>
      </c>
      <c r="E2723" s="23" t="n">
        <f aca="false">$D2723*E2721^el</f>
        <v>267.763172119488</v>
      </c>
      <c r="F2723" s="23" t="n">
        <f aca="false">$D2723*F2721^el</f>
        <v>283.084777049615</v>
      </c>
      <c r="G2723" s="23" t="n">
        <f aca="false">$D2723*G2721^el</f>
        <v>283.399764630809</v>
      </c>
      <c r="K2723" s="8" t="s">
        <v>552</v>
      </c>
    </row>
    <row r="2724" customFormat="false" ht="17.15" hidden="false" customHeight="false" outlineLevel="0" collapsed="false">
      <c r="A2724" s="0" t="s">
        <v>553</v>
      </c>
      <c r="B2724" s="0" t="s">
        <v>120</v>
      </c>
      <c r="D2724" s="22" t="n">
        <f aca="false">leap26-D2725-D2726</f>
        <v>3.6</v>
      </c>
      <c r="E2724" s="22" t="n">
        <f aca="false">E2720*E2722*E2723/1000</f>
        <v>6.34598717923185</v>
      </c>
      <c r="F2724" s="22" t="n">
        <f aca="false">F2720*F2722*F2723/1000</f>
        <v>4.27599555733443</v>
      </c>
      <c r="G2724" s="22" t="n">
        <f aca="false">G2720*G2722*G2723/1000</f>
        <v>4.71656560279762</v>
      </c>
      <c r="K2724" s="8" t="s">
        <v>554</v>
      </c>
    </row>
    <row r="2725" customFormat="false" ht="17.15" hidden="false" customHeight="false" outlineLevel="0" collapsed="false">
      <c r="A2725" s="4" t="s">
        <v>555</v>
      </c>
      <c r="B2725" s="0" t="s">
        <v>120</v>
      </c>
      <c r="D2725" s="22" t="n">
        <f aca="false">fp26</f>
        <v>0.3</v>
      </c>
      <c r="E2725" s="22" t="n">
        <f aca="false">fp27_C</f>
        <v>0.7</v>
      </c>
      <c r="F2725" s="22" t="n">
        <f aca="false">E2725*F2720/E2720*(1+fp_g)</f>
        <v>0.610506329113924</v>
      </c>
      <c r="G2725" s="22" t="n">
        <f aca="false">F2725*G2720/F2720*(1+fp_g)</f>
        <v>0.902973417721519</v>
      </c>
    </row>
    <row r="2726" customFormat="false" ht="17.15" hidden="false" customHeight="false" outlineLevel="0" collapsed="false">
      <c r="A2726" s="0" t="s">
        <v>556</v>
      </c>
      <c r="B2726" s="0" t="s">
        <v>120</v>
      </c>
      <c r="D2726" s="22" t="n">
        <f aca="false">cpo27*cpo_C_26/cpo_A_27</f>
        <v>0.1</v>
      </c>
      <c r="E2726" s="22" t="n">
        <f aca="false">cpo27*cpo_C_27/cpo_A_27</f>
        <v>0.2</v>
      </c>
      <c r="F2726" s="22" t="n">
        <f aca="false">cpo27*cpo_C_28/cpo_A_27*F2720/E2720</f>
        <v>0.20126582278481</v>
      </c>
      <c r="G2726" s="22" t="n">
        <f aca="false">cpo27*cpo_C_29/cpo_A_27*G2720/E2720</f>
        <v>0.381645569620253</v>
      </c>
      <c r="K2726" s="8" t="s">
        <v>557</v>
      </c>
    </row>
    <row r="2727" customFormat="false" ht="17.15" hidden="false" customHeight="false" outlineLevel="0" collapsed="false">
      <c r="A2727" s="0" t="s">
        <v>510</v>
      </c>
      <c r="B2727" s="0" t="s">
        <v>120</v>
      </c>
      <c r="C2727" s="22" t="n">
        <f aca="false">leap25</f>
        <v>1.6</v>
      </c>
      <c r="D2727" s="22" t="n">
        <f aca="false">D2724+D2725+D2726</f>
        <v>4</v>
      </c>
      <c r="E2727" s="22" t="n">
        <f aca="false">E2724+E2725+E2726</f>
        <v>7.24598717923186</v>
      </c>
      <c r="F2727" s="22" t="n">
        <f aca="false">F2724+F2725+F2726</f>
        <v>5.08776770923316</v>
      </c>
      <c r="G2727" s="22" t="n">
        <f aca="false">G2724+G2725+G2726</f>
        <v>6.0011845901394</v>
      </c>
    </row>
    <row r="2728" customFormat="false" ht="17.15" hidden="false" customHeight="false" outlineLevel="0" collapsed="false">
      <c r="A2728" s="4" t="s">
        <v>558</v>
      </c>
      <c r="B2728" s="0" t="s">
        <v>114</v>
      </c>
      <c r="C2728" s="19" t="n">
        <f aca="false">fx25</f>
        <v>31</v>
      </c>
      <c r="D2728" s="19" t="n">
        <f aca="false">a26_leap/D2727</f>
        <v>31.9</v>
      </c>
      <c r="E2728" s="19" t="n">
        <f aca="false">fx</f>
        <v>32</v>
      </c>
      <c r="F2728" s="19" t="n">
        <f aca="false">fx</f>
        <v>32</v>
      </c>
      <c r="G2728" s="19" t="n">
        <f aca="false">fx</f>
        <v>32</v>
      </c>
      <c r="K2728" s="8" t="s">
        <v>559</v>
      </c>
    </row>
    <row r="2729" customFormat="false" ht="17.15" hidden="false" customHeight="false" outlineLevel="0" collapsed="false">
      <c r="A2729" s="6" t="s">
        <v>560</v>
      </c>
    </row>
    <row r="2730" customFormat="false" ht="17.15" hidden="false" customHeight="false" outlineLevel="0" collapsed="false">
      <c r="A2730" s="0" t="s">
        <v>438</v>
      </c>
      <c r="B2730" s="0" t="s">
        <v>234</v>
      </c>
      <c r="C2730" s="30" t="n">
        <f aca="false">a25_leap</f>
        <v>49.6</v>
      </c>
      <c r="D2730" s="30" t="n">
        <f aca="false">a26_leap</f>
        <v>127.6</v>
      </c>
      <c r="E2730" s="30" t="n">
        <f aca="false">E2727*E2728</f>
        <v>231.871589735419</v>
      </c>
      <c r="F2730" s="30" t="n">
        <f aca="false">F2727*F2728</f>
        <v>162.808566695461</v>
      </c>
      <c r="G2730" s="30" t="n">
        <f aca="false">G2727*G2728</f>
        <v>192.037906884461</v>
      </c>
    </row>
    <row r="2731" customFormat="false" ht="15" hidden="false" customHeight="false" outlineLevel="0" collapsed="false">
      <c r="A2731" s="4" t="s">
        <v>561</v>
      </c>
      <c r="B2731" s="0" t="s">
        <v>234</v>
      </c>
      <c r="C2731" s="30" t="n">
        <f aca="false">a25_ms</f>
        <v>339.628</v>
      </c>
      <c r="D2731" s="30" t="n">
        <f aca="false">a26_ms</f>
        <v>432.1302</v>
      </c>
      <c r="E2731" s="30" t="n">
        <f aca="false">D2731*(1+g_ms27)</f>
        <v>496.94973</v>
      </c>
      <c r="F2731" s="30" t="n">
        <f aca="false">E2731*(1+g_msL)</f>
        <v>531.7362111</v>
      </c>
      <c r="G2731" s="30" t="n">
        <f aca="false">F2731*(1+g_msL)</f>
        <v>568.957745877</v>
      </c>
    </row>
    <row r="2732" customFormat="false" ht="17.15" hidden="false" customHeight="false" outlineLevel="0" collapsed="false">
      <c r="A2732" s="4" t="s">
        <v>562</v>
      </c>
      <c r="B2732" s="0" t="s">
        <v>234</v>
      </c>
      <c r="C2732" s="30" t="n">
        <f aca="false">C2730+C2731</f>
        <v>389.228</v>
      </c>
      <c r="D2732" s="30" t="n">
        <f aca="false">D2730+D2731</f>
        <v>559.7302</v>
      </c>
      <c r="E2732" s="30" t="n">
        <f aca="false">E2730+E2731</f>
        <v>728.821319735419</v>
      </c>
      <c r="F2732" s="30" t="n">
        <f aca="false">F2730+F2731</f>
        <v>694.544777795461</v>
      </c>
      <c r="G2732" s="30" t="n">
        <f aca="false">G2730+G2731</f>
        <v>760.995652761461</v>
      </c>
    </row>
    <row r="2733" customFormat="false" ht="17.15" hidden="false" customHeight="false" outlineLevel="0" collapsed="false">
      <c r="A2733" s="0" t="s">
        <v>563</v>
      </c>
      <c r="B2733" s="0" t="s">
        <v>234</v>
      </c>
      <c r="C2733" s="30" t="n">
        <f aca="false">a25_ems</f>
        <v>259.079</v>
      </c>
      <c r="D2733" s="30" t="n">
        <f aca="false">a26_ems</f>
        <v>314.602</v>
      </c>
      <c r="E2733" s="30" t="n">
        <f aca="false">D2733*(1+g_ems27)</f>
        <v>346.0622</v>
      </c>
      <c r="F2733" s="30" t="n">
        <f aca="false">E2733*(1+g_emsL)</f>
        <v>363.36531</v>
      </c>
      <c r="G2733" s="30" t="n">
        <f aca="false">F2733*(1+g_emsL)</f>
        <v>381.5335755</v>
      </c>
    </row>
    <row r="2734" customFormat="false" ht="17.15" hidden="false" customHeight="false" outlineLevel="0" collapsed="false">
      <c r="A2734" s="4" t="s">
        <v>564</v>
      </c>
      <c r="B2734" s="0" t="s">
        <v>234</v>
      </c>
      <c r="C2734" s="30" t="n">
        <f aca="false">a25_elim</f>
        <v>-2.91899999999998</v>
      </c>
      <c r="D2734" s="30" t="n">
        <f aca="false">a26_elim</f>
        <v>-3.16484905982349</v>
      </c>
      <c r="E2734" s="30" t="n">
        <f aca="false">$D2734/($D2732+$D2733)*(E2732+E2733)</f>
        <v>-3.89079127687897</v>
      </c>
      <c r="F2734" s="30" t="n">
        <f aca="false">$D2734/($D2732+$D2733)*(F2732+F2733)</f>
        <v>-3.8293519862785</v>
      </c>
      <c r="G2734" s="30" t="n">
        <f aca="false">$D2734/($D2732+$D2733)*(G2732+G2733)</f>
        <v>-4.135650675892</v>
      </c>
      <c r="K2734" s="4" t="s">
        <v>565</v>
      </c>
    </row>
    <row r="2735" customFormat="false" ht="17.15" hidden="false" customHeight="false" outlineLevel="0" collapsed="false">
      <c r="A2735" s="4" t="s">
        <v>431</v>
      </c>
      <c r="B2735" s="0" t="s">
        <v>234</v>
      </c>
      <c r="C2735" s="30" t="n">
        <f aca="false">C2732+C2733+C2734</f>
        <v>645.388</v>
      </c>
      <c r="D2735" s="30" t="n">
        <f aca="false">D2732+D2733+D2734</f>
        <v>871.167350940177</v>
      </c>
      <c r="E2735" s="30" t="n">
        <f aca="false">E2732+E2733+E2734</f>
        <v>1070.99272845854</v>
      </c>
      <c r="F2735" s="30" t="n">
        <f aca="false">F2732+F2733+F2734</f>
        <v>1054.08073580918</v>
      </c>
      <c r="G2735" s="30" t="n">
        <f aca="false">G2732+G2733+G2734</f>
        <v>1138.39357758557</v>
      </c>
      <c r="H2735" s="31" t="n">
        <f aca="false">G2735*(1+H2736)</f>
        <v>1206.68738805437</v>
      </c>
      <c r="I2735" s="31" t="n">
        <f aca="false">H2735*(1+I2736)</f>
        <v>1254.9496874</v>
      </c>
      <c r="J2735" s="31" t="n">
        <f aca="false">I2735*(1+J2736)</f>
        <v>1280.048681148</v>
      </c>
      <c r="K2735" s="8" t="s">
        <v>566</v>
      </c>
    </row>
    <row r="2736" customFormat="false" ht="15" hidden="false" customHeight="false" outlineLevel="0" collapsed="false">
      <c r="A2736" s="4" t="s">
        <v>567</v>
      </c>
      <c r="B2736" s="0" t="s">
        <v>76</v>
      </c>
      <c r="D2736" s="21" t="n">
        <f aca="false">D2735/C2735-1</f>
        <v>0.349835061916516</v>
      </c>
      <c r="E2736" s="21" t="n">
        <f aca="false">E2735/D2735-1</f>
        <v>0.229376568466104</v>
      </c>
      <c r="F2736" s="21" t="n">
        <f aca="false">F2735/E2735-1</f>
        <v>-0.0157909500223209</v>
      </c>
      <c r="G2736" s="21" t="n">
        <f aca="false">G2735/F2735-1</f>
        <v>0.079987081550885</v>
      </c>
      <c r="H2736" s="26" t="n">
        <f aca="false">$G2736+(fade_gC-$G2736)*1/3</f>
        <v>0.05999138770059</v>
      </c>
      <c r="I2736" s="26" t="n">
        <f aca="false">$G2736+(fade_gC-$G2736)*2/3</f>
        <v>0.039995693850295</v>
      </c>
      <c r="J2736" s="26" t="n">
        <f aca="false">$G2736+(fade_gC-$G2736)*3/3</f>
        <v>0.02</v>
      </c>
    </row>
    <row r="2737" customFormat="false" ht="17.15" hidden="false" customHeight="false" outlineLevel="0" collapsed="false">
      <c r="A2737" s="0" t="s">
        <v>475</v>
      </c>
      <c r="B2737" s="0" t="s">
        <v>76</v>
      </c>
      <c r="C2737" s="21" t="n">
        <f aca="false">C2730/C2732</f>
        <v>0.127431736668482</v>
      </c>
      <c r="D2737" s="21" t="n">
        <f aca="false">D2730/D2732</f>
        <v>0.227966974088588</v>
      </c>
      <c r="E2737" s="21" t="n">
        <f aca="false">E2730/E2732</f>
        <v>0.31814600294568</v>
      </c>
      <c r="F2737" s="21" t="n">
        <f aca="false">F2730/F2732</f>
        <v>0.234410468411019</v>
      </c>
      <c r="G2737" s="21" t="n">
        <f aca="false">G2730/G2732</f>
        <v>0.252350859282315</v>
      </c>
    </row>
    <row r="2738" customFormat="false" ht="15" hidden="false" customHeight="false" outlineLevel="0" collapsed="false">
      <c r="A2738" s="4" t="s">
        <v>568</v>
      </c>
      <c r="B2738" s="0" t="s">
        <v>76</v>
      </c>
      <c r="D2738" s="21" t="n">
        <f aca="false">D2732/C2732-1</f>
        <v>0.438052247012034</v>
      </c>
      <c r="E2738" s="21" t="n">
        <f aca="false">E2732/D2732-1</f>
        <v>0.302093972659362</v>
      </c>
      <c r="F2738" s="21" t="n">
        <f aca="false">F2732/E2732-1</f>
        <v>-0.047030103280186</v>
      </c>
      <c r="G2738" s="21" t="n">
        <f aca="false">G2732/F2732-1</f>
        <v>0.0956754367614998</v>
      </c>
    </row>
    <row r="2739" customFormat="false" ht="17.15" hidden="false" customHeight="false" outlineLevel="0" collapsed="false">
      <c r="A2739" s="6" t="s">
        <v>569</v>
      </c>
    </row>
    <row r="2740" customFormat="false" ht="17.15" hidden="false" customHeight="false" outlineLevel="0" collapsed="false">
      <c r="A2740" s="4" t="s">
        <v>570</v>
      </c>
      <c r="B2740" s="0" t="s">
        <v>120</v>
      </c>
      <c r="C2740" s="19" t="n">
        <f aca="false">capex25</f>
        <v>5.5</v>
      </c>
      <c r="D2740" s="19" t="n">
        <f aca="false">capex26</f>
        <v>11.5</v>
      </c>
      <c r="E2740" s="19" t="n">
        <f aca="false">capex27</f>
        <v>13</v>
      </c>
      <c r="F2740" s="19" t="n">
        <f aca="false">capi*F2735/F2728</f>
        <v>9.88200689821109</v>
      </c>
      <c r="G2740" s="19" t="n">
        <f aca="false">capi*G2735/G2728</f>
        <v>10.6724397898647</v>
      </c>
      <c r="K2740" s="8" t="s">
        <v>571</v>
      </c>
    </row>
    <row r="2741" customFormat="false" ht="15" hidden="false" customHeight="false" outlineLevel="0" collapsed="false">
      <c r="A2741" s="4" t="s">
        <v>572</v>
      </c>
      <c r="B2741" s="0" t="s">
        <v>234</v>
      </c>
      <c r="C2741" s="30" t="n">
        <f aca="false">C2740*C2728</f>
        <v>170.5</v>
      </c>
      <c r="D2741" s="30" t="n">
        <f aca="false">D2740*31.9</f>
        <v>366.85</v>
      </c>
      <c r="E2741" s="30" t="n">
        <f aca="false">E2740*E2728</f>
        <v>416</v>
      </c>
      <c r="F2741" s="30" t="n">
        <f aca="false">F2740*F2728</f>
        <v>316.224220742755</v>
      </c>
      <c r="G2741" s="30" t="n">
        <f aca="false">G2740*G2728</f>
        <v>341.518073275671</v>
      </c>
    </row>
    <row r="2742" customFormat="false" ht="17.15" hidden="false" customHeight="false" outlineLevel="0" collapsed="false">
      <c r="A2742" s="4" t="s">
        <v>473</v>
      </c>
      <c r="B2742" s="0" t="s">
        <v>76</v>
      </c>
      <c r="C2742" s="21" t="n">
        <f aca="false">C2741/C2735</f>
        <v>0.264182166386732</v>
      </c>
      <c r="D2742" s="21" t="n">
        <f aca="false">D2741/D2735</f>
        <v>0.421101639775745</v>
      </c>
      <c r="E2742" s="21" t="n">
        <f aca="false">E2741/E2735</f>
        <v>0.388424672685445</v>
      </c>
      <c r="F2742" s="21" t="n">
        <f aca="false">F2741/F2735</f>
        <v>0.3</v>
      </c>
      <c r="G2742" s="21" t="n">
        <f aca="false">G2741/G2735</f>
        <v>0.3</v>
      </c>
    </row>
    <row r="2743" customFormat="false" ht="17.15" hidden="false" customHeight="false" outlineLevel="0" collapsed="false">
      <c r="A2743" s="4" t="s">
        <v>573</v>
      </c>
      <c r="B2743" s="0" t="s">
        <v>234</v>
      </c>
      <c r="C2743" s="30" t="n">
        <f aca="false">a25_da</f>
        <v>75.255</v>
      </c>
      <c r="D2743" s="30" t="n">
        <f aca="false">a26_da</f>
        <v>97.124</v>
      </c>
      <c r="E2743" s="30" t="n">
        <f aca="false">D2743*(1-1/life)+D2741/life</f>
        <v>130.83975</v>
      </c>
      <c r="F2743" s="30" t="n">
        <f aca="false">E2743*(1-1/life)+E2741/life</f>
        <v>166.48478125</v>
      </c>
      <c r="G2743" s="30" t="n">
        <f aca="false">F2743*(1-1/life)+F2741/life</f>
        <v>185.202211186594</v>
      </c>
      <c r="K2743" s="4" t="s">
        <v>574</v>
      </c>
    </row>
    <row r="2744" customFormat="false" ht="17.15" hidden="false" customHeight="false" outlineLevel="0" collapsed="false">
      <c r="A2744" s="4" t="s">
        <v>575</v>
      </c>
      <c r="B2744" s="0" t="s">
        <v>234</v>
      </c>
      <c r="C2744" s="30" t="n">
        <f aca="false">a25_agp</f>
        <v>91.38</v>
      </c>
      <c r="D2744" s="30" t="n">
        <f aca="false">a26_agp</f>
        <v>164.623388</v>
      </c>
      <c r="E2744" s="30" t="n">
        <f aca="false">$D2744+ft*(E2732-$D2732)-(E2743-$D2743)</f>
        <v>215.45319786771</v>
      </c>
      <c r="F2744" s="30" t="n">
        <f aca="false">$D2744+ft*(F2732-$D2732)-(F2743-$D2743)</f>
        <v>162.669895647731</v>
      </c>
      <c r="G2744" s="30" t="n">
        <f aca="false">$D2744+ft*(G2732-$D2732)-(G2743-$D2743)</f>
        <v>177.177903194136</v>
      </c>
      <c r="K2744" s="4" t="s">
        <v>576</v>
      </c>
    </row>
    <row r="2745" customFormat="false" ht="15" hidden="false" customHeight="false" outlineLevel="0" collapsed="false">
      <c r="A2745" s="4" t="s">
        <v>447</v>
      </c>
      <c r="B2745" s="0" t="s">
        <v>76</v>
      </c>
      <c r="C2745" s="14" t="n">
        <f aca="false">C2744/C2732</f>
        <v>0.234772421305764</v>
      </c>
      <c r="D2745" s="14" t="n">
        <f aca="false">D2744/D2732</f>
        <v>0.294112034690999</v>
      </c>
      <c r="E2745" s="14" t="n">
        <f aca="false">E2744/E2732</f>
        <v>0.295618681882035</v>
      </c>
      <c r="F2745" s="14" t="n">
        <f aca="false">F2744/F2732</f>
        <v>0.234210810948802</v>
      </c>
      <c r="G2745" s="14" t="n">
        <f aca="false">G2744/G2732</f>
        <v>0.232823804644878</v>
      </c>
    </row>
    <row r="2746" customFormat="false" ht="17.15" hidden="false" customHeight="false" outlineLevel="0" collapsed="false">
      <c r="A2746" s="0" t="s">
        <v>449</v>
      </c>
      <c r="B2746" s="0" t="s">
        <v>234</v>
      </c>
      <c r="C2746" s="30" t="n">
        <f aca="false">a25_egp</f>
        <v>23.695</v>
      </c>
      <c r="D2746" s="30" t="n">
        <f aca="false">a26_egp</f>
        <v>27.00552</v>
      </c>
      <c r="E2746" s="30" t="n">
        <f aca="false">E2733*ems_gm_hi</f>
        <v>32.875909</v>
      </c>
      <c r="F2746" s="30" t="n">
        <f aca="false">F2733*ems_gm_hi</f>
        <v>34.51970445</v>
      </c>
      <c r="G2746" s="30" t="n">
        <f aca="false">G2733*ems_gm_hi</f>
        <v>36.2456896725</v>
      </c>
    </row>
    <row r="2747" customFormat="false" ht="15" hidden="false" customHeight="false" outlineLevel="0" collapsed="false">
      <c r="A2747" s="4" t="s">
        <v>577</v>
      </c>
      <c r="B2747" s="0" t="s">
        <v>234</v>
      </c>
      <c r="C2747" s="30" t="n">
        <f aca="false">a25_lgp</f>
        <v>-0.881999999999998</v>
      </c>
      <c r="D2747" s="30" t="n">
        <f aca="false">a26_lgp</f>
        <v>-0.948662139013863</v>
      </c>
      <c r="E2747" s="30" t="n">
        <f aca="false">$D2747/$D2734*E2734</f>
        <v>-1.16626300509458</v>
      </c>
      <c r="F2747" s="30" t="n">
        <f aca="false">$D2747/$D2734*F2734</f>
        <v>-1.14784660426825</v>
      </c>
      <c r="G2747" s="30" t="n">
        <f aca="false">$D2747/$D2734*G2734</f>
        <v>-1.23965950421176</v>
      </c>
    </row>
    <row r="2748" customFormat="false" ht="15" hidden="false" customHeight="false" outlineLevel="0" collapsed="false">
      <c r="A2748" s="4" t="s">
        <v>451</v>
      </c>
      <c r="B2748" s="0" t="s">
        <v>234</v>
      </c>
      <c r="C2748" s="30" t="n">
        <f aca="false">C2744+C2746+C2747</f>
        <v>114.193</v>
      </c>
      <c r="D2748" s="30" t="n">
        <f aca="false">D2744+D2746+D2747</f>
        <v>190.680245860986</v>
      </c>
      <c r="E2748" s="30" t="n">
        <f aca="false">E2744+E2746+E2747</f>
        <v>247.162843862615</v>
      </c>
      <c r="F2748" s="30" t="n">
        <f aca="false">F2744+F2746+F2747</f>
        <v>196.041753493462</v>
      </c>
      <c r="G2748" s="30" t="n">
        <f aca="false">G2744+G2746+G2747</f>
        <v>212.183933362424</v>
      </c>
    </row>
    <row r="2749" customFormat="false" ht="15" hidden="false" customHeight="false" outlineLevel="0" collapsed="false">
      <c r="A2749" s="4" t="s">
        <v>452</v>
      </c>
      <c r="B2749" s="0" t="s">
        <v>76</v>
      </c>
      <c r="C2749" s="14" t="n">
        <f aca="false">C2748/C2735</f>
        <v>0.176936974347214</v>
      </c>
      <c r="D2749" s="14" t="n">
        <f aca="false">D2748/D2735</f>
        <v>0.218879008327391</v>
      </c>
      <c r="E2749" s="14" t="n">
        <f aca="false">E2748/E2735</f>
        <v>0.230779198863798</v>
      </c>
      <c r="F2749" s="14" t="n">
        <f aca="false">F2748/F2735</f>
        <v>0.185983622348404</v>
      </c>
      <c r="G2749" s="14" t="n">
        <f aca="false">G2748/G2735</f>
        <v>0.186388905858418</v>
      </c>
    </row>
    <row r="2750" customFormat="false" ht="15" hidden="false" customHeight="false" outlineLevel="0" collapsed="false">
      <c r="A2750" s="4" t="s">
        <v>578</v>
      </c>
      <c r="B2750" s="0" t="s">
        <v>234</v>
      </c>
      <c r="C2750" s="30" t="n">
        <f aca="false">a25_opx</f>
        <v>63.437</v>
      </c>
      <c r="D2750" s="30" t="n">
        <f aca="false">a26_opx</f>
        <v>79.658</v>
      </c>
      <c r="E2750" s="30" t="n">
        <f aca="false">D2750*(1+phi*E2736)</f>
        <v>90.6210072145237</v>
      </c>
      <c r="F2750" s="30" t="n">
        <f aca="false">E2750*(1+phi*F2736)</f>
        <v>89.7624121369856</v>
      </c>
      <c r="G2750" s="30" t="n">
        <f aca="false">F2750*(1+phi*G2736)</f>
        <v>94.0703121648687</v>
      </c>
    </row>
    <row r="2751" customFormat="false" ht="15" hidden="false" customHeight="false" outlineLevel="0" collapsed="false">
      <c r="A2751" s="4" t="s">
        <v>455</v>
      </c>
      <c r="B2751" s="0" t="s">
        <v>234</v>
      </c>
      <c r="C2751" s="30" t="n">
        <f aca="false">C2748-C2750</f>
        <v>50.756</v>
      </c>
      <c r="D2751" s="30" t="n">
        <f aca="false">D2748-D2750</f>
        <v>111.022245860986</v>
      </c>
      <c r="E2751" s="30" t="n">
        <f aca="false">E2748-E2750</f>
        <v>156.541836648091</v>
      </c>
      <c r="F2751" s="30" t="n">
        <f aca="false">F2748-F2750</f>
        <v>106.279341356477</v>
      </c>
      <c r="G2751" s="30" t="n">
        <f aca="false">G2748-G2750</f>
        <v>118.113621197556</v>
      </c>
    </row>
    <row r="2752" customFormat="false" ht="15" hidden="false" customHeight="false" outlineLevel="0" collapsed="false">
      <c r="A2752" s="4" t="s">
        <v>537</v>
      </c>
      <c r="B2752" s="0" t="s">
        <v>76</v>
      </c>
      <c r="C2752" s="14" t="n">
        <f aca="false">C2751/C2735</f>
        <v>0.0786441644406156</v>
      </c>
      <c r="D2752" s="14" t="n">
        <f aca="false">D2751/D2735</f>
        <v>0.127440779020437</v>
      </c>
      <c r="E2752" s="14" t="n">
        <f aca="false">E2751/E2735</f>
        <v>0.146165172263493</v>
      </c>
      <c r="F2752" s="14" t="n">
        <f aca="false">F2751/F2735</f>
        <v>0.100826566453555</v>
      </c>
      <c r="G2752" s="14" t="n">
        <f aca="false">G2751/G2735</f>
        <v>0.103754644723193</v>
      </c>
    </row>
    <row r="2753" customFormat="false" ht="15" hidden="false" customHeight="false" outlineLevel="0" collapsed="false">
      <c r="A2753" s="4" t="s">
        <v>456</v>
      </c>
      <c r="B2753" s="0" t="s">
        <v>234</v>
      </c>
      <c r="C2753" s="30" t="n">
        <f aca="false">a25_nonop</f>
        <v>0.545</v>
      </c>
      <c r="D2753" s="30" t="n">
        <f aca="false">a26_nonop</f>
        <v>4.302</v>
      </c>
      <c r="E2753" s="30" t="n">
        <f aca="false">nonop_f</f>
        <v>-5</v>
      </c>
      <c r="F2753" s="30" t="n">
        <f aca="false">nonop_f</f>
        <v>-5</v>
      </c>
      <c r="G2753" s="30" t="n">
        <f aca="false">nonop_f</f>
        <v>-5</v>
      </c>
    </row>
    <row r="2754" customFormat="false" ht="15" hidden="false" customHeight="false" outlineLevel="0" collapsed="false">
      <c r="A2754" s="4" t="s">
        <v>459</v>
      </c>
      <c r="B2754" s="0" t="s">
        <v>234</v>
      </c>
      <c r="C2754" s="30" t="n">
        <f aca="false">C2751+C2753</f>
        <v>51.301</v>
      </c>
      <c r="D2754" s="30" t="n">
        <f aca="false">D2751+D2753</f>
        <v>115.324245860986</v>
      </c>
      <c r="E2754" s="30" t="n">
        <f aca="false">E2751+E2753</f>
        <v>151.541836648091</v>
      </c>
      <c r="F2754" s="30" t="n">
        <f aca="false">F2751+F2753</f>
        <v>101.279341356477</v>
      </c>
      <c r="G2754" s="30" t="n">
        <f aca="false">G2751+G2753</f>
        <v>113.113621197556</v>
      </c>
    </row>
    <row r="2755" customFormat="false" ht="15" hidden="false" customHeight="false" outlineLevel="0" collapsed="false">
      <c r="A2755" s="4" t="s">
        <v>460</v>
      </c>
      <c r="B2755" s="0" t="s">
        <v>234</v>
      </c>
      <c r="C2755" s="30" t="n">
        <f aca="false">a25_tax</f>
        <v>9.461</v>
      </c>
      <c r="D2755" s="30" t="n">
        <f aca="false">a26_tax</f>
        <v>19.2197317963676</v>
      </c>
      <c r="E2755" s="30" t="n">
        <f aca="false">E2754*tax</f>
        <v>25.7621122301755</v>
      </c>
      <c r="F2755" s="30" t="n">
        <f aca="false">F2754*tax</f>
        <v>17.2174880306011</v>
      </c>
      <c r="G2755" s="30" t="n">
        <f aca="false">G2754*tax</f>
        <v>19.2293156035844</v>
      </c>
    </row>
    <row r="2756" customFormat="false" ht="15" hidden="false" customHeight="false" outlineLevel="0" collapsed="false">
      <c r="A2756" s="4" t="s">
        <v>461</v>
      </c>
      <c r="B2756" s="0" t="s">
        <v>234</v>
      </c>
      <c r="C2756" s="30" t="n">
        <f aca="false">a25_nci</f>
        <v>1.182</v>
      </c>
      <c r="D2756" s="30" t="n">
        <f aca="false">a26_nci</f>
        <v>2.543</v>
      </c>
      <c r="E2756" s="30" t="n">
        <f aca="false">nci</f>
        <v>3</v>
      </c>
      <c r="F2756" s="30" t="n">
        <f aca="false">nci</f>
        <v>3</v>
      </c>
      <c r="G2756" s="30" t="n">
        <f aca="false">nci</f>
        <v>3</v>
      </c>
    </row>
    <row r="2757" customFormat="false" ht="15" hidden="false" customHeight="false" outlineLevel="0" collapsed="false">
      <c r="A2757" s="4" t="s">
        <v>462</v>
      </c>
      <c r="B2757" s="0" t="s">
        <v>234</v>
      </c>
      <c r="C2757" s="30" t="n">
        <f aca="false">C2754-C2755-C2756</f>
        <v>40.658</v>
      </c>
      <c r="D2757" s="30" t="n">
        <f aca="false">D2754-D2755-D2756</f>
        <v>93.5615140646185</v>
      </c>
      <c r="E2757" s="30" t="n">
        <f aca="false">E2754-E2755-E2756</f>
        <v>122.779724417916</v>
      </c>
      <c r="F2757" s="30" t="n">
        <f aca="false">F2754-F2755-F2756</f>
        <v>81.0618533258757</v>
      </c>
      <c r="G2757" s="30" t="n">
        <f aca="false">G2754-G2755-G2756</f>
        <v>90.8843055939711</v>
      </c>
      <c r="H2757" s="31" t="n">
        <f aca="false">H2735*H2761</f>
        <v>89.0190210931251</v>
      </c>
      <c r="I2757" s="31" t="n">
        <f aca="false">I2735*I2761</f>
        <v>84.9691675999499</v>
      </c>
      <c r="J2757" s="31" t="n">
        <f aca="false">J2735*J2761</f>
        <v>78.9061153241268</v>
      </c>
    </row>
    <row r="2758" customFormat="false" ht="15" hidden="false" customHeight="false" outlineLevel="0" collapsed="false">
      <c r="A2758" s="4" t="s">
        <v>579</v>
      </c>
      <c r="B2758" s="4" t="s">
        <v>580</v>
      </c>
      <c r="C2758" s="18" t="n">
        <f aca="false">a25_sh</f>
        <v>4339.16755602988</v>
      </c>
      <c r="D2758" s="18" t="n">
        <f aca="false">a26_sh</f>
        <v>4392.90105184664</v>
      </c>
      <c r="E2758" s="18" t="n">
        <f aca="false">D2758*(1+sh_g)</f>
        <v>4414.86555710588</v>
      </c>
      <c r="F2758" s="18" t="n">
        <f aca="false">E2758*(1+sh_g)</f>
        <v>4436.9398848914</v>
      </c>
      <c r="G2758" s="18" t="n">
        <f aca="false">F2758*(1+sh_g)</f>
        <v>4459.12458431586</v>
      </c>
      <c r="H2758" s="25" t="n">
        <f aca="false">G2758*(1+sh_g)</f>
        <v>4481.42020723744</v>
      </c>
      <c r="I2758" s="25" t="n">
        <f aca="false">H2758*(1+sh_g)</f>
        <v>4503.82730827363</v>
      </c>
      <c r="J2758" s="25" t="n">
        <f aca="false">I2758*(1+sh_g)</f>
        <v>4526.34644481499</v>
      </c>
    </row>
    <row r="2759" customFormat="false" ht="17.15" hidden="false" customHeight="false" outlineLevel="0" collapsed="false">
      <c r="A2759" s="0" t="s">
        <v>465</v>
      </c>
      <c r="B2759" s="0" t="s">
        <v>304</v>
      </c>
      <c r="C2759" s="19" t="n">
        <f aca="false">a25_eps</f>
        <v>9.37</v>
      </c>
      <c r="D2759" s="19" t="n">
        <f aca="false">a26_eps</f>
        <v>21.2828697294455</v>
      </c>
      <c r="E2759" s="19" t="n">
        <f aca="false">E2757/E2758*1000</f>
        <v>27.8105239740082</v>
      </c>
      <c r="F2759" s="19" t="n">
        <f aca="false">F2757/F2758*1000</f>
        <v>18.2697659713412</v>
      </c>
      <c r="G2759" s="19" t="n">
        <f aca="false">G2757/G2758*1000</f>
        <v>20.3816475354018</v>
      </c>
      <c r="H2759" s="28" t="n">
        <f aca="false">H2757/H2758*1000</f>
        <v>19.8640201044661</v>
      </c>
      <c r="I2759" s="28" t="n">
        <f aca="false">I2757/I2758*1000</f>
        <v>18.8659914743755</v>
      </c>
      <c r="J2759" s="28" t="n">
        <f aca="false">J2757/J2758*1000</f>
        <v>17.4326283430017</v>
      </c>
    </row>
    <row r="2760" customFormat="false" ht="17.15" hidden="false" customHeight="false" outlineLevel="0" collapsed="false">
      <c r="A2760" s="0" t="s">
        <v>581</v>
      </c>
      <c r="B2760" s="0" t="s">
        <v>76</v>
      </c>
      <c r="D2760" s="21" t="n">
        <f aca="false">D2759/C2759-1</f>
        <v>1.27138417603474</v>
      </c>
      <c r="E2760" s="21" t="n">
        <f aca="false">E2759/D2759-1</f>
        <v>0.306709307886775</v>
      </c>
      <c r="F2760" s="21" t="n">
        <f aca="false">F2759/E2759-1</f>
        <v>-0.343062863956959</v>
      </c>
      <c r="G2760" s="21" t="n">
        <f aca="false">G2759/F2759-1</f>
        <v>0.115594341349166</v>
      </c>
      <c r="H2760" s="26" t="n">
        <f aca="false">H2759/G2759-1</f>
        <v>-0.0253967413594335</v>
      </c>
      <c r="I2760" s="26" t="n">
        <f aca="false">I2759/H2759-1</f>
        <v>-0.0502430336277288</v>
      </c>
      <c r="J2760" s="26" t="n">
        <f aca="false">J2759/I2759-1</f>
        <v>-0.0759760298482426</v>
      </c>
    </row>
    <row r="2761" customFormat="false" ht="17.15" hidden="false" customHeight="false" outlineLevel="0" collapsed="false">
      <c r="A2761" s="4" t="s">
        <v>582</v>
      </c>
      <c r="B2761" s="0" t="s">
        <v>76</v>
      </c>
      <c r="C2761" s="14" t="n">
        <f aca="false">C2757/C2735</f>
        <v>0.0629977625862272</v>
      </c>
      <c r="D2761" s="14" t="n">
        <f aca="false">D2757/D2735</f>
        <v>0.107397865592237</v>
      </c>
      <c r="E2761" s="14" t="n">
        <f aca="false">E2757/E2735</f>
        <v>0.114641043916918</v>
      </c>
      <c r="F2761" s="14" t="n">
        <f aca="false">F2757/F2735</f>
        <v>0.0769028885284079</v>
      </c>
      <c r="G2761" s="14" t="n">
        <f aca="false">G2757/G2735</f>
        <v>0.0798355747813763</v>
      </c>
      <c r="H2761" s="27" t="n">
        <f aca="false">$G2761+(fade_mC-$G2761)*1/3</f>
        <v>0.073771402580628</v>
      </c>
      <c r="I2761" s="27" t="n">
        <f aca="false">$G2761+(fade_mC-$G2761)*2/3</f>
        <v>0.0677072303798798</v>
      </c>
      <c r="J2761" s="27" t="n">
        <f aca="false">$G2761+(fade_mC-$G2761)*3/3</f>
        <v>0.0616430581791315</v>
      </c>
    </row>
    <row r="2762" customFormat="false" ht="17.15" hidden="false" customHeight="false" outlineLevel="0" collapsed="false">
      <c r="A2762" s="4" t="s">
        <v>583</v>
      </c>
      <c r="B2762" s="0" t="s">
        <v>234</v>
      </c>
      <c r="C2762" s="30" t="n">
        <f aca="false">C2757+C2743-C2741</f>
        <v>-54.587</v>
      </c>
      <c r="D2762" s="30" t="n">
        <f aca="false">D2757+D2743-D2741</f>
        <v>-176.164485935382</v>
      </c>
      <c r="E2762" s="30" t="n">
        <f aca="false">E2757+E2743-E2741</f>
        <v>-162.380525582084</v>
      </c>
      <c r="F2762" s="30" t="n">
        <f aca="false">F2757+F2743-F2741</f>
        <v>-68.6775861668791</v>
      </c>
      <c r="G2762" s="30" t="n">
        <f aca="false">G2757+G2743-G2741</f>
        <v>-65.4315564951052</v>
      </c>
      <c r="K2762" s="4" t="s">
        <v>584</v>
      </c>
    </row>
    <row r="2763" customFormat="false" ht="17.15" hidden="false" customHeight="false" outlineLevel="0" collapsed="false">
      <c r="A2763" s="4" t="s">
        <v>585</v>
      </c>
      <c r="B2763" s="0" t="s">
        <v>76</v>
      </c>
      <c r="D2763" s="21" t="n">
        <f aca="false">(D2751-$C2751)/SUM($D2741:D2741)</f>
        <v>0.164280348537512</v>
      </c>
      <c r="E2763" s="21" t="n">
        <f aca="false">(E2751-$C2751)/SUM($D2741:E2741)</f>
        <v>0.13512912645857</v>
      </c>
      <c r="F2763" s="21" t="n">
        <f aca="false">(F2751-$C2751)/SUM($D2741:F2741)</f>
        <v>0.0505182819400077</v>
      </c>
      <c r="G2763" s="21" t="n">
        <f aca="false">(G2751-$C2751)/SUM($D2741:G2741)</f>
        <v>0.0467568940061914</v>
      </c>
      <c r="K2763" s="4" t="s">
        <v>586</v>
      </c>
    </row>
    <row r="2766" customFormat="false" ht="17.15" hidden="false" customHeight="false" outlineLevel="0" collapsed="false">
      <c r="A2766" s="1" t="s">
        <v>970</v>
      </c>
    </row>
    <row r="2767" customFormat="false" ht="17.15" hidden="false" customHeight="false" outlineLevel="0" collapsed="false">
      <c r="A2767" s="5" t="s">
        <v>21</v>
      </c>
      <c r="B2767" s="5" t="s">
        <v>22</v>
      </c>
      <c r="C2767" s="15" t="s">
        <v>424</v>
      </c>
      <c r="D2767" s="15" t="s">
        <v>524</v>
      </c>
      <c r="E2767" s="15" t="s">
        <v>525</v>
      </c>
      <c r="F2767" s="15" t="s">
        <v>526</v>
      </c>
      <c r="G2767" s="15" t="s">
        <v>527</v>
      </c>
      <c r="H2767" s="15" t="s">
        <v>528</v>
      </c>
      <c r="I2767" s="15" t="s">
        <v>529</v>
      </c>
      <c r="J2767" s="15" t="s">
        <v>530</v>
      </c>
      <c r="K2767" s="5" t="s">
        <v>382</v>
      </c>
    </row>
    <row r="2768" customFormat="false" ht="17.15" hidden="false" customHeight="false" outlineLevel="0" collapsed="false">
      <c r="A2768" s="6" t="s">
        <v>548</v>
      </c>
    </row>
    <row r="2769" customFormat="false" ht="17.15" hidden="false" customHeight="false" outlineLevel="0" collapsed="false">
      <c r="A2769" s="0" t="s">
        <v>549</v>
      </c>
      <c r="B2769" s="4" t="s">
        <v>32</v>
      </c>
      <c r="D2769" s="19" t="n">
        <f aca="false">units_26</f>
        <v>15.2</v>
      </c>
      <c r="E2769" s="19" t="n">
        <f aca="false">units_27*1</f>
        <v>23.7</v>
      </c>
      <c r="F2769" s="19" t="n">
        <f aca="false">units_28*um28_A*1</f>
        <v>26.5</v>
      </c>
      <c r="G2769" s="19" t="n">
        <f aca="false">units_29*um29_A*1</f>
        <v>30.15</v>
      </c>
    </row>
    <row r="2770" customFormat="false" ht="17.15" hidden="false" customHeight="false" outlineLevel="0" collapsed="false">
      <c r="A2770" s="4" t="s">
        <v>497</v>
      </c>
      <c r="B2770" s="0" t="s">
        <v>45</v>
      </c>
      <c r="D2770" s="22" t="n">
        <f aca="false">ar_26</f>
        <v>1</v>
      </c>
      <c r="E2770" s="22" t="n">
        <f aca="false">ar_27</f>
        <v>1.278156</v>
      </c>
      <c r="F2770" s="22" t="n">
        <f aca="false">ar_28</f>
        <v>1.428615</v>
      </c>
      <c r="G2770" s="22" t="n">
        <f aca="false">ar_29</f>
        <v>1.431796</v>
      </c>
    </row>
    <row r="2771" customFormat="false" ht="17.15" hidden="false" customHeight="false" outlineLevel="0" collapsed="false">
      <c r="A2771" s="4" t="s">
        <v>550</v>
      </c>
      <c r="B2771" s="0" t="s">
        <v>45</v>
      </c>
      <c r="D2771" s="19" t="n">
        <f aca="false">1</f>
        <v>1</v>
      </c>
      <c r="E2771" s="19" t="n">
        <f aca="false">rel27_A</f>
        <v>1.1</v>
      </c>
      <c r="F2771" s="19" t="n">
        <f aca="false">rel28_A</f>
        <v>1.15</v>
      </c>
      <c r="G2771" s="19" t="n">
        <f aca="false">rel29_A</f>
        <v>1.2</v>
      </c>
    </row>
    <row r="2772" customFormat="false" ht="17.15" hidden="false" customHeight="false" outlineLevel="0" collapsed="false">
      <c r="A2772" s="4" t="s">
        <v>551</v>
      </c>
      <c r="B2772" s="0" t="s">
        <v>502</v>
      </c>
      <c r="D2772" s="23" t="n">
        <f aca="false">D2773*1000/D2769</f>
        <v>236.842105263158</v>
      </c>
      <c r="E2772" s="23" t="n">
        <f aca="false">$D2772*E2770^el</f>
        <v>267.763172119488</v>
      </c>
      <c r="F2772" s="23" t="n">
        <f aca="false">$D2772*F2770^el</f>
        <v>283.084777049615</v>
      </c>
      <c r="G2772" s="23" t="n">
        <f aca="false">$D2772*G2770^el</f>
        <v>283.399764630809</v>
      </c>
      <c r="K2772" s="8" t="s">
        <v>552</v>
      </c>
    </row>
    <row r="2773" customFormat="false" ht="17.15" hidden="false" customHeight="false" outlineLevel="0" collapsed="false">
      <c r="A2773" s="0" t="s">
        <v>553</v>
      </c>
      <c r="B2773" s="0" t="s">
        <v>120</v>
      </c>
      <c r="D2773" s="22" t="n">
        <f aca="false">leap26-D2774-D2775</f>
        <v>3.6</v>
      </c>
      <c r="E2773" s="22" t="n">
        <f aca="false">E2769*E2771*E2772/1000</f>
        <v>6.98058589715504</v>
      </c>
      <c r="F2773" s="22" t="n">
        <f aca="false">F2769*F2771*F2772/1000</f>
        <v>8.627008580587</v>
      </c>
      <c r="G2773" s="22" t="n">
        <f aca="false">G2769*G2771*G2772/1000</f>
        <v>10.2534034843427</v>
      </c>
      <c r="K2773" s="8" t="s">
        <v>554</v>
      </c>
    </row>
    <row r="2774" customFormat="false" ht="17.15" hidden="false" customHeight="false" outlineLevel="0" collapsed="false">
      <c r="A2774" s="4" t="s">
        <v>555</v>
      </c>
      <c r="B2774" s="0" t="s">
        <v>120</v>
      </c>
      <c r="D2774" s="22" t="n">
        <f aca="false">fp26</f>
        <v>0.3</v>
      </c>
      <c r="E2774" s="22" t="n">
        <f aca="false">fp27_A</f>
        <v>1.2</v>
      </c>
      <c r="F2774" s="22" t="n">
        <f aca="false">E2774*F2769/E2769*(1+fp_g)</f>
        <v>1.74430379746835</v>
      </c>
      <c r="G2774" s="22" t="n">
        <f aca="false">F2774*G2769/F2769*(1+fp_g)</f>
        <v>2.57992405063291</v>
      </c>
    </row>
    <row r="2775" customFormat="false" ht="17.15" hidden="false" customHeight="false" outlineLevel="0" collapsed="false">
      <c r="A2775" s="0" t="s">
        <v>556</v>
      </c>
      <c r="B2775" s="0" t="s">
        <v>120</v>
      </c>
      <c r="D2775" s="22" t="n">
        <f aca="false">cpo27*cpo_A_26/cpo_A_27</f>
        <v>0.1</v>
      </c>
      <c r="E2775" s="22" t="n">
        <f aca="false">cpo27*cpo_A_27/cpo_A_27</f>
        <v>0.5</v>
      </c>
      <c r="F2775" s="22" t="n">
        <f aca="false">cpo27*cpo_A_28/cpo_A_27*F2769/E2769</f>
        <v>1.11814345991561</v>
      </c>
      <c r="G2775" s="22" t="n">
        <f aca="false">cpo27*cpo_A_29/cpo_A_27*G2769/E2769</f>
        <v>2.03544303797468</v>
      </c>
      <c r="K2775" s="8" t="s">
        <v>557</v>
      </c>
    </row>
    <row r="2776" customFormat="false" ht="17.15" hidden="false" customHeight="false" outlineLevel="0" collapsed="false">
      <c r="A2776" s="0" t="s">
        <v>510</v>
      </c>
      <c r="B2776" s="0" t="s">
        <v>120</v>
      </c>
      <c r="C2776" s="22" t="n">
        <f aca="false">leap25</f>
        <v>1.6</v>
      </c>
      <c r="D2776" s="22" t="n">
        <f aca="false">D2773+D2774+D2775</f>
        <v>4</v>
      </c>
      <c r="E2776" s="22" t="n">
        <f aca="false">E2773+E2774+E2775</f>
        <v>8.68058589715504</v>
      </c>
      <c r="F2776" s="22" t="n">
        <f aca="false">F2773+F2774+F2775</f>
        <v>11.489455837971</v>
      </c>
      <c r="G2776" s="22" t="n">
        <f aca="false">G2773+G2774+G2775</f>
        <v>14.8687705729503</v>
      </c>
    </row>
    <row r="2777" customFormat="false" ht="17.15" hidden="false" customHeight="false" outlineLevel="0" collapsed="false">
      <c r="A2777" s="4" t="s">
        <v>558</v>
      </c>
      <c r="B2777" s="0" t="s">
        <v>114</v>
      </c>
      <c r="C2777" s="19" t="n">
        <f aca="false">fx25</f>
        <v>31</v>
      </c>
      <c r="D2777" s="19" t="n">
        <f aca="false">a26_leap/D2776</f>
        <v>31.9</v>
      </c>
      <c r="E2777" s="19" t="n">
        <f aca="false">fx_lo</f>
        <v>30.5</v>
      </c>
      <c r="F2777" s="19" t="n">
        <f aca="false">fx_lo</f>
        <v>30.5</v>
      </c>
      <c r="G2777" s="19" t="n">
        <f aca="false">fx_lo</f>
        <v>30.5</v>
      </c>
      <c r="K2777" s="8" t="s">
        <v>559</v>
      </c>
    </row>
    <row r="2778" customFormat="false" ht="17.15" hidden="false" customHeight="false" outlineLevel="0" collapsed="false">
      <c r="A2778" s="6" t="s">
        <v>560</v>
      </c>
    </row>
    <row r="2779" customFormat="false" ht="17.15" hidden="false" customHeight="false" outlineLevel="0" collapsed="false">
      <c r="A2779" s="0" t="s">
        <v>438</v>
      </c>
      <c r="B2779" s="0" t="s">
        <v>234</v>
      </c>
      <c r="C2779" s="30" t="n">
        <f aca="false">a25_leap</f>
        <v>49.6</v>
      </c>
      <c r="D2779" s="30" t="n">
        <f aca="false">a26_leap</f>
        <v>127.6</v>
      </c>
      <c r="E2779" s="30" t="n">
        <f aca="false">E2776*E2777</f>
        <v>264.757869863229</v>
      </c>
      <c r="F2779" s="30" t="n">
        <f aca="false">F2776*F2777</f>
        <v>350.428403058115</v>
      </c>
      <c r="G2779" s="30" t="n">
        <f aca="false">G2776*G2777</f>
        <v>453.497502474983</v>
      </c>
    </row>
    <row r="2780" customFormat="false" ht="15" hidden="false" customHeight="false" outlineLevel="0" collapsed="false">
      <c r="A2780" s="4" t="s">
        <v>561</v>
      </c>
      <c r="B2780" s="0" t="s">
        <v>234</v>
      </c>
      <c r="C2780" s="30" t="n">
        <f aca="false">a25_ms</f>
        <v>339.628</v>
      </c>
      <c r="D2780" s="30" t="n">
        <f aca="false">a26_ms</f>
        <v>432.1302</v>
      </c>
      <c r="E2780" s="30" t="n">
        <f aca="false">D2780*(1+g_ms27)</f>
        <v>496.94973</v>
      </c>
      <c r="F2780" s="30" t="n">
        <f aca="false">E2780*(1+g_msL)</f>
        <v>531.7362111</v>
      </c>
      <c r="G2780" s="30" t="n">
        <f aca="false">F2780*(1+g_msL)</f>
        <v>568.957745877</v>
      </c>
    </row>
    <row r="2781" customFormat="false" ht="17.15" hidden="false" customHeight="false" outlineLevel="0" collapsed="false">
      <c r="A2781" s="4" t="s">
        <v>562</v>
      </c>
      <c r="B2781" s="0" t="s">
        <v>234</v>
      </c>
      <c r="C2781" s="30" t="n">
        <f aca="false">C2779+C2780</f>
        <v>389.228</v>
      </c>
      <c r="D2781" s="30" t="n">
        <f aca="false">D2779+D2780</f>
        <v>559.7302</v>
      </c>
      <c r="E2781" s="30" t="n">
        <f aca="false">E2779+E2780</f>
        <v>761.707599863229</v>
      </c>
      <c r="F2781" s="30" t="n">
        <f aca="false">F2779+F2780</f>
        <v>882.164614158115</v>
      </c>
      <c r="G2781" s="30" t="n">
        <f aca="false">G2779+G2780</f>
        <v>1022.45524835198</v>
      </c>
    </row>
    <row r="2782" customFormat="false" ht="17.15" hidden="false" customHeight="false" outlineLevel="0" collapsed="false">
      <c r="A2782" s="0" t="s">
        <v>563</v>
      </c>
      <c r="B2782" s="0" t="s">
        <v>234</v>
      </c>
      <c r="C2782" s="30" t="n">
        <f aca="false">a25_ems</f>
        <v>259.079</v>
      </c>
      <c r="D2782" s="30" t="n">
        <f aca="false">a26_ems</f>
        <v>314.602</v>
      </c>
      <c r="E2782" s="30" t="n">
        <f aca="false">D2782*(1+g_ems27)</f>
        <v>346.0622</v>
      </c>
      <c r="F2782" s="30" t="n">
        <f aca="false">E2782*(1+g_emsL)</f>
        <v>363.36531</v>
      </c>
      <c r="G2782" s="30" t="n">
        <f aca="false">F2782*(1+g_emsL)</f>
        <v>381.5335755</v>
      </c>
    </row>
    <row r="2783" customFormat="false" ht="17.15" hidden="false" customHeight="false" outlineLevel="0" collapsed="false">
      <c r="A2783" s="4" t="s">
        <v>564</v>
      </c>
      <c r="B2783" s="0" t="s">
        <v>234</v>
      </c>
      <c r="C2783" s="30" t="n">
        <f aca="false">a25_elim</f>
        <v>-2.91899999999998</v>
      </c>
      <c r="D2783" s="30" t="n">
        <f aca="false">a26_elim</f>
        <v>-3.16484905982349</v>
      </c>
      <c r="E2783" s="30" t="n">
        <f aca="false">$D2783/($D2781+$D2782)*(E2781+E2782)</f>
        <v>-4.00983082814289</v>
      </c>
      <c r="F2783" s="30" t="n">
        <f aca="false">$D2783/($D2781+$D2782)*(F2781+F2782)</f>
        <v>-4.50848568708075</v>
      </c>
      <c r="G2783" s="30" t="n">
        <f aca="false">$D2783/($D2781+$D2782)*(G2781+G2782)</f>
        <v>-5.08206458502916</v>
      </c>
      <c r="K2783" s="4" t="s">
        <v>565</v>
      </c>
    </row>
    <row r="2784" customFormat="false" ht="17.15" hidden="false" customHeight="false" outlineLevel="0" collapsed="false">
      <c r="A2784" s="4" t="s">
        <v>431</v>
      </c>
      <c r="B2784" s="0" t="s">
        <v>234</v>
      </c>
      <c r="C2784" s="30" t="n">
        <f aca="false">C2781+C2782+C2783</f>
        <v>645.388</v>
      </c>
      <c r="D2784" s="30" t="n">
        <f aca="false">D2781+D2782+D2783</f>
        <v>871.167350940177</v>
      </c>
      <c r="E2784" s="30" t="n">
        <f aca="false">E2781+E2782+E2783</f>
        <v>1103.75996903509</v>
      </c>
      <c r="F2784" s="30" t="n">
        <f aca="false">F2781+F2782+F2783</f>
        <v>1241.02143847103</v>
      </c>
      <c r="G2784" s="30" t="n">
        <f aca="false">G2781+G2782+G2783</f>
        <v>1398.90675926695</v>
      </c>
      <c r="H2784" s="31" t="n">
        <f aca="false">G2784*(1+H2785)</f>
        <v>1545.53277358566</v>
      </c>
      <c r="I2784" s="31" t="n">
        <f aca="false">H2784*(1+I2785)</f>
        <v>1672.896045958</v>
      </c>
      <c r="J2784" s="31" t="n">
        <f aca="false">I2784*(1+J2785)</f>
        <v>1773.26980871548</v>
      </c>
      <c r="K2784" s="8" t="s">
        <v>566</v>
      </c>
    </row>
    <row r="2785" customFormat="false" ht="15" hidden="false" customHeight="false" outlineLevel="0" collapsed="false">
      <c r="A2785" s="4" t="s">
        <v>567</v>
      </c>
      <c r="B2785" s="0" t="s">
        <v>76</v>
      </c>
      <c r="D2785" s="21" t="n">
        <f aca="false">D2784/C2784-1</f>
        <v>0.349835061916516</v>
      </c>
      <c r="E2785" s="21" t="n">
        <f aca="false">E2784/D2784-1</f>
        <v>0.266989594873927</v>
      </c>
      <c r="F2785" s="21" t="n">
        <f aca="false">F2784/E2784-1</f>
        <v>0.124358079008738</v>
      </c>
      <c r="G2785" s="21" t="n">
        <f aca="false">G2784/F2784-1</f>
        <v>0.127222073609331</v>
      </c>
      <c r="H2785" s="26" t="n">
        <f aca="false">$G2785+(fade_gA-$G2785)*1/3</f>
        <v>0.104814715739554</v>
      </c>
      <c r="I2785" s="26" t="n">
        <f aca="false">$G2785+(fade_gA-$G2785)*2/3</f>
        <v>0.082407357869777</v>
      </c>
      <c r="J2785" s="26" t="n">
        <f aca="false">$G2785+(fade_gA-$G2785)*3/3</f>
        <v>0.06</v>
      </c>
    </row>
    <row r="2786" customFormat="false" ht="17.15" hidden="false" customHeight="false" outlineLevel="0" collapsed="false">
      <c r="A2786" s="0" t="s">
        <v>475</v>
      </c>
      <c r="B2786" s="0" t="s">
        <v>76</v>
      </c>
      <c r="C2786" s="21" t="n">
        <f aca="false">C2779/C2781</f>
        <v>0.127431736668482</v>
      </c>
      <c r="D2786" s="21" t="n">
        <f aca="false">D2779/D2781</f>
        <v>0.227966974088588</v>
      </c>
      <c r="E2786" s="21" t="n">
        <f aca="false">E2779/E2781</f>
        <v>0.34758465047581</v>
      </c>
      <c r="F2786" s="21" t="n">
        <f aca="false">F2779/F2781</f>
        <v>0.397236975315024</v>
      </c>
      <c r="G2786" s="21" t="n">
        <f aca="false">G2779/G2781</f>
        <v>0.443537752098139</v>
      </c>
    </row>
    <row r="2787" customFormat="false" ht="15" hidden="false" customHeight="false" outlineLevel="0" collapsed="false">
      <c r="A2787" s="4" t="s">
        <v>568</v>
      </c>
      <c r="B2787" s="0" t="s">
        <v>76</v>
      </c>
      <c r="D2787" s="21" t="n">
        <f aca="false">D2781/C2781-1</f>
        <v>0.438052247012034</v>
      </c>
      <c r="E2787" s="21" t="n">
        <f aca="false">E2781/D2781-1</f>
        <v>0.360847779632453</v>
      </c>
      <c r="F2787" s="21" t="n">
        <f aca="false">F2781/E2781-1</f>
        <v>0.158140754164085</v>
      </c>
      <c r="G2787" s="21" t="n">
        <f aca="false">G2781/F2781-1</f>
        <v>0.159029995017147</v>
      </c>
    </row>
    <row r="2788" customFormat="false" ht="17.15" hidden="false" customHeight="false" outlineLevel="0" collapsed="false">
      <c r="A2788" s="6" t="s">
        <v>569</v>
      </c>
    </row>
    <row r="2789" customFormat="false" ht="17.15" hidden="false" customHeight="false" outlineLevel="0" collapsed="false">
      <c r="A2789" s="4" t="s">
        <v>570</v>
      </c>
      <c r="B2789" s="0" t="s">
        <v>120</v>
      </c>
      <c r="C2789" s="19" t="n">
        <f aca="false">capex25</f>
        <v>5.5</v>
      </c>
      <c r="D2789" s="19" t="n">
        <f aca="false">capex26</f>
        <v>11.5</v>
      </c>
      <c r="E2789" s="19" t="n">
        <f aca="false">capex27</f>
        <v>13</v>
      </c>
      <c r="F2789" s="19" t="n">
        <f aca="false">capi*F2784/F2777</f>
        <v>12.2067682472561</v>
      </c>
      <c r="G2789" s="19" t="n">
        <f aca="false">capi*G2784/G2777</f>
        <v>13.7597386157405</v>
      </c>
      <c r="K2789" s="8" t="s">
        <v>571</v>
      </c>
    </row>
    <row r="2790" customFormat="false" ht="15" hidden="false" customHeight="false" outlineLevel="0" collapsed="false">
      <c r="A2790" s="4" t="s">
        <v>572</v>
      </c>
      <c r="B2790" s="0" t="s">
        <v>234</v>
      </c>
      <c r="C2790" s="30" t="n">
        <f aca="false">C2789*C2777</f>
        <v>170.5</v>
      </c>
      <c r="D2790" s="30" t="n">
        <f aca="false">D2789*31.9</f>
        <v>366.85</v>
      </c>
      <c r="E2790" s="30" t="n">
        <f aca="false">E2789*E2777</f>
        <v>396.5</v>
      </c>
      <c r="F2790" s="30" t="n">
        <f aca="false">F2789*F2777</f>
        <v>372.30643154131</v>
      </c>
      <c r="G2790" s="30" t="n">
        <f aca="false">G2789*G2777</f>
        <v>419.672027780086</v>
      </c>
    </row>
    <row r="2791" customFormat="false" ht="17.15" hidden="false" customHeight="false" outlineLevel="0" collapsed="false">
      <c r="A2791" s="4" t="s">
        <v>473</v>
      </c>
      <c r="B2791" s="0" t="s">
        <v>76</v>
      </c>
      <c r="C2791" s="21" t="n">
        <f aca="false">C2790/C2784</f>
        <v>0.264182166386732</v>
      </c>
      <c r="D2791" s="21" t="n">
        <f aca="false">D2790/D2784</f>
        <v>0.421101639775745</v>
      </c>
      <c r="E2791" s="21" t="n">
        <f aca="false">E2790/E2784</f>
        <v>0.359226653550973</v>
      </c>
      <c r="F2791" s="21" t="n">
        <f aca="false">F2790/F2784</f>
        <v>0.3</v>
      </c>
      <c r="G2791" s="21" t="n">
        <f aca="false">G2790/G2784</f>
        <v>0.3</v>
      </c>
    </row>
    <row r="2792" customFormat="false" ht="17.15" hidden="false" customHeight="false" outlineLevel="0" collapsed="false">
      <c r="A2792" s="4" t="s">
        <v>573</v>
      </c>
      <c r="B2792" s="0" t="s">
        <v>234</v>
      </c>
      <c r="C2792" s="30" t="n">
        <f aca="false">a25_da</f>
        <v>75.255</v>
      </c>
      <c r="D2792" s="30" t="n">
        <f aca="false">a26_da</f>
        <v>97.124</v>
      </c>
      <c r="E2792" s="30" t="n">
        <f aca="false">D2792*(1-1/life)+D2790/life</f>
        <v>130.83975</v>
      </c>
      <c r="F2792" s="30" t="n">
        <f aca="false">E2792*(1-1/life)+E2790/life</f>
        <v>164.04728125</v>
      </c>
      <c r="G2792" s="30" t="n">
        <f aca="false">F2792*(1-1/life)+F2790/life</f>
        <v>190.079675036414</v>
      </c>
      <c r="K2792" s="4" t="s">
        <v>574</v>
      </c>
    </row>
    <row r="2793" customFormat="false" ht="17.15" hidden="false" customHeight="false" outlineLevel="0" collapsed="false">
      <c r="A2793" s="4" t="s">
        <v>575</v>
      </c>
      <c r="B2793" s="0" t="s">
        <v>234</v>
      </c>
      <c r="C2793" s="30" t="n">
        <f aca="false">a25_agp</f>
        <v>91.38</v>
      </c>
      <c r="D2793" s="30" t="n">
        <f aca="false">a26_agp</f>
        <v>164.623388</v>
      </c>
      <c r="E2793" s="30" t="n">
        <f aca="false">$D2793+ft*(E2781-$D2781)-(E2792-$D2792)</f>
        <v>231.896337931614</v>
      </c>
      <c r="F2793" s="30" t="n">
        <f aca="false">$D2793+ft*(F2781-$D2781)-(F2792-$D2792)</f>
        <v>258.917313829057</v>
      </c>
      <c r="G2793" s="30" t="n">
        <f aca="false">$D2793+ft*(G2781-$D2781)-(G2792-$D2792)</f>
        <v>303.030237139578</v>
      </c>
      <c r="K2793" s="4" t="s">
        <v>576</v>
      </c>
    </row>
    <row r="2794" customFormat="false" ht="15" hidden="false" customHeight="false" outlineLevel="0" collapsed="false">
      <c r="A2794" s="4" t="s">
        <v>447</v>
      </c>
      <c r="B2794" s="0" t="s">
        <v>76</v>
      </c>
      <c r="C2794" s="14" t="n">
        <f aca="false">C2793/C2781</f>
        <v>0.234772421305764</v>
      </c>
      <c r="D2794" s="14" t="n">
        <f aca="false">D2793/D2781</f>
        <v>0.294112034690999</v>
      </c>
      <c r="E2794" s="14" t="n">
        <f aca="false">E2793/E2781</f>
        <v>0.304442725756253</v>
      </c>
      <c r="F2794" s="14" t="n">
        <f aca="false">F2793/F2781</f>
        <v>0.293502266667262</v>
      </c>
      <c r="G2794" s="14" t="n">
        <f aca="false">G2793/G2781</f>
        <v>0.29637506152764</v>
      </c>
    </row>
    <row r="2795" customFormat="false" ht="17.15" hidden="false" customHeight="false" outlineLevel="0" collapsed="false">
      <c r="A2795" s="0" t="s">
        <v>449</v>
      </c>
      <c r="B2795" s="0" t="s">
        <v>234</v>
      </c>
      <c r="C2795" s="30" t="n">
        <f aca="false">a25_egp</f>
        <v>23.695</v>
      </c>
      <c r="D2795" s="30" t="n">
        <f aca="false">a26_egp</f>
        <v>27.00552</v>
      </c>
      <c r="E2795" s="30" t="n">
        <f aca="false">E2782*ems_gm</f>
        <v>29.415287</v>
      </c>
      <c r="F2795" s="30" t="n">
        <f aca="false">F2782*ems_gm</f>
        <v>30.88605135</v>
      </c>
      <c r="G2795" s="30" t="n">
        <f aca="false">G2782*ems_gm</f>
        <v>32.4303539175</v>
      </c>
    </row>
    <row r="2796" customFormat="false" ht="15" hidden="false" customHeight="false" outlineLevel="0" collapsed="false">
      <c r="A2796" s="4" t="s">
        <v>577</v>
      </c>
      <c r="B2796" s="0" t="s">
        <v>234</v>
      </c>
      <c r="C2796" s="30" t="n">
        <f aca="false">a25_lgp</f>
        <v>-0.881999999999998</v>
      </c>
      <c r="D2796" s="30" t="n">
        <f aca="false">a26_lgp</f>
        <v>-0.948662139013863</v>
      </c>
      <c r="E2796" s="30" t="n">
        <f aca="false">$D2796/$D2783*E2783</f>
        <v>-1.20194505918141</v>
      </c>
      <c r="F2796" s="30" t="n">
        <f aca="false">$D2796/$D2783*F2783</f>
        <v>-1.35141663781525</v>
      </c>
      <c r="G2796" s="30" t="n">
        <f aca="false">$D2796/$D2783*G2783</f>
        <v>-1.52334666478826</v>
      </c>
    </row>
    <row r="2797" customFormat="false" ht="15" hidden="false" customHeight="false" outlineLevel="0" collapsed="false">
      <c r="A2797" s="4" t="s">
        <v>451</v>
      </c>
      <c r="B2797" s="0" t="s">
        <v>234</v>
      </c>
      <c r="C2797" s="30" t="n">
        <f aca="false">C2793+C2795+C2796</f>
        <v>114.193</v>
      </c>
      <c r="D2797" s="30" t="n">
        <f aca="false">D2793+D2795+D2796</f>
        <v>190.680245860986</v>
      </c>
      <c r="E2797" s="30" t="n">
        <f aca="false">E2793+E2795+E2796</f>
        <v>260.109679872433</v>
      </c>
      <c r="F2797" s="30" t="n">
        <f aca="false">F2793+F2795+F2796</f>
        <v>288.451948541242</v>
      </c>
      <c r="G2797" s="30" t="n">
        <f aca="false">G2793+G2795+G2796</f>
        <v>333.937244392289</v>
      </c>
    </row>
    <row r="2798" customFormat="false" ht="15" hidden="false" customHeight="false" outlineLevel="0" collapsed="false">
      <c r="A2798" s="4" t="s">
        <v>452</v>
      </c>
      <c r="B2798" s="0" t="s">
        <v>76</v>
      </c>
      <c r="C2798" s="14" t="n">
        <f aca="false">C2797/C2784</f>
        <v>0.176936974347214</v>
      </c>
      <c r="D2798" s="14" t="n">
        <f aca="false">D2797/D2784</f>
        <v>0.218879008327391</v>
      </c>
      <c r="E2798" s="14" t="n">
        <f aca="false">E2797/E2784</f>
        <v>0.23565783066025</v>
      </c>
      <c r="F2798" s="14" t="n">
        <f aca="false">F2797/F2784</f>
        <v>0.232431076208177</v>
      </c>
      <c r="G2798" s="14" t="n">
        <f aca="false">G2797/G2784</f>
        <v>0.238713010842322</v>
      </c>
    </row>
    <row r="2799" customFormat="false" ht="15" hidden="false" customHeight="false" outlineLevel="0" collapsed="false">
      <c r="A2799" s="4" t="s">
        <v>578</v>
      </c>
      <c r="B2799" s="0" t="s">
        <v>234</v>
      </c>
      <c r="C2799" s="30" t="n">
        <f aca="false">a25_opx</f>
        <v>63.437</v>
      </c>
      <c r="D2799" s="30" t="n">
        <f aca="false">a26_opx</f>
        <v>79.658</v>
      </c>
      <c r="E2799" s="30" t="n">
        <f aca="false">D2799*(1+phi*E2785)</f>
        <v>92.4187142890803</v>
      </c>
      <c r="F2799" s="30" t="n">
        <f aca="false">E2799*(1+phi*F2785)</f>
        <v>99.3145225531488</v>
      </c>
      <c r="G2799" s="30" t="n">
        <f aca="false">F2799*(1+phi*G2785)</f>
        <v>106.895522252388</v>
      </c>
    </row>
    <row r="2800" customFormat="false" ht="15" hidden="false" customHeight="false" outlineLevel="0" collapsed="false">
      <c r="A2800" s="4" t="s">
        <v>455</v>
      </c>
      <c r="B2800" s="0" t="s">
        <v>234</v>
      </c>
      <c r="C2800" s="30" t="n">
        <f aca="false">C2797-C2799</f>
        <v>50.756</v>
      </c>
      <c r="D2800" s="30" t="n">
        <f aca="false">D2797-D2799</f>
        <v>111.022245860986</v>
      </c>
      <c r="E2800" s="30" t="n">
        <f aca="false">E2797-E2799</f>
        <v>167.690965583353</v>
      </c>
      <c r="F2800" s="30" t="n">
        <f aca="false">F2797-F2799</f>
        <v>189.137425988093</v>
      </c>
      <c r="G2800" s="30" t="n">
        <f aca="false">G2797-G2799</f>
        <v>227.041722139901</v>
      </c>
    </row>
    <row r="2801" customFormat="false" ht="15" hidden="false" customHeight="false" outlineLevel="0" collapsed="false">
      <c r="A2801" s="4" t="s">
        <v>537</v>
      </c>
      <c r="B2801" s="0" t="s">
        <v>76</v>
      </c>
      <c r="C2801" s="14" t="n">
        <f aca="false">C2800/C2784</f>
        <v>0.0786441644406156</v>
      </c>
      <c r="D2801" s="14" t="n">
        <f aca="false">D2800/D2784</f>
        <v>0.127440779020437</v>
      </c>
      <c r="E2801" s="14" t="n">
        <f aca="false">E2800/E2784</f>
        <v>0.151927022439443</v>
      </c>
      <c r="F2801" s="14" t="n">
        <f aca="false">F2800/F2784</f>
        <v>0.15240464034297</v>
      </c>
      <c r="G2801" s="14" t="n">
        <f aca="false">G2800/G2784</f>
        <v>0.162299396036141</v>
      </c>
    </row>
    <row r="2802" customFormat="false" ht="15" hidden="false" customHeight="false" outlineLevel="0" collapsed="false">
      <c r="A2802" s="4" t="s">
        <v>456</v>
      </c>
      <c r="B2802" s="0" t="s">
        <v>234</v>
      </c>
      <c r="C2802" s="30" t="n">
        <f aca="false">a25_nonop</f>
        <v>0.545</v>
      </c>
      <c r="D2802" s="30" t="n">
        <f aca="false">a26_nonop</f>
        <v>4.302</v>
      </c>
      <c r="E2802" s="30" t="n">
        <f aca="false">nonop_f</f>
        <v>-5</v>
      </c>
      <c r="F2802" s="30" t="n">
        <f aca="false">nonop_f</f>
        <v>-5</v>
      </c>
      <c r="G2802" s="30" t="n">
        <f aca="false">nonop_f</f>
        <v>-5</v>
      </c>
    </row>
    <row r="2803" customFormat="false" ht="15" hidden="false" customHeight="false" outlineLevel="0" collapsed="false">
      <c r="A2803" s="4" t="s">
        <v>459</v>
      </c>
      <c r="B2803" s="0" t="s">
        <v>234</v>
      </c>
      <c r="C2803" s="30" t="n">
        <f aca="false">C2800+C2802</f>
        <v>51.301</v>
      </c>
      <c r="D2803" s="30" t="n">
        <f aca="false">D2800+D2802</f>
        <v>115.324245860986</v>
      </c>
      <c r="E2803" s="30" t="n">
        <f aca="false">E2800+E2802</f>
        <v>162.690965583353</v>
      </c>
      <c r="F2803" s="30" t="n">
        <f aca="false">F2800+F2802</f>
        <v>184.137425988093</v>
      </c>
      <c r="G2803" s="30" t="n">
        <f aca="false">G2800+G2802</f>
        <v>222.041722139901</v>
      </c>
    </row>
    <row r="2804" customFormat="false" ht="15" hidden="false" customHeight="false" outlineLevel="0" collapsed="false">
      <c r="A2804" s="4" t="s">
        <v>460</v>
      </c>
      <c r="B2804" s="0" t="s">
        <v>234</v>
      </c>
      <c r="C2804" s="30" t="n">
        <f aca="false">a25_tax</f>
        <v>9.461</v>
      </c>
      <c r="D2804" s="30" t="n">
        <f aca="false">a26_tax</f>
        <v>19.2197317963676</v>
      </c>
      <c r="E2804" s="30" t="n">
        <f aca="false">E2803*tax</f>
        <v>27.65746414917</v>
      </c>
      <c r="F2804" s="30" t="n">
        <f aca="false">F2803*tax</f>
        <v>31.3033624179759</v>
      </c>
      <c r="G2804" s="30" t="n">
        <f aca="false">G2803*tax</f>
        <v>37.7470927637832</v>
      </c>
    </row>
    <row r="2805" customFormat="false" ht="15" hidden="false" customHeight="false" outlineLevel="0" collapsed="false">
      <c r="A2805" s="4" t="s">
        <v>461</v>
      </c>
      <c r="B2805" s="0" t="s">
        <v>234</v>
      </c>
      <c r="C2805" s="30" t="n">
        <f aca="false">a25_nci</f>
        <v>1.182</v>
      </c>
      <c r="D2805" s="30" t="n">
        <f aca="false">a26_nci</f>
        <v>2.543</v>
      </c>
      <c r="E2805" s="30" t="n">
        <f aca="false">nci</f>
        <v>3</v>
      </c>
      <c r="F2805" s="30" t="n">
        <f aca="false">nci</f>
        <v>3</v>
      </c>
      <c r="G2805" s="30" t="n">
        <f aca="false">nci</f>
        <v>3</v>
      </c>
    </row>
    <row r="2806" customFormat="false" ht="15" hidden="false" customHeight="false" outlineLevel="0" collapsed="false">
      <c r="A2806" s="4" t="s">
        <v>462</v>
      </c>
      <c r="B2806" s="0" t="s">
        <v>234</v>
      </c>
      <c r="C2806" s="30" t="n">
        <f aca="false">C2803-C2804-C2805</f>
        <v>40.658</v>
      </c>
      <c r="D2806" s="30" t="n">
        <f aca="false">D2803-D2804-D2805</f>
        <v>93.5615140646185</v>
      </c>
      <c r="E2806" s="30" t="n">
        <f aca="false">E2803-E2804-E2805</f>
        <v>132.033501434183</v>
      </c>
      <c r="F2806" s="30" t="n">
        <f aca="false">F2803-F2804-F2805</f>
        <v>149.834063570117</v>
      </c>
      <c r="G2806" s="30" t="n">
        <f aca="false">G2803-G2804-G2805</f>
        <v>181.294629376118</v>
      </c>
      <c r="H2806" s="31" t="n">
        <f aca="false">H2784*H2810</f>
        <v>201.434728764558</v>
      </c>
      <c r="I2806" s="31" t="n">
        <f aca="false">I2784*I2810</f>
        <v>219.265946220035</v>
      </c>
      <c r="J2806" s="31" t="n">
        <f aca="false">J2784*J2810</f>
        <v>233.727307488497</v>
      </c>
    </row>
    <row r="2807" customFormat="false" ht="15" hidden="false" customHeight="false" outlineLevel="0" collapsed="false">
      <c r="A2807" s="4" t="s">
        <v>579</v>
      </c>
      <c r="B2807" s="4" t="s">
        <v>580</v>
      </c>
      <c r="C2807" s="18" t="n">
        <f aca="false">a25_sh</f>
        <v>4339.16755602988</v>
      </c>
      <c r="D2807" s="18" t="n">
        <f aca="false">a26_sh</f>
        <v>4392.90105184664</v>
      </c>
      <c r="E2807" s="18" t="n">
        <f aca="false">D2807*(1+sh_g)</f>
        <v>4414.86555710588</v>
      </c>
      <c r="F2807" s="18" t="n">
        <f aca="false">E2807*(1+sh_g)</f>
        <v>4436.9398848914</v>
      </c>
      <c r="G2807" s="18" t="n">
        <f aca="false">F2807*(1+sh_g)</f>
        <v>4459.12458431586</v>
      </c>
      <c r="H2807" s="25" t="n">
        <f aca="false">G2807*(1+sh_g)</f>
        <v>4481.42020723744</v>
      </c>
      <c r="I2807" s="25" t="n">
        <f aca="false">H2807*(1+sh_g)</f>
        <v>4503.82730827363</v>
      </c>
      <c r="J2807" s="25" t="n">
        <f aca="false">I2807*(1+sh_g)</f>
        <v>4526.34644481499</v>
      </c>
    </row>
    <row r="2808" customFormat="false" ht="17.15" hidden="false" customHeight="false" outlineLevel="0" collapsed="false">
      <c r="A2808" s="0" t="s">
        <v>465</v>
      </c>
      <c r="B2808" s="0" t="s">
        <v>304</v>
      </c>
      <c r="C2808" s="19" t="n">
        <f aca="false">a25_eps</f>
        <v>9.37</v>
      </c>
      <c r="D2808" s="19" t="n">
        <f aca="false">a26_eps</f>
        <v>21.2828697294455</v>
      </c>
      <c r="E2808" s="19" t="n">
        <f aca="false">E2806/E2807*1000</f>
        <v>29.9065735357831</v>
      </c>
      <c r="F2808" s="19" t="n">
        <f aca="false">F2806/F2807*1000</f>
        <v>33.7696852915069</v>
      </c>
      <c r="G2808" s="19" t="n">
        <f aca="false">G2806/G2807*1000</f>
        <v>40.6570002582543</v>
      </c>
      <c r="H2808" s="28" t="n">
        <f aca="false">H2806/H2807*1000</f>
        <v>44.9488598367196</v>
      </c>
      <c r="I2808" s="28" t="n">
        <f aca="false">I2806/I2807*1000</f>
        <v>48.6843591487707</v>
      </c>
      <c r="J2808" s="28" t="n">
        <f aca="false">J2806/J2807*1000</f>
        <v>51.637078676608</v>
      </c>
    </row>
    <row r="2809" customFormat="false" ht="17.15" hidden="false" customHeight="false" outlineLevel="0" collapsed="false">
      <c r="A2809" s="0" t="s">
        <v>581</v>
      </c>
      <c r="B2809" s="0" t="s">
        <v>76</v>
      </c>
      <c r="D2809" s="21" t="n">
        <f aca="false">D2808/C2808-1</f>
        <v>1.27138417603474</v>
      </c>
      <c r="E2809" s="21" t="n">
        <f aca="false">E2808/D2808-1</f>
        <v>0.405194596215865</v>
      </c>
      <c r="F2809" s="21" t="n">
        <f aca="false">F2808/E2808-1</f>
        <v>0.129172663364515</v>
      </c>
      <c r="G2809" s="21" t="n">
        <f aca="false">G2808/F2808-1</f>
        <v>0.203949634333122</v>
      </c>
      <c r="H2809" s="26" t="n">
        <f aca="false">H2808/G2808-1</f>
        <v>0.105562622702198</v>
      </c>
      <c r="I2809" s="26" t="n">
        <f aca="false">I2808/H2808-1</f>
        <v>0.0831055409552248</v>
      </c>
      <c r="J2809" s="26" t="n">
        <f aca="false">J2808/I2808-1</f>
        <v>0.0606502700141185</v>
      </c>
    </row>
    <row r="2810" customFormat="false" ht="17.15" hidden="false" customHeight="false" outlineLevel="0" collapsed="false">
      <c r="A2810" s="4" t="s">
        <v>582</v>
      </c>
      <c r="B2810" s="0" t="s">
        <v>76</v>
      </c>
      <c r="C2810" s="14" t="n">
        <f aca="false">C2806/C2784</f>
        <v>0.0629977625862272</v>
      </c>
      <c r="D2810" s="14" t="n">
        <f aca="false">D2806/D2784</f>
        <v>0.107397865592237</v>
      </c>
      <c r="E2810" s="14" t="n">
        <f aca="false">E2806/E2784</f>
        <v>0.119621570937753</v>
      </c>
      <c r="F2810" s="14" t="n">
        <f aca="false">F2806/F2784</f>
        <v>0.120734468338207</v>
      </c>
      <c r="G2810" s="14" t="n">
        <f aca="false">G2806/G2784</f>
        <v>0.129597364638597</v>
      </c>
      <c r="H2810" s="27" t="n">
        <f aca="false">$G2810+(fade_mA-$G2810)*1/3</f>
        <v>0.130333521363786</v>
      </c>
      <c r="I2810" s="27" t="n">
        <f aca="false">$G2810+(fade_mA-$G2810)*2/3</f>
        <v>0.131069678088975</v>
      </c>
      <c r="J2810" s="27" t="n">
        <f aca="false">$G2810+(fade_mA-$G2810)*3/3</f>
        <v>0.131805834814164</v>
      </c>
    </row>
    <row r="2811" customFormat="false" ht="17.15" hidden="false" customHeight="false" outlineLevel="0" collapsed="false">
      <c r="A2811" s="4" t="s">
        <v>583</v>
      </c>
      <c r="B2811" s="0" t="s">
        <v>234</v>
      </c>
      <c r="C2811" s="30" t="n">
        <f aca="false">C2806+C2792-C2790</f>
        <v>-54.587</v>
      </c>
      <c r="D2811" s="30" t="n">
        <f aca="false">D2806+D2792-D2790</f>
        <v>-176.164485935382</v>
      </c>
      <c r="E2811" s="30" t="n">
        <f aca="false">E2806+E2792-E2790</f>
        <v>-133.626748565817</v>
      </c>
      <c r="F2811" s="30" t="n">
        <f aca="false">F2806+F2792-F2790</f>
        <v>-58.4250867211927</v>
      </c>
      <c r="G2811" s="30" t="n">
        <f aca="false">G2806+G2792-G2790</f>
        <v>-48.2977233675543</v>
      </c>
      <c r="K2811" s="4" t="s">
        <v>584</v>
      </c>
    </row>
    <row r="2812" customFormat="false" ht="17.15" hidden="false" customHeight="false" outlineLevel="0" collapsed="false">
      <c r="A2812" s="4" t="s">
        <v>585</v>
      </c>
      <c r="B2812" s="0" t="s">
        <v>76</v>
      </c>
      <c r="D2812" s="21" t="n">
        <f aca="false">(D2800-$C2800)/SUM($D2790:D2790)</f>
        <v>0.164280348537512</v>
      </c>
      <c r="E2812" s="21" t="n">
        <f aca="false">(E2800-$C2800)/SUM($D2790:E2790)</f>
        <v>0.153186566559707</v>
      </c>
      <c r="F2812" s="21" t="n">
        <f aca="false">(F2800-$C2800)/SUM($D2790:F2790)</f>
        <v>0.121851487954224</v>
      </c>
      <c r="G2812" s="21" t="n">
        <f aca="false">(G2800-$C2800)/SUM($D2790:G2790)</f>
        <v>0.113343082667449</v>
      </c>
      <c r="K2812" s="4" t="s">
        <v>586</v>
      </c>
    </row>
    <row r="2815" customFormat="false" ht="17.15" hidden="false" customHeight="false" outlineLevel="0" collapsed="false">
      <c r="A2815" s="1" t="s">
        <v>971</v>
      </c>
    </row>
    <row r="2816" customFormat="false" ht="17.15" hidden="false" customHeight="false" outlineLevel="0" collapsed="false">
      <c r="A2816" s="5" t="s">
        <v>21</v>
      </c>
      <c r="B2816" s="5" t="s">
        <v>22</v>
      </c>
      <c r="C2816" s="15" t="s">
        <v>424</v>
      </c>
      <c r="D2816" s="15" t="s">
        <v>524</v>
      </c>
      <c r="E2816" s="15" t="s">
        <v>525</v>
      </c>
      <c r="F2816" s="15" t="s">
        <v>526</v>
      </c>
      <c r="G2816" s="15" t="s">
        <v>527</v>
      </c>
      <c r="H2816" s="15" t="s">
        <v>528</v>
      </c>
      <c r="I2816" s="15" t="s">
        <v>529</v>
      </c>
      <c r="J2816" s="15" t="s">
        <v>530</v>
      </c>
      <c r="K2816" s="5" t="s">
        <v>382</v>
      </c>
    </row>
    <row r="2817" customFormat="false" ht="17.15" hidden="false" customHeight="false" outlineLevel="0" collapsed="false">
      <c r="A2817" s="6" t="s">
        <v>548</v>
      </c>
    </row>
    <row r="2818" customFormat="false" ht="17.15" hidden="false" customHeight="false" outlineLevel="0" collapsed="false">
      <c r="A2818" s="0" t="s">
        <v>549</v>
      </c>
      <c r="B2818" s="4" t="s">
        <v>32</v>
      </c>
      <c r="D2818" s="19" t="n">
        <f aca="false">units_26</f>
        <v>15.2</v>
      </c>
      <c r="E2818" s="19" t="n">
        <f aca="false">units_27*1</f>
        <v>23.7</v>
      </c>
      <c r="F2818" s="19" t="n">
        <f aca="false">units_28*um28_B*1</f>
        <v>21.2</v>
      </c>
      <c r="G2818" s="19" t="n">
        <f aca="false">units_29*um29_B*1</f>
        <v>25.6275</v>
      </c>
    </row>
    <row r="2819" customFormat="false" ht="17.15" hidden="false" customHeight="false" outlineLevel="0" collapsed="false">
      <c r="A2819" s="4" t="s">
        <v>497</v>
      </c>
      <c r="B2819" s="0" t="s">
        <v>45</v>
      </c>
      <c r="D2819" s="22" t="n">
        <f aca="false">ar_26</f>
        <v>1</v>
      </c>
      <c r="E2819" s="22" t="n">
        <f aca="false">ar_27</f>
        <v>1.278156</v>
      </c>
      <c r="F2819" s="22" t="n">
        <f aca="false">ar_28</f>
        <v>1.428615</v>
      </c>
      <c r="G2819" s="22" t="n">
        <f aca="false">ar_29</f>
        <v>1.431796</v>
      </c>
    </row>
    <row r="2820" customFormat="false" ht="17.15" hidden="false" customHeight="false" outlineLevel="0" collapsed="false">
      <c r="A2820" s="4" t="s">
        <v>550</v>
      </c>
      <c r="B2820" s="0" t="s">
        <v>45</v>
      </c>
      <c r="D2820" s="19" t="n">
        <f aca="false">1</f>
        <v>1</v>
      </c>
      <c r="E2820" s="19" t="n">
        <f aca="false">rel27_B</f>
        <v>1.05</v>
      </c>
      <c r="F2820" s="19" t="n">
        <f aca="false">rel28_B</f>
        <v>1.08</v>
      </c>
      <c r="G2820" s="19" t="n">
        <f aca="false">rel29_B</f>
        <v>1.1</v>
      </c>
    </row>
    <row r="2821" customFormat="false" ht="17.15" hidden="false" customHeight="false" outlineLevel="0" collapsed="false">
      <c r="A2821" s="4" t="s">
        <v>551</v>
      </c>
      <c r="B2821" s="0" t="s">
        <v>502</v>
      </c>
      <c r="D2821" s="23" t="n">
        <f aca="false">D2822*1000/D2818</f>
        <v>236.842105263158</v>
      </c>
      <c r="E2821" s="23" t="n">
        <f aca="false">$D2821*E2819^el</f>
        <v>267.763172119488</v>
      </c>
      <c r="F2821" s="23" t="n">
        <f aca="false">$D2821*F2819^el</f>
        <v>283.084777049615</v>
      </c>
      <c r="G2821" s="23" t="n">
        <f aca="false">$D2821*G2819^el</f>
        <v>283.399764630809</v>
      </c>
      <c r="K2821" s="8" t="s">
        <v>552</v>
      </c>
    </row>
    <row r="2822" customFormat="false" ht="17.15" hidden="false" customHeight="false" outlineLevel="0" collapsed="false">
      <c r="A2822" s="0" t="s">
        <v>553</v>
      </c>
      <c r="B2822" s="0" t="s">
        <v>120</v>
      </c>
      <c r="D2822" s="22" t="n">
        <f aca="false">leap26-D2823-D2824</f>
        <v>3.6</v>
      </c>
      <c r="E2822" s="22" t="n">
        <f aca="false">E2818*E2820*E2821/1000</f>
        <v>6.66328653819345</v>
      </c>
      <c r="F2822" s="22" t="n">
        <f aca="false">F2818*F2820*F2821/1000</f>
        <v>6.48150905532798</v>
      </c>
      <c r="G2822" s="22" t="n">
        <f aca="false">G2818*G2820*G2821/1000</f>
        <v>7.98911021488366</v>
      </c>
      <c r="K2822" s="8" t="s">
        <v>554</v>
      </c>
    </row>
    <row r="2823" customFormat="false" ht="17.15" hidden="false" customHeight="false" outlineLevel="0" collapsed="false">
      <c r="A2823" s="4" t="s">
        <v>555</v>
      </c>
      <c r="B2823" s="0" t="s">
        <v>120</v>
      </c>
      <c r="D2823" s="22" t="n">
        <f aca="false">fp26</f>
        <v>0.3</v>
      </c>
      <c r="E2823" s="22" t="n">
        <f aca="false">fp27_B</f>
        <v>1</v>
      </c>
      <c r="F2823" s="22" t="n">
        <f aca="false">E2823*F2818/E2818*(1+fp_g)</f>
        <v>1.16286919831224</v>
      </c>
      <c r="G2823" s="22" t="n">
        <f aca="false">F2823*G2818/F2818*(1+fp_g)</f>
        <v>1.82744620253165</v>
      </c>
    </row>
    <row r="2824" customFormat="false" ht="17.15" hidden="false" customHeight="false" outlineLevel="0" collapsed="false">
      <c r="A2824" s="0" t="s">
        <v>556</v>
      </c>
      <c r="B2824" s="0" t="s">
        <v>120</v>
      </c>
      <c r="D2824" s="22" t="n">
        <f aca="false">cpo27*cpo_B_26/cpo_A_27</f>
        <v>0.1</v>
      </c>
      <c r="E2824" s="22" t="n">
        <f aca="false">cpo27*cpo_B_27/cpo_A_27</f>
        <v>0.3</v>
      </c>
      <c r="F2824" s="22" t="n">
        <f aca="false">cpo27*cpo_B_28/cpo_A_27*F2818/E2818</f>
        <v>0.447257383966245</v>
      </c>
      <c r="G2824" s="22" t="n">
        <f aca="false">cpo27*cpo_B_29/cpo_A_27*G2818/E2818</f>
        <v>0.86506329113924</v>
      </c>
      <c r="K2824" s="8" t="s">
        <v>557</v>
      </c>
    </row>
    <row r="2825" customFormat="false" ht="17.15" hidden="false" customHeight="false" outlineLevel="0" collapsed="false">
      <c r="A2825" s="0" t="s">
        <v>510</v>
      </c>
      <c r="B2825" s="0" t="s">
        <v>120</v>
      </c>
      <c r="C2825" s="22" t="n">
        <f aca="false">leap25</f>
        <v>1.6</v>
      </c>
      <c r="D2825" s="22" t="n">
        <f aca="false">D2822+D2823+D2824</f>
        <v>4</v>
      </c>
      <c r="E2825" s="22" t="n">
        <f aca="false">E2822+E2823+E2824</f>
        <v>7.96328653819345</v>
      </c>
      <c r="F2825" s="22" t="n">
        <f aca="false">F2822+F2823+F2824</f>
        <v>8.09163563760646</v>
      </c>
      <c r="G2825" s="22" t="n">
        <f aca="false">G2822+G2823+G2824</f>
        <v>10.6816197085545</v>
      </c>
    </row>
    <row r="2826" customFormat="false" ht="17.15" hidden="false" customHeight="false" outlineLevel="0" collapsed="false">
      <c r="A2826" s="4" t="s">
        <v>558</v>
      </c>
      <c r="B2826" s="0" t="s">
        <v>114</v>
      </c>
      <c r="C2826" s="19" t="n">
        <f aca="false">fx25</f>
        <v>31</v>
      </c>
      <c r="D2826" s="19" t="n">
        <f aca="false">a26_leap/D2825</f>
        <v>31.9</v>
      </c>
      <c r="E2826" s="19" t="n">
        <f aca="false">fx_lo</f>
        <v>30.5</v>
      </c>
      <c r="F2826" s="19" t="n">
        <f aca="false">fx_lo</f>
        <v>30.5</v>
      </c>
      <c r="G2826" s="19" t="n">
        <f aca="false">fx_lo</f>
        <v>30.5</v>
      </c>
      <c r="K2826" s="8" t="s">
        <v>559</v>
      </c>
    </row>
    <row r="2827" customFormat="false" ht="17.15" hidden="false" customHeight="false" outlineLevel="0" collapsed="false">
      <c r="A2827" s="6" t="s">
        <v>560</v>
      </c>
    </row>
    <row r="2828" customFormat="false" ht="17.15" hidden="false" customHeight="false" outlineLevel="0" collapsed="false">
      <c r="A2828" s="0" t="s">
        <v>438</v>
      </c>
      <c r="B2828" s="0" t="s">
        <v>234</v>
      </c>
      <c r="C2828" s="30" t="n">
        <f aca="false">a25_leap</f>
        <v>49.6</v>
      </c>
      <c r="D2828" s="30" t="n">
        <f aca="false">a26_leap</f>
        <v>127.6</v>
      </c>
      <c r="E2828" s="30" t="n">
        <f aca="false">E2825*E2826</f>
        <v>242.8802394149</v>
      </c>
      <c r="F2828" s="30" t="n">
        <f aca="false">F2825*F2826</f>
        <v>246.794886946997</v>
      </c>
      <c r="G2828" s="30" t="n">
        <f aca="false">G2825*G2826</f>
        <v>325.789401110914</v>
      </c>
    </row>
    <row r="2829" customFormat="false" ht="15" hidden="false" customHeight="false" outlineLevel="0" collapsed="false">
      <c r="A2829" s="4" t="s">
        <v>561</v>
      </c>
      <c r="B2829" s="0" t="s">
        <v>234</v>
      </c>
      <c r="C2829" s="30" t="n">
        <f aca="false">a25_ms</f>
        <v>339.628</v>
      </c>
      <c r="D2829" s="30" t="n">
        <f aca="false">a26_ms</f>
        <v>432.1302</v>
      </c>
      <c r="E2829" s="30" t="n">
        <f aca="false">D2829*(1+g_ms27)</f>
        <v>496.94973</v>
      </c>
      <c r="F2829" s="30" t="n">
        <f aca="false">E2829*(1+g_msL)</f>
        <v>531.7362111</v>
      </c>
      <c r="G2829" s="30" t="n">
        <f aca="false">F2829*(1+g_msL)</f>
        <v>568.957745877</v>
      </c>
    </row>
    <row r="2830" customFormat="false" ht="17.15" hidden="false" customHeight="false" outlineLevel="0" collapsed="false">
      <c r="A2830" s="4" t="s">
        <v>562</v>
      </c>
      <c r="B2830" s="0" t="s">
        <v>234</v>
      </c>
      <c r="C2830" s="30" t="n">
        <f aca="false">C2828+C2829</f>
        <v>389.228</v>
      </c>
      <c r="D2830" s="30" t="n">
        <f aca="false">D2828+D2829</f>
        <v>559.7302</v>
      </c>
      <c r="E2830" s="30" t="n">
        <f aca="false">E2828+E2829</f>
        <v>739.8299694149</v>
      </c>
      <c r="F2830" s="30" t="n">
        <f aca="false">F2828+F2829</f>
        <v>778.531098046997</v>
      </c>
      <c r="G2830" s="30" t="n">
        <f aca="false">G2828+G2829</f>
        <v>894.747146987914</v>
      </c>
    </row>
    <row r="2831" customFormat="false" ht="17.15" hidden="false" customHeight="false" outlineLevel="0" collapsed="false">
      <c r="A2831" s="0" t="s">
        <v>563</v>
      </c>
      <c r="B2831" s="0" t="s">
        <v>234</v>
      </c>
      <c r="C2831" s="30" t="n">
        <f aca="false">a25_ems</f>
        <v>259.079</v>
      </c>
      <c r="D2831" s="30" t="n">
        <f aca="false">a26_ems</f>
        <v>314.602</v>
      </c>
      <c r="E2831" s="30" t="n">
        <f aca="false">D2831*(1+g_ems27)</f>
        <v>346.0622</v>
      </c>
      <c r="F2831" s="30" t="n">
        <f aca="false">E2831*(1+g_emsL)</f>
        <v>363.36531</v>
      </c>
      <c r="G2831" s="30" t="n">
        <f aca="false">F2831*(1+g_emsL)</f>
        <v>381.5335755</v>
      </c>
    </row>
    <row r="2832" customFormat="false" ht="17.15" hidden="false" customHeight="false" outlineLevel="0" collapsed="false">
      <c r="A2832" s="4" t="s">
        <v>564</v>
      </c>
      <c r="B2832" s="0" t="s">
        <v>234</v>
      </c>
      <c r="C2832" s="30" t="n">
        <f aca="false">a25_elim</f>
        <v>-2.91899999999998</v>
      </c>
      <c r="D2832" s="30" t="n">
        <f aca="false">a26_elim</f>
        <v>-3.16484905982349</v>
      </c>
      <c r="E2832" s="30" t="n">
        <f aca="false">$D2832/($D2830+$D2831)*(E2830+E2831)</f>
        <v>-3.93063964868552</v>
      </c>
      <c r="F2832" s="30" t="n">
        <f aca="false">$D2832/($D2830+$D2831)*(F2830+F2831)</f>
        <v>-4.13336003572024</v>
      </c>
      <c r="G2832" s="30" t="n">
        <f aca="false">$D2832/($D2830+$D2831)*(G2830+G2831)</f>
        <v>-4.6197953645499</v>
      </c>
      <c r="K2832" s="4" t="s">
        <v>565</v>
      </c>
    </row>
    <row r="2833" customFormat="false" ht="17.15" hidden="false" customHeight="false" outlineLevel="0" collapsed="false">
      <c r="A2833" s="4" t="s">
        <v>431</v>
      </c>
      <c r="B2833" s="0" t="s">
        <v>234</v>
      </c>
      <c r="C2833" s="30" t="n">
        <f aca="false">C2830+C2831+C2832</f>
        <v>645.388</v>
      </c>
      <c r="D2833" s="30" t="n">
        <f aca="false">D2830+D2831+D2832</f>
        <v>871.167350940177</v>
      </c>
      <c r="E2833" s="30" t="n">
        <f aca="false">E2830+E2831+E2832</f>
        <v>1081.96152976621</v>
      </c>
      <c r="F2833" s="30" t="n">
        <f aca="false">F2830+F2831+F2832</f>
        <v>1137.76304801128</v>
      </c>
      <c r="G2833" s="30" t="n">
        <f aca="false">G2830+G2831+G2832</f>
        <v>1271.66092712336</v>
      </c>
      <c r="H2833" s="31" t="n">
        <f aca="false">G2833*(1+H2834)</f>
        <v>1388.38685858413</v>
      </c>
      <c r="I2833" s="31" t="n">
        <f aca="false">H2833*(1+I2834)</f>
        <v>1479.8747061404</v>
      </c>
      <c r="J2833" s="31" t="n">
        <f aca="false">I2833*(1+J2834)</f>
        <v>1539.06969438602</v>
      </c>
      <c r="K2833" s="8" t="s">
        <v>566</v>
      </c>
    </row>
    <row r="2834" customFormat="false" ht="15" hidden="false" customHeight="false" outlineLevel="0" collapsed="false">
      <c r="A2834" s="4" t="s">
        <v>567</v>
      </c>
      <c r="B2834" s="0" t="s">
        <v>76</v>
      </c>
      <c r="D2834" s="21" t="n">
        <f aca="false">D2833/C2833-1</f>
        <v>0.349835061916516</v>
      </c>
      <c r="E2834" s="21" t="n">
        <f aca="false">E2833/D2833-1</f>
        <v>0.241967491778183</v>
      </c>
      <c r="F2834" s="21" t="n">
        <f aca="false">F2833/E2833-1</f>
        <v>0.0515744014088184</v>
      </c>
      <c r="G2834" s="21" t="n">
        <f aca="false">G2833/F2833-1</f>
        <v>0.117685206375906</v>
      </c>
      <c r="H2834" s="26" t="n">
        <f aca="false">$G2834+(fade_gB-$G2834)*1/3</f>
        <v>0.0917901375839373</v>
      </c>
      <c r="I2834" s="26" t="n">
        <f aca="false">$G2834+(fade_gB-$G2834)*2/3</f>
        <v>0.0658950687919687</v>
      </c>
      <c r="J2834" s="26" t="n">
        <f aca="false">$G2834+(fade_gB-$G2834)*3/3</f>
        <v>0.04</v>
      </c>
    </row>
    <row r="2835" customFormat="false" ht="17.15" hidden="false" customHeight="false" outlineLevel="0" collapsed="false">
      <c r="A2835" s="0" t="s">
        <v>475</v>
      </c>
      <c r="B2835" s="0" t="s">
        <v>76</v>
      </c>
      <c r="C2835" s="21" t="n">
        <f aca="false">C2828/C2830</f>
        <v>0.127431736668482</v>
      </c>
      <c r="D2835" s="21" t="n">
        <f aca="false">D2828/D2830</f>
        <v>0.227966974088588</v>
      </c>
      <c r="E2835" s="21" t="n">
        <f aca="false">E2828/E2830</f>
        <v>0.328291971744513</v>
      </c>
      <c r="F2835" s="21" t="n">
        <f aca="false">F2828/F2830</f>
        <v>0.317000679312747</v>
      </c>
      <c r="G2835" s="21" t="n">
        <f aca="false">G2828/G2830</f>
        <v>0.364113372373027</v>
      </c>
    </row>
    <row r="2836" customFormat="false" ht="15" hidden="false" customHeight="false" outlineLevel="0" collapsed="false">
      <c r="A2836" s="4" t="s">
        <v>568</v>
      </c>
      <c r="B2836" s="0" t="s">
        <v>76</v>
      </c>
      <c r="D2836" s="21" t="n">
        <f aca="false">D2830/C2830-1</f>
        <v>0.438052247012034</v>
      </c>
      <c r="E2836" s="21" t="n">
        <f aca="false">E2830/D2830-1</f>
        <v>0.321761751313222</v>
      </c>
      <c r="F2836" s="21" t="n">
        <f aca="false">F2830/E2830-1</f>
        <v>0.0523108419934704</v>
      </c>
      <c r="G2836" s="21" t="n">
        <f aca="false">G2830/F2830-1</f>
        <v>0.149276052340688</v>
      </c>
    </row>
    <row r="2837" customFormat="false" ht="17.15" hidden="false" customHeight="false" outlineLevel="0" collapsed="false">
      <c r="A2837" s="6" t="s">
        <v>569</v>
      </c>
    </row>
    <row r="2838" customFormat="false" ht="17.15" hidden="false" customHeight="false" outlineLevel="0" collapsed="false">
      <c r="A2838" s="4" t="s">
        <v>570</v>
      </c>
      <c r="B2838" s="0" t="s">
        <v>120</v>
      </c>
      <c r="C2838" s="19" t="n">
        <f aca="false">capex25</f>
        <v>5.5</v>
      </c>
      <c r="D2838" s="19" t="n">
        <f aca="false">capex26</f>
        <v>11.5</v>
      </c>
      <c r="E2838" s="19" t="n">
        <f aca="false">capex27</f>
        <v>13</v>
      </c>
      <c r="F2838" s="19" t="n">
        <f aca="false">capi*F2833/F2826</f>
        <v>11.1911119476519</v>
      </c>
      <c r="G2838" s="19" t="n">
        <f aca="false">capi*G2833/G2826</f>
        <v>12.5081402667872</v>
      </c>
      <c r="K2838" s="8" t="s">
        <v>571</v>
      </c>
    </row>
    <row r="2839" customFormat="false" ht="15" hidden="false" customHeight="false" outlineLevel="0" collapsed="false">
      <c r="A2839" s="4" t="s">
        <v>572</v>
      </c>
      <c r="B2839" s="0" t="s">
        <v>234</v>
      </c>
      <c r="C2839" s="30" t="n">
        <f aca="false">C2838*C2826</f>
        <v>170.5</v>
      </c>
      <c r="D2839" s="30" t="n">
        <f aca="false">D2838*31.9</f>
        <v>366.85</v>
      </c>
      <c r="E2839" s="30" t="n">
        <f aca="false">E2838*E2826</f>
        <v>396.5</v>
      </c>
      <c r="F2839" s="30" t="n">
        <f aca="false">F2838*F2826</f>
        <v>341.328914403383</v>
      </c>
      <c r="G2839" s="30" t="n">
        <f aca="false">G2838*G2826</f>
        <v>381.498278137009</v>
      </c>
    </row>
    <row r="2840" customFormat="false" ht="17.15" hidden="false" customHeight="false" outlineLevel="0" collapsed="false">
      <c r="A2840" s="4" t="s">
        <v>473</v>
      </c>
      <c r="B2840" s="0" t="s">
        <v>76</v>
      </c>
      <c r="C2840" s="21" t="n">
        <f aca="false">C2839/C2833</f>
        <v>0.264182166386732</v>
      </c>
      <c r="D2840" s="21" t="n">
        <f aca="false">D2839/D2833</f>
        <v>0.421101639775745</v>
      </c>
      <c r="E2840" s="21" t="n">
        <f aca="false">E2839/E2833</f>
        <v>0.36646404617147</v>
      </c>
      <c r="F2840" s="21" t="n">
        <f aca="false">F2839/F2833</f>
        <v>0.3</v>
      </c>
      <c r="G2840" s="21" t="n">
        <f aca="false">G2839/G2833</f>
        <v>0.3</v>
      </c>
    </row>
    <row r="2841" customFormat="false" ht="17.15" hidden="false" customHeight="false" outlineLevel="0" collapsed="false">
      <c r="A2841" s="4" t="s">
        <v>573</v>
      </c>
      <c r="B2841" s="0" t="s">
        <v>234</v>
      </c>
      <c r="C2841" s="30" t="n">
        <f aca="false">a25_da</f>
        <v>75.255</v>
      </c>
      <c r="D2841" s="30" t="n">
        <f aca="false">a26_da</f>
        <v>97.124</v>
      </c>
      <c r="E2841" s="30" t="n">
        <f aca="false">D2841*(1-1/life)+D2839/life</f>
        <v>130.83975</v>
      </c>
      <c r="F2841" s="30" t="n">
        <f aca="false">E2841*(1-1/life)+E2839/life</f>
        <v>164.04728125</v>
      </c>
      <c r="G2841" s="30" t="n">
        <f aca="false">F2841*(1-1/life)+F2839/life</f>
        <v>186.207485394173</v>
      </c>
      <c r="K2841" s="4" t="s">
        <v>574</v>
      </c>
    </row>
    <row r="2842" customFormat="false" ht="17.15" hidden="false" customHeight="false" outlineLevel="0" collapsed="false">
      <c r="A2842" s="4" t="s">
        <v>575</v>
      </c>
      <c r="B2842" s="0" t="s">
        <v>234</v>
      </c>
      <c r="C2842" s="30" t="n">
        <f aca="false">a25_agp</f>
        <v>91.38</v>
      </c>
      <c r="D2842" s="30" t="n">
        <f aca="false">a26_agp</f>
        <v>164.623388</v>
      </c>
      <c r="E2842" s="30" t="n">
        <f aca="false">$D2842+ft*(E2830-$D2830)-(E2841-$D2841)</f>
        <v>220.95752270745</v>
      </c>
      <c r="F2842" s="30" t="n">
        <f aca="false">$D2842+ft*(F2830-$D2830)-(F2841-$D2841)</f>
        <v>207.100555773498</v>
      </c>
      <c r="G2842" s="30" t="n">
        <f aca="false">$D2842+ft*(G2830-$D2830)-(G2841-$D2841)</f>
        <v>243.048376099784</v>
      </c>
      <c r="K2842" s="4" t="s">
        <v>576</v>
      </c>
    </row>
    <row r="2843" customFormat="false" ht="15" hidden="false" customHeight="false" outlineLevel="0" collapsed="false">
      <c r="A2843" s="4" t="s">
        <v>447</v>
      </c>
      <c r="B2843" s="0" t="s">
        <v>76</v>
      </c>
      <c r="C2843" s="14" t="n">
        <f aca="false">C2842/C2830</f>
        <v>0.234772421305764</v>
      </c>
      <c r="D2843" s="14" t="n">
        <f aca="false">D2842/D2830</f>
        <v>0.294112034690999</v>
      </c>
      <c r="E2843" s="14" t="n">
        <f aca="false">E2842/E2830</f>
        <v>0.29865987029722</v>
      </c>
      <c r="F2843" s="14" t="n">
        <f aca="false">F2842/F2830</f>
        <v>0.26601449356747</v>
      </c>
      <c r="G2843" s="14" t="n">
        <f aca="false">G2842/G2830</f>
        <v>0.271639174171144</v>
      </c>
    </row>
    <row r="2844" customFormat="false" ht="17.15" hidden="false" customHeight="false" outlineLevel="0" collapsed="false">
      <c r="A2844" s="0" t="s">
        <v>449</v>
      </c>
      <c r="B2844" s="0" t="s">
        <v>234</v>
      </c>
      <c r="C2844" s="30" t="n">
        <f aca="false">a25_egp</f>
        <v>23.695</v>
      </c>
      <c r="D2844" s="30" t="n">
        <f aca="false">a26_egp</f>
        <v>27.00552</v>
      </c>
      <c r="E2844" s="30" t="n">
        <f aca="false">E2831*ems_gm</f>
        <v>29.415287</v>
      </c>
      <c r="F2844" s="30" t="n">
        <f aca="false">F2831*ems_gm</f>
        <v>30.88605135</v>
      </c>
      <c r="G2844" s="30" t="n">
        <f aca="false">G2831*ems_gm</f>
        <v>32.4303539175</v>
      </c>
    </row>
    <row r="2845" customFormat="false" ht="15" hidden="false" customHeight="false" outlineLevel="0" collapsed="false">
      <c r="A2845" s="4" t="s">
        <v>577</v>
      </c>
      <c r="B2845" s="0" t="s">
        <v>234</v>
      </c>
      <c r="C2845" s="30" t="n">
        <f aca="false">a25_lgp</f>
        <v>-0.881999999999998</v>
      </c>
      <c r="D2845" s="30" t="n">
        <f aca="false">a26_lgp</f>
        <v>-0.948662139013863</v>
      </c>
      <c r="E2845" s="30" t="n">
        <f aca="false">$D2845/$D2832*E2832</f>
        <v>-1.17820753733597</v>
      </c>
      <c r="F2845" s="30" t="n">
        <f aca="false">$D2845/$D2832*F2832</f>
        <v>-1.23897288580943</v>
      </c>
      <c r="G2845" s="30" t="n">
        <f aca="false">$D2845/$D2832*G2832</f>
        <v>-1.38478166557007</v>
      </c>
    </row>
    <row r="2846" customFormat="false" ht="15" hidden="false" customHeight="false" outlineLevel="0" collapsed="false">
      <c r="A2846" s="4" t="s">
        <v>451</v>
      </c>
      <c r="B2846" s="0" t="s">
        <v>234</v>
      </c>
      <c r="C2846" s="30" t="n">
        <f aca="false">C2842+C2844+C2845</f>
        <v>114.193</v>
      </c>
      <c r="D2846" s="30" t="n">
        <f aca="false">D2842+D2844+D2845</f>
        <v>190.680245860986</v>
      </c>
      <c r="E2846" s="30" t="n">
        <f aca="false">E2842+E2844+E2845</f>
        <v>249.194602170114</v>
      </c>
      <c r="F2846" s="30" t="n">
        <f aca="false">F2842+F2844+F2845</f>
        <v>236.747634237689</v>
      </c>
      <c r="G2846" s="30" t="n">
        <f aca="false">G2842+G2844+G2845</f>
        <v>274.093948351714</v>
      </c>
    </row>
    <row r="2847" customFormat="false" ht="15" hidden="false" customHeight="false" outlineLevel="0" collapsed="false">
      <c r="A2847" s="4" t="s">
        <v>452</v>
      </c>
      <c r="B2847" s="0" t="s">
        <v>76</v>
      </c>
      <c r="C2847" s="14" t="n">
        <f aca="false">C2846/C2833</f>
        <v>0.176936974347214</v>
      </c>
      <c r="D2847" s="14" t="n">
        <f aca="false">D2846/D2833</f>
        <v>0.218879008327391</v>
      </c>
      <c r="E2847" s="14" t="n">
        <f aca="false">E2846/E2833</f>
        <v>0.230317433027364</v>
      </c>
      <c r="F2847" s="14" t="n">
        <f aca="false">F2846/F2833</f>
        <v>0.208081669246954</v>
      </c>
      <c r="G2847" s="14" t="n">
        <f aca="false">G2846/G2833</f>
        <v>0.215540119622724</v>
      </c>
    </row>
    <row r="2848" customFormat="false" ht="15" hidden="false" customHeight="false" outlineLevel="0" collapsed="false">
      <c r="A2848" s="4" t="s">
        <v>578</v>
      </c>
      <c r="B2848" s="0" t="s">
        <v>234</v>
      </c>
      <c r="C2848" s="30" t="n">
        <f aca="false">a25_opx</f>
        <v>63.437</v>
      </c>
      <c r="D2848" s="30" t="n">
        <f aca="false">a26_opx</f>
        <v>79.658</v>
      </c>
      <c r="E2848" s="30" t="n">
        <f aca="false">D2848*(1+phi*E2834)</f>
        <v>91.2227878760399</v>
      </c>
      <c r="F2848" s="30" t="n">
        <f aca="false">E2848*(1+phi*F2834)</f>
        <v>94.0456442837701</v>
      </c>
      <c r="G2848" s="30" t="n">
        <f aca="false">F2848*(1+phi*G2834)</f>
        <v>100.686312917544</v>
      </c>
    </row>
    <row r="2849" customFormat="false" ht="15" hidden="false" customHeight="false" outlineLevel="0" collapsed="false">
      <c r="A2849" s="4" t="s">
        <v>455</v>
      </c>
      <c r="B2849" s="0" t="s">
        <v>234</v>
      </c>
      <c r="C2849" s="30" t="n">
        <f aca="false">C2846-C2848</f>
        <v>50.756</v>
      </c>
      <c r="D2849" s="30" t="n">
        <f aca="false">D2846-D2848</f>
        <v>111.022245860986</v>
      </c>
      <c r="E2849" s="30" t="n">
        <f aca="false">E2846-E2848</f>
        <v>157.971814294074</v>
      </c>
      <c r="F2849" s="30" t="n">
        <f aca="false">F2846-F2848</f>
        <v>142.701989953919</v>
      </c>
      <c r="G2849" s="30" t="n">
        <f aca="false">G2846-G2848</f>
        <v>173.407635434169</v>
      </c>
    </row>
    <row r="2850" customFormat="false" ht="15" hidden="false" customHeight="false" outlineLevel="0" collapsed="false">
      <c r="A2850" s="4" t="s">
        <v>537</v>
      </c>
      <c r="B2850" s="0" t="s">
        <v>76</v>
      </c>
      <c r="C2850" s="14" t="n">
        <f aca="false">C2849/C2833</f>
        <v>0.0786441644406156</v>
      </c>
      <c r="D2850" s="14" t="n">
        <f aca="false">D2849/D2833</f>
        <v>0.127440779020437</v>
      </c>
      <c r="E2850" s="14" t="n">
        <f aca="false">E2849/E2833</f>
        <v>0.146005019539103</v>
      </c>
      <c r="F2850" s="14" t="n">
        <f aca="false">F2849/F2833</f>
        <v>0.125423294598424</v>
      </c>
      <c r="G2850" s="14" t="n">
        <f aca="false">G2849/G2833</f>
        <v>0.136363107283981</v>
      </c>
    </row>
    <row r="2851" customFormat="false" ht="15" hidden="false" customHeight="false" outlineLevel="0" collapsed="false">
      <c r="A2851" s="4" t="s">
        <v>456</v>
      </c>
      <c r="B2851" s="0" t="s">
        <v>234</v>
      </c>
      <c r="C2851" s="30" t="n">
        <f aca="false">a25_nonop</f>
        <v>0.545</v>
      </c>
      <c r="D2851" s="30" t="n">
        <f aca="false">a26_nonop</f>
        <v>4.302</v>
      </c>
      <c r="E2851" s="30" t="n">
        <f aca="false">nonop_f</f>
        <v>-5</v>
      </c>
      <c r="F2851" s="30" t="n">
        <f aca="false">nonop_f</f>
        <v>-5</v>
      </c>
      <c r="G2851" s="30" t="n">
        <f aca="false">nonop_f</f>
        <v>-5</v>
      </c>
    </row>
    <row r="2852" customFormat="false" ht="15" hidden="false" customHeight="false" outlineLevel="0" collapsed="false">
      <c r="A2852" s="4" t="s">
        <v>459</v>
      </c>
      <c r="B2852" s="0" t="s">
        <v>234</v>
      </c>
      <c r="C2852" s="30" t="n">
        <f aca="false">C2849+C2851</f>
        <v>51.301</v>
      </c>
      <c r="D2852" s="30" t="n">
        <f aca="false">D2849+D2851</f>
        <v>115.324245860986</v>
      </c>
      <c r="E2852" s="30" t="n">
        <f aca="false">E2849+E2851</f>
        <v>152.971814294074</v>
      </c>
      <c r="F2852" s="30" t="n">
        <f aca="false">F2849+F2851</f>
        <v>137.701989953919</v>
      </c>
      <c r="G2852" s="30" t="n">
        <f aca="false">G2849+G2851</f>
        <v>168.407635434169</v>
      </c>
    </row>
    <row r="2853" customFormat="false" ht="15" hidden="false" customHeight="false" outlineLevel="0" collapsed="false">
      <c r="A2853" s="4" t="s">
        <v>460</v>
      </c>
      <c r="B2853" s="0" t="s">
        <v>234</v>
      </c>
      <c r="C2853" s="30" t="n">
        <f aca="false">a25_tax</f>
        <v>9.461</v>
      </c>
      <c r="D2853" s="30" t="n">
        <f aca="false">a26_tax</f>
        <v>19.2197317963676</v>
      </c>
      <c r="E2853" s="30" t="n">
        <f aca="false">E2852*tax</f>
        <v>26.0052084299926</v>
      </c>
      <c r="F2853" s="30" t="n">
        <f aca="false">F2852*tax</f>
        <v>23.4093382921662</v>
      </c>
      <c r="G2853" s="30" t="n">
        <f aca="false">G2852*tax</f>
        <v>28.6292980238088</v>
      </c>
    </row>
    <row r="2854" customFormat="false" ht="15" hidden="false" customHeight="false" outlineLevel="0" collapsed="false">
      <c r="A2854" s="4" t="s">
        <v>461</v>
      </c>
      <c r="B2854" s="0" t="s">
        <v>234</v>
      </c>
      <c r="C2854" s="30" t="n">
        <f aca="false">a25_nci</f>
        <v>1.182</v>
      </c>
      <c r="D2854" s="30" t="n">
        <f aca="false">a26_nci</f>
        <v>2.543</v>
      </c>
      <c r="E2854" s="30" t="n">
        <f aca="false">nci</f>
        <v>3</v>
      </c>
      <c r="F2854" s="30" t="n">
        <f aca="false">nci</f>
        <v>3</v>
      </c>
      <c r="G2854" s="30" t="n">
        <f aca="false">nci</f>
        <v>3</v>
      </c>
    </row>
    <row r="2855" customFormat="false" ht="15" hidden="false" customHeight="false" outlineLevel="0" collapsed="false">
      <c r="A2855" s="4" t="s">
        <v>462</v>
      </c>
      <c r="B2855" s="0" t="s">
        <v>234</v>
      </c>
      <c r="C2855" s="30" t="n">
        <f aca="false">C2852-C2853-C2854</f>
        <v>40.658</v>
      </c>
      <c r="D2855" s="30" t="n">
        <f aca="false">D2852-D2853-D2854</f>
        <v>93.5615140646185</v>
      </c>
      <c r="E2855" s="30" t="n">
        <f aca="false">E2852-E2853-E2854</f>
        <v>123.966605864082</v>
      </c>
      <c r="F2855" s="30" t="n">
        <f aca="false">F2852-F2853-F2854</f>
        <v>111.292651661753</v>
      </c>
      <c r="G2855" s="30" t="n">
        <f aca="false">G2852-G2853-G2854</f>
        <v>136.778337410361</v>
      </c>
      <c r="H2855" s="31" t="n">
        <f aca="false">H2833*H2859</f>
        <v>145.031998356543</v>
      </c>
      <c r="I2855" s="31" t="n">
        <f aca="false">I2833*I2859</f>
        <v>150.004219799958</v>
      </c>
      <c r="J2855" s="31" t="n">
        <f aca="false">J2833*J2859</f>
        <v>151.236329644016</v>
      </c>
    </row>
    <row r="2856" customFormat="false" ht="15" hidden="false" customHeight="false" outlineLevel="0" collapsed="false">
      <c r="A2856" s="4" t="s">
        <v>579</v>
      </c>
      <c r="B2856" s="4" t="s">
        <v>580</v>
      </c>
      <c r="C2856" s="18" t="n">
        <f aca="false">a25_sh</f>
        <v>4339.16755602988</v>
      </c>
      <c r="D2856" s="18" t="n">
        <f aca="false">a26_sh</f>
        <v>4392.90105184664</v>
      </c>
      <c r="E2856" s="18" t="n">
        <f aca="false">D2856*(1+sh_g)</f>
        <v>4414.86555710588</v>
      </c>
      <c r="F2856" s="18" t="n">
        <f aca="false">E2856*(1+sh_g)</f>
        <v>4436.9398848914</v>
      </c>
      <c r="G2856" s="18" t="n">
        <f aca="false">F2856*(1+sh_g)</f>
        <v>4459.12458431586</v>
      </c>
      <c r="H2856" s="25" t="n">
        <f aca="false">G2856*(1+sh_g)</f>
        <v>4481.42020723744</v>
      </c>
      <c r="I2856" s="25" t="n">
        <f aca="false">H2856*(1+sh_g)</f>
        <v>4503.82730827363</v>
      </c>
      <c r="J2856" s="25" t="n">
        <f aca="false">I2856*(1+sh_g)</f>
        <v>4526.34644481499</v>
      </c>
    </row>
    <row r="2857" customFormat="false" ht="17.15" hidden="false" customHeight="false" outlineLevel="0" collapsed="false">
      <c r="A2857" s="0" t="s">
        <v>465</v>
      </c>
      <c r="B2857" s="0" t="s">
        <v>304</v>
      </c>
      <c r="C2857" s="19" t="n">
        <f aca="false">a25_eps</f>
        <v>9.37</v>
      </c>
      <c r="D2857" s="19" t="n">
        <f aca="false">a26_eps</f>
        <v>21.2828697294455</v>
      </c>
      <c r="E2857" s="19" t="n">
        <f aca="false">E2855/E2856*1000</f>
        <v>28.0793614801142</v>
      </c>
      <c r="F2857" s="19" t="n">
        <f aca="false">F2855/F2856*1000</f>
        <v>25.0832002571693</v>
      </c>
      <c r="G2857" s="19" t="n">
        <f aca="false">G2855/G2856*1000</f>
        <v>30.6738093596786</v>
      </c>
      <c r="H2857" s="28" t="n">
        <f aca="false">H2855/H2856*1000</f>
        <v>32.3629545210507</v>
      </c>
      <c r="I2857" s="28" t="n">
        <f aca="false">I2855/I2856*1000</f>
        <v>33.3059439300429</v>
      </c>
      <c r="J2857" s="28" t="n">
        <f aca="false">J2855/J2856*1000</f>
        <v>33.4124511872617</v>
      </c>
    </row>
    <row r="2858" customFormat="false" ht="17.15" hidden="false" customHeight="false" outlineLevel="0" collapsed="false">
      <c r="A2858" s="0" t="s">
        <v>581</v>
      </c>
      <c r="B2858" s="0" t="s">
        <v>76</v>
      </c>
      <c r="D2858" s="21" t="n">
        <f aca="false">D2857/C2857-1</f>
        <v>1.27138417603474</v>
      </c>
      <c r="E2858" s="21" t="n">
        <f aca="false">E2857/D2857-1</f>
        <v>0.319340945890653</v>
      </c>
      <c r="F2858" s="21" t="n">
        <f aca="false">F2857/E2857-1</f>
        <v>-0.106703324613232</v>
      </c>
      <c r="G2858" s="21" t="n">
        <f aca="false">G2857/F2857-1</f>
        <v>0.222882608486585</v>
      </c>
      <c r="H2858" s="26" t="n">
        <f aca="false">H2857/G2857-1</f>
        <v>0.0550679943780501</v>
      </c>
      <c r="I2858" s="26" t="n">
        <f aca="false">I2857/H2857-1</f>
        <v>0.0291379270819923</v>
      </c>
      <c r="J2858" s="26" t="n">
        <f aca="false">J2857/I2857-1</f>
        <v>0.00319784532882328</v>
      </c>
    </row>
    <row r="2859" customFormat="false" ht="17.15" hidden="false" customHeight="false" outlineLevel="0" collapsed="false">
      <c r="A2859" s="4" t="s">
        <v>582</v>
      </c>
      <c r="B2859" s="0" t="s">
        <v>76</v>
      </c>
      <c r="C2859" s="14" t="n">
        <f aca="false">C2855/C2833</f>
        <v>0.0629977625862272</v>
      </c>
      <c r="D2859" s="14" t="n">
        <f aca="false">D2855/D2833</f>
        <v>0.107397865592237</v>
      </c>
      <c r="E2859" s="14" t="n">
        <f aca="false">E2855/E2833</f>
        <v>0.114575798171741</v>
      </c>
      <c r="F2859" s="14" t="n">
        <f aca="false">F2855/F2833</f>
        <v>0.0978170734726214</v>
      </c>
      <c r="G2859" s="14" t="n">
        <f aca="false">G2855/G2833</f>
        <v>0.107558811073773</v>
      </c>
      <c r="H2859" s="27" t="n">
        <f aca="false">$G2859+(fade_mB-$G2859)*1/3</f>
        <v>0.1044607974066</v>
      </c>
      <c r="I2859" s="27" t="n">
        <f aca="false">$G2859+(fade_mB-$G2859)*2/3</f>
        <v>0.101362783739427</v>
      </c>
      <c r="J2859" s="27" t="n">
        <f aca="false">$G2859+(fade_mB-$G2859)*3/3</f>
        <v>0.0982647700722541</v>
      </c>
    </row>
    <row r="2860" customFormat="false" ht="17.15" hidden="false" customHeight="false" outlineLevel="0" collapsed="false">
      <c r="A2860" s="4" t="s">
        <v>583</v>
      </c>
      <c r="B2860" s="0" t="s">
        <v>234</v>
      </c>
      <c r="C2860" s="30" t="n">
        <f aca="false">C2855+C2841-C2839</f>
        <v>-54.587</v>
      </c>
      <c r="D2860" s="30" t="n">
        <f aca="false">D2855+D2841-D2839</f>
        <v>-176.164485935382</v>
      </c>
      <c r="E2860" s="30" t="n">
        <f aca="false">E2855+E2841-E2839</f>
        <v>-141.693644135918</v>
      </c>
      <c r="F2860" s="30" t="n">
        <f aca="false">F2855+F2841-F2839</f>
        <v>-65.9889814916303</v>
      </c>
      <c r="G2860" s="30" t="n">
        <f aca="false">G2855+G2841-G2839</f>
        <v>-58.5124553324756</v>
      </c>
      <c r="K2860" s="4" t="s">
        <v>584</v>
      </c>
    </row>
    <row r="2861" customFormat="false" ht="17.15" hidden="false" customHeight="false" outlineLevel="0" collapsed="false">
      <c r="A2861" s="4" t="s">
        <v>585</v>
      </c>
      <c r="B2861" s="0" t="s">
        <v>76</v>
      </c>
      <c r="D2861" s="21" t="n">
        <f aca="false">(D2849-$C2849)/SUM($D2839:D2839)</f>
        <v>0.164280348537512</v>
      </c>
      <c r="E2861" s="21" t="n">
        <f aca="false">(E2849-$C2849)/SUM($D2839:E2839)</f>
        <v>0.140454331950055</v>
      </c>
      <c r="F2861" s="21" t="n">
        <f aca="false">(F2849-$C2849)/SUM($D2839:F2839)</f>
        <v>0.083233226193674</v>
      </c>
      <c r="G2861" s="21" t="n">
        <f aca="false">(G2849-$C2849)/SUM($D2839:G2839)</f>
        <v>0.0825282718977239</v>
      </c>
      <c r="K2861" s="4" t="s">
        <v>586</v>
      </c>
    </row>
    <row r="2864" customFormat="false" ht="17.15" hidden="false" customHeight="false" outlineLevel="0" collapsed="false">
      <c r="A2864" s="1" t="s">
        <v>972</v>
      </c>
    </row>
    <row r="2865" customFormat="false" ht="17.15" hidden="false" customHeight="false" outlineLevel="0" collapsed="false">
      <c r="A2865" s="5" t="s">
        <v>21</v>
      </c>
      <c r="B2865" s="5" t="s">
        <v>22</v>
      </c>
      <c r="C2865" s="15" t="s">
        <v>424</v>
      </c>
      <c r="D2865" s="15" t="s">
        <v>524</v>
      </c>
      <c r="E2865" s="15" t="s">
        <v>525</v>
      </c>
      <c r="F2865" s="15" t="s">
        <v>526</v>
      </c>
      <c r="G2865" s="15" t="s">
        <v>527</v>
      </c>
      <c r="H2865" s="15" t="s">
        <v>528</v>
      </c>
      <c r="I2865" s="15" t="s">
        <v>529</v>
      </c>
      <c r="J2865" s="15" t="s">
        <v>530</v>
      </c>
      <c r="K2865" s="5" t="s">
        <v>382</v>
      </c>
    </row>
    <row r="2866" customFormat="false" ht="17.15" hidden="false" customHeight="false" outlineLevel="0" collapsed="false">
      <c r="A2866" s="6" t="s">
        <v>548</v>
      </c>
    </row>
    <row r="2867" customFormat="false" ht="17.15" hidden="false" customHeight="false" outlineLevel="0" collapsed="false">
      <c r="A2867" s="0" t="s">
        <v>549</v>
      </c>
      <c r="B2867" s="4" t="s">
        <v>32</v>
      </c>
      <c r="D2867" s="19" t="n">
        <f aca="false">units_26</f>
        <v>15.2</v>
      </c>
      <c r="E2867" s="19" t="n">
        <f aca="false">units_27*1</f>
        <v>23.7</v>
      </c>
      <c r="F2867" s="19" t="n">
        <f aca="false">units_28*um28_C*1</f>
        <v>15.9</v>
      </c>
      <c r="G2867" s="19" t="n">
        <f aca="false">units_29*um29_C*1</f>
        <v>18.09</v>
      </c>
    </row>
    <row r="2868" customFormat="false" ht="17.15" hidden="false" customHeight="false" outlineLevel="0" collapsed="false">
      <c r="A2868" s="4" t="s">
        <v>497</v>
      </c>
      <c r="B2868" s="0" t="s">
        <v>45</v>
      </c>
      <c r="D2868" s="22" t="n">
        <f aca="false">ar_26</f>
        <v>1</v>
      </c>
      <c r="E2868" s="22" t="n">
        <f aca="false">ar_27</f>
        <v>1.278156</v>
      </c>
      <c r="F2868" s="22" t="n">
        <f aca="false">ar_28</f>
        <v>1.428615</v>
      </c>
      <c r="G2868" s="22" t="n">
        <f aca="false">ar_29</f>
        <v>1.431796</v>
      </c>
    </row>
    <row r="2869" customFormat="false" ht="17.15" hidden="false" customHeight="false" outlineLevel="0" collapsed="false">
      <c r="A2869" s="4" t="s">
        <v>550</v>
      </c>
      <c r="B2869" s="0" t="s">
        <v>45</v>
      </c>
      <c r="D2869" s="19" t="n">
        <f aca="false">1</f>
        <v>1</v>
      </c>
      <c r="E2869" s="19" t="n">
        <f aca="false">rel27_C</f>
        <v>1</v>
      </c>
      <c r="F2869" s="19" t="n">
        <f aca="false">rel28_C</f>
        <v>0.95</v>
      </c>
      <c r="G2869" s="19" t="n">
        <f aca="false">rel29_C</f>
        <v>0.92</v>
      </c>
    </row>
    <row r="2870" customFormat="false" ht="17.15" hidden="false" customHeight="false" outlineLevel="0" collapsed="false">
      <c r="A2870" s="4" t="s">
        <v>551</v>
      </c>
      <c r="B2870" s="0" t="s">
        <v>502</v>
      </c>
      <c r="D2870" s="23" t="n">
        <f aca="false">D2871*1000/D2867</f>
        <v>236.842105263158</v>
      </c>
      <c r="E2870" s="23" t="n">
        <f aca="false">$D2870*E2868^el</f>
        <v>267.763172119488</v>
      </c>
      <c r="F2870" s="23" t="n">
        <f aca="false">$D2870*F2868^el</f>
        <v>283.084777049615</v>
      </c>
      <c r="G2870" s="23" t="n">
        <f aca="false">$D2870*G2868^el</f>
        <v>283.399764630809</v>
      </c>
      <c r="K2870" s="8" t="s">
        <v>552</v>
      </c>
    </row>
    <row r="2871" customFormat="false" ht="17.15" hidden="false" customHeight="false" outlineLevel="0" collapsed="false">
      <c r="A2871" s="0" t="s">
        <v>553</v>
      </c>
      <c r="B2871" s="0" t="s">
        <v>120</v>
      </c>
      <c r="D2871" s="22" t="n">
        <f aca="false">leap26-D2872-D2873</f>
        <v>3.6</v>
      </c>
      <c r="E2871" s="22" t="n">
        <f aca="false">E2867*E2869*E2870/1000</f>
        <v>6.34598717923185</v>
      </c>
      <c r="F2871" s="22" t="n">
        <f aca="false">F2867*F2869*F2870/1000</f>
        <v>4.27599555733443</v>
      </c>
      <c r="G2871" s="22" t="n">
        <f aca="false">G2867*G2869*G2870/1000</f>
        <v>4.71656560279762</v>
      </c>
      <c r="K2871" s="8" t="s">
        <v>554</v>
      </c>
    </row>
    <row r="2872" customFormat="false" ht="17.15" hidden="false" customHeight="false" outlineLevel="0" collapsed="false">
      <c r="A2872" s="4" t="s">
        <v>555</v>
      </c>
      <c r="B2872" s="0" t="s">
        <v>120</v>
      </c>
      <c r="D2872" s="22" t="n">
        <f aca="false">fp26</f>
        <v>0.3</v>
      </c>
      <c r="E2872" s="22" t="n">
        <f aca="false">fp27_C</f>
        <v>0.7</v>
      </c>
      <c r="F2872" s="22" t="n">
        <f aca="false">E2872*F2867/E2867*(1+fp_g)</f>
        <v>0.610506329113924</v>
      </c>
      <c r="G2872" s="22" t="n">
        <f aca="false">F2872*G2867/F2867*(1+fp_g)</f>
        <v>0.902973417721519</v>
      </c>
    </row>
    <row r="2873" customFormat="false" ht="17.15" hidden="false" customHeight="false" outlineLevel="0" collapsed="false">
      <c r="A2873" s="0" t="s">
        <v>556</v>
      </c>
      <c r="B2873" s="0" t="s">
        <v>120</v>
      </c>
      <c r="D2873" s="22" t="n">
        <f aca="false">cpo27*cpo_C_26/cpo_A_27</f>
        <v>0.1</v>
      </c>
      <c r="E2873" s="22" t="n">
        <f aca="false">cpo27*cpo_C_27/cpo_A_27</f>
        <v>0.2</v>
      </c>
      <c r="F2873" s="22" t="n">
        <f aca="false">cpo27*cpo_C_28/cpo_A_27*F2867/E2867</f>
        <v>0.20126582278481</v>
      </c>
      <c r="G2873" s="22" t="n">
        <f aca="false">cpo27*cpo_C_29/cpo_A_27*G2867/E2867</f>
        <v>0.381645569620253</v>
      </c>
      <c r="K2873" s="8" t="s">
        <v>557</v>
      </c>
    </row>
    <row r="2874" customFormat="false" ht="17.15" hidden="false" customHeight="false" outlineLevel="0" collapsed="false">
      <c r="A2874" s="0" t="s">
        <v>510</v>
      </c>
      <c r="B2874" s="0" t="s">
        <v>120</v>
      </c>
      <c r="C2874" s="22" t="n">
        <f aca="false">leap25</f>
        <v>1.6</v>
      </c>
      <c r="D2874" s="22" t="n">
        <f aca="false">D2871+D2872+D2873</f>
        <v>4</v>
      </c>
      <c r="E2874" s="22" t="n">
        <f aca="false">E2871+E2872+E2873</f>
        <v>7.24598717923186</v>
      </c>
      <c r="F2874" s="22" t="n">
        <f aca="false">F2871+F2872+F2873</f>
        <v>5.08776770923316</v>
      </c>
      <c r="G2874" s="22" t="n">
        <f aca="false">G2871+G2872+G2873</f>
        <v>6.0011845901394</v>
      </c>
    </row>
    <row r="2875" customFormat="false" ht="17.15" hidden="false" customHeight="false" outlineLevel="0" collapsed="false">
      <c r="A2875" s="4" t="s">
        <v>558</v>
      </c>
      <c r="B2875" s="0" t="s">
        <v>114</v>
      </c>
      <c r="C2875" s="19" t="n">
        <f aca="false">fx25</f>
        <v>31</v>
      </c>
      <c r="D2875" s="19" t="n">
        <f aca="false">a26_leap/D2874</f>
        <v>31.9</v>
      </c>
      <c r="E2875" s="19" t="n">
        <f aca="false">fx_lo</f>
        <v>30.5</v>
      </c>
      <c r="F2875" s="19" t="n">
        <f aca="false">fx_lo</f>
        <v>30.5</v>
      </c>
      <c r="G2875" s="19" t="n">
        <f aca="false">fx_lo</f>
        <v>30.5</v>
      </c>
      <c r="K2875" s="8" t="s">
        <v>559</v>
      </c>
    </row>
    <row r="2876" customFormat="false" ht="17.15" hidden="false" customHeight="false" outlineLevel="0" collapsed="false">
      <c r="A2876" s="6" t="s">
        <v>560</v>
      </c>
    </row>
    <row r="2877" customFormat="false" ht="17.15" hidden="false" customHeight="false" outlineLevel="0" collapsed="false">
      <c r="A2877" s="0" t="s">
        <v>438</v>
      </c>
      <c r="B2877" s="0" t="s">
        <v>234</v>
      </c>
      <c r="C2877" s="30" t="n">
        <f aca="false">a25_leap</f>
        <v>49.6</v>
      </c>
      <c r="D2877" s="30" t="n">
        <f aca="false">a26_leap</f>
        <v>127.6</v>
      </c>
      <c r="E2877" s="30" t="n">
        <f aca="false">E2874*E2875</f>
        <v>221.002608966572</v>
      </c>
      <c r="F2877" s="30" t="n">
        <f aca="false">F2874*F2875</f>
        <v>155.176915131611</v>
      </c>
      <c r="G2877" s="30" t="n">
        <f aca="false">G2874*G2875</f>
        <v>183.036129999252</v>
      </c>
    </row>
    <row r="2878" customFormat="false" ht="15" hidden="false" customHeight="false" outlineLevel="0" collapsed="false">
      <c r="A2878" s="4" t="s">
        <v>561</v>
      </c>
      <c r="B2878" s="0" t="s">
        <v>234</v>
      </c>
      <c r="C2878" s="30" t="n">
        <f aca="false">a25_ms</f>
        <v>339.628</v>
      </c>
      <c r="D2878" s="30" t="n">
        <f aca="false">a26_ms</f>
        <v>432.1302</v>
      </c>
      <c r="E2878" s="30" t="n">
        <f aca="false">D2878*(1+g_ms27)</f>
        <v>496.94973</v>
      </c>
      <c r="F2878" s="30" t="n">
        <f aca="false">E2878*(1+g_msL)</f>
        <v>531.7362111</v>
      </c>
      <c r="G2878" s="30" t="n">
        <f aca="false">F2878*(1+g_msL)</f>
        <v>568.957745877</v>
      </c>
    </row>
    <row r="2879" customFormat="false" ht="17.15" hidden="false" customHeight="false" outlineLevel="0" collapsed="false">
      <c r="A2879" s="4" t="s">
        <v>562</v>
      </c>
      <c r="B2879" s="0" t="s">
        <v>234</v>
      </c>
      <c r="C2879" s="30" t="n">
        <f aca="false">C2877+C2878</f>
        <v>389.228</v>
      </c>
      <c r="D2879" s="30" t="n">
        <f aca="false">D2877+D2878</f>
        <v>559.7302</v>
      </c>
      <c r="E2879" s="30" t="n">
        <f aca="false">E2877+E2878</f>
        <v>717.952338966572</v>
      </c>
      <c r="F2879" s="30" t="n">
        <f aca="false">F2877+F2878</f>
        <v>686.913126231612</v>
      </c>
      <c r="G2879" s="30" t="n">
        <f aca="false">G2877+G2878</f>
        <v>751.993875876252</v>
      </c>
    </row>
    <row r="2880" customFormat="false" ht="17.15" hidden="false" customHeight="false" outlineLevel="0" collapsed="false">
      <c r="A2880" s="0" t="s">
        <v>563</v>
      </c>
      <c r="B2880" s="0" t="s">
        <v>234</v>
      </c>
      <c r="C2880" s="30" t="n">
        <f aca="false">a25_ems</f>
        <v>259.079</v>
      </c>
      <c r="D2880" s="30" t="n">
        <f aca="false">a26_ems</f>
        <v>314.602</v>
      </c>
      <c r="E2880" s="30" t="n">
        <f aca="false">D2880*(1+g_ems27)</f>
        <v>346.0622</v>
      </c>
      <c r="F2880" s="30" t="n">
        <f aca="false">E2880*(1+g_emsL)</f>
        <v>363.36531</v>
      </c>
      <c r="G2880" s="30" t="n">
        <f aca="false">F2880*(1+g_emsL)</f>
        <v>381.5335755</v>
      </c>
    </row>
    <row r="2881" customFormat="false" ht="17.15" hidden="false" customHeight="false" outlineLevel="0" collapsed="false">
      <c r="A2881" s="4" t="s">
        <v>564</v>
      </c>
      <c r="B2881" s="0" t="s">
        <v>234</v>
      </c>
      <c r="C2881" s="30" t="n">
        <f aca="false">a25_elim</f>
        <v>-2.91899999999998</v>
      </c>
      <c r="D2881" s="30" t="n">
        <f aca="false">a26_elim</f>
        <v>-3.16484905982349</v>
      </c>
      <c r="E2881" s="30" t="n">
        <f aca="false">$D2881/($D2879+$D2880)*(E2879+E2880)</f>
        <v>-3.85144846922814</v>
      </c>
      <c r="F2881" s="30" t="n">
        <f aca="false">$D2881/($D2879+$D2880)*(F2879+F2880)</f>
        <v>-3.80172744577004</v>
      </c>
      <c r="G2881" s="30" t="n">
        <f aca="false">$D2881/($D2879+$D2880)*(G2879+G2880)</f>
        <v>-4.10306664763375</v>
      </c>
      <c r="K2881" s="4" t="s">
        <v>565</v>
      </c>
    </row>
    <row r="2882" customFormat="false" ht="17.15" hidden="false" customHeight="false" outlineLevel="0" collapsed="false">
      <c r="A2882" s="4" t="s">
        <v>431</v>
      </c>
      <c r="B2882" s="0" t="s">
        <v>234</v>
      </c>
      <c r="C2882" s="30" t="n">
        <f aca="false">C2879+C2880+C2881</f>
        <v>645.388</v>
      </c>
      <c r="D2882" s="30" t="n">
        <f aca="false">D2879+D2880+D2881</f>
        <v>871.167350940177</v>
      </c>
      <c r="E2882" s="30" t="n">
        <f aca="false">E2879+E2880+E2881</f>
        <v>1060.16309049734</v>
      </c>
      <c r="F2882" s="30" t="n">
        <f aca="false">F2879+F2880+F2881</f>
        <v>1046.47670878584</v>
      </c>
      <c r="G2882" s="30" t="n">
        <f aca="false">G2879+G2880+G2881</f>
        <v>1129.42438472862</v>
      </c>
      <c r="H2882" s="31" t="n">
        <f aca="false">G2882*(1+H2883)</f>
        <v>1196.63549422911</v>
      </c>
      <c r="I2882" s="31" t="n">
        <f aca="false">H2882*(1+I2883)</f>
        <v>1244.2072426454</v>
      </c>
      <c r="J2882" s="31" t="n">
        <f aca="false">I2882*(1+J2883)</f>
        <v>1269.09138749831</v>
      </c>
      <c r="K2882" s="8" t="s">
        <v>566</v>
      </c>
    </row>
    <row r="2883" customFormat="false" ht="15" hidden="false" customHeight="false" outlineLevel="0" collapsed="false">
      <c r="A2883" s="4" t="s">
        <v>567</v>
      </c>
      <c r="B2883" s="0" t="s">
        <v>76</v>
      </c>
      <c r="D2883" s="21" t="n">
        <f aca="false">D2882/C2882-1</f>
        <v>0.349835061916516</v>
      </c>
      <c r="E2883" s="21" t="n">
        <f aca="false">E2882/D2882-1</f>
        <v>0.216945388682438</v>
      </c>
      <c r="F2883" s="21" t="n">
        <f aca="false">F2882/E2882-1</f>
        <v>-0.0129096945877273</v>
      </c>
      <c r="G2883" s="21" t="n">
        <f aca="false">G2882/F2882-1</f>
        <v>0.079263757374032</v>
      </c>
      <c r="H2883" s="26" t="n">
        <f aca="false">$G2883+(fade_gC-$G2883)*1/3</f>
        <v>0.059509171582688</v>
      </c>
      <c r="I2883" s="26" t="n">
        <f aca="false">$G2883+(fade_gC-$G2883)*2/3</f>
        <v>0.039754585791344</v>
      </c>
      <c r="J2883" s="26" t="n">
        <f aca="false">$G2883+(fade_gC-$G2883)*3/3</f>
        <v>0.02</v>
      </c>
    </row>
    <row r="2884" customFormat="false" ht="17.15" hidden="false" customHeight="false" outlineLevel="0" collapsed="false">
      <c r="A2884" s="0" t="s">
        <v>475</v>
      </c>
      <c r="B2884" s="0" t="s">
        <v>76</v>
      </c>
      <c r="C2884" s="21" t="n">
        <f aca="false">C2877/C2879</f>
        <v>0.127431736668482</v>
      </c>
      <c r="D2884" s="21" t="n">
        <f aca="false">D2877/D2879</f>
        <v>0.227966974088588</v>
      </c>
      <c r="E2884" s="21" t="n">
        <f aca="false">E2877/E2879</f>
        <v>0.307823509962632</v>
      </c>
      <c r="F2884" s="21" t="n">
        <f aca="false">F2877/F2879</f>
        <v>0.225904716631211</v>
      </c>
      <c r="G2884" s="21" t="n">
        <f aca="false">G2877/G2879</f>
        <v>0.243401091246881</v>
      </c>
    </row>
    <row r="2885" customFormat="false" ht="15" hidden="false" customHeight="false" outlineLevel="0" collapsed="false">
      <c r="A2885" s="4" t="s">
        <v>568</v>
      </c>
      <c r="B2885" s="0" t="s">
        <v>76</v>
      </c>
      <c r="D2885" s="21" t="n">
        <f aca="false">D2879/C2879-1</f>
        <v>0.438052247012034</v>
      </c>
      <c r="E2885" s="21" t="n">
        <f aca="false">E2879/D2879-1</f>
        <v>0.282675722993992</v>
      </c>
      <c r="F2885" s="21" t="n">
        <f aca="false">F2879/E2879-1</f>
        <v>-0.0432329711184426</v>
      </c>
      <c r="G2885" s="21" t="n">
        <f aca="false">G2879/F2879-1</f>
        <v>0.0947437851445225</v>
      </c>
    </row>
    <row r="2886" customFormat="false" ht="17.15" hidden="false" customHeight="false" outlineLevel="0" collapsed="false">
      <c r="A2886" s="6" t="s">
        <v>569</v>
      </c>
    </row>
    <row r="2887" customFormat="false" ht="17.15" hidden="false" customHeight="false" outlineLevel="0" collapsed="false">
      <c r="A2887" s="4" t="s">
        <v>570</v>
      </c>
      <c r="B2887" s="0" t="s">
        <v>120</v>
      </c>
      <c r="C2887" s="19" t="n">
        <f aca="false">capex25</f>
        <v>5.5</v>
      </c>
      <c r="D2887" s="19" t="n">
        <f aca="false">capex26</f>
        <v>11.5</v>
      </c>
      <c r="E2887" s="19" t="n">
        <f aca="false">capex27</f>
        <v>13</v>
      </c>
      <c r="F2887" s="19" t="n">
        <f aca="false">capi*F2882/F2875</f>
        <v>10.2932135290411</v>
      </c>
      <c r="G2887" s="19" t="n">
        <f aca="false">capi*G2882/G2875</f>
        <v>11.1090923088061</v>
      </c>
      <c r="K2887" s="8" t="s">
        <v>571</v>
      </c>
    </row>
    <row r="2888" customFormat="false" ht="15" hidden="false" customHeight="false" outlineLevel="0" collapsed="false">
      <c r="A2888" s="4" t="s">
        <v>572</v>
      </c>
      <c r="B2888" s="0" t="s">
        <v>234</v>
      </c>
      <c r="C2888" s="30" t="n">
        <f aca="false">C2887*C2875</f>
        <v>170.5</v>
      </c>
      <c r="D2888" s="30" t="n">
        <f aca="false">D2887*31.9</f>
        <v>366.85</v>
      </c>
      <c r="E2888" s="30" t="n">
        <f aca="false">E2887*E2875</f>
        <v>396.5</v>
      </c>
      <c r="F2888" s="30" t="n">
        <f aca="false">F2887*F2875</f>
        <v>313.943012635752</v>
      </c>
      <c r="G2888" s="30" t="n">
        <f aca="false">G2887*G2875</f>
        <v>338.827315418585</v>
      </c>
    </row>
    <row r="2889" customFormat="false" ht="17.15" hidden="false" customHeight="false" outlineLevel="0" collapsed="false">
      <c r="A2889" s="4" t="s">
        <v>473</v>
      </c>
      <c r="B2889" s="0" t="s">
        <v>76</v>
      </c>
      <c r="C2889" s="21" t="n">
        <f aca="false">C2888/C2882</f>
        <v>0.264182166386732</v>
      </c>
      <c r="D2889" s="21" t="n">
        <f aca="false">D2888/D2882</f>
        <v>0.421101639775745</v>
      </c>
      <c r="E2889" s="21" t="n">
        <f aca="false">E2888/E2882</f>
        <v>0.37399906066716</v>
      </c>
      <c r="F2889" s="21" t="n">
        <f aca="false">F2888/F2882</f>
        <v>0.3</v>
      </c>
      <c r="G2889" s="21" t="n">
        <f aca="false">G2888/G2882</f>
        <v>0.3</v>
      </c>
    </row>
    <row r="2890" customFormat="false" ht="17.15" hidden="false" customHeight="false" outlineLevel="0" collapsed="false">
      <c r="A2890" s="4" t="s">
        <v>573</v>
      </c>
      <c r="B2890" s="0" t="s">
        <v>234</v>
      </c>
      <c r="C2890" s="30" t="n">
        <f aca="false">a25_da</f>
        <v>75.255</v>
      </c>
      <c r="D2890" s="30" t="n">
        <f aca="false">a26_da</f>
        <v>97.124</v>
      </c>
      <c r="E2890" s="30" t="n">
        <f aca="false">D2890*(1-1/life)+D2888/life</f>
        <v>130.83975</v>
      </c>
      <c r="F2890" s="30" t="n">
        <f aca="false">E2890*(1-1/life)+E2888/life</f>
        <v>164.04728125</v>
      </c>
      <c r="G2890" s="30" t="n">
        <f aca="false">F2890*(1-1/life)+F2888/life</f>
        <v>182.784247673219</v>
      </c>
      <c r="K2890" s="4" t="s">
        <v>574</v>
      </c>
    </row>
    <row r="2891" customFormat="false" ht="17.15" hidden="false" customHeight="false" outlineLevel="0" collapsed="false">
      <c r="A2891" s="4" t="s">
        <v>575</v>
      </c>
      <c r="B2891" s="0" t="s">
        <v>234</v>
      </c>
      <c r="C2891" s="30" t="n">
        <f aca="false">a25_agp</f>
        <v>91.38</v>
      </c>
      <c r="D2891" s="30" t="n">
        <f aca="false">a26_agp</f>
        <v>164.623388</v>
      </c>
      <c r="E2891" s="30" t="n">
        <f aca="false">$D2891+ft*(E2879-$D2879)-(E2890-$D2890)</f>
        <v>210.018707483286</v>
      </c>
      <c r="F2891" s="30" t="n">
        <f aca="false">$D2891+ft*(F2879-$D2879)-(F2890-$D2890)</f>
        <v>161.291569865806</v>
      </c>
      <c r="G2891" s="30" t="n">
        <f aca="false">$D2891+ft*(G2879-$D2879)-(G2890-$D2890)</f>
        <v>175.094978264907</v>
      </c>
      <c r="K2891" s="4" t="s">
        <v>576</v>
      </c>
    </row>
    <row r="2892" customFormat="false" ht="15" hidden="false" customHeight="false" outlineLevel="0" collapsed="false">
      <c r="A2892" s="4" t="s">
        <v>447</v>
      </c>
      <c r="B2892" s="0" t="s">
        <v>76</v>
      </c>
      <c r="C2892" s="14" t="n">
        <f aca="false">C2891/C2879</f>
        <v>0.234772421305764</v>
      </c>
      <c r="D2892" s="14" t="n">
        <f aca="false">D2891/D2879</f>
        <v>0.294112034690999</v>
      </c>
      <c r="E2892" s="14" t="n">
        <f aca="false">E2891/E2879</f>
        <v>0.292524581486271</v>
      </c>
      <c r="F2892" s="14" t="n">
        <f aca="false">F2891/F2879</f>
        <v>0.234806358630308</v>
      </c>
      <c r="G2892" s="14" t="n">
        <f aca="false">G2891/G2879</f>
        <v>0.232840963047577</v>
      </c>
    </row>
    <row r="2893" customFormat="false" ht="17.15" hidden="false" customHeight="false" outlineLevel="0" collapsed="false">
      <c r="A2893" s="0" t="s">
        <v>449</v>
      </c>
      <c r="B2893" s="0" t="s">
        <v>234</v>
      </c>
      <c r="C2893" s="30" t="n">
        <f aca="false">a25_egp</f>
        <v>23.695</v>
      </c>
      <c r="D2893" s="30" t="n">
        <f aca="false">a26_egp</f>
        <v>27.00552</v>
      </c>
      <c r="E2893" s="30" t="n">
        <f aca="false">E2880*ems_gm</f>
        <v>29.415287</v>
      </c>
      <c r="F2893" s="30" t="n">
        <f aca="false">F2880*ems_gm</f>
        <v>30.88605135</v>
      </c>
      <c r="G2893" s="30" t="n">
        <f aca="false">G2880*ems_gm</f>
        <v>32.4303539175</v>
      </c>
    </row>
    <row r="2894" customFormat="false" ht="15" hidden="false" customHeight="false" outlineLevel="0" collapsed="false">
      <c r="A2894" s="4" t="s">
        <v>577</v>
      </c>
      <c r="B2894" s="0" t="s">
        <v>234</v>
      </c>
      <c r="C2894" s="30" t="n">
        <f aca="false">a25_lgp</f>
        <v>-0.881999999999998</v>
      </c>
      <c r="D2894" s="30" t="n">
        <f aca="false">a26_lgp</f>
        <v>-0.948662139013863</v>
      </c>
      <c r="E2894" s="30" t="n">
        <f aca="false">$D2894/$D2881*E2881</f>
        <v>-1.15447001549054</v>
      </c>
      <c r="F2894" s="30" t="n">
        <f aca="false">$D2894/$D2881*F2881</f>
        <v>-1.13956616017987</v>
      </c>
      <c r="G2894" s="30" t="n">
        <f aca="false">$D2894/$D2881*G2881</f>
        <v>-1.22989245581202</v>
      </c>
    </row>
    <row r="2895" customFormat="false" ht="15" hidden="false" customHeight="false" outlineLevel="0" collapsed="false">
      <c r="A2895" s="4" t="s">
        <v>451</v>
      </c>
      <c r="B2895" s="0" t="s">
        <v>234</v>
      </c>
      <c r="C2895" s="30" t="n">
        <f aca="false">C2891+C2893+C2894</f>
        <v>114.193</v>
      </c>
      <c r="D2895" s="30" t="n">
        <f aca="false">D2891+D2893+D2894</f>
        <v>190.680245860986</v>
      </c>
      <c r="E2895" s="30" t="n">
        <f aca="false">E2891+E2893+E2894</f>
        <v>238.279524467795</v>
      </c>
      <c r="F2895" s="30" t="n">
        <f aca="false">F2891+F2893+F2894</f>
        <v>191.038055055626</v>
      </c>
      <c r="G2895" s="30" t="n">
        <f aca="false">G2891+G2893+G2894</f>
        <v>206.295439726595</v>
      </c>
    </row>
    <row r="2896" customFormat="false" ht="15" hidden="false" customHeight="false" outlineLevel="0" collapsed="false">
      <c r="A2896" s="4" t="s">
        <v>452</v>
      </c>
      <c r="B2896" s="0" t="s">
        <v>76</v>
      </c>
      <c r="C2896" s="14" t="n">
        <f aca="false">C2895/C2882</f>
        <v>0.176936974347214</v>
      </c>
      <c r="D2896" s="14" t="n">
        <f aca="false">D2895/D2882</f>
        <v>0.218879008327391</v>
      </c>
      <c r="E2896" s="14" t="n">
        <f aca="false">E2895/E2882</f>
        <v>0.224757423271559</v>
      </c>
      <c r="F2896" s="14" t="n">
        <f aca="false">F2895/F2882</f>
        <v>0.182553566125017</v>
      </c>
      <c r="G2896" s="14" t="n">
        <f aca="false">G2895/G2882</f>
        <v>0.182655379603978</v>
      </c>
    </row>
    <row r="2897" customFormat="false" ht="15" hidden="false" customHeight="false" outlineLevel="0" collapsed="false">
      <c r="A2897" s="4" t="s">
        <v>578</v>
      </c>
      <c r="B2897" s="0" t="s">
        <v>234</v>
      </c>
      <c r="C2897" s="30" t="n">
        <f aca="false">a25_opx</f>
        <v>63.437</v>
      </c>
      <c r="D2897" s="30" t="n">
        <f aca="false">a26_opx</f>
        <v>79.658</v>
      </c>
      <c r="E2897" s="30" t="n">
        <f aca="false">D2897*(1+phi*E2883)</f>
        <v>90.0268614629994</v>
      </c>
      <c r="F2897" s="30" t="n">
        <f aca="false">E2897*(1+phi*F2883)</f>
        <v>89.329529891292</v>
      </c>
      <c r="G2897" s="30" t="n">
        <f aca="false">F2897*(1+phi*G2883)</f>
        <v>93.5778864014759</v>
      </c>
    </row>
    <row r="2898" customFormat="false" ht="15" hidden="false" customHeight="false" outlineLevel="0" collapsed="false">
      <c r="A2898" s="4" t="s">
        <v>455</v>
      </c>
      <c r="B2898" s="0" t="s">
        <v>234</v>
      </c>
      <c r="C2898" s="30" t="n">
        <f aca="false">C2895-C2897</f>
        <v>50.756</v>
      </c>
      <c r="D2898" s="30" t="n">
        <f aca="false">D2895-D2897</f>
        <v>111.022245860986</v>
      </c>
      <c r="E2898" s="30" t="n">
        <f aca="false">E2895-E2897</f>
        <v>148.252663004796</v>
      </c>
      <c r="F2898" s="30" t="n">
        <f aca="false">F2895-F2897</f>
        <v>101.708525164334</v>
      </c>
      <c r="G2898" s="30" t="n">
        <f aca="false">G2895-G2897</f>
        <v>112.717553325119</v>
      </c>
    </row>
    <row r="2899" customFormat="false" ht="15" hidden="false" customHeight="false" outlineLevel="0" collapsed="false">
      <c r="A2899" s="4" t="s">
        <v>537</v>
      </c>
      <c r="B2899" s="0" t="s">
        <v>76</v>
      </c>
      <c r="C2899" s="14" t="n">
        <f aca="false">C2898/C2882</f>
        <v>0.0786441644406156</v>
      </c>
      <c r="D2899" s="14" t="n">
        <f aca="false">D2898/D2882</f>
        <v>0.127440779020437</v>
      </c>
      <c r="E2899" s="14" t="n">
        <f aca="false">E2898/E2882</f>
        <v>0.139839487276668</v>
      </c>
      <c r="F2899" s="14" t="n">
        <f aca="false">F2898/F2882</f>
        <v>0.0971913892687966</v>
      </c>
      <c r="G2899" s="14" t="n">
        <f aca="false">G2898/G2882</f>
        <v>0.0998008851670075</v>
      </c>
    </row>
    <row r="2900" customFormat="false" ht="15" hidden="false" customHeight="false" outlineLevel="0" collapsed="false">
      <c r="A2900" s="4" t="s">
        <v>456</v>
      </c>
      <c r="B2900" s="0" t="s">
        <v>234</v>
      </c>
      <c r="C2900" s="30" t="n">
        <f aca="false">a25_nonop</f>
        <v>0.545</v>
      </c>
      <c r="D2900" s="30" t="n">
        <f aca="false">a26_nonop</f>
        <v>4.302</v>
      </c>
      <c r="E2900" s="30" t="n">
        <f aca="false">nonop_f</f>
        <v>-5</v>
      </c>
      <c r="F2900" s="30" t="n">
        <f aca="false">nonop_f</f>
        <v>-5</v>
      </c>
      <c r="G2900" s="30" t="n">
        <f aca="false">nonop_f</f>
        <v>-5</v>
      </c>
    </row>
    <row r="2901" customFormat="false" ht="15" hidden="false" customHeight="false" outlineLevel="0" collapsed="false">
      <c r="A2901" s="4" t="s">
        <v>459</v>
      </c>
      <c r="B2901" s="0" t="s">
        <v>234</v>
      </c>
      <c r="C2901" s="30" t="n">
        <f aca="false">C2898+C2900</f>
        <v>51.301</v>
      </c>
      <c r="D2901" s="30" t="n">
        <f aca="false">D2898+D2900</f>
        <v>115.324245860986</v>
      </c>
      <c r="E2901" s="30" t="n">
        <f aca="false">E2898+E2900</f>
        <v>143.252663004796</v>
      </c>
      <c r="F2901" s="30" t="n">
        <f aca="false">F2898+F2900</f>
        <v>96.7085251643339</v>
      </c>
      <c r="G2901" s="30" t="n">
        <f aca="false">G2898+G2900</f>
        <v>107.717553325119</v>
      </c>
    </row>
    <row r="2902" customFormat="false" ht="15" hidden="false" customHeight="false" outlineLevel="0" collapsed="false">
      <c r="A2902" s="4" t="s">
        <v>460</v>
      </c>
      <c r="B2902" s="0" t="s">
        <v>234</v>
      </c>
      <c r="C2902" s="30" t="n">
        <f aca="false">a25_tax</f>
        <v>9.461</v>
      </c>
      <c r="D2902" s="30" t="n">
        <f aca="false">a26_tax</f>
        <v>19.2197317963676</v>
      </c>
      <c r="E2902" s="30" t="n">
        <f aca="false">E2901*tax</f>
        <v>24.3529527108153</v>
      </c>
      <c r="F2902" s="30" t="n">
        <f aca="false">F2901*tax</f>
        <v>16.4404492779368</v>
      </c>
      <c r="G2902" s="30" t="n">
        <f aca="false">G2901*tax</f>
        <v>18.3119840652702</v>
      </c>
    </row>
    <row r="2903" customFormat="false" ht="15" hidden="false" customHeight="false" outlineLevel="0" collapsed="false">
      <c r="A2903" s="4" t="s">
        <v>461</v>
      </c>
      <c r="B2903" s="0" t="s">
        <v>234</v>
      </c>
      <c r="C2903" s="30" t="n">
        <f aca="false">a25_nci</f>
        <v>1.182</v>
      </c>
      <c r="D2903" s="30" t="n">
        <f aca="false">a26_nci</f>
        <v>2.543</v>
      </c>
      <c r="E2903" s="30" t="n">
        <f aca="false">nci</f>
        <v>3</v>
      </c>
      <c r="F2903" s="30" t="n">
        <f aca="false">nci</f>
        <v>3</v>
      </c>
      <c r="G2903" s="30" t="n">
        <f aca="false">nci</f>
        <v>3</v>
      </c>
    </row>
    <row r="2904" customFormat="false" ht="15" hidden="false" customHeight="false" outlineLevel="0" collapsed="false">
      <c r="A2904" s="4" t="s">
        <v>462</v>
      </c>
      <c r="B2904" s="0" t="s">
        <v>234</v>
      </c>
      <c r="C2904" s="30" t="n">
        <f aca="false">C2901-C2902-C2903</f>
        <v>40.658</v>
      </c>
      <c r="D2904" s="30" t="n">
        <f aca="false">D2901-D2902-D2903</f>
        <v>93.5615140646185</v>
      </c>
      <c r="E2904" s="30" t="n">
        <f aca="false">E2901-E2902-E2903</f>
        <v>115.899710293981</v>
      </c>
      <c r="F2904" s="30" t="n">
        <f aca="false">F2901-F2902-F2903</f>
        <v>77.2680758863971</v>
      </c>
      <c r="G2904" s="30" t="n">
        <f aca="false">G2901-G2902-G2903</f>
        <v>86.4055692598487</v>
      </c>
      <c r="H2904" s="31" t="n">
        <f aca="false">H2882*H2908</f>
        <v>85.6197525344148</v>
      </c>
      <c r="I2904" s="31" t="n">
        <f aca="false">I2882*I2908</f>
        <v>82.8601348886326</v>
      </c>
      <c r="J2904" s="31" t="n">
        <f aca="false">J2882*J2908</f>
        <v>78.2306742341932</v>
      </c>
    </row>
    <row r="2905" customFormat="false" ht="15" hidden="false" customHeight="false" outlineLevel="0" collapsed="false">
      <c r="A2905" s="4" t="s">
        <v>579</v>
      </c>
      <c r="B2905" s="4" t="s">
        <v>580</v>
      </c>
      <c r="C2905" s="18" t="n">
        <f aca="false">a25_sh</f>
        <v>4339.16755602988</v>
      </c>
      <c r="D2905" s="18" t="n">
        <f aca="false">a26_sh</f>
        <v>4392.90105184664</v>
      </c>
      <c r="E2905" s="18" t="n">
        <f aca="false">D2905*(1+sh_g)</f>
        <v>4414.86555710588</v>
      </c>
      <c r="F2905" s="18" t="n">
        <f aca="false">E2905*(1+sh_g)</f>
        <v>4436.9398848914</v>
      </c>
      <c r="G2905" s="18" t="n">
        <f aca="false">F2905*(1+sh_g)</f>
        <v>4459.12458431586</v>
      </c>
      <c r="H2905" s="25" t="n">
        <f aca="false">G2905*(1+sh_g)</f>
        <v>4481.42020723744</v>
      </c>
      <c r="I2905" s="25" t="n">
        <f aca="false">H2905*(1+sh_g)</f>
        <v>4503.82730827363</v>
      </c>
      <c r="J2905" s="25" t="n">
        <f aca="false">I2905*(1+sh_g)</f>
        <v>4526.34644481499</v>
      </c>
    </row>
    <row r="2906" customFormat="false" ht="17.15" hidden="false" customHeight="false" outlineLevel="0" collapsed="false">
      <c r="A2906" s="0" t="s">
        <v>465</v>
      </c>
      <c r="B2906" s="0" t="s">
        <v>304</v>
      </c>
      <c r="C2906" s="19" t="n">
        <f aca="false">a25_eps</f>
        <v>9.37</v>
      </c>
      <c r="D2906" s="19" t="n">
        <f aca="false">a26_eps</f>
        <v>21.2828697294455</v>
      </c>
      <c r="E2906" s="19" t="n">
        <f aca="false">E2904/E2905*1000</f>
        <v>26.2521494244453</v>
      </c>
      <c r="F2906" s="19" t="n">
        <f aca="false">F2904/F2905*1000</f>
        <v>17.4147222840474</v>
      </c>
      <c r="G2906" s="19" t="n">
        <f aca="false">G2904/G2905*1000</f>
        <v>19.3772494188129</v>
      </c>
      <c r="H2906" s="28" t="n">
        <f aca="false">H2904/H2905*1000</f>
        <v>19.1054952615557</v>
      </c>
      <c r="I2906" s="28" t="n">
        <f aca="false">I2904/I2905*1000</f>
        <v>18.3977158130412</v>
      </c>
      <c r="J2906" s="28" t="n">
        <f aca="false">J2904/J2905*1000</f>
        <v>17.2834039965738</v>
      </c>
    </row>
    <row r="2907" customFormat="false" ht="17.15" hidden="false" customHeight="false" outlineLevel="0" collapsed="false">
      <c r="A2907" s="0" t="s">
        <v>581</v>
      </c>
      <c r="B2907" s="0" t="s">
        <v>76</v>
      </c>
      <c r="D2907" s="21" t="n">
        <f aca="false">D2906/C2906-1</f>
        <v>1.27138417603474</v>
      </c>
      <c r="E2907" s="21" t="n">
        <f aca="false">E2906/D2906-1</f>
        <v>0.23348729556544</v>
      </c>
      <c r="F2907" s="21" t="n">
        <f aca="false">F2906/E2906-1</f>
        <v>-0.336636326325674</v>
      </c>
      <c r="G2907" s="21" t="n">
        <f aca="false">G2906/F2906-1</f>
        <v>0.11269356483297</v>
      </c>
      <c r="H2907" s="26" t="n">
        <f aca="false">H2906/G2906-1</f>
        <v>-0.0140243928012483</v>
      </c>
      <c r="I2907" s="26" t="n">
        <f aca="false">I2906/H2906-1</f>
        <v>-0.0370458571643862</v>
      </c>
      <c r="J2907" s="26" t="n">
        <f aca="false">J2906/I2906-1</f>
        <v>-0.0605679437486217</v>
      </c>
    </row>
    <row r="2908" customFormat="false" ht="17.15" hidden="false" customHeight="false" outlineLevel="0" collapsed="false">
      <c r="A2908" s="4" t="s">
        <v>582</v>
      </c>
      <c r="B2908" s="0" t="s">
        <v>76</v>
      </c>
      <c r="C2908" s="14" t="n">
        <f aca="false">C2904/C2882</f>
        <v>0.0629977625862272</v>
      </c>
      <c r="D2908" s="14" t="n">
        <f aca="false">D2904/D2882</f>
        <v>0.107397865592237</v>
      </c>
      <c r="E2908" s="14" t="n">
        <f aca="false">E2904/E2882</f>
        <v>0.109322529083341</v>
      </c>
      <c r="F2908" s="14" t="n">
        <f aca="false">F2904/F2882</f>
        <v>0.0738364028914186</v>
      </c>
      <c r="G2908" s="14" t="n">
        <f aca="false">G2904/G2882</f>
        <v>0.0765040762605905</v>
      </c>
      <c r="H2908" s="27" t="n">
        <f aca="false">$G2908+(fade_mC-$G2908)*1/3</f>
        <v>0.0715504035667709</v>
      </c>
      <c r="I2908" s="27" t="n">
        <f aca="false">$G2908+(fade_mC-$G2908)*2/3</f>
        <v>0.0665967308729512</v>
      </c>
      <c r="J2908" s="27" t="n">
        <f aca="false">$G2908+(fade_mC-$G2908)*3/3</f>
        <v>0.0616430581791315</v>
      </c>
    </row>
    <row r="2909" customFormat="false" ht="17.15" hidden="false" customHeight="false" outlineLevel="0" collapsed="false">
      <c r="A2909" s="4" t="s">
        <v>583</v>
      </c>
      <c r="B2909" s="0" t="s">
        <v>234</v>
      </c>
      <c r="C2909" s="30" t="n">
        <f aca="false">C2904+C2890-C2888</f>
        <v>-54.587</v>
      </c>
      <c r="D2909" s="30" t="n">
        <f aca="false">D2904+D2890-D2888</f>
        <v>-176.164485935382</v>
      </c>
      <c r="E2909" s="30" t="n">
        <f aca="false">E2904+E2890-E2888</f>
        <v>-149.760539706019</v>
      </c>
      <c r="F2909" s="30" t="n">
        <f aca="false">F2904+F2890-F2888</f>
        <v>-72.6276554993554</v>
      </c>
      <c r="G2909" s="30" t="n">
        <f aca="false">G2904+G2890-G2888</f>
        <v>-69.6374984855177</v>
      </c>
      <c r="K2909" s="4" t="s">
        <v>584</v>
      </c>
    </row>
    <row r="2910" customFormat="false" ht="17.15" hidden="false" customHeight="false" outlineLevel="0" collapsed="false">
      <c r="A2910" s="4" t="s">
        <v>585</v>
      </c>
      <c r="B2910" s="0" t="s">
        <v>76</v>
      </c>
      <c r="D2910" s="21" t="n">
        <f aca="false">(D2898-$C2898)/SUM($D2888:D2888)</f>
        <v>0.164280348537512</v>
      </c>
      <c r="E2910" s="21" t="n">
        <f aca="false">(E2898-$C2898)/SUM($D2888:E2888)</f>
        <v>0.127722097340402</v>
      </c>
      <c r="F2910" s="21" t="n">
        <f aca="false">(F2898-$C2898)/SUM($D2888:F2888)</f>
        <v>0.0472968120712778</v>
      </c>
      <c r="G2910" s="21" t="n">
        <f aca="false">(G2898-$C2898)/SUM($D2888:G2888)</f>
        <v>0.0437544409875468</v>
      </c>
      <c r="K2910" s="4" t="s">
        <v>586</v>
      </c>
    </row>
    <row r="2913" customFormat="false" ht="17.15" hidden="false" customHeight="false" outlineLevel="0" collapsed="false">
      <c r="A2913" s="1" t="s">
        <v>973</v>
      </c>
    </row>
    <row r="2914" customFormat="false" ht="17.15" hidden="false" customHeight="false" outlineLevel="0" collapsed="false">
      <c r="A2914" s="5" t="s">
        <v>21</v>
      </c>
      <c r="B2914" s="5" t="s">
        <v>22</v>
      </c>
      <c r="C2914" s="15" t="s">
        <v>424</v>
      </c>
      <c r="D2914" s="15" t="s">
        <v>524</v>
      </c>
      <c r="E2914" s="15" t="s">
        <v>525</v>
      </c>
      <c r="F2914" s="15" t="s">
        <v>526</v>
      </c>
      <c r="G2914" s="15" t="s">
        <v>527</v>
      </c>
      <c r="H2914" s="15" t="s">
        <v>528</v>
      </c>
      <c r="I2914" s="15" t="s">
        <v>529</v>
      </c>
      <c r="J2914" s="15" t="s">
        <v>530</v>
      </c>
      <c r="K2914" s="5" t="s">
        <v>382</v>
      </c>
    </row>
    <row r="2915" customFormat="false" ht="17.15" hidden="false" customHeight="false" outlineLevel="0" collapsed="false">
      <c r="A2915" s="6" t="s">
        <v>548</v>
      </c>
    </row>
    <row r="2916" customFormat="false" ht="17.15" hidden="false" customHeight="false" outlineLevel="0" collapsed="false">
      <c r="A2916" s="0" t="s">
        <v>549</v>
      </c>
      <c r="B2916" s="4" t="s">
        <v>32</v>
      </c>
      <c r="D2916" s="19" t="n">
        <f aca="false">units_26</f>
        <v>15.2</v>
      </c>
      <c r="E2916" s="19" t="n">
        <f aca="false">units_27*1</f>
        <v>23.7</v>
      </c>
      <c r="F2916" s="19" t="n">
        <f aca="false">units_28*um28_A*1</f>
        <v>26.5</v>
      </c>
      <c r="G2916" s="19" t="n">
        <f aca="false">units_29*um29_A*1</f>
        <v>30.15</v>
      </c>
    </row>
    <row r="2917" customFormat="false" ht="17.15" hidden="false" customHeight="false" outlineLevel="0" collapsed="false">
      <c r="A2917" s="4" t="s">
        <v>497</v>
      </c>
      <c r="B2917" s="0" t="s">
        <v>45</v>
      </c>
      <c r="D2917" s="22" t="n">
        <f aca="false">ar_26</f>
        <v>1</v>
      </c>
      <c r="E2917" s="22" t="n">
        <f aca="false">ar_27</f>
        <v>1.278156</v>
      </c>
      <c r="F2917" s="22" t="n">
        <f aca="false">ar_28</f>
        <v>1.428615</v>
      </c>
      <c r="G2917" s="22" t="n">
        <f aca="false">ar_29</f>
        <v>1.431796</v>
      </c>
    </row>
    <row r="2918" customFormat="false" ht="17.15" hidden="false" customHeight="false" outlineLevel="0" collapsed="false">
      <c r="A2918" s="4" t="s">
        <v>550</v>
      </c>
      <c r="B2918" s="0" t="s">
        <v>45</v>
      </c>
      <c r="D2918" s="19" t="n">
        <f aca="false">1</f>
        <v>1</v>
      </c>
      <c r="E2918" s="19" t="n">
        <f aca="false">rel27_A</f>
        <v>1.1</v>
      </c>
      <c r="F2918" s="19" t="n">
        <f aca="false">rel28_A</f>
        <v>1.15</v>
      </c>
      <c r="G2918" s="19" t="n">
        <f aca="false">rel29_A</f>
        <v>1.2</v>
      </c>
    </row>
    <row r="2919" customFormat="false" ht="17.15" hidden="false" customHeight="false" outlineLevel="0" collapsed="false">
      <c r="A2919" s="4" t="s">
        <v>551</v>
      </c>
      <c r="B2919" s="0" t="s">
        <v>502</v>
      </c>
      <c r="D2919" s="23" t="n">
        <f aca="false">D2920*1000/D2916</f>
        <v>236.842105263158</v>
      </c>
      <c r="E2919" s="23" t="n">
        <f aca="false">$D2919*E2917^el</f>
        <v>267.763172119488</v>
      </c>
      <c r="F2919" s="23" t="n">
        <f aca="false">$D2919*F2917^el</f>
        <v>283.084777049615</v>
      </c>
      <c r="G2919" s="23" t="n">
        <f aca="false">$D2919*G2917^el</f>
        <v>283.399764630809</v>
      </c>
      <c r="K2919" s="8" t="s">
        <v>552</v>
      </c>
    </row>
    <row r="2920" customFormat="false" ht="17.15" hidden="false" customHeight="false" outlineLevel="0" collapsed="false">
      <c r="A2920" s="0" t="s">
        <v>553</v>
      </c>
      <c r="B2920" s="0" t="s">
        <v>120</v>
      </c>
      <c r="D2920" s="22" t="n">
        <f aca="false">leap26-D2921-D2922</f>
        <v>3.6</v>
      </c>
      <c r="E2920" s="22" t="n">
        <f aca="false">E2916*E2918*E2919/1000</f>
        <v>6.98058589715504</v>
      </c>
      <c r="F2920" s="22" t="n">
        <f aca="false">F2916*F2918*F2919/1000</f>
        <v>8.627008580587</v>
      </c>
      <c r="G2920" s="22" t="n">
        <f aca="false">G2916*G2918*G2919/1000</f>
        <v>10.2534034843427</v>
      </c>
      <c r="K2920" s="8" t="s">
        <v>554</v>
      </c>
    </row>
    <row r="2921" customFormat="false" ht="17.15" hidden="false" customHeight="false" outlineLevel="0" collapsed="false">
      <c r="A2921" s="4" t="s">
        <v>555</v>
      </c>
      <c r="B2921" s="0" t="s">
        <v>120</v>
      </c>
      <c r="D2921" s="22" t="n">
        <f aca="false">fp26</f>
        <v>0.3</v>
      </c>
      <c r="E2921" s="22" t="n">
        <f aca="false">fp27_A</f>
        <v>1.2</v>
      </c>
      <c r="F2921" s="22" t="n">
        <f aca="false">E2921*F2916/E2916*(1+fp_g)</f>
        <v>1.74430379746835</v>
      </c>
      <c r="G2921" s="22" t="n">
        <f aca="false">F2921*G2916/F2916*(1+fp_g)</f>
        <v>2.57992405063291</v>
      </c>
    </row>
    <row r="2922" customFormat="false" ht="17.15" hidden="false" customHeight="false" outlineLevel="0" collapsed="false">
      <c r="A2922" s="0" t="s">
        <v>556</v>
      </c>
      <c r="B2922" s="0" t="s">
        <v>120</v>
      </c>
      <c r="D2922" s="22" t="n">
        <f aca="false">cpo27*cpo_A_26/cpo_A_27</f>
        <v>0.1</v>
      </c>
      <c r="E2922" s="22" t="n">
        <f aca="false">cpo27*cpo_A_27/cpo_A_27</f>
        <v>0.5</v>
      </c>
      <c r="F2922" s="22" t="n">
        <f aca="false">cpo27*cpo_A_28/cpo_A_27*F2916/E2916</f>
        <v>1.11814345991561</v>
      </c>
      <c r="G2922" s="22" t="n">
        <f aca="false">cpo27*cpo_A_29/cpo_A_27*G2916/E2916</f>
        <v>2.03544303797468</v>
      </c>
      <c r="K2922" s="8" t="s">
        <v>557</v>
      </c>
    </row>
    <row r="2923" customFormat="false" ht="17.15" hidden="false" customHeight="false" outlineLevel="0" collapsed="false">
      <c r="A2923" s="0" t="s">
        <v>510</v>
      </c>
      <c r="B2923" s="0" t="s">
        <v>120</v>
      </c>
      <c r="C2923" s="22" t="n">
        <f aca="false">leap25</f>
        <v>1.6</v>
      </c>
      <c r="D2923" s="22" t="n">
        <f aca="false">D2920+D2921+D2922</f>
        <v>4</v>
      </c>
      <c r="E2923" s="22" t="n">
        <f aca="false">E2920+E2921+E2922</f>
        <v>8.68058589715504</v>
      </c>
      <c r="F2923" s="22" t="n">
        <f aca="false">F2920+F2921+F2922</f>
        <v>11.489455837971</v>
      </c>
      <c r="G2923" s="22" t="n">
        <f aca="false">G2920+G2921+G2922</f>
        <v>14.8687705729503</v>
      </c>
    </row>
    <row r="2924" customFormat="false" ht="17.15" hidden="false" customHeight="false" outlineLevel="0" collapsed="false">
      <c r="A2924" s="4" t="s">
        <v>558</v>
      </c>
      <c r="B2924" s="0" t="s">
        <v>114</v>
      </c>
      <c r="C2924" s="19" t="n">
        <f aca="false">fx25</f>
        <v>31</v>
      </c>
      <c r="D2924" s="19" t="n">
        <f aca="false">a26_leap/D2923</f>
        <v>31.9</v>
      </c>
      <c r="E2924" s="19" t="n">
        <f aca="false">fx_hi</f>
        <v>33</v>
      </c>
      <c r="F2924" s="19" t="n">
        <f aca="false">fx_hi</f>
        <v>33</v>
      </c>
      <c r="G2924" s="19" t="n">
        <f aca="false">fx_hi</f>
        <v>33</v>
      </c>
      <c r="K2924" s="8" t="s">
        <v>559</v>
      </c>
    </row>
    <row r="2925" customFormat="false" ht="17.15" hidden="false" customHeight="false" outlineLevel="0" collapsed="false">
      <c r="A2925" s="6" t="s">
        <v>560</v>
      </c>
    </row>
    <row r="2926" customFormat="false" ht="17.15" hidden="false" customHeight="false" outlineLevel="0" collapsed="false">
      <c r="A2926" s="0" t="s">
        <v>438</v>
      </c>
      <c r="B2926" s="0" t="s">
        <v>234</v>
      </c>
      <c r="C2926" s="30" t="n">
        <f aca="false">a25_leap</f>
        <v>49.6</v>
      </c>
      <c r="D2926" s="30" t="n">
        <f aca="false">a26_leap</f>
        <v>127.6</v>
      </c>
      <c r="E2926" s="30" t="n">
        <f aca="false">E2923*E2924</f>
        <v>286.459334606116</v>
      </c>
      <c r="F2926" s="30" t="n">
        <f aca="false">F2923*F2924</f>
        <v>379.152042653042</v>
      </c>
      <c r="G2926" s="30" t="n">
        <f aca="false">G2923*G2924</f>
        <v>490.669428907359</v>
      </c>
    </row>
    <row r="2927" customFormat="false" ht="15" hidden="false" customHeight="false" outlineLevel="0" collapsed="false">
      <c r="A2927" s="4" t="s">
        <v>561</v>
      </c>
      <c r="B2927" s="0" t="s">
        <v>234</v>
      </c>
      <c r="C2927" s="30" t="n">
        <f aca="false">a25_ms</f>
        <v>339.628</v>
      </c>
      <c r="D2927" s="30" t="n">
        <f aca="false">a26_ms</f>
        <v>432.1302</v>
      </c>
      <c r="E2927" s="30" t="n">
        <f aca="false">D2927*(1+g_ms27)</f>
        <v>496.94973</v>
      </c>
      <c r="F2927" s="30" t="n">
        <f aca="false">E2927*(1+g_msL)</f>
        <v>531.7362111</v>
      </c>
      <c r="G2927" s="30" t="n">
        <f aca="false">F2927*(1+g_msL)</f>
        <v>568.957745877</v>
      </c>
    </row>
    <row r="2928" customFormat="false" ht="17.15" hidden="false" customHeight="false" outlineLevel="0" collapsed="false">
      <c r="A2928" s="4" t="s">
        <v>562</v>
      </c>
      <c r="B2928" s="0" t="s">
        <v>234</v>
      </c>
      <c r="C2928" s="30" t="n">
        <f aca="false">C2926+C2927</f>
        <v>389.228</v>
      </c>
      <c r="D2928" s="30" t="n">
        <f aca="false">D2926+D2927</f>
        <v>559.7302</v>
      </c>
      <c r="E2928" s="30" t="n">
        <f aca="false">E2926+E2927</f>
        <v>783.409064606116</v>
      </c>
      <c r="F2928" s="30" t="n">
        <f aca="false">F2926+F2927</f>
        <v>910.888253753042</v>
      </c>
      <c r="G2928" s="30" t="n">
        <f aca="false">G2926+G2927</f>
        <v>1059.62717478436</v>
      </c>
    </row>
    <row r="2929" customFormat="false" ht="17.15" hidden="false" customHeight="false" outlineLevel="0" collapsed="false">
      <c r="A2929" s="0" t="s">
        <v>563</v>
      </c>
      <c r="B2929" s="0" t="s">
        <v>234</v>
      </c>
      <c r="C2929" s="30" t="n">
        <f aca="false">a25_ems</f>
        <v>259.079</v>
      </c>
      <c r="D2929" s="30" t="n">
        <f aca="false">a26_ems</f>
        <v>314.602</v>
      </c>
      <c r="E2929" s="30" t="n">
        <f aca="false">D2929*(1+g_ems27)</f>
        <v>346.0622</v>
      </c>
      <c r="F2929" s="30" t="n">
        <f aca="false">E2929*(1+g_emsL)</f>
        <v>363.36531</v>
      </c>
      <c r="G2929" s="30" t="n">
        <f aca="false">F2929*(1+g_emsL)</f>
        <v>381.5335755</v>
      </c>
    </row>
    <row r="2930" customFormat="false" ht="17.15" hidden="false" customHeight="false" outlineLevel="0" collapsed="false">
      <c r="A2930" s="4" t="s">
        <v>564</v>
      </c>
      <c r="B2930" s="0" t="s">
        <v>234</v>
      </c>
      <c r="C2930" s="30" t="n">
        <f aca="false">a25_elim</f>
        <v>-2.91899999999998</v>
      </c>
      <c r="D2930" s="30" t="n">
        <f aca="false">a26_elim</f>
        <v>-3.16484905982349</v>
      </c>
      <c r="E2930" s="30" t="n">
        <f aca="false">$D2930/($D2928+$D2929)*(E2928+E2929)</f>
        <v>-4.08838433479439</v>
      </c>
      <c r="F2930" s="30" t="n">
        <f aca="false">$D2930/($D2928+$D2929)*(F2928+F2929)</f>
        <v>-4.61245759131431</v>
      </c>
      <c r="G2930" s="30" t="n">
        <f aca="false">$D2930/($D2928+$D2929)*(G2928+G2929)</f>
        <v>-5.2166170313663</v>
      </c>
      <c r="K2930" s="4" t="s">
        <v>565</v>
      </c>
    </row>
    <row r="2931" customFormat="false" ht="17.15" hidden="false" customHeight="false" outlineLevel="0" collapsed="false">
      <c r="A2931" s="4" t="s">
        <v>431</v>
      </c>
      <c r="B2931" s="0" t="s">
        <v>234</v>
      </c>
      <c r="C2931" s="30" t="n">
        <f aca="false">C2928+C2929+C2930</f>
        <v>645.388</v>
      </c>
      <c r="D2931" s="30" t="n">
        <f aca="false">D2928+D2929+D2930</f>
        <v>871.167350940177</v>
      </c>
      <c r="E2931" s="30" t="n">
        <f aca="false">E2928+E2929+E2930</f>
        <v>1125.38288027132</v>
      </c>
      <c r="F2931" s="30" t="n">
        <f aca="false">F2928+F2929+F2930</f>
        <v>1269.64110616173</v>
      </c>
      <c r="G2931" s="30" t="n">
        <f aca="false">G2928+G2929+G2930</f>
        <v>1435.94413325299</v>
      </c>
      <c r="H2931" s="31" t="n">
        <f aca="false">G2931*(1+H2932)</f>
        <v>1590.05375557142</v>
      </c>
      <c r="I2931" s="31" t="n">
        <f aca="false">H2931*(1+I2932)</f>
        <v>1723.07992163257</v>
      </c>
      <c r="J2931" s="31" t="n">
        <f aca="false">I2931*(1+J2932)</f>
        <v>1826.46471693053</v>
      </c>
      <c r="K2931" s="8" t="s">
        <v>566</v>
      </c>
    </row>
    <row r="2932" customFormat="false" ht="15" hidden="false" customHeight="false" outlineLevel="0" collapsed="false">
      <c r="A2932" s="4" t="s">
        <v>567</v>
      </c>
      <c r="B2932" s="0" t="s">
        <v>76</v>
      </c>
      <c r="D2932" s="21" t="n">
        <f aca="false">D2931/C2931-1</f>
        <v>0.349835061916516</v>
      </c>
      <c r="E2932" s="21" t="n">
        <f aca="false">E2931/D2931-1</f>
        <v>0.291810211960758</v>
      </c>
      <c r="F2932" s="21" t="n">
        <f aca="false">F2931/E2931-1</f>
        <v>0.12818590758696</v>
      </c>
      <c r="G2932" s="21" t="n">
        <f aca="false">G2931/F2931-1</f>
        <v>0.130984280742152</v>
      </c>
      <c r="H2932" s="26" t="n">
        <f aca="false">$G2932+(fade_gA-$G2932)*1/3</f>
        <v>0.107322853828101</v>
      </c>
      <c r="I2932" s="26" t="n">
        <f aca="false">$G2932+(fade_gA-$G2932)*2/3</f>
        <v>0.0836614269140507</v>
      </c>
      <c r="J2932" s="26" t="n">
        <f aca="false">$G2932+(fade_gA-$G2932)*3/3</f>
        <v>0.06</v>
      </c>
    </row>
    <row r="2933" customFormat="false" ht="17.15" hidden="false" customHeight="false" outlineLevel="0" collapsed="false">
      <c r="A2933" s="0" t="s">
        <v>475</v>
      </c>
      <c r="B2933" s="0" t="s">
        <v>76</v>
      </c>
      <c r="C2933" s="21" t="n">
        <f aca="false">C2926/C2928</f>
        <v>0.127431736668482</v>
      </c>
      <c r="D2933" s="21" t="n">
        <f aca="false">D2926/D2928</f>
        <v>0.227966974088588</v>
      </c>
      <c r="E2933" s="21" t="n">
        <f aca="false">E2926/E2928</f>
        <v>0.365657416473912</v>
      </c>
      <c r="F2933" s="21" t="n">
        <f aca="false">F2926/F2928</f>
        <v>0.416244299002495</v>
      </c>
      <c r="G2933" s="21" t="n">
        <f aca="false">G2926/G2928</f>
        <v>0.463058555484115</v>
      </c>
    </row>
    <row r="2934" customFormat="false" ht="15" hidden="false" customHeight="false" outlineLevel="0" collapsed="false">
      <c r="A2934" s="4" t="s">
        <v>568</v>
      </c>
      <c r="B2934" s="0" t="s">
        <v>76</v>
      </c>
      <c r="D2934" s="21" t="n">
        <f aca="false">D2928/C2928-1</f>
        <v>0.438052247012034</v>
      </c>
      <c r="E2934" s="21" t="n">
        <f aca="false">E2928/D2928-1</f>
        <v>0.39961907470084</v>
      </c>
      <c r="F2934" s="21" t="n">
        <f aca="false">F2928/E2928-1</f>
        <v>0.162723658566575</v>
      </c>
      <c r="G2934" s="21" t="n">
        <f aca="false">G2928/F2928-1</f>
        <v>0.163289975931167</v>
      </c>
    </row>
    <row r="2935" customFormat="false" ht="17.15" hidden="false" customHeight="false" outlineLevel="0" collapsed="false">
      <c r="A2935" s="6" t="s">
        <v>569</v>
      </c>
    </row>
    <row r="2936" customFormat="false" ht="17.15" hidden="false" customHeight="false" outlineLevel="0" collapsed="false">
      <c r="A2936" s="4" t="s">
        <v>570</v>
      </c>
      <c r="B2936" s="0" t="s">
        <v>120</v>
      </c>
      <c r="C2936" s="19" t="n">
        <f aca="false">capex25</f>
        <v>5.5</v>
      </c>
      <c r="D2936" s="19" t="n">
        <f aca="false">capex26</f>
        <v>11.5</v>
      </c>
      <c r="E2936" s="19" t="n">
        <f aca="false">capex27</f>
        <v>13</v>
      </c>
      <c r="F2936" s="19" t="n">
        <f aca="false">capi*F2931/F2924</f>
        <v>11.5421918741975</v>
      </c>
      <c r="G2936" s="19" t="n">
        <f aca="false">capi*G2931/G2924</f>
        <v>13.0540375750272</v>
      </c>
      <c r="K2936" s="8" t="s">
        <v>571</v>
      </c>
    </row>
    <row r="2937" customFormat="false" ht="15" hidden="false" customHeight="false" outlineLevel="0" collapsed="false">
      <c r="A2937" s="4" t="s">
        <v>572</v>
      </c>
      <c r="B2937" s="0" t="s">
        <v>234</v>
      </c>
      <c r="C2937" s="30" t="n">
        <f aca="false">C2936*C2924</f>
        <v>170.5</v>
      </c>
      <c r="D2937" s="30" t="n">
        <f aca="false">D2936*31.9</f>
        <v>366.85</v>
      </c>
      <c r="E2937" s="30" t="n">
        <f aca="false">E2936*E2924</f>
        <v>429</v>
      </c>
      <c r="F2937" s="30" t="n">
        <f aca="false">F2936*F2924</f>
        <v>380.892331848518</v>
      </c>
      <c r="G2937" s="30" t="n">
        <f aca="false">G2936*G2924</f>
        <v>430.783239975898</v>
      </c>
    </row>
    <row r="2938" customFormat="false" ht="17.15" hidden="false" customHeight="false" outlineLevel="0" collapsed="false">
      <c r="A2938" s="4" t="s">
        <v>473</v>
      </c>
      <c r="B2938" s="0" t="s">
        <v>76</v>
      </c>
      <c r="C2938" s="21" t="n">
        <f aca="false">C2937/C2931</f>
        <v>0.264182166386732</v>
      </c>
      <c r="D2938" s="21" t="n">
        <f aca="false">D2937/D2931</f>
        <v>0.421101639775745</v>
      </c>
      <c r="E2938" s="21" t="n">
        <f aca="false">E2937/E2931</f>
        <v>0.381203595256906</v>
      </c>
      <c r="F2938" s="21" t="n">
        <f aca="false">F2937/F2931</f>
        <v>0.3</v>
      </c>
      <c r="G2938" s="21" t="n">
        <f aca="false">G2937/G2931</f>
        <v>0.3</v>
      </c>
    </row>
    <row r="2939" customFormat="false" ht="17.15" hidden="false" customHeight="false" outlineLevel="0" collapsed="false">
      <c r="A2939" s="4" t="s">
        <v>573</v>
      </c>
      <c r="B2939" s="0" t="s">
        <v>234</v>
      </c>
      <c r="C2939" s="30" t="n">
        <f aca="false">a25_da</f>
        <v>75.255</v>
      </c>
      <c r="D2939" s="30" t="n">
        <f aca="false">a26_da</f>
        <v>97.124</v>
      </c>
      <c r="E2939" s="30" t="n">
        <f aca="false">D2939*(1-1/life)+D2937/life</f>
        <v>130.83975</v>
      </c>
      <c r="F2939" s="30" t="n">
        <f aca="false">E2939*(1-1/life)+E2937/life</f>
        <v>168.10978125</v>
      </c>
      <c r="G2939" s="30" t="n">
        <f aca="false">F2939*(1-1/life)+F2937/life</f>
        <v>194.707600074815</v>
      </c>
      <c r="K2939" s="4" t="s">
        <v>574</v>
      </c>
    </row>
    <row r="2940" customFormat="false" ht="17.15" hidden="false" customHeight="false" outlineLevel="0" collapsed="false">
      <c r="A2940" s="4" t="s">
        <v>575</v>
      </c>
      <c r="B2940" s="0" t="s">
        <v>234</v>
      </c>
      <c r="C2940" s="30" t="n">
        <f aca="false">a25_agp</f>
        <v>91.38</v>
      </c>
      <c r="D2940" s="30" t="n">
        <f aca="false">a26_agp</f>
        <v>164.623388</v>
      </c>
      <c r="E2940" s="30" t="n">
        <f aca="false">$D2940+ft*(E2928-$D2928)-(E2939-$D2939)</f>
        <v>242.747070303058</v>
      </c>
      <c r="F2940" s="30" t="n">
        <f aca="false">$D2940+ft*(F2928-$D2928)-(F2939-$D2939)</f>
        <v>269.216633626521</v>
      </c>
      <c r="G2940" s="30" t="n">
        <f aca="false">$D2940+ft*(G2928-$D2928)-(G2939-$D2939)</f>
        <v>316.988275317365</v>
      </c>
      <c r="K2940" s="4" t="s">
        <v>576</v>
      </c>
    </row>
    <row r="2941" customFormat="false" ht="15" hidden="false" customHeight="false" outlineLevel="0" collapsed="false">
      <c r="A2941" s="4" t="s">
        <v>447</v>
      </c>
      <c r="B2941" s="0" t="s">
        <v>76</v>
      </c>
      <c r="C2941" s="14" t="n">
        <f aca="false">C2940/C2928</f>
        <v>0.234772421305764</v>
      </c>
      <c r="D2941" s="14" t="n">
        <f aca="false">D2940/D2928</f>
        <v>0.294112034690999</v>
      </c>
      <c r="E2941" s="14" t="n">
        <f aca="false">E2940/E2928</f>
        <v>0.309859920276908</v>
      </c>
      <c r="F2941" s="14" t="n">
        <f aca="false">F2940/F2928</f>
        <v>0.295553963416802</v>
      </c>
      <c r="G2941" s="14" t="n">
        <f aca="false">G2940/G2928</f>
        <v>0.299150760626608</v>
      </c>
    </row>
    <row r="2942" customFormat="false" ht="17.15" hidden="false" customHeight="false" outlineLevel="0" collapsed="false">
      <c r="A2942" s="0" t="s">
        <v>449</v>
      </c>
      <c r="B2942" s="0" t="s">
        <v>234</v>
      </c>
      <c r="C2942" s="30" t="n">
        <f aca="false">a25_egp</f>
        <v>23.695</v>
      </c>
      <c r="D2942" s="30" t="n">
        <f aca="false">a26_egp</f>
        <v>27.00552</v>
      </c>
      <c r="E2942" s="30" t="n">
        <f aca="false">E2929*ems_gm</f>
        <v>29.415287</v>
      </c>
      <c r="F2942" s="30" t="n">
        <f aca="false">F2929*ems_gm</f>
        <v>30.88605135</v>
      </c>
      <c r="G2942" s="30" t="n">
        <f aca="false">G2929*ems_gm</f>
        <v>32.4303539175</v>
      </c>
    </row>
    <row r="2943" customFormat="false" ht="15" hidden="false" customHeight="false" outlineLevel="0" collapsed="false">
      <c r="A2943" s="4" t="s">
        <v>577</v>
      </c>
      <c r="B2943" s="0" t="s">
        <v>234</v>
      </c>
      <c r="C2943" s="30" t="n">
        <f aca="false">a25_lgp</f>
        <v>-0.881999999999998</v>
      </c>
      <c r="D2943" s="30" t="n">
        <f aca="false">a26_lgp</f>
        <v>-0.948662139013863</v>
      </c>
      <c r="E2943" s="30" t="n">
        <f aca="false">$D2943/$D2930*E2930</f>
        <v>-1.22549143887864</v>
      </c>
      <c r="F2943" s="30" t="n">
        <f aca="false">$D2943/$D2930*F2930</f>
        <v>-1.38258217121135</v>
      </c>
      <c r="G2943" s="30" t="n">
        <f aca="false">$D2943/$D2930*G2930</f>
        <v>-1.5636787024744</v>
      </c>
    </row>
    <row r="2944" customFormat="false" ht="15" hidden="false" customHeight="false" outlineLevel="0" collapsed="false">
      <c r="A2944" s="4" t="s">
        <v>451</v>
      </c>
      <c r="B2944" s="0" t="s">
        <v>234</v>
      </c>
      <c r="C2944" s="30" t="n">
        <f aca="false">C2940+C2942+C2943</f>
        <v>114.193</v>
      </c>
      <c r="D2944" s="30" t="n">
        <f aca="false">D2940+D2942+D2943</f>
        <v>190.680245860986</v>
      </c>
      <c r="E2944" s="30" t="n">
        <f aca="false">E2940+E2942+E2943</f>
        <v>270.93686586418</v>
      </c>
      <c r="F2944" s="30" t="n">
        <f aca="false">F2940+F2942+F2943</f>
        <v>298.72010280531</v>
      </c>
      <c r="G2944" s="30" t="n">
        <f aca="false">G2940+G2942+G2943</f>
        <v>347.85495053239</v>
      </c>
    </row>
    <row r="2945" customFormat="false" ht="15" hidden="false" customHeight="false" outlineLevel="0" collapsed="false">
      <c r="A2945" s="4" t="s">
        <v>452</v>
      </c>
      <c r="B2945" s="0" t="s">
        <v>76</v>
      </c>
      <c r="C2945" s="14" t="n">
        <f aca="false">C2944/C2931</f>
        <v>0.176936974347214</v>
      </c>
      <c r="D2945" s="14" t="n">
        <f aca="false">D2944/D2931</f>
        <v>0.218879008327391</v>
      </c>
      <c r="E2945" s="14" t="n">
        <f aca="false">E2944/E2931</f>
        <v>0.240750832995486</v>
      </c>
      <c r="F2945" s="14" t="n">
        <f aca="false">F2944/F2931</f>
        <v>0.235279167755032</v>
      </c>
      <c r="G2945" s="14" t="n">
        <f aca="false">G2944/G2931</f>
        <v>0.242248248018089</v>
      </c>
    </row>
    <row r="2946" customFormat="false" ht="15" hidden="false" customHeight="false" outlineLevel="0" collapsed="false">
      <c r="A2946" s="4" t="s">
        <v>578</v>
      </c>
      <c r="B2946" s="0" t="s">
        <v>234</v>
      </c>
      <c r="C2946" s="30" t="n">
        <f aca="false">a25_opx</f>
        <v>63.437</v>
      </c>
      <c r="D2946" s="30" t="n">
        <f aca="false">a26_opx</f>
        <v>79.658</v>
      </c>
      <c r="E2946" s="30" t="n">
        <f aca="false">D2946*(1+phi*E2932)</f>
        <v>93.605010718622</v>
      </c>
      <c r="F2946" s="30" t="n">
        <f aca="false">E2946*(1+phi*F2932)</f>
        <v>100.804316670814</v>
      </c>
      <c r="G2946" s="30" t="n">
        <f aca="false">F2946*(1+phi*G2932)</f>
        <v>108.726585219713</v>
      </c>
    </row>
    <row r="2947" customFormat="false" ht="15" hidden="false" customHeight="false" outlineLevel="0" collapsed="false">
      <c r="A2947" s="4" t="s">
        <v>455</v>
      </c>
      <c r="B2947" s="0" t="s">
        <v>234</v>
      </c>
      <c r="C2947" s="30" t="n">
        <f aca="false">C2944-C2946</f>
        <v>50.756</v>
      </c>
      <c r="D2947" s="30" t="n">
        <f aca="false">D2944-D2946</f>
        <v>111.022245860986</v>
      </c>
      <c r="E2947" s="30" t="n">
        <f aca="false">E2944-E2946</f>
        <v>177.331855145557</v>
      </c>
      <c r="F2947" s="30" t="n">
        <f aca="false">F2944-F2946</f>
        <v>197.915786134496</v>
      </c>
      <c r="G2947" s="30" t="n">
        <f aca="false">G2944-G2946</f>
        <v>239.128365312678</v>
      </c>
    </row>
    <row r="2948" customFormat="false" ht="15" hidden="false" customHeight="false" outlineLevel="0" collapsed="false">
      <c r="A2948" s="4" t="s">
        <v>537</v>
      </c>
      <c r="B2948" s="0" t="s">
        <v>76</v>
      </c>
      <c r="C2948" s="14" t="n">
        <f aca="false">C2947/C2931</f>
        <v>0.0786441644406156</v>
      </c>
      <c r="D2948" s="14" t="n">
        <f aca="false">D2947/D2931</f>
        <v>0.127440779020437</v>
      </c>
      <c r="E2948" s="14" t="n">
        <f aca="false">E2947/E2931</f>
        <v>0.15757468702812</v>
      </c>
      <c r="F2948" s="14" t="n">
        <f aca="false">F2947/F2931</f>
        <v>0.155883253286291</v>
      </c>
      <c r="G2948" s="14" t="n">
        <f aca="false">G2947/G2931</f>
        <v>0.16653041004524</v>
      </c>
    </row>
    <row r="2949" customFormat="false" ht="15" hidden="false" customHeight="false" outlineLevel="0" collapsed="false">
      <c r="A2949" s="4" t="s">
        <v>456</v>
      </c>
      <c r="B2949" s="0" t="s">
        <v>234</v>
      </c>
      <c r="C2949" s="30" t="n">
        <f aca="false">a25_nonop</f>
        <v>0.545</v>
      </c>
      <c r="D2949" s="30" t="n">
        <f aca="false">a26_nonop</f>
        <v>4.302</v>
      </c>
      <c r="E2949" s="30" t="n">
        <f aca="false">nonop_f</f>
        <v>-5</v>
      </c>
      <c r="F2949" s="30" t="n">
        <f aca="false">nonop_f</f>
        <v>-5</v>
      </c>
      <c r="G2949" s="30" t="n">
        <f aca="false">nonop_f</f>
        <v>-5</v>
      </c>
    </row>
    <row r="2950" customFormat="false" ht="15" hidden="false" customHeight="false" outlineLevel="0" collapsed="false">
      <c r="A2950" s="4" t="s">
        <v>459</v>
      </c>
      <c r="B2950" s="0" t="s">
        <v>234</v>
      </c>
      <c r="C2950" s="30" t="n">
        <f aca="false">C2947+C2949</f>
        <v>51.301</v>
      </c>
      <c r="D2950" s="30" t="n">
        <f aca="false">D2947+D2949</f>
        <v>115.324245860986</v>
      </c>
      <c r="E2950" s="30" t="n">
        <f aca="false">E2947+E2949</f>
        <v>172.331855145557</v>
      </c>
      <c r="F2950" s="30" t="n">
        <f aca="false">F2947+F2949</f>
        <v>192.915786134496</v>
      </c>
      <c r="G2950" s="30" t="n">
        <f aca="false">G2947+G2949</f>
        <v>234.128365312678</v>
      </c>
    </row>
    <row r="2951" customFormat="false" ht="15" hidden="false" customHeight="false" outlineLevel="0" collapsed="false">
      <c r="A2951" s="4" t="s">
        <v>460</v>
      </c>
      <c r="B2951" s="0" t="s">
        <v>234</v>
      </c>
      <c r="C2951" s="30" t="n">
        <f aca="false">a25_tax</f>
        <v>9.461</v>
      </c>
      <c r="D2951" s="30" t="n">
        <f aca="false">a26_tax</f>
        <v>19.2197317963676</v>
      </c>
      <c r="E2951" s="30" t="n">
        <f aca="false">E2950*tax</f>
        <v>29.2964153747448</v>
      </c>
      <c r="F2951" s="30" t="n">
        <f aca="false">F2950*tax</f>
        <v>32.7956836428642</v>
      </c>
      <c r="G2951" s="30" t="n">
        <f aca="false">G2950*tax</f>
        <v>39.8018221031552</v>
      </c>
    </row>
    <row r="2952" customFormat="false" ht="15" hidden="false" customHeight="false" outlineLevel="0" collapsed="false">
      <c r="A2952" s="4" t="s">
        <v>461</v>
      </c>
      <c r="B2952" s="0" t="s">
        <v>234</v>
      </c>
      <c r="C2952" s="30" t="n">
        <f aca="false">a25_nci</f>
        <v>1.182</v>
      </c>
      <c r="D2952" s="30" t="n">
        <f aca="false">a26_nci</f>
        <v>2.543</v>
      </c>
      <c r="E2952" s="30" t="n">
        <f aca="false">nci</f>
        <v>3</v>
      </c>
      <c r="F2952" s="30" t="n">
        <f aca="false">nci</f>
        <v>3</v>
      </c>
      <c r="G2952" s="30" t="n">
        <f aca="false">nci</f>
        <v>3</v>
      </c>
    </row>
    <row r="2953" customFormat="false" ht="15" hidden="false" customHeight="false" outlineLevel="0" collapsed="false">
      <c r="A2953" s="4" t="s">
        <v>462</v>
      </c>
      <c r="B2953" s="0" t="s">
        <v>234</v>
      </c>
      <c r="C2953" s="30" t="n">
        <f aca="false">C2950-C2951-C2952</f>
        <v>40.658</v>
      </c>
      <c r="D2953" s="30" t="n">
        <f aca="false">D2950-D2951-D2952</f>
        <v>93.5615140646185</v>
      </c>
      <c r="E2953" s="30" t="n">
        <f aca="false">E2950-E2951-E2952</f>
        <v>140.035439770813</v>
      </c>
      <c r="F2953" s="30" t="n">
        <f aca="false">F2950-F2951-F2952</f>
        <v>157.120102491631</v>
      </c>
      <c r="G2953" s="30" t="n">
        <f aca="false">G2950-G2951-G2952</f>
        <v>191.326543209522</v>
      </c>
      <c r="H2953" s="31" t="n">
        <f aca="false">H2931*H2957</f>
        <v>211.099623444052</v>
      </c>
      <c r="I2953" s="31" t="n">
        <f aca="false">I2931*I2957</f>
        <v>227.936253342353</v>
      </c>
      <c r="J2953" s="31" t="n">
        <f aca="false">J2931*J2957</f>
        <v>240.738706773644</v>
      </c>
    </row>
    <row r="2954" customFormat="false" ht="15" hidden="false" customHeight="false" outlineLevel="0" collapsed="false">
      <c r="A2954" s="4" t="s">
        <v>579</v>
      </c>
      <c r="B2954" s="4" t="s">
        <v>580</v>
      </c>
      <c r="C2954" s="18" t="n">
        <f aca="false">a25_sh</f>
        <v>4339.16755602988</v>
      </c>
      <c r="D2954" s="18" t="n">
        <f aca="false">a26_sh</f>
        <v>4392.90105184664</v>
      </c>
      <c r="E2954" s="18" t="n">
        <f aca="false">D2954*(1+sh_g)</f>
        <v>4414.86555710588</v>
      </c>
      <c r="F2954" s="18" t="n">
        <f aca="false">E2954*(1+sh_g)</f>
        <v>4436.9398848914</v>
      </c>
      <c r="G2954" s="18" t="n">
        <f aca="false">F2954*(1+sh_g)</f>
        <v>4459.12458431586</v>
      </c>
      <c r="H2954" s="25" t="n">
        <f aca="false">G2954*(1+sh_g)</f>
        <v>4481.42020723744</v>
      </c>
      <c r="I2954" s="25" t="n">
        <f aca="false">H2954*(1+sh_g)</f>
        <v>4503.82730827363</v>
      </c>
      <c r="J2954" s="25" t="n">
        <f aca="false">I2954*(1+sh_g)</f>
        <v>4526.34644481499</v>
      </c>
    </row>
    <row r="2955" customFormat="false" ht="17.15" hidden="false" customHeight="false" outlineLevel="0" collapsed="false">
      <c r="A2955" s="0" t="s">
        <v>465</v>
      </c>
      <c r="B2955" s="0" t="s">
        <v>304</v>
      </c>
      <c r="C2955" s="19" t="n">
        <f aca="false">a25_eps</f>
        <v>9.37</v>
      </c>
      <c r="D2955" s="19" t="n">
        <f aca="false">a26_eps</f>
        <v>21.2828697294455</v>
      </c>
      <c r="E2955" s="19" t="n">
        <f aca="false">E2953/E2954*1000</f>
        <v>31.7190722932482</v>
      </c>
      <c r="F2955" s="19" t="n">
        <f aca="false">F2953/F2954*1000</f>
        <v>35.4118168304813</v>
      </c>
      <c r="G2955" s="19" t="n">
        <f aca="false">G2953/G2954*1000</f>
        <v>42.9067498769776</v>
      </c>
      <c r="H2955" s="28" t="n">
        <f aca="false">H2953/H2954*1000</f>
        <v>47.1055187155019</v>
      </c>
      <c r="I2955" s="28" t="n">
        <f aca="false">I2953/I2954*1000</f>
        <v>50.6094567444069</v>
      </c>
      <c r="J2955" s="28" t="n">
        <f aca="false">J2953/J2954*1000</f>
        <v>53.1860982602014</v>
      </c>
    </row>
    <row r="2956" customFormat="false" ht="17.15" hidden="false" customHeight="false" outlineLevel="0" collapsed="false">
      <c r="A2956" s="0" t="s">
        <v>581</v>
      </c>
      <c r="B2956" s="0" t="s">
        <v>76</v>
      </c>
      <c r="D2956" s="21" t="n">
        <f aca="false">D2955/C2955-1</f>
        <v>1.27138417603474</v>
      </c>
      <c r="E2956" s="21" t="n">
        <f aca="false">E2955/D2955-1</f>
        <v>0.490356925380408</v>
      </c>
      <c r="F2956" s="21" t="n">
        <f aca="false">F2955/E2955-1</f>
        <v>0.116420319708379</v>
      </c>
      <c r="G2956" s="21" t="n">
        <f aca="false">G2955/F2955-1</f>
        <v>0.211650621666067</v>
      </c>
      <c r="H2956" s="26" t="n">
        <f aca="false">H2955/G2955-1</f>
        <v>0.0978580025418627</v>
      </c>
      <c r="I2956" s="26" t="n">
        <f aca="false">I2955/H2955-1</f>
        <v>0.074384873035096</v>
      </c>
      <c r="J2956" s="26" t="n">
        <f aca="false">J2955/I2955-1</f>
        <v>0.0509122539846127</v>
      </c>
    </row>
    <row r="2957" customFormat="false" ht="17.15" hidden="false" customHeight="false" outlineLevel="0" collapsed="false">
      <c r="A2957" s="4" t="s">
        <v>582</v>
      </c>
      <c r="B2957" s="0" t="s">
        <v>76</v>
      </c>
      <c r="C2957" s="14" t="n">
        <f aca="false">C2953/C2931</f>
        <v>0.0629977625862272</v>
      </c>
      <c r="D2957" s="14" t="n">
        <f aca="false">D2953/D2931</f>
        <v>0.107397865592237</v>
      </c>
      <c r="E2957" s="14" t="n">
        <f aca="false">E2953/E2931</f>
        <v>0.124433596979058</v>
      </c>
      <c r="F2957" s="14" t="n">
        <f aca="false">F2953/F2931</f>
        <v>0.123751587538484</v>
      </c>
      <c r="G2957" s="14" t="n">
        <f aca="false">G2953/G2931</f>
        <v>0.133240937985582</v>
      </c>
      <c r="H2957" s="27" t="n">
        <f aca="false">$G2957+(fade_mA-$G2957)*1/3</f>
        <v>0.132762570261776</v>
      </c>
      <c r="I2957" s="27" t="n">
        <f aca="false">$G2957+(fade_mA-$G2957)*2/3</f>
        <v>0.13228420253797</v>
      </c>
      <c r="J2957" s="27" t="n">
        <f aca="false">$G2957+(fade_mA-$G2957)*3/3</f>
        <v>0.131805834814164</v>
      </c>
    </row>
    <row r="2958" customFormat="false" ht="17.15" hidden="false" customHeight="false" outlineLevel="0" collapsed="false">
      <c r="A2958" s="4" t="s">
        <v>583</v>
      </c>
      <c r="B2958" s="0" t="s">
        <v>234</v>
      </c>
      <c r="C2958" s="30" t="n">
        <f aca="false">C2953+C2939-C2937</f>
        <v>-54.587</v>
      </c>
      <c r="D2958" s="30" t="n">
        <f aca="false">D2953+D2939-D2937</f>
        <v>-176.164485935382</v>
      </c>
      <c r="E2958" s="30" t="n">
        <f aca="false">E2953+E2939-E2937</f>
        <v>-158.124810229187</v>
      </c>
      <c r="F2958" s="30" t="n">
        <f aca="false">F2953+F2939-F2937</f>
        <v>-55.6624481068872</v>
      </c>
      <c r="G2958" s="30" t="n">
        <f aca="false">G2953+G2939-G2937</f>
        <v>-44.7490966915607</v>
      </c>
      <c r="K2958" s="4" t="s">
        <v>584</v>
      </c>
    </row>
    <row r="2959" customFormat="false" ht="17.15" hidden="false" customHeight="false" outlineLevel="0" collapsed="false">
      <c r="A2959" s="4" t="s">
        <v>585</v>
      </c>
      <c r="B2959" s="0" t="s">
        <v>76</v>
      </c>
      <c r="D2959" s="21" t="n">
        <f aca="false">(D2947-$C2947)/SUM($D2937:D2937)</f>
        <v>0.164280348537512</v>
      </c>
      <c r="E2959" s="21" t="n">
        <f aca="false">(E2947-$C2947)/SUM($D2937:E2937)</f>
        <v>0.159044864164802</v>
      </c>
      <c r="F2959" s="21" t="n">
        <f aca="false">(F2947-$C2947)/SUM($D2937:F2937)</f>
        <v>0.125056932305074</v>
      </c>
      <c r="G2959" s="21" t="n">
        <f aca="false">(G2947-$C2947)/SUM($D2937:G2937)</f>
        <v>0.117181566884121</v>
      </c>
      <c r="K2959" s="4" t="s">
        <v>586</v>
      </c>
    </row>
    <row r="2962" customFormat="false" ht="17.15" hidden="false" customHeight="false" outlineLevel="0" collapsed="false">
      <c r="A2962" s="1" t="s">
        <v>974</v>
      </c>
    </row>
    <row r="2963" customFormat="false" ht="17.15" hidden="false" customHeight="false" outlineLevel="0" collapsed="false">
      <c r="A2963" s="5" t="s">
        <v>21</v>
      </c>
      <c r="B2963" s="5" t="s">
        <v>22</v>
      </c>
      <c r="C2963" s="15" t="s">
        <v>424</v>
      </c>
      <c r="D2963" s="15" t="s">
        <v>524</v>
      </c>
      <c r="E2963" s="15" t="s">
        <v>525</v>
      </c>
      <c r="F2963" s="15" t="s">
        <v>526</v>
      </c>
      <c r="G2963" s="15" t="s">
        <v>527</v>
      </c>
      <c r="H2963" s="15" t="s">
        <v>528</v>
      </c>
      <c r="I2963" s="15" t="s">
        <v>529</v>
      </c>
      <c r="J2963" s="15" t="s">
        <v>530</v>
      </c>
      <c r="K2963" s="5" t="s">
        <v>382</v>
      </c>
    </row>
    <row r="2964" customFormat="false" ht="17.15" hidden="false" customHeight="false" outlineLevel="0" collapsed="false">
      <c r="A2964" s="6" t="s">
        <v>548</v>
      </c>
    </row>
    <row r="2965" customFormat="false" ht="17.15" hidden="false" customHeight="false" outlineLevel="0" collapsed="false">
      <c r="A2965" s="0" t="s">
        <v>549</v>
      </c>
      <c r="B2965" s="4" t="s">
        <v>32</v>
      </c>
      <c r="D2965" s="19" t="n">
        <f aca="false">units_26</f>
        <v>15.2</v>
      </c>
      <c r="E2965" s="19" t="n">
        <f aca="false">units_27*1</f>
        <v>23.7</v>
      </c>
      <c r="F2965" s="19" t="n">
        <f aca="false">units_28*um28_B*1</f>
        <v>21.2</v>
      </c>
      <c r="G2965" s="19" t="n">
        <f aca="false">units_29*um29_B*1</f>
        <v>25.6275</v>
      </c>
    </row>
    <row r="2966" customFormat="false" ht="17.15" hidden="false" customHeight="false" outlineLevel="0" collapsed="false">
      <c r="A2966" s="4" t="s">
        <v>497</v>
      </c>
      <c r="B2966" s="0" t="s">
        <v>45</v>
      </c>
      <c r="D2966" s="22" t="n">
        <f aca="false">ar_26</f>
        <v>1</v>
      </c>
      <c r="E2966" s="22" t="n">
        <f aca="false">ar_27</f>
        <v>1.278156</v>
      </c>
      <c r="F2966" s="22" t="n">
        <f aca="false">ar_28</f>
        <v>1.428615</v>
      </c>
      <c r="G2966" s="22" t="n">
        <f aca="false">ar_29</f>
        <v>1.431796</v>
      </c>
    </row>
    <row r="2967" customFormat="false" ht="17.15" hidden="false" customHeight="false" outlineLevel="0" collapsed="false">
      <c r="A2967" s="4" t="s">
        <v>550</v>
      </c>
      <c r="B2967" s="0" t="s">
        <v>45</v>
      </c>
      <c r="D2967" s="19" t="n">
        <f aca="false">1</f>
        <v>1</v>
      </c>
      <c r="E2967" s="19" t="n">
        <f aca="false">rel27_B</f>
        <v>1.05</v>
      </c>
      <c r="F2967" s="19" t="n">
        <f aca="false">rel28_B</f>
        <v>1.08</v>
      </c>
      <c r="G2967" s="19" t="n">
        <f aca="false">rel29_B</f>
        <v>1.1</v>
      </c>
    </row>
    <row r="2968" customFormat="false" ht="17.15" hidden="false" customHeight="false" outlineLevel="0" collapsed="false">
      <c r="A2968" s="4" t="s">
        <v>551</v>
      </c>
      <c r="B2968" s="0" t="s">
        <v>502</v>
      </c>
      <c r="D2968" s="23" t="n">
        <f aca="false">D2969*1000/D2965</f>
        <v>236.842105263158</v>
      </c>
      <c r="E2968" s="23" t="n">
        <f aca="false">$D2968*E2966^el</f>
        <v>267.763172119488</v>
      </c>
      <c r="F2968" s="23" t="n">
        <f aca="false">$D2968*F2966^el</f>
        <v>283.084777049615</v>
      </c>
      <c r="G2968" s="23" t="n">
        <f aca="false">$D2968*G2966^el</f>
        <v>283.399764630809</v>
      </c>
      <c r="K2968" s="8" t="s">
        <v>552</v>
      </c>
    </row>
    <row r="2969" customFormat="false" ht="17.15" hidden="false" customHeight="false" outlineLevel="0" collapsed="false">
      <c r="A2969" s="0" t="s">
        <v>553</v>
      </c>
      <c r="B2969" s="0" t="s">
        <v>120</v>
      </c>
      <c r="D2969" s="22" t="n">
        <f aca="false">leap26-D2970-D2971</f>
        <v>3.6</v>
      </c>
      <c r="E2969" s="22" t="n">
        <f aca="false">E2965*E2967*E2968/1000</f>
        <v>6.66328653819345</v>
      </c>
      <c r="F2969" s="22" t="n">
        <f aca="false">F2965*F2967*F2968/1000</f>
        <v>6.48150905532798</v>
      </c>
      <c r="G2969" s="22" t="n">
        <f aca="false">G2965*G2967*G2968/1000</f>
        <v>7.98911021488366</v>
      </c>
      <c r="K2969" s="8" t="s">
        <v>554</v>
      </c>
    </row>
    <row r="2970" customFormat="false" ht="17.15" hidden="false" customHeight="false" outlineLevel="0" collapsed="false">
      <c r="A2970" s="4" t="s">
        <v>555</v>
      </c>
      <c r="B2970" s="0" t="s">
        <v>120</v>
      </c>
      <c r="D2970" s="22" t="n">
        <f aca="false">fp26</f>
        <v>0.3</v>
      </c>
      <c r="E2970" s="22" t="n">
        <f aca="false">fp27_B</f>
        <v>1</v>
      </c>
      <c r="F2970" s="22" t="n">
        <f aca="false">E2970*F2965/E2965*(1+fp_g)</f>
        <v>1.16286919831224</v>
      </c>
      <c r="G2970" s="22" t="n">
        <f aca="false">F2970*G2965/F2965*(1+fp_g)</f>
        <v>1.82744620253165</v>
      </c>
    </row>
    <row r="2971" customFormat="false" ht="17.15" hidden="false" customHeight="false" outlineLevel="0" collapsed="false">
      <c r="A2971" s="0" t="s">
        <v>556</v>
      </c>
      <c r="B2971" s="0" t="s">
        <v>120</v>
      </c>
      <c r="D2971" s="22" t="n">
        <f aca="false">cpo27*cpo_B_26/cpo_A_27</f>
        <v>0.1</v>
      </c>
      <c r="E2971" s="22" t="n">
        <f aca="false">cpo27*cpo_B_27/cpo_A_27</f>
        <v>0.3</v>
      </c>
      <c r="F2971" s="22" t="n">
        <f aca="false">cpo27*cpo_B_28/cpo_A_27*F2965/E2965</f>
        <v>0.447257383966245</v>
      </c>
      <c r="G2971" s="22" t="n">
        <f aca="false">cpo27*cpo_B_29/cpo_A_27*G2965/E2965</f>
        <v>0.86506329113924</v>
      </c>
      <c r="K2971" s="8" t="s">
        <v>557</v>
      </c>
    </row>
    <row r="2972" customFormat="false" ht="17.15" hidden="false" customHeight="false" outlineLevel="0" collapsed="false">
      <c r="A2972" s="0" t="s">
        <v>510</v>
      </c>
      <c r="B2972" s="0" t="s">
        <v>120</v>
      </c>
      <c r="C2972" s="22" t="n">
        <f aca="false">leap25</f>
        <v>1.6</v>
      </c>
      <c r="D2972" s="22" t="n">
        <f aca="false">D2969+D2970+D2971</f>
        <v>4</v>
      </c>
      <c r="E2972" s="22" t="n">
        <f aca="false">E2969+E2970+E2971</f>
        <v>7.96328653819345</v>
      </c>
      <c r="F2972" s="22" t="n">
        <f aca="false">F2969+F2970+F2971</f>
        <v>8.09163563760646</v>
      </c>
      <c r="G2972" s="22" t="n">
        <f aca="false">G2969+G2970+G2971</f>
        <v>10.6816197085545</v>
      </c>
    </row>
    <row r="2973" customFormat="false" ht="17.15" hidden="false" customHeight="false" outlineLevel="0" collapsed="false">
      <c r="A2973" s="4" t="s">
        <v>558</v>
      </c>
      <c r="B2973" s="0" t="s">
        <v>114</v>
      </c>
      <c r="C2973" s="19" t="n">
        <f aca="false">fx25</f>
        <v>31</v>
      </c>
      <c r="D2973" s="19" t="n">
        <f aca="false">a26_leap/D2972</f>
        <v>31.9</v>
      </c>
      <c r="E2973" s="19" t="n">
        <f aca="false">fx_hi</f>
        <v>33</v>
      </c>
      <c r="F2973" s="19" t="n">
        <f aca="false">fx_hi</f>
        <v>33</v>
      </c>
      <c r="G2973" s="19" t="n">
        <f aca="false">fx_hi</f>
        <v>33</v>
      </c>
      <c r="K2973" s="8" t="s">
        <v>559</v>
      </c>
    </row>
    <row r="2974" customFormat="false" ht="17.15" hidden="false" customHeight="false" outlineLevel="0" collapsed="false">
      <c r="A2974" s="6" t="s">
        <v>560</v>
      </c>
    </row>
    <row r="2975" customFormat="false" ht="17.15" hidden="false" customHeight="false" outlineLevel="0" collapsed="false">
      <c r="A2975" s="0" t="s">
        <v>438</v>
      </c>
      <c r="B2975" s="0" t="s">
        <v>234</v>
      </c>
      <c r="C2975" s="30" t="n">
        <f aca="false">a25_leap</f>
        <v>49.6</v>
      </c>
      <c r="D2975" s="30" t="n">
        <f aca="false">a26_leap</f>
        <v>127.6</v>
      </c>
      <c r="E2975" s="30" t="n">
        <f aca="false">E2972*E2973</f>
        <v>262.788455760384</v>
      </c>
      <c r="F2975" s="30" t="n">
        <f aca="false">F2972*F2973</f>
        <v>267.023976041013</v>
      </c>
      <c r="G2975" s="30" t="n">
        <f aca="false">G2972*G2973</f>
        <v>352.4934503823</v>
      </c>
    </row>
    <row r="2976" customFormat="false" ht="15" hidden="false" customHeight="false" outlineLevel="0" collapsed="false">
      <c r="A2976" s="4" t="s">
        <v>561</v>
      </c>
      <c r="B2976" s="0" t="s">
        <v>234</v>
      </c>
      <c r="C2976" s="30" t="n">
        <f aca="false">a25_ms</f>
        <v>339.628</v>
      </c>
      <c r="D2976" s="30" t="n">
        <f aca="false">a26_ms</f>
        <v>432.1302</v>
      </c>
      <c r="E2976" s="30" t="n">
        <f aca="false">D2976*(1+g_ms27)</f>
        <v>496.94973</v>
      </c>
      <c r="F2976" s="30" t="n">
        <f aca="false">E2976*(1+g_msL)</f>
        <v>531.7362111</v>
      </c>
      <c r="G2976" s="30" t="n">
        <f aca="false">F2976*(1+g_msL)</f>
        <v>568.957745877</v>
      </c>
    </row>
    <row r="2977" customFormat="false" ht="17.15" hidden="false" customHeight="false" outlineLevel="0" collapsed="false">
      <c r="A2977" s="4" t="s">
        <v>562</v>
      </c>
      <c r="B2977" s="0" t="s">
        <v>234</v>
      </c>
      <c r="C2977" s="30" t="n">
        <f aca="false">C2975+C2976</f>
        <v>389.228</v>
      </c>
      <c r="D2977" s="30" t="n">
        <f aca="false">D2975+D2976</f>
        <v>559.7302</v>
      </c>
      <c r="E2977" s="30" t="n">
        <f aca="false">E2975+E2976</f>
        <v>759.738185760384</v>
      </c>
      <c r="F2977" s="30" t="n">
        <f aca="false">F2975+F2976</f>
        <v>798.760187141013</v>
      </c>
      <c r="G2977" s="30" t="n">
        <f aca="false">G2975+G2976</f>
        <v>921.4511962593</v>
      </c>
    </row>
    <row r="2978" customFormat="false" ht="17.15" hidden="false" customHeight="false" outlineLevel="0" collapsed="false">
      <c r="A2978" s="0" t="s">
        <v>563</v>
      </c>
      <c r="B2978" s="0" t="s">
        <v>234</v>
      </c>
      <c r="C2978" s="30" t="n">
        <f aca="false">a25_ems</f>
        <v>259.079</v>
      </c>
      <c r="D2978" s="30" t="n">
        <f aca="false">a26_ems</f>
        <v>314.602</v>
      </c>
      <c r="E2978" s="30" t="n">
        <f aca="false">D2978*(1+g_ems27)</f>
        <v>346.0622</v>
      </c>
      <c r="F2978" s="30" t="n">
        <f aca="false">E2978*(1+g_emsL)</f>
        <v>363.36531</v>
      </c>
      <c r="G2978" s="30" t="n">
        <f aca="false">F2978*(1+g_emsL)</f>
        <v>381.5335755</v>
      </c>
    </row>
    <row r="2979" customFormat="false" ht="17.15" hidden="false" customHeight="false" outlineLevel="0" collapsed="false">
      <c r="A2979" s="4" t="s">
        <v>564</v>
      </c>
      <c r="B2979" s="0" t="s">
        <v>234</v>
      </c>
      <c r="C2979" s="30" t="n">
        <f aca="false">a25_elim</f>
        <v>-2.91899999999998</v>
      </c>
      <c r="D2979" s="30" t="n">
        <f aca="false">a26_elim</f>
        <v>-3.16484905982349</v>
      </c>
      <c r="E2979" s="30" t="n">
        <f aca="false">$D2979/($D2977+$D2978)*(E2977+E2978)</f>
        <v>-4.00270207505362</v>
      </c>
      <c r="F2979" s="30" t="n">
        <f aca="false">$D2979/($D2977+$D2978)*(F2977+F2978)</f>
        <v>-4.20658393574392</v>
      </c>
      <c r="G2979" s="30" t="n">
        <f aca="false">$D2979/($D2977+$D2978)*(G2977+G2978)</f>
        <v>-4.71645689117562</v>
      </c>
      <c r="K2979" s="4" t="s">
        <v>565</v>
      </c>
    </row>
    <row r="2980" customFormat="false" ht="17.15" hidden="false" customHeight="false" outlineLevel="0" collapsed="false">
      <c r="A2980" s="4" t="s">
        <v>431</v>
      </c>
      <c r="B2980" s="0" t="s">
        <v>234</v>
      </c>
      <c r="C2980" s="30" t="n">
        <f aca="false">C2977+C2978+C2979</f>
        <v>645.388</v>
      </c>
      <c r="D2980" s="30" t="n">
        <f aca="false">D2977+D2978+D2979</f>
        <v>871.167350940177</v>
      </c>
      <c r="E2980" s="30" t="n">
        <f aca="false">E2977+E2978+E2979</f>
        <v>1101.79768368533</v>
      </c>
      <c r="F2980" s="30" t="n">
        <f aca="false">F2977+F2978+F2979</f>
        <v>1157.91891320527</v>
      </c>
      <c r="G2980" s="30" t="n">
        <f aca="false">G2977+G2978+G2979</f>
        <v>1298.26831486812</v>
      </c>
      <c r="H2980" s="31" t="n">
        <f aca="false">G2980*(1+H2981)</f>
        <v>1420.48583660344</v>
      </c>
      <c r="I2980" s="31" t="n">
        <f aca="false">H2980*(1+I2981)</f>
        <v>1515.75702435101</v>
      </c>
      <c r="J2980" s="31" t="n">
        <f aca="false">I2980*(1+J2981)</f>
        <v>1576.38730532505</v>
      </c>
      <c r="K2980" s="8" t="s">
        <v>566</v>
      </c>
    </row>
    <row r="2981" customFormat="false" ht="15" hidden="false" customHeight="false" outlineLevel="0" collapsed="false">
      <c r="A2981" s="4" t="s">
        <v>567</v>
      </c>
      <c r="B2981" s="0" t="s">
        <v>76</v>
      </c>
      <c r="D2981" s="21" t="n">
        <f aca="false">D2980/C2980-1</f>
        <v>0.349835061916516</v>
      </c>
      <c r="E2981" s="21" t="n">
        <f aca="false">E2980/D2980-1</f>
        <v>0.264737116807987</v>
      </c>
      <c r="F2981" s="21" t="n">
        <f aca="false">F2980/E2980-1</f>
        <v>0.0509360569103963</v>
      </c>
      <c r="G2981" s="21" t="n">
        <f aca="false">G2980/F2980-1</f>
        <v>0.121208316111143</v>
      </c>
      <c r="H2981" s="26" t="n">
        <f aca="false">$G2981+(fade_gB-$G2981)*1/3</f>
        <v>0.0941388774074287</v>
      </c>
      <c r="I2981" s="26" t="n">
        <f aca="false">$G2981+(fade_gB-$G2981)*2/3</f>
        <v>0.0670694387037144</v>
      </c>
      <c r="J2981" s="26" t="n">
        <f aca="false">$G2981+(fade_gB-$G2981)*3/3</f>
        <v>0.04</v>
      </c>
    </row>
    <row r="2982" customFormat="false" ht="17.15" hidden="false" customHeight="false" outlineLevel="0" collapsed="false">
      <c r="A2982" s="0" t="s">
        <v>475</v>
      </c>
      <c r="B2982" s="0" t="s">
        <v>76</v>
      </c>
      <c r="C2982" s="21" t="n">
        <f aca="false">C2975/C2977</f>
        <v>0.127431736668482</v>
      </c>
      <c r="D2982" s="21" t="n">
        <f aca="false">D2975/D2977</f>
        <v>0.227966974088588</v>
      </c>
      <c r="E2982" s="21" t="n">
        <f aca="false">E2975/E2977</f>
        <v>0.345893441564178</v>
      </c>
      <c r="F2982" s="21" t="n">
        <f aca="false">F2975/F2977</f>
        <v>0.334298053833613</v>
      </c>
      <c r="G2982" s="21" t="n">
        <f aca="false">G2975/G2977</f>
        <v>0.38254163846471</v>
      </c>
    </row>
    <row r="2983" customFormat="false" ht="15" hidden="false" customHeight="false" outlineLevel="0" collapsed="false">
      <c r="A2983" s="4" t="s">
        <v>568</v>
      </c>
      <c r="B2983" s="0" t="s">
        <v>76</v>
      </c>
      <c r="D2983" s="21" t="n">
        <f aca="false">D2977/C2977-1</f>
        <v>0.438052247012034</v>
      </c>
      <c r="E2983" s="21" t="n">
        <f aca="false">E2977/D2977-1</f>
        <v>0.357329273568558</v>
      </c>
      <c r="F2983" s="21" t="n">
        <f aca="false">F2977/E2977-1</f>
        <v>0.0513624326274638</v>
      </c>
      <c r="G2983" s="21" t="n">
        <f aca="false">G2977/F2977-1</f>
        <v>0.153601808269178</v>
      </c>
    </row>
    <row r="2984" customFormat="false" ht="17.15" hidden="false" customHeight="false" outlineLevel="0" collapsed="false">
      <c r="A2984" s="6" t="s">
        <v>569</v>
      </c>
    </row>
    <row r="2985" customFormat="false" ht="17.15" hidden="false" customHeight="false" outlineLevel="0" collapsed="false">
      <c r="A2985" s="4" t="s">
        <v>570</v>
      </c>
      <c r="B2985" s="0" t="s">
        <v>120</v>
      </c>
      <c r="C2985" s="19" t="n">
        <f aca="false">capex25</f>
        <v>5.5</v>
      </c>
      <c r="D2985" s="19" t="n">
        <f aca="false">capex26</f>
        <v>11.5</v>
      </c>
      <c r="E2985" s="19" t="n">
        <f aca="false">capex27</f>
        <v>13</v>
      </c>
      <c r="F2985" s="19" t="n">
        <f aca="false">capi*F2980/F2973</f>
        <v>10.5265355745934</v>
      </c>
      <c r="G2985" s="19" t="n">
        <f aca="false">capi*G2980/G2973</f>
        <v>11.8024392260739</v>
      </c>
      <c r="K2985" s="8" t="s">
        <v>571</v>
      </c>
    </row>
    <row r="2986" customFormat="false" ht="15" hidden="false" customHeight="false" outlineLevel="0" collapsed="false">
      <c r="A2986" s="4" t="s">
        <v>572</v>
      </c>
      <c r="B2986" s="0" t="s">
        <v>234</v>
      </c>
      <c r="C2986" s="30" t="n">
        <f aca="false">C2985*C2973</f>
        <v>170.5</v>
      </c>
      <c r="D2986" s="30" t="n">
        <f aca="false">D2985*31.9</f>
        <v>366.85</v>
      </c>
      <c r="E2986" s="30" t="n">
        <f aca="false">E2985*E2973</f>
        <v>429</v>
      </c>
      <c r="F2986" s="30" t="n">
        <f aca="false">F2985*F2973</f>
        <v>347.375673961581</v>
      </c>
      <c r="G2986" s="30" t="n">
        <f aca="false">G2985*G2973</f>
        <v>389.480494460437</v>
      </c>
    </row>
    <row r="2987" customFormat="false" ht="17.15" hidden="false" customHeight="false" outlineLevel="0" collapsed="false">
      <c r="A2987" s="4" t="s">
        <v>473</v>
      </c>
      <c r="B2987" s="0" t="s">
        <v>76</v>
      </c>
      <c r="C2987" s="21" t="n">
        <f aca="false">C2986/C2980</f>
        <v>0.264182166386732</v>
      </c>
      <c r="D2987" s="21" t="n">
        <f aca="false">D2986/D2980</f>
        <v>0.421101639775745</v>
      </c>
      <c r="E2987" s="21" t="n">
        <f aca="false">E2986/E2980</f>
        <v>0.38936367933273</v>
      </c>
      <c r="F2987" s="21" t="n">
        <f aca="false">F2986/F2980</f>
        <v>0.3</v>
      </c>
      <c r="G2987" s="21" t="n">
        <f aca="false">G2986/G2980</f>
        <v>0.3</v>
      </c>
    </row>
    <row r="2988" customFormat="false" ht="17.15" hidden="false" customHeight="false" outlineLevel="0" collapsed="false">
      <c r="A2988" s="4" t="s">
        <v>573</v>
      </c>
      <c r="B2988" s="0" t="s">
        <v>234</v>
      </c>
      <c r="C2988" s="30" t="n">
        <f aca="false">a25_da</f>
        <v>75.255</v>
      </c>
      <c r="D2988" s="30" t="n">
        <f aca="false">a26_da</f>
        <v>97.124</v>
      </c>
      <c r="E2988" s="30" t="n">
        <f aca="false">D2988*(1-1/life)+D2986/life</f>
        <v>130.83975</v>
      </c>
      <c r="F2988" s="30" t="n">
        <f aca="false">E2988*(1-1/life)+E2986/life</f>
        <v>168.10978125</v>
      </c>
      <c r="G2988" s="30" t="n">
        <f aca="false">F2988*(1-1/life)+F2986/life</f>
        <v>190.518017838948</v>
      </c>
      <c r="K2988" s="4" t="s">
        <v>574</v>
      </c>
    </row>
    <row r="2989" customFormat="false" ht="17.15" hidden="false" customHeight="false" outlineLevel="0" collapsed="false">
      <c r="A2989" s="4" t="s">
        <v>575</v>
      </c>
      <c r="B2989" s="0" t="s">
        <v>234</v>
      </c>
      <c r="C2989" s="30" t="n">
        <f aca="false">a25_agp</f>
        <v>91.38</v>
      </c>
      <c r="D2989" s="30" t="n">
        <f aca="false">a26_agp</f>
        <v>164.623388</v>
      </c>
      <c r="E2989" s="30" t="n">
        <f aca="false">$D2989+ft*(E2977-$D2977)-(E2988-$D2988)</f>
        <v>230.911630880192</v>
      </c>
      <c r="F2989" s="30" t="n">
        <f aca="false">$D2989+ft*(F2977-$D2977)-(F2988-$D2988)</f>
        <v>213.152600320507</v>
      </c>
      <c r="G2989" s="30" t="n">
        <f aca="false">$D2989+ft*(G2977-$D2977)-(G2988-$D2988)</f>
        <v>252.089868290702</v>
      </c>
      <c r="K2989" s="4" t="s">
        <v>576</v>
      </c>
    </row>
    <row r="2990" customFormat="false" ht="15" hidden="false" customHeight="false" outlineLevel="0" collapsed="false">
      <c r="A2990" s="4" t="s">
        <v>447</v>
      </c>
      <c r="B2990" s="0" t="s">
        <v>76</v>
      </c>
      <c r="C2990" s="14" t="n">
        <f aca="false">C2989/C2977</f>
        <v>0.234772421305764</v>
      </c>
      <c r="D2990" s="14" t="n">
        <f aca="false">D2989/D2977</f>
        <v>0.294112034690999</v>
      </c>
      <c r="E2990" s="14" t="n">
        <f aca="false">E2989/E2977</f>
        <v>0.303935796841756</v>
      </c>
      <c r="F2990" s="14" t="n">
        <f aca="false">F2989/F2977</f>
        <v>0.266854312160249</v>
      </c>
      <c r="G2990" s="14" t="n">
        <f aca="false">G2989/G2977</f>
        <v>0.273579186086122</v>
      </c>
    </row>
    <row r="2991" customFormat="false" ht="17.15" hidden="false" customHeight="false" outlineLevel="0" collapsed="false">
      <c r="A2991" s="0" t="s">
        <v>449</v>
      </c>
      <c r="B2991" s="0" t="s">
        <v>234</v>
      </c>
      <c r="C2991" s="30" t="n">
        <f aca="false">a25_egp</f>
        <v>23.695</v>
      </c>
      <c r="D2991" s="30" t="n">
        <f aca="false">a26_egp</f>
        <v>27.00552</v>
      </c>
      <c r="E2991" s="30" t="n">
        <f aca="false">E2978*ems_gm</f>
        <v>29.415287</v>
      </c>
      <c r="F2991" s="30" t="n">
        <f aca="false">F2978*ems_gm</f>
        <v>30.88605135</v>
      </c>
      <c r="G2991" s="30" t="n">
        <f aca="false">G2978*ems_gm</f>
        <v>32.4303539175</v>
      </c>
    </row>
    <row r="2992" customFormat="false" ht="15" hidden="false" customHeight="false" outlineLevel="0" collapsed="false">
      <c r="A2992" s="4" t="s">
        <v>577</v>
      </c>
      <c r="B2992" s="0" t="s">
        <v>234</v>
      </c>
      <c r="C2992" s="30" t="n">
        <f aca="false">a25_lgp</f>
        <v>-0.881999999999998</v>
      </c>
      <c r="D2992" s="30" t="n">
        <f aca="false">a26_lgp</f>
        <v>-0.948662139013863</v>
      </c>
      <c r="E2992" s="30" t="n">
        <f aca="false">$D2992/$D2979*E2979</f>
        <v>-1.19980821852129</v>
      </c>
      <c r="F2992" s="30" t="n">
        <f aca="false">$D2992/$D2979*F2979</f>
        <v>-1.26092171822145</v>
      </c>
      <c r="G2992" s="30" t="n">
        <f aca="false">$D2992/$D2979*G2979</f>
        <v>-1.41375591643504</v>
      </c>
    </row>
    <row r="2993" customFormat="false" ht="15" hidden="false" customHeight="false" outlineLevel="0" collapsed="false">
      <c r="A2993" s="4" t="s">
        <v>451</v>
      </c>
      <c r="B2993" s="0" t="s">
        <v>234</v>
      </c>
      <c r="C2993" s="30" t="n">
        <f aca="false">C2989+C2991+C2992</f>
        <v>114.193</v>
      </c>
      <c r="D2993" s="30" t="n">
        <f aca="false">D2989+D2991+D2992</f>
        <v>190.680245860986</v>
      </c>
      <c r="E2993" s="30" t="n">
        <f aca="false">E2989+E2991+E2992</f>
        <v>259.127109661671</v>
      </c>
      <c r="F2993" s="30" t="n">
        <f aca="false">F2989+F2991+F2992</f>
        <v>242.777729952285</v>
      </c>
      <c r="G2993" s="30" t="n">
        <f aca="false">G2989+G2991+G2992</f>
        <v>283.106466291767</v>
      </c>
    </row>
    <row r="2994" customFormat="false" ht="15" hidden="false" customHeight="false" outlineLevel="0" collapsed="false">
      <c r="A2994" s="4" t="s">
        <v>452</v>
      </c>
      <c r="B2994" s="0" t="s">
        <v>76</v>
      </c>
      <c r="C2994" s="14" t="n">
        <f aca="false">C2993/C2980</f>
        <v>0.176936974347214</v>
      </c>
      <c r="D2994" s="14" t="n">
        <f aca="false">D2993/D2980</f>
        <v>0.218879008327391</v>
      </c>
      <c r="E2994" s="14" t="n">
        <f aca="false">E2993/E2980</f>
        <v>0.235185745530825</v>
      </c>
      <c r="F2994" s="14" t="n">
        <f aca="false">F2993/F2980</f>
        <v>0.209667298101423</v>
      </c>
      <c r="G2994" s="14" t="n">
        <f aca="false">G2993/G2980</f>
        <v>0.218064681275476</v>
      </c>
    </row>
    <row r="2995" customFormat="false" ht="15" hidden="false" customHeight="false" outlineLevel="0" collapsed="false">
      <c r="A2995" s="4" t="s">
        <v>578</v>
      </c>
      <c r="B2995" s="0" t="s">
        <v>234</v>
      </c>
      <c r="C2995" s="30" t="n">
        <f aca="false">a25_opx</f>
        <v>63.437</v>
      </c>
      <c r="D2995" s="30" t="n">
        <f aca="false">a26_opx</f>
        <v>79.658</v>
      </c>
      <c r="E2995" s="30" t="n">
        <f aca="false">D2995*(1+phi*E2981)</f>
        <v>92.3110575504144</v>
      </c>
      <c r="F2995" s="30" t="n">
        <f aca="false">E2995*(1+phi*F2981)</f>
        <v>95.1322343189224</v>
      </c>
      <c r="G2995" s="30" t="n">
        <f aca="false">F2995*(1+phi*G2981)</f>
        <v>102.050725076735</v>
      </c>
    </row>
    <row r="2996" customFormat="false" ht="15" hidden="false" customHeight="false" outlineLevel="0" collapsed="false">
      <c r="A2996" s="4" t="s">
        <v>455</v>
      </c>
      <c r="B2996" s="0" t="s">
        <v>234</v>
      </c>
      <c r="C2996" s="30" t="n">
        <f aca="false">C2993-C2995</f>
        <v>50.756</v>
      </c>
      <c r="D2996" s="30" t="n">
        <f aca="false">D2993-D2995</f>
        <v>111.022245860986</v>
      </c>
      <c r="E2996" s="30" t="n">
        <f aca="false">E2993-E2995</f>
        <v>166.816052111256</v>
      </c>
      <c r="F2996" s="30" t="n">
        <f aca="false">F2993-F2995</f>
        <v>147.645495633363</v>
      </c>
      <c r="G2996" s="30" t="n">
        <f aca="false">G2993-G2995</f>
        <v>181.055741215033</v>
      </c>
    </row>
    <row r="2997" customFormat="false" ht="15" hidden="false" customHeight="false" outlineLevel="0" collapsed="false">
      <c r="A2997" s="4" t="s">
        <v>537</v>
      </c>
      <c r="B2997" s="0" t="s">
        <v>76</v>
      </c>
      <c r="C2997" s="14" t="n">
        <f aca="false">C2996/C2980</f>
        <v>0.0786441644406156</v>
      </c>
      <c r="D2997" s="14" t="n">
        <f aca="false">D2996/D2980</f>
        <v>0.127440779020437</v>
      </c>
      <c r="E2997" s="14" t="n">
        <f aca="false">E2996/E2980</f>
        <v>0.151403524060138</v>
      </c>
      <c r="F2997" s="14" t="n">
        <f aca="false">F2996/F2980</f>
        <v>0.127509356613462</v>
      </c>
      <c r="G2997" s="14" t="n">
        <f aca="false">G2996/G2980</f>
        <v>0.139459416163464</v>
      </c>
    </row>
    <row r="2998" customFormat="false" ht="15" hidden="false" customHeight="false" outlineLevel="0" collapsed="false">
      <c r="A2998" s="4" t="s">
        <v>456</v>
      </c>
      <c r="B2998" s="0" t="s">
        <v>234</v>
      </c>
      <c r="C2998" s="30" t="n">
        <f aca="false">a25_nonop</f>
        <v>0.545</v>
      </c>
      <c r="D2998" s="30" t="n">
        <f aca="false">a26_nonop</f>
        <v>4.302</v>
      </c>
      <c r="E2998" s="30" t="n">
        <f aca="false">nonop_f</f>
        <v>-5</v>
      </c>
      <c r="F2998" s="30" t="n">
        <f aca="false">nonop_f</f>
        <v>-5</v>
      </c>
      <c r="G2998" s="30" t="n">
        <f aca="false">nonop_f</f>
        <v>-5</v>
      </c>
    </row>
    <row r="2999" customFormat="false" ht="15" hidden="false" customHeight="false" outlineLevel="0" collapsed="false">
      <c r="A2999" s="4" t="s">
        <v>459</v>
      </c>
      <c r="B2999" s="0" t="s">
        <v>234</v>
      </c>
      <c r="C2999" s="30" t="n">
        <f aca="false">C2996+C2998</f>
        <v>51.301</v>
      </c>
      <c r="D2999" s="30" t="n">
        <f aca="false">D2996+D2998</f>
        <v>115.324245860986</v>
      </c>
      <c r="E2999" s="30" t="n">
        <f aca="false">E2996+E2998</f>
        <v>161.816052111256</v>
      </c>
      <c r="F2999" s="30" t="n">
        <f aca="false">F2996+F2998</f>
        <v>142.645495633363</v>
      </c>
      <c r="G2999" s="30" t="n">
        <f aca="false">G2996+G2998</f>
        <v>176.055741215033</v>
      </c>
    </row>
    <row r="3000" customFormat="false" ht="15" hidden="false" customHeight="false" outlineLevel="0" collapsed="false">
      <c r="A3000" s="4" t="s">
        <v>460</v>
      </c>
      <c r="B3000" s="0" t="s">
        <v>234</v>
      </c>
      <c r="C3000" s="30" t="n">
        <f aca="false">a25_tax</f>
        <v>9.461</v>
      </c>
      <c r="D3000" s="30" t="n">
        <f aca="false">a26_tax</f>
        <v>19.2197317963676</v>
      </c>
      <c r="E3000" s="30" t="n">
        <f aca="false">E2999*tax</f>
        <v>27.5087288589136</v>
      </c>
      <c r="F3000" s="30" t="n">
        <f aca="false">F2999*tax</f>
        <v>24.2497342576717</v>
      </c>
      <c r="G3000" s="30" t="n">
        <f aca="false">G2999*tax</f>
        <v>29.9294760065555</v>
      </c>
    </row>
    <row r="3001" customFormat="false" ht="15" hidden="false" customHeight="false" outlineLevel="0" collapsed="false">
      <c r="A3001" s="4" t="s">
        <v>461</v>
      </c>
      <c r="B3001" s="0" t="s">
        <v>234</v>
      </c>
      <c r="C3001" s="30" t="n">
        <f aca="false">a25_nci</f>
        <v>1.182</v>
      </c>
      <c r="D3001" s="30" t="n">
        <f aca="false">a26_nci</f>
        <v>2.543</v>
      </c>
      <c r="E3001" s="30" t="n">
        <f aca="false">nci</f>
        <v>3</v>
      </c>
      <c r="F3001" s="30" t="n">
        <f aca="false">nci</f>
        <v>3</v>
      </c>
      <c r="G3001" s="30" t="n">
        <f aca="false">nci</f>
        <v>3</v>
      </c>
    </row>
    <row r="3002" customFormat="false" ht="15" hidden="false" customHeight="false" outlineLevel="0" collapsed="false">
      <c r="A3002" s="4" t="s">
        <v>462</v>
      </c>
      <c r="B3002" s="0" t="s">
        <v>234</v>
      </c>
      <c r="C3002" s="30" t="n">
        <f aca="false">C2999-C3000-C3001</f>
        <v>40.658</v>
      </c>
      <c r="D3002" s="30" t="n">
        <f aca="false">D2999-D3000-D3001</f>
        <v>93.5615140646185</v>
      </c>
      <c r="E3002" s="30" t="n">
        <f aca="false">E2999-E3000-E3001</f>
        <v>131.307323252343</v>
      </c>
      <c r="F3002" s="30" t="n">
        <f aca="false">F2999-F3000-F3001</f>
        <v>115.395761375691</v>
      </c>
      <c r="G3002" s="30" t="n">
        <f aca="false">G2999-G3000-G3001</f>
        <v>143.126265208477</v>
      </c>
      <c r="H3002" s="31" t="n">
        <f aca="false">H2980*H3006</f>
        <v>150.927912136724</v>
      </c>
      <c r="I3002" s="31" t="n">
        <f aca="false">I2980*I3006</f>
        <v>154.998038985857</v>
      </c>
      <c r="J3002" s="31" t="n">
        <f aca="false">J2980*J3006</f>
        <v>154.903336102587</v>
      </c>
    </row>
    <row r="3003" customFormat="false" ht="15" hidden="false" customHeight="false" outlineLevel="0" collapsed="false">
      <c r="A3003" s="4" t="s">
        <v>579</v>
      </c>
      <c r="B3003" s="4" t="s">
        <v>580</v>
      </c>
      <c r="C3003" s="18" t="n">
        <f aca="false">a25_sh</f>
        <v>4339.16755602988</v>
      </c>
      <c r="D3003" s="18" t="n">
        <f aca="false">a26_sh</f>
        <v>4392.90105184664</v>
      </c>
      <c r="E3003" s="18" t="n">
        <f aca="false">D3003*(1+sh_g)</f>
        <v>4414.86555710588</v>
      </c>
      <c r="F3003" s="18" t="n">
        <f aca="false">E3003*(1+sh_g)</f>
        <v>4436.9398848914</v>
      </c>
      <c r="G3003" s="18" t="n">
        <f aca="false">F3003*(1+sh_g)</f>
        <v>4459.12458431586</v>
      </c>
      <c r="H3003" s="25" t="n">
        <f aca="false">G3003*(1+sh_g)</f>
        <v>4481.42020723744</v>
      </c>
      <c r="I3003" s="25" t="n">
        <f aca="false">H3003*(1+sh_g)</f>
        <v>4503.82730827363</v>
      </c>
      <c r="J3003" s="25" t="n">
        <f aca="false">I3003*(1+sh_g)</f>
        <v>4526.34644481499</v>
      </c>
    </row>
    <row r="3004" customFormat="false" ht="17.15" hidden="false" customHeight="false" outlineLevel="0" collapsed="false">
      <c r="A3004" s="0" t="s">
        <v>465</v>
      </c>
      <c r="B3004" s="0" t="s">
        <v>304</v>
      </c>
      <c r="C3004" s="19" t="n">
        <f aca="false">a25_eps</f>
        <v>9.37</v>
      </c>
      <c r="D3004" s="19" t="n">
        <f aca="false">a26_eps</f>
        <v>21.2828697294455</v>
      </c>
      <c r="E3004" s="19" t="n">
        <f aca="false">E3002/E3003*1000</f>
        <v>29.7420887576065</v>
      </c>
      <c r="F3004" s="19" t="n">
        <f aca="false">F3002/F3003*1000</f>
        <v>26.0079614259898</v>
      </c>
      <c r="G3004" s="19" t="n">
        <f aca="false">G3002/G3003*1000</f>
        <v>32.0973909793633</v>
      </c>
      <c r="H3004" s="28" t="n">
        <f aca="false">H3002/H3003*1000</f>
        <v>33.678589633924</v>
      </c>
      <c r="I3004" s="28" t="n">
        <f aca="false">I3002/I3003*1000</f>
        <v>34.4147384827838</v>
      </c>
      <c r="J3004" s="28" t="n">
        <f aca="false">J3002/J3003*1000</f>
        <v>34.2225982900692</v>
      </c>
    </row>
    <row r="3005" customFormat="false" ht="17.15" hidden="false" customHeight="false" outlineLevel="0" collapsed="false">
      <c r="A3005" s="0" t="s">
        <v>581</v>
      </c>
      <c r="B3005" s="0" t="s">
        <v>76</v>
      </c>
      <c r="D3005" s="21" t="n">
        <f aca="false">D3004/C3004-1</f>
        <v>1.27138417603474</v>
      </c>
      <c r="E3005" s="21" t="n">
        <f aca="false">E3004/D3004-1</f>
        <v>0.39746609060231</v>
      </c>
      <c r="F3005" s="21" t="n">
        <f aca="false">F3004/E3004-1</f>
        <v>-0.125550271941198</v>
      </c>
      <c r="G3005" s="21" t="n">
        <f aca="false">G3004/F3004-1</f>
        <v>0.234137134150329</v>
      </c>
      <c r="H3005" s="26" t="n">
        <f aca="false">H3004/G3004-1</f>
        <v>0.0492625290191746</v>
      </c>
      <c r="I3005" s="26" t="n">
        <f aca="false">I3004/H3004-1</f>
        <v>0.0218580664113781</v>
      </c>
      <c r="J3005" s="26" t="n">
        <f aca="false">J3004/I3004-1</f>
        <v>-0.00558307868039487</v>
      </c>
    </row>
    <row r="3006" customFormat="false" ht="17.15" hidden="false" customHeight="false" outlineLevel="0" collapsed="false">
      <c r="A3006" s="4" t="s">
        <v>582</v>
      </c>
      <c r="B3006" s="0" t="s">
        <v>76</v>
      </c>
      <c r="C3006" s="14" t="n">
        <f aca="false">C3002/C2980</f>
        <v>0.0629977625862272</v>
      </c>
      <c r="D3006" s="14" t="n">
        <f aca="false">D3002/D2980</f>
        <v>0.107397865592237</v>
      </c>
      <c r="E3006" s="14" t="n">
        <f aca="false">E3002/E2980</f>
        <v>0.119175530314369</v>
      </c>
      <c r="F3006" s="14" t="n">
        <f aca="false">F3002/F2980</f>
        <v>0.0996578949179271</v>
      </c>
      <c r="G3006" s="14" t="n">
        <f aca="false">G3002/G2980</f>
        <v>0.110243979283293</v>
      </c>
      <c r="H3006" s="27" t="n">
        <f aca="false">$G3006+(fade_mB-$G3006)*1/3</f>
        <v>0.10625090954628</v>
      </c>
      <c r="I3006" s="27" t="n">
        <f aca="false">$G3006+(fade_mB-$G3006)*2/3</f>
        <v>0.102257839809267</v>
      </c>
      <c r="J3006" s="27" t="n">
        <f aca="false">$G3006+(fade_mB-$G3006)*3/3</f>
        <v>0.0982647700722541</v>
      </c>
    </row>
    <row r="3007" customFormat="false" ht="17.15" hidden="false" customHeight="false" outlineLevel="0" collapsed="false">
      <c r="A3007" s="4" t="s">
        <v>583</v>
      </c>
      <c r="B3007" s="0" t="s">
        <v>234</v>
      </c>
      <c r="C3007" s="30" t="n">
        <f aca="false">C3002+C2988-C2986</f>
        <v>-54.587</v>
      </c>
      <c r="D3007" s="30" t="n">
        <f aca="false">D3002+D2988-D2986</f>
        <v>-176.164485935382</v>
      </c>
      <c r="E3007" s="30" t="n">
        <f aca="false">E3002+E2988-E2986</f>
        <v>-166.852926747657</v>
      </c>
      <c r="F3007" s="30" t="n">
        <f aca="false">F3002+F2988-F2986</f>
        <v>-63.8701313358897</v>
      </c>
      <c r="G3007" s="30" t="n">
        <f aca="false">G3002+G2988-G2986</f>
        <v>-55.8362114130127</v>
      </c>
      <c r="K3007" s="4" t="s">
        <v>584</v>
      </c>
    </row>
    <row r="3008" customFormat="false" ht="17.15" hidden="false" customHeight="false" outlineLevel="0" collapsed="false">
      <c r="A3008" s="4" t="s">
        <v>585</v>
      </c>
      <c r="B3008" s="0" t="s">
        <v>76</v>
      </c>
      <c r="D3008" s="21" t="n">
        <f aca="false">(D2996-$C2996)/SUM($D2986:D2986)</f>
        <v>0.164280348537512</v>
      </c>
      <c r="E3008" s="21" t="n">
        <f aca="false">(E2996-$C2996)/SUM($D2986:E2986)</f>
        <v>0.145831566389717</v>
      </c>
      <c r="F3008" s="21" t="n">
        <f aca="false">(F2996-$C2996)/SUM($D2986:F2986)</f>
        <v>0.0847509794786316</v>
      </c>
      <c r="G3008" s="21" t="n">
        <f aca="false">(G2996-$C2996)/SUM($D2986:G2986)</f>
        <v>0.0850128641089644</v>
      </c>
      <c r="K3008" s="4" t="s">
        <v>586</v>
      </c>
    </row>
    <row r="3011" customFormat="false" ht="17.15" hidden="false" customHeight="false" outlineLevel="0" collapsed="false">
      <c r="A3011" s="1" t="s">
        <v>975</v>
      </c>
    </row>
    <row r="3012" customFormat="false" ht="17.15" hidden="false" customHeight="false" outlineLevel="0" collapsed="false">
      <c r="A3012" s="5" t="s">
        <v>21</v>
      </c>
      <c r="B3012" s="5" t="s">
        <v>22</v>
      </c>
      <c r="C3012" s="15" t="s">
        <v>424</v>
      </c>
      <c r="D3012" s="15" t="s">
        <v>524</v>
      </c>
      <c r="E3012" s="15" t="s">
        <v>525</v>
      </c>
      <c r="F3012" s="15" t="s">
        <v>526</v>
      </c>
      <c r="G3012" s="15" t="s">
        <v>527</v>
      </c>
      <c r="H3012" s="15" t="s">
        <v>528</v>
      </c>
      <c r="I3012" s="15" t="s">
        <v>529</v>
      </c>
      <c r="J3012" s="15" t="s">
        <v>530</v>
      </c>
      <c r="K3012" s="5" t="s">
        <v>382</v>
      </c>
    </row>
    <row r="3013" customFormat="false" ht="17.15" hidden="false" customHeight="false" outlineLevel="0" collapsed="false">
      <c r="A3013" s="6" t="s">
        <v>548</v>
      </c>
    </row>
    <row r="3014" customFormat="false" ht="17.15" hidden="false" customHeight="false" outlineLevel="0" collapsed="false">
      <c r="A3014" s="0" t="s">
        <v>549</v>
      </c>
      <c r="B3014" s="4" t="s">
        <v>32</v>
      </c>
      <c r="D3014" s="19" t="n">
        <f aca="false">units_26</f>
        <v>15.2</v>
      </c>
      <c r="E3014" s="19" t="n">
        <f aca="false">units_27*1</f>
        <v>23.7</v>
      </c>
      <c r="F3014" s="19" t="n">
        <f aca="false">units_28*um28_C*1</f>
        <v>15.9</v>
      </c>
      <c r="G3014" s="19" t="n">
        <f aca="false">units_29*um29_C*1</f>
        <v>18.09</v>
      </c>
    </row>
    <row r="3015" customFormat="false" ht="17.15" hidden="false" customHeight="false" outlineLevel="0" collapsed="false">
      <c r="A3015" s="4" t="s">
        <v>497</v>
      </c>
      <c r="B3015" s="0" t="s">
        <v>45</v>
      </c>
      <c r="D3015" s="22" t="n">
        <f aca="false">ar_26</f>
        <v>1</v>
      </c>
      <c r="E3015" s="22" t="n">
        <f aca="false">ar_27</f>
        <v>1.278156</v>
      </c>
      <c r="F3015" s="22" t="n">
        <f aca="false">ar_28</f>
        <v>1.428615</v>
      </c>
      <c r="G3015" s="22" t="n">
        <f aca="false">ar_29</f>
        <v>1.431796</v>
      </c>
    </row>
    <row r="3016" customFormat="false" ht="17.15" hidden="false" customHeight="false" outlineLevel="0" collapsed="false">
      <c r="A3016" s="4" t="s">
        <v>550</v>
      </c>
      <c r="B3016" s="0" t="s">
        <v>45</v>
      </c>
      <c r="D3016" s="19" t="n">
        <f aca="false">1</f>
        <v>1</v>
      </c>
      <c r="E3016" s="19" t="n">
        <f aca="false">rel27_C</f>
        <v>1</v>
      </c>
      <c r="F3016" s="19" t="n">
        <f aca="false">rel28_C</f>
        <v>0.95</v>
      </c>
      <c r="G3016" s="19" t="n">
        <f aca="false">rel29_C</f>
        <v>0.92</v>
      </c>
    </row>
    <row r="3017" customFormat="false" ht="17.15" hidden="false" customHeight="false" outlineLevel="0" collapsed="false">
      <c r="A3017" s="4" t="s">
        <v>551</v>
      </c>
      <c r="B3017" s="0" t="s">
        <v>502</v>
      </c>
      <c r="D3017" s="23" t="n">
        <f aca="false">D3018*1000/D3014</f>
        <v>236.842105263158</v>
      </c>
      <c r="E3017" s="23" t="n">
        <f aca="false">$D3017*E3015^el</f>
        <v>267.763172119488</v>
      </c>
      <c r="F3017" s="23" t="n">
        <f aca="false">$D3017*F3015^el</f>
        <v>283.084777049615</v>
      </c>
      <c r="G3017" s="23" t="n">
        <f aca="false">$D3017*G3015^el</f>
        <v>283.399764630809</v>
      </c>
      <c r="K3017" s="8" t="s">
        <v>552</v>
      </c>
    </row>
    <row r="3018" customFormat="false" ht="17.15" hidden="false" customHeight="false" outlineLevel="0" collapsed="false">
      <c r="A3018" s="0" t="s">
        <v>553</v>
      </c>
      <c r="B3018" s="0" t="s">
        <v>120</v>
      </c>
      <c r="D3018" s="22" t="n">
        <f aca="false">leap26-D3019-D3020</f>
        <v>3.6</v>
      </c>
      <c r="E3018" s="22" t="n">
        <f aca="false">E3014*E3016*E3017/1000</f>
        <v>6.34598717923185</v>
      </c>
      <c r="F3018" s="22" t="n">
        <f aca="false">F3014*F3016*F3017/1000</f>
        <v>4.27599555733443</v>
      </c>
      <c r="G3018" s="22" t="n">
        <f aca="false">G3014*G3016*G3017/1000</f>
        <v>4.71656560279762</v>
      </c>
      <c r="K3018" s="8" t="s">
        <v>554</v>
      </c>
    </row>
    <row r="3019" customFormat="false" ht="17.15" hidden="false" customHeight="false" outlineLevel="0" collapsed="false">
      <c r="A3019" s="4" t="s">
        <v>555</v>
      </c>
      <c r="B3019" s="0" t="s">
        <v>120</v>
      </c>
      <c r="D3019" s="22" t="n">
        <f aca="false">fp26</f>
        <v>0.3</v>
      </c>
      <c r="E3019" s="22" t="n">
        <f aca="false">fp27_C</f>
        <v>0.7</v>
      </c>
      <c r="F3019" s="22" t="n">
        <f aca="false">E3019*F3014/E3014*(1+fp_g)</f>
        <v>0.610506329113924</v>
      </c>
      <c r="G3019" s="22" t="n">
        <f aca="false">F3019*G3014/F3014*(1+fp_g)</f>
        <v>0.902973417721519</v>
      </c>
    </row>
    <row r="3020" customFormat="false" ht="17.15" hidden="false" customHeight="false" outlineLevel="0" collapsed="false">
      <c r="A3020" s="0" t="s">
        <v>556</v>
      </c>
      <c r="B3020" s="0" t="s">
        <v>120</v>
      </c>
      <c r="D3020" s="22" t="n">
        <f aca="false">cpo27*cpo_C_26/cpo_A_27</f>
        <v>0.1</v>
      </c>
      <c r="E3020" s="22" t="n">
        <f aca="false">cpo27*cpo_C_27/cpo_A_27</f>
        <v>0.2</v>
      </c>
      <c r="F3020" s="22" t="n">
        <f aca="false">cpo27*cpo_C_28/cpo_A_27*F3014/E3014</f>
        <v>0.20126582278481</v>
      </c>
      <c r="G3020" s="22" t="n">
        <f aca="false">cpo27*cpo_C_29/cpo_A_27*G3014/E3014</f>
        <v>0.381645569620253</v>
      </c>
      <c r="K3020" s="8" t="s">
        <v>557</v>
      </c>
    </row>
    <row r="3021" customFormat="false" ht="17.15" hidden="false" customHeight="false" outlineLevel="0" collapsed="false">
      <c r="A3021" s="0" t="s">
        <v>510</v>
      </c>
      <c r="B3021" s="0" t="s">
        <v>120</v>
      </c>
      <c r="C3021" s="22" t="n">
        <f aca="false">leap25</f>
        <v>1.6</v>
      </c>
      <c r="D3021" s="22" t="n">
        <f aca="false">D3018+D3019+D3020</f>
        <v>4</v>
      </c>
      <c r="E3021" s="22" t="n">
        <f aca="false">E3018+E3019+E3020</f>
        <v>7.24598717923186</v>
      </c>
      <c r="F3021" s="22" t="n">
        <f aca="false">F3018+F3019+F3020</f>
        <v>5.08776770923316</v>
      </c>
      <c r="G3021" s="22" t="n">
        <f aca="false">G3018+G3019+G3020</f>
        <v>6.0011845901394</v>
      </c>
    </row>
    <row r="3022" customFormat="false" ht="17.15" hidden="false" customHeight="false" outlineLevel="0" collapsed="false">
      <c r="A3022" s="4" t="s">
        <v>558</v>
      </c>
      <c r="B3022" s="0" t="s">
        <v>114</v>
      </c>
      <c r="C3022" s="19" t="n">
        <f aca="false">fx25</f>
        <v>31</v>
      </c>
      <c r="D3022" s="19" t="n">
        <f aca="false">a26_leap/D3021</f>
        <v>31.9</v>
      </c>
      <c r="E3022" s="19" t="n">
        <f aca="false">fx_hi</f>
        <v>33</v>
      </c>
      <c r="F3022" s="19" t="n">
        <f aca="false">fx_hi</f>
        <v>33</v>
      </c>
      <c r="G3022" s="19" t="n">
        <f aca="false">fx_hi</f>
        <v>33</v>
      </c>
      <c r="K3022" s="8" t="s">
        <v>559</v>
      </c>
    </row>
    <row r="3023" customFormat="false" ht="17.15" hidden="false" customHeight="false" outlineLevel="0" collapsed="false">
      <c r="A3023" s="6" t="s">
        <v>560</v>
      </c>
    </row>
    <row r="3024" customFormat="false" ht="17.15" hidden="false" customHeight="false" outlineLevel="0" collapsed="false">
      <c r="A3024" s="0" t="s">
        <v>438</v>
      </c>
      <c r="B3024" s="0" t="s">
        <v>234</v>
      </c>
      <c r="C3024" s="30" t="n">
        <f aca="false">a25_leap</f>
        <v>49.6</v>
      </c>
      <c r="D3024" s="30" t="n">
        <f aca="false">a26_leap</f>
        <v>127.6</v>
      </c>
      <c r="E3024" s="30" t="n">
        <f aca="false">E3021*E3022</f>
        <v>239.117576914651</v>
      </c>
      <c r="F3024" s="30" t="n">
        <f aca="false">F3021*F3022</f>
        <v>167.896334404694</v>
      </c>
      <c r="G3024" s="30" t="n">
        <f aca="false">G3021*G3022</f>
        <v>198.0390914746</v>
      </c>
    </row>
    <row r="3025" customFormat="false" ht="15" hidden="false" customHeight="false" outlineLevel="0" collapsed="false">
      <c r="A3025" s="4" t="s">
        <v>561</v>
      </c>
      <c r="B3025" s="0" t="s">
        <v>234</v>
      </c>
      <c r="C3025" s="30" t="n">
        <f aca="false">a25_ms</f>
        <v>339.628</v>
      </c>
      <c r="D3025" s="30" t="n">
        <f aca="false">a26_ms</f>
        <v>432.1302</v>
      </c>
      <c r="E3025" s="30" t="n">
        <f aca="false">D3025*(1+g_ms27)</f>
        <v>496.94973</v>
      </c>
      <c r="F3025" s="30" t="n">
        <f aca="false">E3025*(1+g_msL)</f>
        <v>531.7362111</v>
      </c>
      <c r="G3025" s="30" t="n">
        <f aca="false">F3025*(1+g_msL)</f>
        <v>568.957745877</v>
      </c>
    </row>
    <row r="3026" customFormat="false" ht="17.15" hidden="false" customHeight="false" outlineLevel="0" collapsed="false">
      <c r="A3026" s="4" t="s">
        <v>562</v>
      </c>
      <c r="B3026" s="0" t="s">
        <v>234</v>
      </c>
      <c r="C3026" s="30" t="n">
        <f aca="false">C3024+C3025</f>
        <v>389.228</v>
      </c>
      <c r="D3026" s="30" t="n">
        <f aca="false">D3024+D3025</f>
        <v>559.7302</v>
      </c>
      <c r="E3026" s="30" t="n">
        <f aca="false">E3024+E3025</f>
        <v>736.067306914651</v>
      </c>
      <c r="F3026" s="30" t="n">
        <f aca="false">F3024+F3025</f>
        <v>699.632545504695</v>
      </c>
      <c r="G3026" s="30" t="n">
        <f aca="false">G3024+G3025</f>
        <v>766.9968373516</v>
      </c>
    </row>
    <row r="3027" customFormat="false" ht="17.15" hidden="false" customHeight="false" outlineLevel="0" collapsed="false">
      <c r="A3027" s="0" t="s">
        <v>563</v>
      </c>
      <c r="B3027" s="0" t="s">
        <v>234</v>
      </c>
      <c r="C3027" s="30" t="n">
        <f aca="false">a25_ems</f>
        <v>259.079</v>
      </c>
      <c r="D3027" s="30" t="n">
        <f aca="false">a26_ems</f>
        <v>314.602</v>
      </c>
      <c r="E3027" s="30" t="n">
        <f aca="false">D3027*(1+g_ems27)</f>
        <v>346.0622</v>
      </c>
      <c r="F3027" s="30" t="n">
        <f aca="false">E3027*(1+g_emsL)</f>
        <v>363.36531</v>
      </c>
      <c r="G3027" s="30" t="n">
        <f aca="false">F3027*(1+g_emsL)</f>
        <v>381.5335755</v>
      </c>
    </row>
    <row r="3028" customFormat="false" ht="17.15" hidden="false" customHeight="false" outlineLevel="0" collapsed="false">
      <c r="A3028" s="4" t="s">
        <v>564</v>
      </c>
      <c r="B3028" s="0" t="s">
        <v>234</v>
      </c>
      <c r="C3028" s="30" t="n">
        <f aca="false">a25_elim</f>
        <v>-2.91899999999998</v>
      </c>
      <c r="D3028" s="30" t="n">
        <f aca="false">a26_elim</f>
        <v>-3.16484905982349</v>
      </c>
      <c r="E3028" s="30" t="n">
        <f aca="false">$D3028/($D3026+$D3027)*(E3026+E3027)</f>
        <v>-3.91701981531286</v>
      </c>
      <c r="F3028" s="30" t="n">
        <f aca="false">$D3028/($D3026+$D3027)*(F3026+F3027)</f>
        <v>-3.84776834661747</v>
      </c>
      <c r="G3028" s="30" t="n">
        <f aca="false">$D3028/($D3026+$D3027)*(G3026+G3027)</f>
        <v>-4.1573733613975</v>
      </c>
      <c r="K3028" s="4" t="s">
        <v>565</v>
      </c>
    </row>
    <row r="3029" customFormat="false" ht="17.15" hidden="false" customHeight="false" outlineLevel="0" collapsed="false">
      <c r="A3029" s="4" t="s">
        <v>431</v>
      </c>
      <c r="B3029" s="0" t="s">
        <v>234</v>
      </c>
      <c r="C3029" s="30" t="n">
        <f aca="false">C3026+C3027+C3028</f>
        <v>645.388</v>
      </c>
      <c r="D3029" s="30" t="n">
        <f aca="false">D3026+D3027+D3028</f>
        <v>871.167350940177</v>
      </c>
      <c r="E3029" s="30" t="n">
        <f aca="false">E3026+E3027+E3028</f>
        <v>1078.21248709934</v>
      </c>
      <c r="F3029" s="30" t="n">
        <f aca="false">F3026+F3027+F3028</f>
        <v>1059.15008715808</v>
      </c>
      <c r="G3029" s="30" t="n">
        <f aca="false">G3026+G3027+G3028</f>
        <v>1144.3730394902</v>
      </c>
      <c r="H3029" s="31" t="n">
        <f aca="false">G3029*(1+H3030)</f>
        <v>1213.38905422961</v>
      </c>
      <c r="I3029" s="31" t="n">
        <f aca="false">H3029*(1+I3030)</f>
        <v>1262.11209619435</v>
      </c>
      <c r="J3029" s="31" t="n">
        <f aca="false">I3029*(1+J3030)</f>
        <v>1287.35433811824</v>
      </c>
      <c r="K3029" s="8" t="s">
        <v>566</v>
      </c>
    </row>
    <row r="3030" customFormat="false" ht="15" hidden="false" customHeight="false" outlineLevel="0" collapsed="false">
      <c r="A3030" s="4" t="s">
        <v>567</v>
      </c>
      <c r="B3030" s="0" t="s">
        <v>76</v>
      </c>
      <c r="D3030" s="21" t="n">
        <f aca="false">D3029/C3029-1</f>
        <v>0.349835061916516</v>
      </c>
      <c r="E3030" s="21" t="n">
        <f aca="false">E3029/D3029-1</f>
        <v>0.237664021655214</v>
      </c>
      <c r="F3030" s="21" t="n">
        <f aca="false">F3029/E3029-1</f>
        <v>-0.0176796319550554</v>
      </c>
      <c r="G3030" s="21" t="n">
        <f aca="false">G3029/F3029-1</f>
        <v>0.0804635276581023</v>
      </c>
      <c r="H3030" s="26" t="n">
        <f aca="false">$G3030+(fade_gC-$G3030)*1/3</f>
        <v>0.0603090184387348</v>
      </c>
      <c r="I3030" s="26" t="n">
        <f aca="false">$G3030+(fade_gC-$G3030)*2/3</f>
        <v>0.0401545092193674</v>
      </c>
      <c r="J3030" s="26" t="n">
        <f aca="false">$G3030+(fade_gC-$G3030)*3/3</f>
        <v>0.02</v>
      </c>
    </row>
    <row r="3031" customFormat="false" ht="17.15" hidden="false" customHeight="false" outlineLevel="0" collapsed="false">
      <c r="A3031" s="0" t="s">
        <v>475</v>
      </c>
      <c r="B3031" s="0" t="s">
        <v>76</v>
      </c>
      <c r="C3031" s="21" t="n">
        <f aca="false">C3024/C3026</f>
        <v>0.127431736668482</v>
      </c>
      <c r="D3031" s="21" t="n">
        <f aca="false">D3024/D3026</f>
        <v>0.227966974088588</v>
      </c>
      <c r="E3031" s="21" t="n">
        <f aca="false">E3024/E3026</f>
        <v>0.32485830394635</v>
      </c>
      <c r="F3031" s="21" t="n">
        <f aca="false">F3024/F3026</f>
        <v>0.239977879078765</v>
      </c>
      <c r="G3031" s="21" t="n">
        <f aca="false">G3024/G3026</f>
        <v>0.25820066241527</v>
      </c>
    </row>
    <row r="3032" customFormat="false" ht="15" hidden="false" customHeight="false" outlineLevel="0" collapsed="false">
      <c r="A3032" s="4" t="s">
        <v>568</v>
      </c>
      <c r="B3032" s="0" t="s">
        <v>76</v>
      </c>
      <c r="D3032" s="21" t="n">
        <f aca="false">D3026/C3026-1</f>
        <v>0.438052247012034</v>
      </c>
      <c r="E3032" s="21" t="n">
        <f aca="false">E3026/D3026-1</f>
        <v>0.315039472436276</v>
      </c>
      <c r="F3032" s="21" t="n">
        <f aca="false">F3026/E3026-1</f>
        <v>-0.0494992252307457</v>
      </c>
      <c r="G3032" s="21" t="n">
        <f aca="false">G3026/F3026-1</f>
        <v>0.09628524613347</v>
      </c>
    </row>
    <row r="3033" customFormat="false" ht="17.15" hidden="false" customHeight="false" outlineLevel="0" collapsed="false">
      <c r="A3033" s="6" t="s">
        <v>569</v>
      </c>
    </row>
    <row r="3034" customFormat="false" ht="17.15" hidden="false" customHeight="false" outlineLevel="0" collapsed="false">
      <c r="A3034" s="4" t="s">
        <v>570</v>
      </c>
      <c r="B3034" s="0" t="s">
        <v>120</v>
      </c>
      <c r="C3034" s="19" t="n">
        <f aca="false">capex25</f>
        <v>5.5</v>
      </c>
      <c r="D3034" s="19" t="n">
        <f aca="false">capex26</f>
        <v>11.5</v>
      </c>
      <c r="E3034" s="19" t="n">
        <f aca="false">capex27</f>
        <v>13</v>
      </c>
      <c r="F3034" s="19" t="n">
        <f aca="false">capi*F3029/F3022</f>
        <v>9.62863715598252</v>
      </c>
      <c r="G3034" s="19" t="n">
        <f aca="false">capi*G3029/G3022</f>
        <v>10.4033912680928</v>
      </c>
      <c r="K3034" s="8" t="s">
        <v>571</v>
      </c>
    </row>
    <row r="3035" customFormat="false" ht="15" hidden="false" customHeight="false" outlineLevel="0" collapsed="false">
      <c r="A3035" s="4" t="s">
        <v>572</v>
      </c>
      <c r="B3035" s="0" t="s">
        <v>234</v>
      </c>
      <c r="C3035" s="30" t="n">
        <f aca="false">C3034*C3022</f>
        <v>170.5</v>
      </c>
      <c r="D3035" s="30" t="n">
        <f aca="false">D3034*31.9</f>
        <v>366.85</v>
      </c>
      <c r="E3035" s="30" t="n">
        <f aca="false">E3034*E3022</f>
        <v>429</v>
      </c>
      <c r="F3035" s="30" t="n">
        <f aca="false">F3034*F3022</f>
        <v>317.745026147423</v>
      </c>
      <c r="G3035" s="30" t="n">
        <f aca="false">G3034*G3022</f>
        <v>343.311911847061</v>
      </c>
    </row>
    <row r="3036" customFormat="false" ht="17.15" hidden="false" customHeight="false" outlineLevel="0" collapsed="false">
      <c r="A3036" s="4" t="s">
        <v>473</v>
      </c>
      <c r="B3036" s="0" t="s">
        <v>76</v>
      </c>
      <c r="C3036" s="21" t="n">
        <f aca="false">C3035/C3029</f>
        <v>0.264182166386732</v>
      </c>
      <c r="D3036" s="21" t="n">
        <f aca="false">D3035/D3029</f>
        <v>0.421101639775745</v>
      </c>
      <c r="E3036" s="21" t="n">
        <f aca="false">E3035/E3029</f>
        <v>0.397880756467695</v>
      </c>
      <c r="F3036" s="21" t="n">
        <f aca="false">F3035/F3029</f>
        <v>0.3</v>
      </c>
      <c r="G3036" s="21" t="n">
        <f aca="false">G3035/G3029</f>
        <v>0.3</v>
      </c>
    </row>
    <row r="3037" customFormat="false" ht="17.15" hidden="false" customHeight="false" outlineLevel="0" collapsed="false">
      <c r="A3037" s="4" t="s">
        <v>573</v>
      </c>
      <c r="B3037" s="0" t="s">
        <v>234</v>
      </c>
      <c r="C3037" s="30" t="n">
        <f aca="false">a25_da</f>
        <v>75.255</v>
      </c>
      <c r="D3037" s="30" t="n">
        <f aca="false">a26_da</f>
        <v>97.124</v>
      </c>
      <c r="E3037" s="30" t="n">
        <f aca="false">D3037*(1-1/life)+D3035/life</f>
        <v>130.83975</v>
      </c>
      <c r="F3037" s="30" t="n">
        <f aca="false">E3037*(1-1/life)+E3035/life</f>
        <v>168.10978125</v>
      </c>
      <c r="G3037" s="30" t="n">
        <f aca="false">F3037*(1-1/life)+F3035/life</f>
        <v>186.814186862178</v>
      </c>
      <c r="K3037" s="4" t="s">
        <v>574</v>
      </c>
    </row>
    <row r="3038" customFormat="false" ht="17.15" hidden="false" customHeight="false" outlineLevel="0" collapsed="false">
      <c r="A3038" s="4" t="s">
        <v>575</v>
      </c>
      <c r="B3038" s="0" t="s">
        <v>234</v>
      </c>
      <c r="C3038" s="30" t="n">
        <f aca="false">a25_agp</f>
        <v>91.38</v>
      </c>
      <c r="D3038" s="30" t="n">
        <f aca="false">a26_agp</f>
        <v>164.623388</v>
      </c>
      <c r="E3038" s="30" t="n">
        <f aca="false">$D3038+ft*(E3026-$D3026)-(E3037-$D3037)</f>
        <v>219.076191457326</v>
      </c>
      <c r="F3038" s="30" t="n">
        <f aca="false">$D3038+ft*(F3026-$D3026)-(F3037-$D3037)</f>
        <v>163.588779502347</v>
      </c>
      <c r="G3038" s="30" t="n">
        <f aca="false">$D3038+ft*(G3026-$D3026)-(G3037-$D3037)</f>
        <v>178.566519813622</v>
      </c>
      <c r="K3038" s="4" t="s">
        <v>576</v>
      </c>
    </row>
    <row r="3039" customFormat="false" ht="15" hidden="false" customHeight="false" outlineLevel="0" collapsed="false">
      <c r="A3039" s="4" t="s">
        <v>447</v>
      </c>
      <c r="B3039" s="0" t="s">
        <v>76</v>
      </c>
      <c r="C3039" s="14" t="n">
        <f aca="false">C3038/C3026</f>
        <v>0.234772421305764</v>
      </c>
      <c r="D3039" s="14" t="n">
        <f aca="false">D3038/D3026</f>
        <v>0.294112034690999</v>
      </c>
      <c r="E3039" s="14" t="n">
        <f aca="false">E3038/E3026</f>
        <v>0.297630650620281</v>
      </c>
      <c r="F3039" s="14" t="n">
        <f aca="false">F3038/F3026</f>
        <v>0.233820997255551</v>
      </c>
      <c r="G3039" s="14" t="n">
        <f aca="false">G3038/G3026</f>
        <v>0.232812589462824</v>
      </c>
    </row>
    <row r="3040" customFormat="false" ht="17.15" hidden="false" customHeight="false" outlineLevel="0" collapsed="false">
      <c r="A3040" s="0" t="s">
        <v>449</v>
      </c>
      <c r="B3040" s="0" t="s">
        <v>234</v>
      </c>
      <c r="C3040" s="30" t="n">
        <f aca="false">a25_egp</f>
        <v>23.695</v>
      </c>
      <c r="D3040" s="30" t="n">
        <f aca="false">a26_egp</f>
        <v>27.00552</v>
      </c>
      <c r="E3040" s="30" t="n">
        <f aca="false">E3027*ems_gm</f>
        <v>29.415287</v>
      </c>
      <c r="F3040" s="30" t="n">
        <f aca="false">F3027*ems_gm</f>
        <v>30.88605135</v>
      </c>
      <c r="G3040" s="30" t="n">
        <f aca="false">G3027*ems_gm</f>
        <v>32.4303539175</v>
      </c>
    </row>
    <row r="3041" customFormat="false" ht="15" hidden="false" customHeight="false" outlineLevel="0" collapsed="false">
      <c r="A3041" s="4" t="s">
        <v>577</v>
      </c>
      <c r="B3041" s="0" t="s">
        <v>234</v>
      </c>
      <c r="C3041" s="30" t="n">
        <f aca="false">a25_lgp</f>
        <v>-0.881999999999998</v>
      </c>
      <c r="D3041" s="30" t="n">
        <f aca="false">a26_lgp</f>
        <v>-0.948662139013863</v>
      </c>
      <c r="E3041" s="30" t="n">
        <f aca="false">$D3041/$D3028*E3028</f>
        <v>-1.17412499816394</v>
      </c>
      <c r="F3041" s="30" t="n">
        <f aca="false">$D3041/$D3028*F3028</f>
        <v>-1.15336690032717</v>
      </c>
      <c r="G3041" s="30" t="n">
        <f aca="false">$D3041/$D3028*G3028</f>
        <v>-1.24617086981158</v>
      </c>
    </row>
    <row r="3042" customFormat="false" ht="15" hidden="false" customHeight="false" outlineLevel="0" collapsed="false">
      <c r="A3042" s="4" t="s">
        <v>451</v>
      </c>
      <c r="B3042" s="0" t="s">
        <v>234</v>
      </c>
      <c r="C3042" s="30" t="n">
        <f aca="false">C3038+C3040+C3041</f>
        <v>114.193</v>
      </c>
      <c r="D3042" s="30" t="n">
        <f aca="false">D3038+D3040+D3041</f>
        <v>190.680245860986</v>
      </c>
      <c r="E3042" s="30" t="n">
        <f aca="false">E3038+E3040+E3041</f>
        <v>247.317353459162</v>
      </c>
      <c r="F3042" s="30" t="n">
        <f aca="false">F3038+F3040+F3041</f>
        <v>193.32146395202</v>
      </c>
      <c r="G3042" s="30" t="n">
        <f aca="false">G3038+G3040+G3041</f>
        <v>209.750702861311</v>
      </c>
    </row>
    <row r="3043" customFormat="false" ht="15" hidden="false" customHeight="false" outlineLevel="0" collapsed="false">
      <c r="A3043" s="4" t="s">
        <v>452</v>
      </c>
      <c r="B3043" s="0" t="s">
        <v>76</v>
      </c>
      <c r="C3043" s="14" t="n">
        <f aca="false">C3042/C3029</f>
        <v>0.176936974347214</v>
      </c>
      <c r="D3043" s="14" t="n">
        <f aca="false">D3042/D3029</f>
        <v>0.218879008327391</v>
      </c>
      <c r="E3043" s="14" t="n">
        <f aca="false">E3042/E3029</f>
        <v>0.229377192731747</v>
      </c>
      <c r="F3043" s="14" t="n">
        <f aca="false">F3042/F3029</f>
        <v>0.182525089027507</v>
      </c>
      <c r="G3043" s="14" t="n">
        <f aca="false">G3042/G3029</f>
        <v>0.183288749055772</v>
      </c>
    </row>
    <row r="3044" customFormat="false" ht="15" hidden="false" customHeight="false" outlineLevel="0" collapsed="false">
      <c r="A3044" s="4" t="s">
        <v>578</v>
      </c>
      <c r="B3044" s="0" t="s">
        <v>234</v>
      </c>
      <c r="C3044" s="30" t="n">
        <f aca="false">a25_opx</f>
        <v>63.437</v>
      </c>
      <c r="D3044" s="30" t="n">
        <f aca="false">a26_opx</f>
        <v>79.658</v>
      </c>
      <c r="E3044" s="30" t="n">
        <f aca="false">D3044*(1+phi*E3030)</f>
        <v>91.0171043822066</v>
      </c>
      <c r="F3044" s="30" t="n">
        <f aca="false">E3044*(1+phi*F3030)</f>
        <v>90.0516150379513</v>
      </c>
      <c r="G3044" s="30" t="n">
        <f aca="false">F3044*(1+phi*G3030)</f>
        <v>94.399137408309</v>
      </c>
    </row>
    <row r="3045" customFormat="false" ht="15" hidden="false" customHeight="false" outlineLevel="0" collapsed="false">
      <c r="A3045" s="4" t="s">
        <v>455</v>
      </c>
      <c r="B3045" s="0" t="s">
        <v>234</v>
      </c>
      <c r="C3045" s="30" t="n">
        <f aca="false">C3042-C3044</f>
        <v>50.756</v>
      </c>
      <c r="D3045" s="30" t="n">
        <f aca="false">D3042-D3044</f>
        <v>111.022245860986</v>
      </c>
      <c r="E3045" s="30" t="n">
        <f aca="false">E3042-E3044</f>
        <v>156.300249076955</v>
      </c>
      <c r="F3045" s="30" t="n">
        <f aca="false">F3042-F3044</f>
        <v>103.269848914069</v>
      </c>
      <c r="G3045" s="30" t="n">
        <f aca="false">G3042-G3044</f>
        <v>115.351565453002</v>
      </c>
    </row>
    <row r="3046" customFormat="false" ht="15" hidden="false" customHeight="false" outlineLevel="0" collapsed="false">
      <c r="A3046" s="4" t="s">
        <v>537</v>
      </c>
      <c r="B3046" s="0" t="s">
        <v>76</v>
      </c>
      <c r="C3046" s="14" t="n">
        <f aca="false">C3045/C3029</f>
        <v>0.0786441644406156</v>
      </c>
      <c r="D3046" s="14" t="n">
        <f aca="false">D3045/D3029</f>
        <v>0.127440779020437</v>
      </c>
      <c r="E3046" s="14" t="n">
        <f aca="false">E3045/E3029</f>
        <v>0.144962380743189</v>
      </c>
      <c r="F3046" s="14" t="n">
        <f aca="false">F3045/F3029</f>
        <v>0.0975025637689967</v>
      </c>
      <c r="G3046" s="14" t="n">
        <f aca="false">G3045/G3029</f>
        <v>0.100798919122027</v>
      </c>
    </row>
    <row r="3047" customFormat="false" ht="15" hidden="false" customHeight="false" outlineLevel="0" collapsed="false">
      <c r="A3047" s="4" t="s">
        <v>456</v>
      </c>
      <c r="B3047" s="0" t="s">
        <v>234</v>
      </c>
      <c r="C3047" s="30" t="n">
        <f aca="false">a25_nonop</f>
        <v>0.545</v>
      </c>
      <c r="D3047" s="30" t="n">
        <f aca="false">a26_nonop</f>
        <v>4.302</v>
      </c>
      <c r="E3047" s="30" t="n">
        <f aca="false">nonop_f</f>
        <v>-5</v>
      </c>
      <c r="F3047" s="30" t="n">
        <f aca="false">nonop_f</f>
        <v>-5</v>
      </c>
      <c r="G3047" s="30" t="n">
        <f aca="false">nonop_f</f>
        <v>-5</v>
      </c>
    </row>
    <row r="3048" customFormat="false" ht="15" hidden="false" customHeight="false" outlineLevel="0" collapsed="false">
      <c r="A3048" s="4" t="s">
        <v>459</v>
      </c>
      <c r="B3048" s="0" t="s">
        <v>234</v>
      </c>
      <c r="C3048" s="30" t="n">
        <f aca="false">C3045+C3047</f>
        <v>51.301</v>
      </c>
      <c r="D3048" s="30" t="n">
        <f aca="false">D3045+D3047</f>
        <v>115.324245860986</v>
      </c>
      <c r="E3048" s="30" t="n">
        <f aca="false">E3045+E3047</f>
        <v>151.300249076955</v>
      </c>
      <c r="F3048" s="30" t="n">
        <f aca="false">F3045+F3047</f>
        <v>98.2698489140688</v>
      </c>
      <c r="G3048" s="30" t="n">
        <f aca="false">G3045+G3047</f>
        <v>110.351565453002</v>
      </c>
    </row>
    <row r="3049" customFormat="false" ht="15" hidden="false" customHeight="false" outlineLevel="0" collapsed="false">
      <c r="A3049" s="4" t="s">
        <v>460</v>
      </c>
      <c r="B3049" s="0" t="s">
        <v>234</v>
      </c>
      <c r="C3049" s="30" t="n">
        <f aca="false">a25_tax</f>
        <v>9.461</v>
      </c>
      <c r="D3049" s="30" t="n">
        <f aca="false">a26_tax</f>
        <v>19.2197317963676</v>
      </c>
      <c r="E3049" s="30" t="n">
        <f aca="false">E3048*tax</f>
        <v>25.7210423430824</v>
      </c>
      <c r="F3049" s="30" t="n">
        <f aca="false">F3048*tax</f>
        <v>16.7058743153917</v>
      </c>
      <c r="G3049" s="30" t="n">
        <f aca="false">G3048*tax</f>
        <v>18.7597661270103</v>
      </c>
    </row>
    <row r="3050" customFormat="false" ht="15" hidden="false" customHeight="false" outlineLevel="0" collapsed="false">
      <c r="A3050" s="4" t="s">
        <v>461</v>
      </c>
      <c r="B3050" s="0" t="s">
        <v>234</v>
      </c>
      <c r="C3050" s="30" t="n">
        <f aca="false">a25_nci</f>
        <v>1.182</v>
      </c>
      <c r="D3050" s="30" t="n">
        <f aca="false">a26_nci</f>
        <v>2.543</v>
      </c>
      <c r="E3050" s="30" t="n">
        <f aca="false">nci</f>
        <v>3</v>
      </c>
      <c r="F3050" s="30" t="n">
        <f aca="false">nci</f>
        <v>3</v>
      </c>
      <c r="G3050" s="30" t="n">
        <f aca="false">nci</f>
        <v>3</v>
      </c>
    </row>
    <row r="3051" customFormat="false" ht="15" hidden="false" customHeight="false" outlineLevel="0" collapsed="false">
      <c r="A3051" s="4" t="s">
        <v>462</v>
      </c>
      <c r="B3051" s="0" t="s">
        <v>234</v>
      </c>
      <c r="C3051" s="30" t="n">
        <f aca="false">C3048-C3049-C3050</f>
        <v>40.658</v>
      </c>
      <c r="D3051" s="30" t="n">
        <f aca="false">D3048-D3049-D3050</f>
        <v>93.5615140646185</v>
      </c>
      <c r="E3051" s="30" t="n">
        <f aca="false">E3048-E3049-E3050</f>
        <v>122.579206733873</v>
      </c>
      <c r="F3051" s="30" t="n">
        <f aca="false">F3048-F3049-F3050</f>
        <v>78.5639745986771</v>
      </c>
      <c r="G3051" s="30" t="n">
        <f aca="false">G3048-G3049-G3050</f>
        <v>88.5917993259913</v>
      </c>
      <c r="H3051" s="31" t="n">
        <f aca="false">H3029*H3055</f>
        <v>87.5554598779745</v>
      </c>
      <c r="I3051" s="31" t="n">
        <f aca="false">I3029*I3055</f>
        <v>84.4358278865723</v>
      </c>
      <c r="J3051" s="31" t="n">
        <f aca="false">J3029*J3055</f>
        <v>79.3564583617799</v>
      </c>
    </row>
    <row r="3052" customFormat="false" ht="15" hidden="false" customHeight="false" outlineLevel="0" collapsed="false">
      <c r="A3052" s="4" t="s">
        <v>579</v>
      </c>
      <c r="B3052" s="4" t="s">
        <v>580</v>
      </c>
      <c r="C3052" s="18" t="n">
        <f aca="false">a25_sh</f>
        <v>4339.16755602988</v>
      </c>
      <c r="D3052" s="18" t="n">
        <f aca="false">a26_sh</f>
        <v>4392.90105184664</v>
      </c>
      <c r="E3052" s="18" t="n">
        <f aca="false">D3052*(1+sh_g)</f>
        <v>4414.86555710588</v>
      </c>
      <c r="F3052" s="18" t="n">
        <f aca="false">E3052*(1+sh_g)</f>
        <v>4436.9398848914</v>
      </c>
      <c r="G3052" s="18" t="n">
        <f aca="false">F3052*(1+sh_g)</f>
        <v>4459.12458431586</v>
      </c>
      <c r="H3052" s="25" t="n">
        <f aca="false">G3052*(1+sh_g)</f>
        <v>4481.42020723744</v>
      </c>
      <c r="I3052" s="25" t="n">
        <f aca="false">H3052*(1+sh_g)</f>
        <v>4503.82730827363</v>
      </c>
      <c r="J3052" s="25" t="n">
        <f aca="false">I3052*(1+sh_g)</f>
        <v>4526.34644481499</v>
      </c>
    </row>
    <row r="3053" customFormat="false" ht="17.15" hidden="false" customHeight="false" outlineLevel="0" collapsed="false">
      <c r="A3053" s="0" t="s">
        <v>465</v>
      </c>
      <c r="B3053" s="0" t="s">
        <v>304</v>
      </c>
      <c r="C3053" s="19" t="n">
        <f aca="false">a25_eps</f>
        <v>9.37</v>
      </c>
      <c r="D3053" s="19" t="n">
        <f aca="false">a26_eps</f>
        <v>21.2828697294455</v>
      </c>
      <c r="E3053" s="19" t="n">
        <f aca="false">E3051/E3052*1000</f>
        <v>27.7651052219648</v>
      </c>
      <c r="F3053" s="19" t="n">
        <f aca="false">F3051/F3052*1000</f>
        <v>17.7067926627092</v>
      </c>
      <c r="G3053" s="19" t="n">
        <f aca="false">G3051/G3052*1000</f>
        <v>19.8675317656736</v>
      </c>
      <c r="H3053" s="28" t="n">
        <f aca="false">H3051/H3052*1000</f>
        <v>19.5374358638749</v>
      </c>
      <c r="I3053" s="28" t="n">
        <f aca="false">I3051/I3052*1000</f>
        <v>18.7475722551488</v>
      </c>
      <c r="J3053" s="28" t="n">
        <f aca="false">J3051/J3052*1000</f>
        <v>17.532122061201</v>
      </c>
    </row>
    <row r="3054" customFormat="false" ht="17.15" hidden="false" customHeight="false" outlineLevel="0" collapsed="false">
      <c r="A3054" s="0" t="s">
        <v>581</v>
      </c>
      <c r="B3054" s="0" t="s">
        <v>76</v>
      </c>
      <c r="D3054" s="21" t="n">
        <f aca="false">D3053/C3053-1</f>
        <v>1.27138417603474</v>
      </c>
      <c r="E3054" s="21" t="n">
        <f aca="false">E3053/D3053-1</f>
        <v>0.304575255824211</v>
      </c>
      <c r="F3054" s="21" t="n">
        <f aca="false">F3053/E3053-1</f>
        <v>-0.362264521558466</v>
      </c>
      <c r="G3054" s="21" t="n">
        <f aca="false">G3053/F3053-1</f>
        <v>0.122028824989569</v>
      </c>
      <c r="H3054" s="26" t="n">
        <f aca="false">H3053/G3053-1</f>
        <v>-0.0166148420292942</v>
      </c>
      <c r="I3054" s="26" t="n">
        <f aca="false">I3053/H3053-1</f>
        <v>-0.0404282124957122</v>
      </c>
      <c r="J3054" s="26" t="n">
        <f aca="false">J3053/I3053-1</f>
        <v>-0.0648324048258556</v>
      </c>
    </row>
    <row r="3055" customFormat="false" ht="17.15" hidden="false" customHeight="false" outlineLevel="0" collapsed="false">
      <c r="A3055" s="4" t="s">
        <v>582</v>
      </c>
      <c r="B3055" s="0" t="s">
        <v>76</v>
      </c>
      <c r="C3055" s="14" t="n">
        <f aca="false">C3051/C3029</f>
        <v>0.0629977625862272</v>
      </c>
      <c r="D3055" s="14" t="n">
        <f aca="false">D3051/D3029</f>
        <v>0.107397865592237</v>
      </c>
      <c r="E3055" s="14" t="n">
        <f aca="false">E3051/E3029</f>
        <v>0.113687430075719</v>
      </c>
      <c r="F3055" s="14" t="n">
        <f aca="false">F3051/F3029</f>
        <v>0.0741764321707047</v>
      </c>
      <c r="G3055" s="14" t="n">
        <f aca="false">G3051/G3029</f>
        <v>0.0774151402286245</v>
      </c>
      <c r="H3055" s="27" t="n">
        <f aca="false">$G3055+(fade_mC-$G3055)*1/3</f>
        <v>0.0721577795454602</v>
      </c>
      <c r="I3055" s="27" t="n">
        <f aca="false">$G3055+(fade_mC-$G3055)*2/3</f>
        <v>0.0669004188622959</v>
      </c>
      <c r="J3055" s="27" t="n">
        <f aca="false">$G3055+(fade_mC-$G3055)*3/3</f>
        <v>0.0616430581791315</v>
      </c>
    </row>
    <row r="3056" customFormat="false" ht="17.15" hidden="false" customHeight="false" outlineLevel="0" collapsed="false">
      <c r="A3056" s="4" t="s">
        <v>583</v>
      </c>
      <c r="B3056" s="0" t="s">
        <v>234</v>
      </c>
      <c r="C3056" s="30" t="n">
        <f aca="false">C3051+C3037-C3035</f>
        <v>-54.587</v>
      </c>
      <c r="D3056" s="30" t="n">
        <f aca="false">D3051+D3037-D3035</f>
        <v>-176.164485935382</v>
      </c>
      <c r="E3056" s="30" t="n">
        <f aca="false">E3051+E3037-E3035</f>
        <v>-175.581043266127</v>
      </c>
      <c r="F3056" s="30" t="n">
        <f aca="false">F3051+F3037-F3035</f>
        <v>-71.0712702987461</v>
      </c>
      <c r="G3056" s="30" t="n">
        <f aca="false">G3051+G3037-G3035</f>
        <v>-67.9059256588917</v>
      </c>
      <c r="K3056" s="4" t="s">
        <v>584</v>
      </c>
    </row>
    <row r="3057" customFormat="false" ht="17.15" hidden="false" customHeight="false" outlineLevel="0" collapsed="false">
      <c r="A3057" s="4" t="s">
        <v>585</v>
      </c>
      <c r="B3057" s="0" t="s">
        <v>76</v>
      </c>
      <c r="D3057" s="21" t="n">
        <f aca="false">(D3045-$C3045)/SUM($D3035:D3035)</f>
        <v>0.164280348537512</v>
      </c>
      <c r="E3057" s="21" t="n">
        <f aca="false">(E3045-$C3045)/SUM($D3035:E3035)</f>
        <v>0.132618268614632</v>
      </c>
      <c r="F3057" s="21" t="n">
        <f aca="false">(F3045-$C3045)/SUM($D3035:F3035)</f>
        <v>0.047157043342538</v>
      </c>
      <c r="G3057" s="21" t="n">
        <f aca="false">(G3045-$C3045)/SUM($D3035:G3035)</f>
        <v>0.0443374684878096</v>
      </c>
      <c r="K3057" s="4" t="s">
        <v>586</v>
      </c>
    </row>
    <row r="3060" customFormat="false" ht="17.15" hidden="false" customHeight="false" outlineLevel="0" collapsed="false">
      <c r="A3060" s="1" t="s">
        <v>976</v>
      </c>
    </row>
    <row r="3061" customFormat="false" ht="17.15" hidden="false" customHeight="false" outlineLevel="0" collapsed="false">
      <c r="A3061" s="5" t="s">
        <v>21</v>
      </c>
      <c r="B3061" s="5" t="s">
        <v>22</v>
      </c>
      <c r="C3061" s="15" t="s">
        <v>424</v>
      </c>
      <c r="D3061" s="15" t="s">
        <v>524</v>
      </c>
      <c r="E3061" s="15" t="s">
        <v>525</v>
      </c>
      <c r="F3061" s="15" t="s">
        <v>526</v>
      </c>
      <c r="G3061" s="15" t="s">
        <v>527</v>
      </c>
      <c r="H3061" s="15" t="s">
        <v>528</v>
      </c>
      <c r="I3061" s="15" t="s">
        <v>529</v>
      </c>
      <c r="J3061" s="15" t="s">
        <v>530</v>
      </c>
      <c r="K3061" s="5" t="s">
        <v>382</v>
      </c>
    </row>
    <row r="3062" customFormat="false" ht="17.15" hidden="false" customHeight="false" outlineLevel="0" collapsed="false">
      <c r="A3062" s="6" t="s">
        <v>548</v>
      </c>
    </row>
    <row r="3063" customFormat="false" ht="17.15" hidden="false" customHeight="false" outlineLevel="0" collapsed="false">
      <c r="A3063" s="0" t="s">
        <v>549</v>
      </c>
      <c r="B3063" s="4" t="s">
        <v>32</v>
      </c>
      <c r="D3063" s="19" t="n">
        <f aca="false">units_26</f>
        <v>15.2</v>
      </c>
      <c r="E3063" s="19" t="n">
        <f aca="false">units_27*1</f>
        <v>23.7</v>
      </c>
      <c r="F3063" s="19" t="n">
        <f aca="false">units_28*um28_A*1</f>
        <v>26.5</v>
      </c>
      <c r="G3063" s="19" t="n">
        <f aca="false">units_29*um29_A*1</f>
        <v>30.15</v>
      </c>
    </row>
    <row r="3064" customFormat="false" ht="17.15" hidden="false" customHeight="false" outlineLevel="0" collapsed="false">
      <c r="A3064" s="4" t="s">
        <v>497</v>
      </c>
      <c r="B3064" s="0" t="s">
        <v>45</v>
      </c>
      <c r="D3064" s="22" t="n">
        <f aca="false">ar_26</f>
        <v>1</v>
      </c>
      <c r="E3064" s="22" t="n">
        <f aca="false">ar_27</f>
        <v>1.278156</v>
      </c>
      <c r="F3064" s="22" t="n">
        <f aca="false">ar_28</f>
        <v>1.428615</v>
      </c>
      <c r="G3064" s="22" t="n">
        <f aca="false">ar_29</f>
        <v>1.431796</v>
      </c>
    </row>
    <row r="3065" customFormat="false" ht="17.15" hidden="false" customHeight="false" outlineLevel="0" collapsed="false">
      <c r="A3065" s="4" t="s">
        <v>550</v>
      </c>
      <c r="B3065" s="0" t="s">
        <v>45</v>
      </c>
      <c r="D3065" s="19" t="n">
        <f aca="false">1</f>
        <v>1</v>
      </c>
      <c r="E3065" s="19" t="n">
        <f aca="false">rel27_A</f>
        <v>1.1</v>
      </c>
      <c r="F3065" s="19" t="n">
        <f aca="false">rel28_A</f>
        <v>1.15</v>
      </c>
      <c r="G3065" s="19" t="n">
        <f aca="false">rel29_A</f>
        <v>1.2</v>
      </c>
    </row>
    <row r="3066" customFormat="false" ht="17.15" hidden="false" customHeight="false" outlineLevel="0" collapsed="false">
      <c r="A3066" s="4" t="s">
        <v>551</v>
      </c>
      <c r="B3066" s="0" t="s">
        <v>502</v>
      </c>
      <c r="D3066" s="23" t="n">
        <f aca="false">D3067*1000/D3063</f>
        <v>236.842105263158</v>
      </c>
      <c r="E3066" s="23" t="n">
        <f aca="false">$D3066*E3064^el</f>
        <v>267.763172119488</v>
      </c>
      <c r="F3066" s="23" t="n">
        <f aca="false">$D3066*F3064^el</f>
        <v>283.084777049615</v>
      </c>
      <c r="G3066" s="23" t="n">
        <f aca="false">$D3066*G3064^el</f>
        <v>283.399764630809</v>
      </c>
      <c r="K3066" s="8" t="s">
        <v>552</v>
      </c>
    </row>
    <row r="3067" customFormat="false" ht="17.15" hidden="false" customHeight="false" outlineLevel="0" collapsed="false">
      <c r="A3067" s="0" t="s">
        <v>553</v>
      </c>
      <c r="B3067" s="0" t="s">
        <v>120</v>
      </c>
      <c r="D3067" s="22" t="n">
        <f aca="false">leap26-D3068-D3069</f>
        <v>3.6</v>
      </c>
      <c r="E3067" s="22" t="n">
        <f aca="false">E3063*E3065*E3066/1000</f>
        <v>6.98058589715504</v>
      </c>
      <c r="F3067" s="22" t="n">
        <f aca="false">F3063*F3065*F3066/1000</f>
        <v>8.627008580587</v>
      </c>
      <c r="G3067" s="22" t="n">
        <f aca="false">G3063*G3065*G3066/1000</f>
        <v>10.2534034843427</v>
      </c>
      <c r="K3067" s="8" t="s">
        <v>554</v>
      </c>
    </row>
    <row r="3068" customFormat="false" ht="17.15" hidden="false" customHeight="false" outlineLevel="0" collapsed="false">
      <c r="A3068" s="4" t="s">
        <v>555</v>
      </c>
      <c r="B3068" s="0" t="s">
        <v>120</v>
      </c>
      <c r="D3068" s="22" t="n">
        <f aca="false">fp26</f>
        <v>0.3</v>
      </c>
      <c r="E3068" s="22" t="n">
        <f aca="false">fp27_A</f>
        <v>1.2</v>
      </c>
      <c r="F3068" s="22" t="n">
        <f aca="false">E3068*F3063/E3063*(1+fp_g)</f>
        <v>1.74430379746835</v>
      </c>
      <c r="G3068" s="22" t="n">
        <f aca="false">F3068*G3063/F3063*(1+fp_g)</f>
        <v>2.57992405063291</v>
      </c>
    </row>
    <row r="3069" customFormat="false" ht="17.15" hidden="false" customHeight="false" outlineLevel="0" collapsed="false">
      <c r="A3069" s="0" t="s">
        <v>556</v>
      </c>
      <c r="B3069" s="0" t="s">
        <v>120</v>
      </c>
      <c r="D3069" s="22" t="n">
        <f aca="false">cpo27*cpo_A_26/cpo_A_27</f>
        <v>0.1</v>
      </c>
      <c r="E3069" s="22" t="n">
        <f aca="false">cpo27*cpo_A_27/cpo_A_27</f>
        <v>0.5</v>
      </c>
      <c r="F3069" s="22" t="n">
        <f aca="false">cpo27*cpo_A_28/cpo_A_27*F3063/E3063</f>
        <v>1.11814345991561</v>
      </c>
      <c r="G3069" s="22" t="n">
        <f aca="false">cpo27*cpo_A_29/cpo_A_27*G3063/E3063</f>
        <v>2.03544303797468</v>
      </c>
      <c r="K3069" s="8" t="s">
        <v>557</v>
      </c>
    </row>
    <row r="3070" customFormat="false" ht="17.15" hidden="false" customHeight="false" outlineLevel="0" collapsed="false">
      <c r="A3070" s="0" t="s">
        <v>510</v>
      </c>
      <c r="B3070" s="0" t="s">
        <v>120</v>
      </c>
      <c r="C3070" s="22" t="n">
        <f aca="false">leap25</f>
        <v>1.6</v>
      </c>
      <c r="D3070" s="22" t="n">
        <f aca="false">D3067+D3068+D3069</f>
        <v>4</v>
      </c>
      <c r="E3070" s="22" t="n">
        <f aca="false">E3067+E3068+E3069</f>
        <v>8.68058589715504</v>
      </c>
      <c r="F3070" s="22" t="n">
        <f aca="false">F3067+F3068+F3069</f>
        <v>11.489455837971</v>
      </c>
      <c r="G3070" s="22" t="n">
        <f aca="false">G3067+G3068+G3069</f>
        <v>14.8687705729503</v>
      </c>
    </row>
    <row r="3071" customFormat="false" ht="17.15" hidden="false" customHeight="false" outlineLevel="0" collapsed="false">
      <c r="A3071" s="4" t="s">
        <v>558</v>
      </c>
      <c r="B3071" s="0" t="s">
        <v>114</v>
      </c>
      <c r="C3071" s="19" t="n">
        <f aca="false">fx25</f>
        <v>31</v>
      </c>
      <c r="D3071" s="19" t="n">
        <f aca="false">a26_leap/D3070</f>
        <v>31.9</v>
      </c>
      <c r="E3071" s="19" t="n">
        <f aca="false">fx</f>
        <v>32</v>
      </c>
      <c r="F3071" s="19" t="n">
        <f aca="false">fx</f>
        <v>32</v>
      </c>
      <c r="G3071" s="19" t="n">
        <f aca="false">fx</f>
        <v>32</v>
      </c>
      <c r="K3071" s="8" t="s">
        <v>559</v>
      </c>
    </row>
    <row r="3072" customFormat="false" ht="17.15" hidden="false" customHeight="false" outlineLevel="0" collapsed="false">
      <c r="A3072" s="6" t="s">
        <v>560</v>
      </c>
    </row>
    <row r="3073" customFormat="false" ht="17.15" hidden="false" customHeight="false" outlineLevel="0" collapsed="false">
      <c r="A3073" s="0" t="s">
        <v>438</v>
      </c>
      <c r="B3073" s="0" t="s">
        <v>234</v>
      </c>
      <c r="C3073" s="30" t="n">
        <f aca="false">a25_leap</f>
        <v>49.6</v>
      </c>
      <c r="D3073" s="30" t="n">
        <f aca="false">a26_leap</f>
        <v>127.6</v>
      </c>
      <c r="E3073" s="30" t="n">
        <f aca="false">E3070*E3071</f>
        <v>277.778748708961</v>
      </c>
      <c r="F3073" s="30" t="n">
        <f aca="false">F3070*F3071</f>
        <v>367.662586815071</v>
      </c>
      <c r="G3073" s="30" t="n">
        <f aca="false">G3070*G3071</f>
        <v>475.800658334408</v>
      </c>
    </row>
    <row r="3074" customFormat="false" ht="15" hidden="false" customHeight="false" outlineLevel="0" collapsed="false">
      <c r="A3074" s="4" t="s">
        <v>561</v>
      </c>
      <c r="B3074" s="0" t="s">
        <v>234</v>
      </c>
      <c r="C3074" s="30" t="n">
        <f aca="false">a25_ms</f>
        <v>339.628</v>
      </c>
      <c r="D3074" s="30" t="n">
        <f aca="false">a26_ms</f>
        <v>432.1302</v>
      </c>
      <c r="E3074" s="30" t="n">
        <f aca="false">D3074*(1+g_ms27)</f>
        <v>496.94973</v>
      </c>
      <c r="F3074" s="30" t="n">
        <f aca="false">E3074*(1+g_msL)</f>
        <v>531.7362111</v>
      </c>
      <c r="G3074" s="30" t="n">
        <f aca="false">F3074*(1+g_msL)</f>
        <v>568.957745877</v>
      </c>
    </row>
    <row r="3075" customFormat="false" ht="17.15" hidden="false" customHeight="false" outlineLevel="0" collapsed="false">
      <c r="A3075" s="4" t="s">
        <v>562</v>
      </c>
      <c r="B3075" s="0" t="s">
        <v>234</v>
      </c>
      <c r="C3075" s="30" t="n">
        <f aca="false">C3073+C3074</f>
        <v>389.228</v>
      </c>
      <c r="D3075" s="30" t="n">
        <f aca="false">D3073+D3074</f>
        <v>559.7302</v>
      </c>
      <c r="E3075" s="30" t="n">
        <f aca="false">E3073+E3074</f>
        <v>774.728478708961</v>
      </c>
      <c r="F3075" s="30" t="n">
        <f aca="false">F3073+F3074</f>
        <v>899.398797915071</v>
      </c>
      <c r="G3075" s="30" t="n">
        <f aca="false">G3073+G3074</f>
        <v>1044.75840421141</v>
      </c>
    </row>
    <row r="3076" customFormat="false" ht="17.15" hidden="false" customHeight="false" outlineLevel="0" collapsed="false">
      <c r="A3076" s="0" t="s">
        <v>563</v>
      </c>
      <c r="B3076" s="0" t="s">
        <v>234</v>
      </c>
      <c r="C3076" s="30" t="n">
        <f aca="false">a25_ems</f>
        <v>259.079</v>
      </c>
      <c r="D3076" s="30" t="n">
        <f aca="false">a26_ems</f>
        <v>314.602</v>
      </c>
      <c r="E3076" s="30" t="n">
        <f aca="false">D3076*(1+g_ems27)</f>
        <v>346.0622</v>
      </c>
      <c r="F3076" s="30" t="n">
        <f aca="false">E3076*(1+g_emsL)</f>
        <v>363.36531</v>
      </c>
      <c r="G3076" s="30" t="n">
        <f aca="false">F3076*(1+g_emsL)</f>
        <v>381.5335755</v>
      </c>
    </row>
    <row r="3077" customFormat="false" ht="17.15" hidden="false" customHeight="false" outlineLevel="0" collapsed="false">
      <c r="A3077" s="4" t="s">
        <v>564</v>
      </c>
      <c r="B3077" s="0" t="s">
        <v>234</v>
      </c>
      <c r="C3077" s="30" t="n">
        <f aca="false">a25_elim</f>
        <v>-2.91899999999998</v>
      </c>
      <c r="D3077" s="30" t="n">
        <f aca="false">a26_elim</f>
        <v>-3.16484905982349</v>
      </c>
      <c r="E3077" s="30" t="n">
        <f aca="false">$D3077/($D3075+$D3076)*(E3075+E3076)</f>
        <v>-4.05696293213379</v>
      </c>
      <c r="F3077" s="30" t="n">
        <f aca="false">$D3077/($D3075+$D3076)*(F3075+F3076)</f>
        <v>-4.57086882962089</v>
      </c>
      <c r="G3077" s="30" t="n">
        <f aca="false">$D3077/($D3075+$D3076)*(G3075+G3076)</f>
        <v>-5.16279605283144</v>
      </c>
      <c r="K3077" s="4" t="s">
        <v>565</v>
      </c>
    </row>
    <row r="3078" customFormat="false" ht="17.15" hidden="false" customHeight="false" outlineLevel="0" collapsed="false">
      <c r="A3078" s="4" t="s">
        <v>431</v>
      </c>
      <c r="B3078" s="0" t="s">
        <v>234</v>
      </c>
      <c r="C3078" s="30" t="n">
        <f aca="false">C3075+C3076+C3077</f>
        <v>645.388</v>
      </c>
      <c r="D3078" s="30" t="n">
        <f aca="false">D3075+D3076+D3077</f>
        <v>871.167350940177</v>
      </c>
      <c r="E3078" s="30" t="n">
        <f aca="false">E3075+E3076+E3077</f>
        <v>1116.73371577683</v>
      </c>
      <c r="F3078" s="30" t="n">
        <f aca="false">F3075+F3076+F3077</f>
        <v>1258.19323908545</v>
      </c>
      <c r="G3078" s="30" t="n">
        <f aca="false">G3075+G3076+G3077</f>
        <v>1421.12918365858</v>
      </c>
      <c r="H3078" s="31" t="n">
        <f aca="false">G3078*(1+H3079)</f>
        <v>1572.24252669828</v>
      </c>
      <c r="I3078" s="31" t="n">
        <f aca="false">H3078*(1+I3079)</f>
        <v>1703.00066355907</v>
      </c>
      <c r="J3078" s="31" t="n">
        <f aca="false">I3078*(1+J3079)</f>
        <v>1805.18070337261</v>
      </c>
      <c r="K3078" s="8" t="s">
        <v>566</v>
      </c>
    </row>
    <row r="3079" customFormat="false" ht="15" hidden="false" customHeight="false" outlineLevel="0" collapsed="false">
      <c r="A3079" s="4" t="s">
        <v>567</v>
      </c>
      <c r="B3079" s="0" t="s">
        <v>76</v>
      </c>
      <c r="D3079" s="21" t="n">
        <f aca="false">D3078/C3078-1</f>
        <v>0.349835061916516</v>
      </c>
      <c r="E3079" s="21" t="n">
        <f aca="false">E3078/D3078-1</f>
        <v>0.281881965126026</v>
      </c>
      <c r="F3079" s="21" t="n">
        <f aca="false">F3078/E3078-1</f>
        <v>0.126672564202309</v>
      </c>
      <c r="G3079" s="21" t="n">
        <f aca="false">G3078/F3078-1</f>
        <v>0.129499936505429</v>
      </c>
      <c r="H3079" s="26" t="n">
        <f aca="false">$G3079+(fade_gA-$G3079)*1/3</f>
        <v>0.10633329100362</v>
      </c>
      <c r="I3079" s="26" t="n">
        <f aca="false">$G3079+(fade_gA-$G3079)*2/3</f>
        <v>0.0831666455018098</v>
      </c>
      <c r="J3079" s="26" t="n">
        <f aca="false">$G3079+(fade_gA-$G3079)*3/3</f>
        <v>0.06</v>
      </c>
    </row>
    <row r="3080" customFormat="false" ht="17.15" hidden="false" customHeight="false" outlineLevel="0" collapsed="false">
      <c r="A3080" s="0" t="s">
        <v>475</v>
      </c>
      <c r="B3080" s="0" t="s">
        <v>76</v>
      </c>
      <c r="C3080" s="21" t="n">
        <f aca="false">C3073/C3075</f>
        <v>0.127431736668482</v>
      </c>
      <c r="D3080" s="21" t="n">
        <f aca="false">D3073/D3075</f>
        <v>0.227966974088588</v>
      </c>
      <c r="E3080" s="21" t="n">
        <f aca="false">E3073/E3075</f>
        <v>0.35854980982739</v>
      </c>
      <c r="F3080" s="21" t="n">
        <f aca="false">F3073/F3075</f>
        <v>0.408787056050512</v>
      </c>
      <c r="G3080" s="21" t="n">
        <f aca="false">G3073/G3075</f>
        <v>0.455416923583923</v>
      </c>
    </row>
    <row r="3081" customFormat="false" ht="15" hidden="false" customHeight="false" outlineLevel="0" collapsed="false">
      <c r="A3081" s="4" t="s">
        <v>568</v>
      </c>
      <c r="B3081" s="0" t="s">
        <v>76</v>
      </c>
      <c r="D3081" s="21" t="n">
        <f aca="false">D3075/C3075-1</f>
        <v>0.438052247012034</v>
      </c>
      <c r="E3081" s="21" t="n">
        <f aca="false">E3075/D3075-1</f>
        <v>0.384110556673485</v>
      </c>
      <c r="F3081" s="21" t="n">
        <f aca="false">F3075/E3075-1</f>
        <v>0.160921306796241</v>
      </c>
      <c r="G3081" s="21" t="n">
        <f aca="false">G3075/F3075-1</f>
        <v>0.161618635285371</v>
      </c>
    </row>
    <row r="3082" customFormat="false" ht="17.15" hidden="false" customHeight="false" outlineLevel="0" collapsed="false">
      <c r="A3082" s="6" t="s">
        <v>569</v>
      </c>
    </row>
    <row r="3083" customFormat="false" ht="17.15" hidden="false" customHeight="false" outlineLevel="0" collapsed="false">
      <c r="A3083" s="4" t="s">
        <v>570</v>
      </c>
      <c r="B3083" s="0" t="s">
        <v>120</v>
      </c>
      <c r="C3083" s="19" t="n">
        <f aca="false">capex25</f>
        <v>5.5</v>
      </c>
      <c r="D3083" s="19" t="n">
        <f aca="false">capex26</f>
        <v>11.5</v>
      </c>
      <c r="E3083" s="19" t="n">
        <f aca="false">capex27_lo</f>
        <v>11.5</v>
      </c>
      <c r="F3083" s="19" t="n">
        <f aca="false">capi*F3078/F3071</f>
        <v>11.7955616164261</v>
      </c>
      <c r="G3083" s="19" t="n">
        <f aca="false">capi*G3078/G3071</f>
        <v>13.3230860967992</v>
      </c>
      <c r="K3083" s="8" t="s">
        <v>571</v>
      </c>
    </row>
    <row r="3084" customFormat="false" ht="15" hidden="false" customHeight="false" outlineLevel="0" collapsed="false">
      <c r="A3084" s="4" t="s">
        <v>572</v>
      </c>
      <c r="B3084" s="0" t="s">
        <v>234</v>
      </c>
      <c r="C3084" s="30" t="n">
        <f aca="false">C3083*C3071</f>
        <v>170.5</v>
      </c>
      <c r="D3084" s="30" t="n">
        <f aca="false">D3083*31.9</f>
        <v>366.85</v>
      </c>
      <c r="E3084" s="30" t="n">
        <f aca="false">E3083*E3071</f>
        <v>368</v>
      </c>
      <c r="F3084" s="30" t="n">
        <f aca="false">F3083*F3071</f>
        <v>377.457971725635</v>
      </c>
      <c r="G3084" s="30" t="n">
        <f aca="false">G3083*G3071</f>
        <v>426.338755097573</v>
      </c>
    </row>
    <row r="3085" customFormat="false" ht="17.15" hidden="false" customHeight="false" outlineLevel="0" collapsed="false">
      <c r="A3085" s="4" t="s">
        <v>473</v>
      </c>
      <c r="B3085" s="0" t="s">
        <v>76</v>
      </c>
      <c r="C3085" s="21" t="n">
        <f aca="false">C3084/C3078</f>
        <v>0.264182166386732</v>
      </c>
      <c r="D3085" s="21" t="n">
        <f aca="false">D3084/D3078</f>
        <v>0.421101639775745</v>
      </c>
      <c r="E3085" s="21" t="n">
        <f aca="false">E3084/E3078</f>
        <v>0.329532452366239</v>
      </c>
      <c r="F3085" s="21" t="n">
        <f aca="false">F3084/F3078</f>
        <v>0.3</v>
      </c>
      <c r="G3085" s="21" t="n">
        <f aca="false">G3084/G3078</f>
        <v>0.3</v>
      </c>
    </row>
    <row r="3086" customFormat="false" ht="17.15" hidden="false" customHeight="false" outlineLevel="0" collapsed="false">
      <c r="A3086" s="4" t="s">
        <v>573</v>
      </c>
      <c r="B3086" s="0" t="s">
        <v>234</v>
      </c>
      <c r="C3086" s="30" t="n">
        <f aca="false">a25_da</f>
        <v>75.255</v>
      </c>
      <c r="D3086" s="30" t="n">
        <f aca="false">a26_da</f>
        <v>97.124</v>
      </c>
      <c r="E3086" s="30" t="n">
        <f aca="false">D3086*(1-1/life)+D3084/life</f>
        <v>130.83975</v>
      </c>
      <c r="F3086" s="30" t="n">
        <f aca="false">E3086*(1-1/life)+E3084/life</f>
        <v>160.48478125</v>
      </c>
      <c r="G3086" s="30" t="n">
        <f aca="false">F3086*(1-1/life)+F3084/life</f>
        <v>187.606430059454</v>
      </c>
      <c r="K3086" s="4" t="s">
        <v>574</v>
      </c>
    </row>
    <row r="3087" customFormat="false" ht="17.15" hidden="false" customHeight="false" outlineLevel="0" collapsed="false">
      <c r="A3087" s="4" t="s">
        <v>575</v>
      </c>
      <c r="B3087" s="0" t="s">
        <v>234</v>
      </c>
      <c r="C3087" s="30" t="n">
        <f aca="false">a25_agp</f>
        <v>91.38</v>
      </c>
      <c r="D3087" s="30" t="n">
        <f aca="false">a26_agp</f>
        <v>164.623388</v>
      </c>
      <c r="E3087" s="30" t="n">
        <f aca="false">$D3087+ft*(E3075-$D3075)-(E3086-$D3086)</f>
        <v>238.406777354481</v>
      </c>
      <c r="F3087" s="30" t="n">
        <f aca="false">$D3087+ft*(F3075-$D3075)-(F3086-$D3086)</f>
        <v>271.096905707536</v>
      </c>
      <c r="G3087" s="30" t="n">
        <f aca="false">$D3087+ft*(G3075-$D3075)-(G3086-$D3086)</f>
        <v>316.65506004625</v>
      </c>
      <c r="K3087" s="4" t="s">
        <v>576</v>
      </c>
    </row>
    <row r="3088" customFormat="false" ht="15" hidden="false" customHeight="false" outlineLevel="0" collapsed="false">
      <c r="A3088" s="4" t="s">
        <v>447</v>
      </c>
      <c r="B3088" s="0" t="s">
        <v>76</v>
      </c>
      <c r="C3088" s="14" t="n">
        <f aca="false">C3087/C3075</f>
        <v>0.234772421305764</v>
      </c>
      <c r="D3088" s="14" t="n">
        <f aca="false">D3087/D3075</f>
        <v>0.294112034690999</v>
      </c>
      <c r="E3088" s="14" t="n">
        <f aca="false">E3087/E3075</f>
        <v>0.307729461232368</v>
      </c>
      <c r="F3088" s="14" t="n">
        <f aca="false">F3087/F3075</f>
        <v>0.301420133466906</v>
      </c>
      <c r="G3088" s="14" t="n">
        <f aca="false">G3087/G3075</f>
        <v>0.303089268073669</v>
      </c>
    </row>
    <row r="3089" customFormat="false" ht="17.15" hidden="false" customHeight="false" outlineLevel="0" collapsed="false">
      <c r="A3089" s="0" t="s">
        <v>449</v>
      </c>
      <c r="B3089" s="0" t="s">
        <v>234</v>
      </c>
      <c r="C3089" s="30" t="n">
        <f aca="false">a25_egp</f>
        <v>23.695</v>
      </c>
      <c r="D3089" s="30" t="n">
        <f aca="false">a26_egp</f>
        <v>27.00552</v>
      </c>
      <c r="E3089" s="30" t="n">
        <f aca="false">E3076*ems_gm</f>
        <v>29.415287</v>
      </c>
      <c r="F3089" s="30" t="n">
        <f aca="false">F3076*ems_gm</f>
        <v>30.88605135</v>
      </c>
      <c r="G3089" s="30" t="n">
        <f aca="false">G3076*ems_gm</f>
        <v>32.4303539175</v>
      </c>
    </row>
    <row r="3090" customFormat="false" ht="15" hidden="false" customHeight="false" outlineLevel="0" collapsed="false">
      <c r="A3090" s="4" t="s">
        <v>577</v>
      </c>
      <c r="B3090" s="0" t="s">
        <v>234</v>
      </c>
      <c r="C3090" s="30" t="n">
        <f aca="false">a25_lgp</f>
        <v>-0.881999999999998</v>
      </c>
      <c r="D3090" s="30" t="n">
        <f aca="false">a26_lgp</f>
        <v>-0.948662139013863</v>
      </c>
      <c r="E3090" s="30" t="n">
        <f aca="false">$D3090/$D3077*E3077</f>
        <v>-1.21607288699975</v>
      </c>
      <c r="F3090" s="30" t="n">
        <f aca="false">$D3090/$D3077*F3077</f>
        <v>-1.37011595785291</v>
      </c>
      <c r="G3090" s="30" t="n">
        <f aca="false">$D3090/$D3077*G3077</f>
        <v>-1.54754588739994</v>
      </c>
    </row>
    <row r="3091" customFormat="false" ht="15" hidden="false" customHeight="false" outlineLevel="0" collapsed="false">
      <c r="A3091" s="4" t="s">
        <v>451</v>
      </c>
      <c r="B3091" s="0" t="s">
        <v>234</v>
      </c>
      <c r="C3091" s="30" t="n">
        <f aca="false">C3087+C3089+C3090</f>
        <v>114.193</v>
      </c>
      <c r="D3091" s="30" t="n">
        <f aca="false">D3087+D3089+D3090</f>
        <v>190.680245860986</v>
      </c>
      <c r="E3091" s="30" t="n">
        <f aca="false">E3087+E3089+E3090</f>
        <v>266.605991467481</v>
      </c>
      <c r="F3091" s="30" t="n">
        <f aca="false">F3087+F3089+F3090</f>
        <v>300.612841099683</v>
      </c>
      <c r="G3091" s="30" t="n">
        <f aca="false">G3087+G3089+G3090</f>
        <v>347.53786807635</v>
      </c>
    </row>
    <row r="3092" customFormat="false" ht="15" hidden="false" customHeight="false" outlineLevel="0" collapsed="false">
      <c r="A3092" s="4" t="s">
        <v>452</v>
      </c>
      <c r="B3092" s="0" t="s">
        <v>76</v>
      </c>
      <c r="C3092" s="14" t="n">
        <f aca="false">C3091/C3078</f>
        <v>0.176936974347214</v>
      </c>
      <c r="D3092" s="14" t="n">
        <f aca="false">D3091/D3078</f>
        <v>0.218879008327391</v>
      </c>
      <c r="E3092" s="14" t="n">
        <f aca="false">E3091/E3078</f>
        <v>0.238737299412531</v>
      </c>
      <c r="F3092" s="14" t="n">
        <f aca="false">F3091/F3078</f>
        <v>0.238924222258729</v>
      </c>
      <c r="G3092" s="14" t="n">
        <f aca="false">G3091/G3078</f>
        <v>0.244550511011</v>
      </c>
    </row>
    <row r="3093" customFormat="false" ht="15" hidden="false" customHeight="false" outlineLevel="0" collapsed="false">
      <c r="A3093" s="4" t="s">
        <v>578</v>
      </c>
      <c r="B3093" s="0" t="s">
        <v>234</v>
      </c>
      <c r="C3093" s="30" t="n">
        <f aca="false">a25_opx</f>
        <v>63.437</v>
      </c>
      <c r="D3093" s="30" t="n">
        <f aca="false">a26_opx</f>
        <v>79.658</v>
      </c>
      <c r="E3093" s="30" t="n">
        <f aca="false">D3093*(1+phi*E3079)</f>
        <v>93.1304921468054</v>
      </c>
      <c r="F3093" s="30" t="n">
        <f aca="false">E3093*(1+phi*F3079)</f>
        <v>100.208739094201</v>
      </c>
      <c r="G3093" s="30" t="n">
        <f aca="false">F3093*(1+phi*G3079)</f>
        <v>107.994954304194</v>
      </c>
    </row>
    <row r="3094" customFormat="false" ht="15" hidden="false" customHeight="false" outlineLevel="0" collapsed="false">
      <c r="A3094" s="4" t="s">
        <v>455</v>
      </c>
      <c r="B3094" s="0" t="s">
        <v>234</v>
      </c>
      <c r="C3094" s="30" t="n">
        <f aca="false">C3091-C3093</f>
        <v>50.756</v>
      </c>
      <c r="D3094" s="30" t="n">
        <f aca="false">D3091-D3093</f>
        <v>111.022245860986</v>
      </c>
      <c r="E3094" s="30" t="n">
        <f aca="false">E3091-E3093</f>
        <v>173.475499320676</v>
      </c>
      <c r="F3094" s="30" t="n">
        <f aca="false">F3091-F3093</f>
        <v>200.404102005482</v>
      </c>
      <c r="G3094" s="30" t="n">
        <f aca="false">G3091-G3093</f>
        <v>239.542913772156</v>
      </c>
    </row>
    <row r="3095" customFormat="false" ht="15" hidden="false" customHeight="false" outlineLevel="0" collapsed="false">
      <c r="A3095" s="4" t="s">
        <v>537</v>
      </c>
      <c r="B3095" s="0" t="s">
        <v>76</v>
      </c>
      <c r="C3095" s="14" t="n">
        <f aca="false">C3094/C3078</f>
        <v>0.0786441644406156</v>
      </c>
      <c r="D3095" s="14" t="n">
        <f aca="false">D3094/D3078</f>
        <v>0.127440779020437</v>
      </c>
      <c r="E3095" s="14" t="n">
        <f aca="false">E3094/E3078</f>
        <v>0.155341866077717</v>
      </c>
      <c r="F3095" s="14" t="n">
        <f aca="false">F3094/F3078</f>
        <v>0.159279271084902</v>
      </c>
      <c r="G3095" s="14" t="n">
        <f aca="false">G3094/G3078</f>
        <v>0.168558155392653</v>
      </c>
    </row>
    <row r="3096" customFormat="false" ht="15" hidden="false" customHeight="false" outlineLevel="0" collapsed="false">
      <c r="A3096" s="4" t="s">
        <v>456</v>
      </c>
      <c r="B3096" s="0" t="s">
        <v>234</v>
      </c>
      <c r="C3096" s="30" t="n">
        <f aca="false">a25_nonop</f>
        <v>0.545</v>
      </c>
      <c r="D3096" s="30" t="n">
        <f aca="false">a26_nonop</f>
        <v>4.302</v>
      </c>
      <c r="E3096" s="30" t="n">
        <f aca="false">nonop_f</f>
        <v>-5</v>
      </c>
      <c r="F3096" s="30" t="n">
        <f aca="false">nonop_f</f>
        <v>-5</v>
      </c>
      <c r="G3096" s="30" t="n">
        <f aca="false">nonop_f</f>
        <v>-5</v>
      </c>
    </row>
    <row r="3097" customFormat="false" ht="15" hidden="false" customHeight="false" outlineLevel="0" collapsed="false">
      <c r="A3097" s="4" t="s">
        <v>459</v>
      </c>
      <c r="B3097" s="0" t="s">
        <v>234</v>
      </c>
      <c r="C3097" s="30" t="n">
        <f aca="false">C3094+C3096</f>
        <v>51.301</v>
      </c>
      <c r="D3097" s="30" t="n">
        <f aca="false">D3094+D3096</f>
        <v>115.324245860986</v>
      </c>
      <c r="E3097" s="30" t="n">
        <f aca="false">E3094+E3096</f>
        <v>168.475499320676</v>
      </c>
      <c r="F3097" s="30" t="n">
        <f aca="false">F3094+F3096</f>
        <v>195.404102005482</v>
      </c>
      <c r="G3097" s="30" t="n">
        <f aca="false">G3094+G3096</f>
        <v>234.542913772156</v>
      </c>
    </row>
    <row r="3098" customFormat="false" ht="15" hidden="false" customHeight="false" outlineLevel="0" collapsed="false">
      <c r="A3098" s="4" t="s">
        <v>460</v>
      </c>
      <c r="B3098" s="0" t="s">
        <v>234</v>
      </c>
      <c r="C3098" s="30" t="n">
        <f aca="false">a25_tax</f>
        <v>9.461</v>
      </c>
      <c r="D3098" s="30" t="n">
        <f aca="false">a26_tax</f>
        <v>19.2197317963676</v>
      </c>
      <c r="E3098" s="30" t="n">
        <f aca="false">E3097*tax</f>
        <v>28.6408348845149</v>
      </c>
      <c r="F3098" s="30" t="n">
        <f aca="false">F3097*tax</f>
        <v>33.2186973409319</v>
      </c>
      <c r="G3098" s="30" t="n">
        <f aca="false">G3097*tax</f>
        <v>39.8722953412666</v>
      </c>
    </row>
    <row r="3099" customFormat="false" ht="15" hidden="false" customHeight="false" outlineLevel="0" collapsed="false">
      <c r="A3099" s="4" t="s">
        <v>461</v>
      </c>
      <c r="B3099" s="0" t="s">
        <v>234</v>
      </c>
      <c r="C3099" s="30" t="n">
        <f aca="false">a25_nci</f>
        <v>1.182</v>
      </c>
      <c r="D3099" s="30" t="n">
        <f aca="false">a26_nci</f>
        <v>2.543</v>
      </c>
      <c r="E3099" s="30" t="n">
        <f aca="false">nci</f>
        <v>3</v>
      </c>
      <c r="F3099" s="30" t="n">
        <f aca="false">nci</f>
        <v>3</v>
      </c>
      <c r="G3099" s="30" t="n">
        <f aca="false">nci</f>
        <v>3</v>
      </c>
    </row>
    <row r="3100" customFormat="false" ht="15" hidden="false" customHeight="false" outlineLevel="0" collapsed="false">
      <c r="A3100" s="4" t="s">
        <v>462</v>
      </c>
      <c r="B3100" s="0" t="s">
        <v>234</v>
      </c>
      <c r="C3100" s="30" t="n">
        <f aca="false">C3097-C3098-C3099</f>
        <v>40.658</v>
      </c>
      <c r="D3100" s="30" t="n">
        <f aca="false">D3097-D3098-D3099</f>
        <v>93.5615140646185</v>
      </c>
      <c r="E3100" s="30" t="n">
        <f aca="false">E3097-E3098-E3099</f>
        <v>136.834664436161</v>
      </c>
      <c r="F3100" s="30" t="n">
        <f aca="false">F3097-F3098-F3099</f>
        <v>159.18540466455</v>
      </c>
      <c r="G3100" s="30" t="n">
        <f aca="false">G3097-G3098-G3099</f>
        <v>191.67061843089</v>
      </c>
      <c r="H3100" s="31" t="n">
        <f aca="false">H3078*H3104</f>
        <v>210.444636972163</v>
      </c>
      <c r="I3100" s="31" t="n">
        <f aca="false">I3078*I3104</f>
        <v>226.20601782123</v>
      </c>
      <c r="J3100" s="31" t="n">
        <f aca="false">J3078*J3104</f>
        <v>237.933349598446</v>
      </c>
    </row>
    <row r="3101" customFormat="false" ht="15" hidden="false" customHeight="false" outlineLevel="0" collapsed="false">
      <c r="A3101" s="4" t="s">
        <v>579</v>
      </c>
      <c r="B3101" s="4" t="s">
        <v>580</v>
      </c>
      <c r="C3101" s="18" t="n">
        <f aca="false">a25_sh</f>
        <v>4339.16755602988</v>
      </c>
      <c r="D3101" s="18" t="n">
        <f aca="false">a26_sh</f>
        <v>4392.90105184664</v>
      </c>
      <c r="E3101" s="18" t="n">
        <f aca="false">D3101*(1+sh_g)</f>
        <v>4414.86555710588</v>
      </c>
      <c r="F3101" s="18" t="n">
        <f aca="false">E3101*(1+sh_g)</f>
        <v>4436.9398848914</v>
      </c>
      <c r="G3101" s="18" t="n">
        <f aca="false">F3101*(1+sh_g)</f>
        <v>4459.12458431586</v>
      </c>
      <c r="H3101" s="25" t="n">
        <f aca="false">G3101*(1+sh_g)</f>
        <v>4481.42020723744</v>
      </c>
      <c r="I3101" s="25" t="n">
        <f aca="false">H3101*(1+sh_g)</f>
        <v>4503.82730827363</v>
      </c>
      <c r="J3101" s="25" t="n">
        <f aca="false">I3101*(1+sh_g)</f>
        <v>4526.34644481499</v>
      </c>
    </row>
    <row r="3102" customFormat="false" ht="17.15" hidden="false" customHeight="false" outlineLevel="0" collapsed="false">
      <c r="A3102" s="0" t="s">
        <v>465</v>
      </c>
      <c r="B3102" s="0" t="s">
        <v>304</v>
      </c>
      <c r="C3102" s="19" t="n">
        <f aca="false">a25_eps</f>
        <v>9.37</v>
      </c>
      <c r="D3102" s="19" t="n">
        <f aca="false">a26_eps</f>
        <v>21.2828697294455</v>
      </c>
      <c r="E3102" s="19" t="n">
        <f aca="false">E3100/E3101*1000</f>
        <v>30.9940727902621</v>
      </c>
      <c r="F3102" s="19" t="n">
        <f aca="false">F3100/F3101*1000</f>
        <v>35.8772957926714</v>
      </c>
      <c r="G3102" s="19" t="n">
        <f aca="false">G3100/G3101*1000</f>
        <v>42.9839119330856</v>
      </c>
      <c r="H3102" s="28" t="n">
        <f aca="false">H3100/H3101*1000</f>
        <v>46.9593627110211</v>
      </c>
      <c r="I3102" s="28" t="n">
        <f aca="false">I3100/I3101*1000</f>
        <v>50.2252867035299</v>
      </c>
      <c r="J3102" s="28" t="n">
        <f aca="false">J3100/J3101*1000</f>
        <v>52.5663142446825</v>
      </c>
    </row>
    <row r="3103" customFormat="false" ht="17.15" hidden="false" customHeight="false" outlineLevel="0" collapsed="false">
      <c r="A3103" s="0" t="s">
        <v>581</v>
      </c>
      <c r="B3103" s="0" t="s">
        <v>76</v>
      </c>
      <c r="D3103" s="21" t="n">
        <f aca="false">D3102/C3102-1</f>
        <v>1.27138417603474</v>
      </c>
      <c r="E3103" s="21" t="n">
        <f aca="false">E3102/D3102-1</f>
        <v>0.456291993714591</v>
      </c>
      <c r="F3103" s="21" t="n">
        <f aca="false">F3102/E3102-1</f>
        <v>0.157553446926905</v>
      </c>
      <c r="G3103" s="21" t="n">
        <f aca="false">G3102/F3102-1</f>
        <v>0.198081153648873</v>
      </c>
      <c r="H3103" s="26" t="n">
        <f aca="false">H3102/G3102-1</f>
        <v>0.0924869468401179</v>
      </c>
      <c r="I3103" s="26" t="n">
        <f aca="false">I3102/H3102-1</f>
        <v>0.0695478772275227</v>
      </c>
      <c r="J3103" s="26" t="n">
        <f aca="false">J3102/I3102-1</f>
        <v>0.0466105361423048</v>
      </c>
    </row>
    <row r="3104" customFormat="false" ht="17.15" hidden="false" customHeight="false" outlineLevel="0" collapsed="false">
      <c r="A3104" s="4" t="s">
        <v>582</v>
      </c>
      <c r="B3104" s="0" t="s">
        <v>76</v>
      </c>
      <c r="C3104" s="14" t="n">
        <f aca="false">C3100/C3078</f>
        <v>0.0629977625862272</v>
      </c>
      <c r="D3104" s="14" t="n">
        <f aca="false">D3100/D3078</f>
        <v>0.107397865592237</v>
      </c>
      <c r="E3104" s="14" t="n">
        <f aca="false">E3100/E3078</f>
        <v>0.122531148207498</v>
      </c>
      <c r="F3104" s="14" t="n">
        <f aca="false">F3100/F3078</f>
        <v>0.126519043116348</v>
      </c>
      <c r="G3104" s="14" t="n">
        <f aca="false">G3100/G3078</f>
        <v>0.134872058525637</v>
      </c>
      <c r="H3104" s="27" t="n">
        <f aca="false">$G3104+(fade_mA-$G3104)*1/3</f>
        <v>0.133849983955146</v>
      </c>
      <c r="I3104" s="27" t="n">
        <f aca="false">$G3104+(fade_mA-$G3104)*2/3</f>
        <v>0.132827909384655</v>
      </c>
      <c r="J3104" s="27" t="n">
        <f aca="false">$G3104+(fade_mA-$G3104)*3/3</f>
        <v>0.131805834814164</v>
      </c>
    </row>
    <row r="3105" customFormat="false" ht="17.15" hidden="false" customHeight="false" outlineLevel="0" collapsed="false">
      <c r="A3105" s="4" t="s">
        <v>583</v>
      </c>
      <c r="B3105" s="0" t="s">
        <v>234</v>
      </c>
      <c r="C3105" s="30" t="n">
        <f aca="false">C3100+C3086-C3084</f>
        <v>-54.587</v>
      </c>
      <c r="D3105" s="30" t="n">
        <f aca="false">D3100+D3086-D3084</f>
        <v>-176.164485935382</v>
      </c>
      <c r="E3105" s="30" t="n">
        <f aca="false">E3100+E3086-E3084</f>
        <v>-100.325585563839</v>
      </c>
      <c r="F3105" s="30" t="n">
        <f aca="false">F3100+F3086-F3084</f>
        <v>-57.787785811085</v>
      </c>
      <c r="G3105" s="30" t="n">
        <f aca="false">G3100+G3086-G3084</f>
        <v>-47.061706607229</v>
      </c>
      <c r="K3105" s="4" t="s">
        <v>584</v>
      </c>
    </row>
    <row r="3106" customFormat="false" ht="17.15" hidden="false" customHeight="false" outlineLevel="0" collapsed="false">
      <c r="A3106" s="4" t="s">
        <v>585</v>
      </c>
      <c r="B3106" s="0" t="s">
        <v>76</v>
      </c>
      <c r="D3106" s="21" t="n">
        <f aca="false">(D3094-$C3094)/SUM($D3084:D3084)</f>
        <v>0.164280348537512</v>
      </c>
      <c r="E3106" s="21" t="n">
        <f aca="false">(E3094-$C3094)/SUM($D3084:E3084)</f>
        <v>0.166999386705689</v>
      </c>
      <c r="F3106" s="21" t="n">
        <f aca="false">(F3094-$C3094)/SUM($D3084:F3084)</f>
        <v>0.134538370495824</v>
      </c>
      <c r="G3106" s="21" t="n">
        <f aca="false">(G3094-$C3094)/SUM($D3084:G3084)</f>
        <v>0.122696724648379</v>
      </c>
      <c r="K3106" s="4" t="s">
        <v>586</v>
      </c>
    </row>
    <row r="3109" customFormat="false" ht="17.15" hidden="false" customHeight="false" outlineLevel="0" collapsed="false">
      <c r="A3109" s="1" t="s">
        <v>977</v>
      </c>
    </row>
    <row r="3110" customFormat="false" ht="17.15" hidden="false" customHeight="false" outlineLevel="0" collapsed="false">
      <c r="A3110" s="5" t="s">
        <v>21</v>
      </c>
      <c r="B3110" s="5" t="s">
        <v>22</v>
      </c>
      <c r="C3110" s="15" t="s">
        <v>424</v>
      </c>
      <c r="D3110" s="15" t="s">
        <v>524</v>
      </c>
      <c r="E3110" s="15" t="s">
        <v>525</v>
      </c>
      <c r="F3110" s="15" t="s">
        <v>526</v>
      </c>
      <c r="G3110" s="15" t="s">
        <v>527</v>
      </c>
      <c r="H3110" s="15" t="s">
        <v>528</v>
      </c>
      <c r="I3110" s="15" t="s">
        <v>529</v>
      </c>
      <c r="J3110" s="15" t="s">
        <v>530</v>
      </c>
      <c r="K3110" s="5" t="s">
        <v>382</v>
      </c>
    </row>
    <row r="3111" customFormat="false" ht="17.15" hidden="false" customHeight="false" outlineLevel="0" collapsed="false">
      <c r="A3111" s="6" t="s">
        <v>548</v>
      </c>
    </row>
    <row r="3112" customFormat="false" ht="17.15" hidden="false" customHeight="false" outlineLevel="0" collapsed="false">
      <c r="A3112" s="0" t="s">
        <v>549</v>
      </c>
      <c r="B3112" s="4" t="s">
        <v>32</v>
      </c>
      <c r="D3112" s="19" t="n">
        <f aca="false">units_26</f>
        <v>15.2</v>
      </c>
      <c r="E3112" s="19" t="n">
        <f aca="false">units_27*1</f>
        <v>23.7</v>
      </c>
      <c r="F3112" s="19" t="n">
        <f aca="false">units_28*um28_B*1</f>
        <v>21.2</v>
      </c>
      <c r="G3112" s="19" t="n">
        <f aca="false">units_29*um29_B*1</f>
        <v>25.6275</v>
      </c>
    </row>
    <row r="3113" customFormat="false" ht="17.15" hidden="false" customHeight="false" outlineLevel="0" collapsed="false">
      <c r="A3113" s="4" t="s">
        <v>497</v>
      </c>
      <c r="B3113" s="0" t="s">
        <v>45</v>
      </c>
      <c r="D3113" s="22" t="n">
        <f aca="false">ar_26</f>
        <v>1</v>
      </c>
      <c r="E3113" s="22" t="n">
        <f aca="false">ar_27</f>
        <v>1.278156</v>
      </c>
      <c r="F3113" s="22" t="n">
        <f aca="false">ar_28</f>
        <v>1.428615</v>
      </c>
      <c r="G3113" s="22" t="n">
        <f aca="false">ar_29</f>
        <v>1.431796</v>
      </c>
    </row>
    <row r="3114" customFormat="false" ht="17.15" hidden="false" customHeight="false" outlineLevel="0" collapsed="false">
      <c r="A3114" s="4" t="s">
        <v>550</v>
      </c>
      <c r="B3114" s="0" t="s">
        <v>45</v>
      </c>
      <c r="D3114" s="19" t="n">
        <f aca="false">1</f>
        <v>1</v>
      </c>
      <c r="E3114" s="19" t="n">
        <f aca="false">rel27_B</f>
        <v>1.05</v>
      </c>
      <c r="F3114" s="19" t="n">
        <f aca="false">rel28_B</f>
        <v>1.08</v>
      </c>
      <c r="G3114" s="19" t="n">
        <f aca="false">rel29_B</f>
        <v>1.1</v>
      </c>
    </row>
    <row r="3115" customFormat="false" ht="17.15" hidden="false" customHeight="false" outlineLevel="0" collapsed="false">
      <c r="A3115" s="4" t="s">
        <v>551</v>
      </c>
      <c r="B3115" s="0" t="s">
        <v>502</v>
      </c>
      <c r="D3115" s="23" t="n">
        <f aca="false">D3116*1000/D3112</f>
        <v>236.842105263158</v>
      </c>
      <c r="E3115" s="23" t="n">
        <f aca="false">$D3115*E3113^el</f>
        <v>267.763172119488</v>
      </c>
      <c r="F3115" s="23" t="n">
        <f aca="false">$D3115*F3113^el</f>
        <v>283.084777049615</v>
      </c>
      <c r="G3115" s="23" t="n">
        <f aca="false">$D3115*G3113^el</f>
        <v>283.399764630809</v>
      </c>
      <c r="K3115" s="8" t="s">
        <v>552</v>
      </c>
    </row>
    <row r="3116" customFormat="false" ht="17.15" hidden="false" customHeight="false" outlineLevel="0" collapsed="false">
      <c r="A3116" s="0" t="s">
        <v>553</v>
      </c>
      <c r="B3116" s="0" t="s">
        <v>120</v>
      </c>
      <c r="D3116" s="22" t="n">
        <f aca="false">leap26-D3117-D3118</f>
        <v>3.6</v>
      </c>
      <c r="E3116" s="22" t="n">
        <f aca="false">E3112*E3114*E3115/1000</f>
        <v>6.66328653819345</v>
      </c>
      <c r="F3116" s="22" t="n">
        <f aca="false">F3112*F3114*F3115/1000</f>
        <v>6.48150905532798</v>
      </c>
      <c r="G3116" s="22" t="n">
        <f aca="false">G3112*G3114*G3115/1000</f>
        <v>7.98911021488366</v>
      </c>
      <c r="K3116" s="8" t="s">
        <v>554</v>
      </c>
    </row>
    <row r="3117" customFormat="false" ht="17.15" hidden="false" customHeight="false" outlineLevel="0" collapsed="false">
      <c r="A3117" s="4" t="s">
        <v>555</v>
      </c>
      <c r="B3117" s="0" t="s">
        <v>120</v>
      </c>
      <c r="D3117" s="22" t="n">
        <f aca="false">fp26</f>
        <v>0.3</v>
      </c>
      <c r="E3117" s="22" t="n">
        <f aca="false">fp27_B</f>
        <v>1</v>
      </c>
      <c r="F3117" s="22" t="n">
        <f aca="false">E3117*F3112/E3112*(1+fp_g)</f>
        <v>1.16286919831224</v>
      </c>
      <c r="G3117" s="22" t="n">
        <f aca="false">F3117*G3112/F3112*(1+fp_g)</f>
        <v>1.82744620253165</v>
      </c>
    </row>
    <row r="3118" customFormat="false" ht="17.15" hidden="false" customHeight="false" outlineLevel="0" collapsed="false">
      <c r="A3118" s="0" t="s">
        <v>556</v>
      </c>
      <c r="B3118" s="0" t="s">
        <v>120</v>
      </c>
      <c r="D3118" s="22" t="n">
        <f aca="false">cpo27*cpo_B_26/cpo_A_27</f>
        <v>0.1</v>
      </c>
      <c r="E3118" s="22" t="n">
        <f aca="false">cpo27*cpo_B_27/cpo_A_27</f>
        <v>0.3</v>
      </c>
      <c r="F3118" s="22" t="n">
        <f aca="false">cpo27*cpo_B_28/cpo_A_27*F3112/E3112</f>
        <v>0.447257383966245</v>
      </c>
      <c r="G3118" s="22" t="n">
        <f aca="false">cpo27*cpo_B_29/cpo_A_27*G3112/E3112</f>
        <v>0.86506329113924</v>
      </c>
      <c r="K3118" s="8" t="s">
        <v>557</v>
      </c>
    </row>
    <row r="3119" customFormat="false" ht="17.15" hidden="false" customHeight="false" outlineLevel="0" collapsed="false">
      <c r="A3119" s="0" t="s">
        <v>510</v>
      </c>
      <c r="B3119" s="0" t="s">
        <v>120</v>
      </c>
      <c r="C3119" s="22" t="n">
        <f aca="false">leap25</f>
        <v>1.6</v>
      </c>
      <c r="D3119" s="22" t="n">
        <f aca="false">D3116+D3117+D3118</f>
        <v>4</v>
      </c>
      <c r="E3119" s="22" t="n">
        <f aca="false">E3116+E3117+E3118</f>
        <v>7.96328653819345</v>
      </c>
      <c r="F3119" s="22" t="n">
        <f aca="false">F3116+F3117+F3118</f>
        <v>8.09163563760646</v>
      </c>
      <c r="G3119" s="22" t="n">
        <f aca="false">G3116+G3117+G3118</f>
        <v>10.6816197085545</v>
      </c>
    </row>
    <row r="3120" customFormat="false" ht="17.15" hidden="false" customHeight="false" outlineLevel="0" collapsed="false">
      <c r="A3120" s="4" t="s">
        <v>558</v>
      </c>
      <c r="B3120" s="0" t="s">
        <v>114</v>
      </c>
      <c r="C3120" s="19" t="n">
        <f aca="false">fx25</f>
        <v>31</v>
      </c>
      <c r="D3120" s="19" t="n">
        <f aca="false">a26_leap/D3119</f>
        <v>31.9</v>
      </c>
      <c r="E3120" s="19" t="n">
        <f aca="false">fx</f>
        <v>32</v>
      </c>
      <c r="F3120" s="19" t="n">
        <f aca="false">fx</f>
        <v>32</v>
      </c>
      <c r="G3120" s="19" t="n">
        <f aca="false">fx</f>
        <v>32</v>
      </c>
      <c r="K3120" s="8" t="s">
        <v>559</v>
      </c>
    </row>
    <row r="3121" customFormat="false" ht="17.15" hidden="false" customHeight="false" outlineLevel="0" collapsed="false">
      <c r="A3121" s="6" t="s">
        <v>560</v>
      </c>
    </row>
    <row r="3122" customFormat="false" ht="17.15" hidden="false" customHeight="false" outlineLevel="0" collapsed="false">
      <c r="A3122" s="0" t="s">
        <v>438</v>
      </c>
      <c r="B3122" s="0" t="s">
        <v>234</v>
      </c>
      <c r="C3122" s="30" t="n">
        <f aca="false">a25_leap</f>
        <v>49.6</v>
      </c>
      <c r="D3122" s="30" t="n">
        <f aca="false">a26_leap</f>
        <v>127.6</v>
      </c>
      <c r="E3122" s="30" t="n">
        <f aca="false">E3119*E3120</f>
        <v>254.82516922219</v>
      </c>
      <c r="F3122" s="30" t="n">
        <f aca="false">F3119*F3120</f>
        <v>258.932340403407</v>
      </c>
      <c r="G3122" s="30" t="n">
        <f aca="false">G3119*G3120</f>
        <v>341.811830673745</v>
      </c>
    </row>
    <row r="3123" customFormat="false" ht="15" hidden="false" customHeight="false" outlineLevel="0" collapsed="false">
      <c r="A3123" s="4" t="s">
        <v>561</v>
      </c>
      <c r="B3123" s="0" t="s">
        <v>234</v>
      </c>
      <c r="C3123" s="30" t="n">
        <f aca="false">a25_ms</f>
        <v>339.628</v>
      </c>
      <c r="D3123" s="30" t="n">
        <f aca="false">a26_ms</f>
        <v>432.1302</v>
      </c>
      <c r="E3123" s="30" t="n">
        <f aca="false">D3123*(1+g_ms27)</f>
        <v>496.94973</v>
      </c>
      <c r="F3123" s="30" t="n">
        <f aca="false">E3123*(1+g_msL)</f>
        <v>531.7362111</v>
      </c>
      <c r="G3123" s="30" t="n">
        <f aca="false">F3123*(1+g_msL)</f>
        <v>568.957745877</v>
      </c>
    </row>
    <row r="3124" customFormat="false" ht="17.15" hidden="false" customHeight="false" outlineLevel="0" collapsed="false">
      <c r="A3124" s="4" t="s">
        <v>562</v>
      </c>
      <c r="B3124" s="0" t="s">
        <v>234</v>
      </c>
      <c r="C3124" s="30" t="n">
        <f aca="false">C3122+C3123</f>
        <v>389.228</v>
      </c>
      <c r="D3124" s="30" t="n">
        <f aca="false">D3122+D3123</f>
        <v>559.7302</v>
      </c>
      <c r="E3124" s="30" t="n">
        <f aca="false">E3122+E3123</f>
        <v>751.77489922219</v>
      </c>
      <c r="F3124" s="30" t="n">
        <f aca="false">F3122+F3123</f>
        <v>790.668551503407</v>
      </c>
      <c r="G3124" s="30" t="n">
        <f aca="false">G3122+G3123</f>
        <v>910.769576550745</v>
      </c>
    </row>
    <row r="3125" customFormat="false" ht="17.15" hidden="false" customHeight="false" outlineLevel="0" collapsed="false">
      <c r="A3125" s="0" t="s">
        <v>563</v>
      </c>
      <c r="B3125" s="0" t="s">
        <v>234</v>
      </c>
      <c r="C3125" s="30" t="n">
        <f aca="false">a25_ems</f>
        <v>259.079</v>
      </c>
      <c r="D3125" s="30" t="n">
        <f aca="false">a26_ems</f>
        <v>314.602</v>
      </c>
      <c r="E3125" s="30" t="n">
        <f aca="false">D3125*(1+g_ems27)</f>
        <v>346.0622</v>
      </c>
      <c r="F3125" s="30" t="n">
        <f aca="false">E3125*(1+g_emsL)</f>
        <v>363.36531</v>
      </c>
      <c r="G3125" s="30" t="n">
        <f aca="false">F3125*(1+g_emsL)</f>
        <v>381.5335755</v>
      </c>
    </row>
    <row r="3126" customFormat="false" ht="17.15" hidden="false" customHeight="false" outlineLevel="0" collapsed="false">
      <c r="A3126" s="4" t="s">
        <v>564</v>
      </c>
      <c r="B3126" s="0" t="s">
        <v>234</v>
      </c>
      <c r="C3126" s="30" t="n">
        <f aca="false">a25_elim</f>
        <v>-2.91899999999998</v>
      </c>
      <c r="D3126" s="30" t="n">
        <f aca="false">a26_elim</f>
        <v>-3.16484905982349</v>
      </c>
      <c r="E3126" s="30" t="n">
        <f aca="false">$D3126/($D3124+$D3125)*(E3124+E3125)</f>
        <v>-3.97387710450638</v>
      </c>
      <c r="F3126" s="30" t="n">
        <f aca="false">$D3126/($D3124+$D3125)*(F3124+F3125)</f>
        <v>-4.17729437573445</v>
      </c>
      <c r="G3126" s="30" t="n">
        <f aca="false">$D3126/($D3124+$D3125)*(G3124+G3125)</f>
        <v>-4.67779228052533</v>
      </c>
      <c r="K3126" s="4" t="s">
        <v>565</v>
      </c>
    </row>
    <row r="3127" customFormat="false" ht="17.15" hidden="false" customHeight="false" outlineLevel="0" collapsed="false">
      <c r="A3127" s="4" t="s">
        <v>431</v>
      </c>
      <c r="B3127" s="0" t="s">
        <v>234</v>
      </c>
      <c r="C3127" s="30" t="n">
        <f aca="false">C3124+C3125+C3126</f>
        <v>645.388</v>
      </c>
      <c r="D3127" s="30" t="n">
        <f aca="false">D3124+D3125+D3126</f>
        <v>871.167350940177</v>
      </c>
      <c r="E3127" s="30" t="n">
        <f aca="false">E3124+E3125+E3126</f>
        <v>1093.86322211768</v>
      </c>
      <c r="F3127" s="30" t="n">
        <f aca="false">F3124+F3125+F3126</f>
        <v>1149.85656712767</v>
      </c>
      <c r="G3127" s="30" t="n">
        <f aca="false">G3124+G3125+G3126</f>
        <v>1287.62535977022</v>
      </c>
      <c r="H3127" s="31" t="n">
        <f aca="false">G3127*(1+H3128)</f>
        <v>1407.64396999115</v>
      </c>
      <c r="I3127" s="31" t="n">
        <f aca="false">H3127*(1+I3128)</f>
        <v>1501.39957757674</v>
      </c>
      <c r="J3127" s="31" t="n">
        <f aca="false">I3127*(1+J3128)</f>
        <v>1561.45556067981</v>
      </c>
      <c r="K3127" s="8" t="s">
        <v>566</v>
      </c>
    </row>
    <row r="3128" customFormat="false" ht="15" hidden="false" customHeight="false" outlineLevel="0" collapsed="false">
      <c r="A3128" s="4" t="s">
        <v>567</v>
      </c>
      <c r="B3128" s="0" t="s">
        <v>76</v>
      </c>
      <c r="D3128" s="21" t="n">
        <f aca="false">D3127/C3127-1</f>
        <v>0.349835061916516</v>
      </c>
      <c r="E3128" s="21" t="n">
        <f aca="false">E3127/D3127-1</f>
        <v>0.255629266796065</v>
      </c>
      <c r="F3128" s="21" t="n">
        <f aca="false">F3127/E3127-1</f>
        <v>0.0511886165270159</v>
      </c>
      <c r="G3128" s="21" t="n">
        <f aca="false">G3127/F3127-1</f>
        <v>0.11981389382042</v>
      </c>
      <c r="H3128" s="26" t="n">
        <f aca="false">$G3128+(fade_gB-$G3128)*1/3</f>
        <v>0.0932092625469469</v>
      </c>
      <c r="I3128" s="26" t="n">
        <f aca="false">$G3128+(fade_gB-$G3128)*2/3</f>
        <v>0.0666046312734734</v>
      </c>
      <c r="J3128" s="26" t="n">
        <f aca="false">$G3128+(fade_gB-$G3128)*3/3</f>
        <v>0.04</v>
      </c>
    </row>
    <row r="3129" customFormat="false" ht="17.15" hidden="false" customHeight="false" outlineLevel="0" collapsed="false">
      <c r="A3129" s="0" t="s">
        <v>475</v>
      </c>
      <c r="B3129" s="0" t="s">
        <v>76</v>
      </c>
      <c r="C3129" s="21" t="n">
        <f aca="false">C3122/C3124</f>
        <v>0.127431736668482</v>
      </c>
      <c r="D3129" s="21" t="n">
        <f aca="false">D3122/D3124</f>
        <v>0.227966974088588</v>
      </c>
      <c r="E3129" s="21" t="n">
        <f aca="false">E3122/E3124</f>
        <v>0.338964721335922</v>
      </c>
      <c r="F3129" s="21" t="n">
        <f aca="false">F3122/F3124</f>
        <v>0.327485315953269</v>
      </c>
      <c r="G3129" s="21" t="n">
        <f aca="false">G3122/G3124</f>
        <v>0.375300009436251</v>
      </c>
    </row>
    <row r="3130" customFormat="false" ht="15" hidden="false" customHeight="false" outlineLevel="0" collapsed="false">
      <c r="A3130" s="4" t="s">
        <v>568</v>
      </c>
      <c r="B3130" s="0" t="s">
        <v>76</v>
      </c>
      <c r="D3130" s="21" t="n">
        <f aca="false">D3124/C3124-1</f>
        <v>0.438052247012034</v>
      </c>
      <c r="E3130" s="21" t="n">
        <f aca="false">E3124/D3124-1</f>
        <v>0.343102264666424</v>
      </c>
      <c r="F3130" s="21" t="n">
        <f aca="false">F3124/E3124-1</f>
        <v>0.0517357686741828</v>
      </c>
      <c r="G3130" s="21" t="n">
        <f aca="false">G3124/F3124-1</f>
        <v>0.151898067551788</v>
      </c>
    </row>
    <row r="3131" customFormat="false" ht="17.15" hidden="false" customHeight="false" outlineLevel="0" collapsed="false">
      <c r="A3131" s="6" t="s">
        <v>569</v>
      </c>
    </row>
    <row r="3132" customFormat="false" ht="17.15" hidden="false" customHeight="false" outlineLevel="0" collapsed="false">
      <c r="A3132" s="4" t="s">
        <v>570</v>
      </c>
      <c r="B3132" s="0" t="s">
        <v>120</v>
      </c>
      <c r="C3132" s="19" t="n">
        <f aca="false">capex25</f>
        <v>5.5</v>
      </c>
      <c r="D3132" s="19" t="n">
        <f aca="false">capex26</f>
        <v>11.5</v>
      </c>
      <c r="E3132" s="19" t="n">
        <f aca="false">capex27_lo</f>
        <v>11.5</v>
      </c>
      <c r="F3132" s="19" t="n">
        <f aca="false">capi*F3127/F3120</f>
        <v>10.7799053168219</v>
      </c>
      <c r="G3132" s="19" t="n">
        <f aca="false">capi*G3127/G3120</f>
        <v>12.0714877478458</v>
      </c>
      <c r="K3132" s="8" t="s">
        <v>571</v>
      </c>
    </row>
    <row r="3133" customFormat="false" ht="15" hidden="false" customHeight="false" outlineLevel="0" collapsed="false">
      <c r="A3133" s="4" t="s">
        <v>572</v>
      </c>
      <c r="B3133" s="0" t="s">
        <v>234</v>
      </c>
      <c r="C3133" s="30" t="n">
        <f aca="false">C3132*C3120</f>
        <v>170.5</v>
      </c>
      <c r="D3133" s="30" t="n">
        <f aca="false">D3132*31.9</f>
        <v>366.85</v>
      </c>
      <c r="E3133" s="30" t="n">
        <f aca="false">E3132*E3120</f>
        <v>368</v>
      </c>
      <c r="F3133" s="30" t="n">
        <f aca="false">F3132*F3120</f>
        <v>344.956970138302</v>
      </c>
      <c r="G3133" s="30" t="n">
        <f aca="false">G3132*G3120</f>
        <v>386.287607931066</v>
      </c>
    </row>
    <row r="3134" customFormat="false" ht="17.15" hidden="false" customHeight="false" outlineLevel="0" collapsed="false">
      <c r="A3134" s="4" t="s">
        <v>473</v>
      </c>
      <c r="B3134" s="0" t="s">
        <v>76</v>
      </c>
      <c r="C3134" s="21" t="n">
        <f aca="false">C3133/C3127</f>
        <v>0.264182166386732</v>
      </c>
      <c r="D3134" s="21" t="n">
        <f aca="false">D3133/D3127</f>
        <v>0.421101639775745</v>
      </c>
      <c r="E3134" s="21" t="n">
        <f aca="false">E3133/E3127</f>
        <v>0.336422317305416</v>
      </c>
      <c r="F3134" s="21" t="n">
        <f aca="false">F3133/F3127</f>
        <v>0.3</v>
      </c>
      <c r="G3134" s="21" t="n">
        <f aca="false">G3133/G3127</f>
        <v>0.3</v>
      </c>
    </row>
    <row r="3135" customFormat="false" ht="17.15" hidden="false" customHeight="false" outlineLevel="0" collapsed="false">
      <c r="A3135" s="4" t="s">
        <v>573</v>
      </c>
      <c r="B3135" s="0" t="s">
        <v>234</v>
      </c>
      <c r="C3135" s="30" t="n">
        <f aca="false">a25_da</f>
        <v>75.255</v>
      </c>
      <c r="D3135" s="30" t="n">
        <f aca="false">a26_da</f>
        <v>97.124</v>
      </c>
      <c r="E3135" s="30" t="n">
        <f aca="false">D3135*(1-1/life)+D3133/life</f>
        <v>130.83975</v>
      </c>
      <c r="F3135" s="30" t="n">
        <f aca="false">E3135*(1-1/life)+E3133/life</f>
        <v>160.48478125</v>
      </c>
      <c r="G3135" s="30" t="n">
        <f aca="false">F3135*(1-1/life)+F3133/life</f>
        <v>183.543804861038</v>
      </c>
      <c r="K3135" s="4" t="s">
        <v>574</v>
      </c>
    </row>
    <row r="3136" customFormat="false" ht="17.15" hidden="false" customHeight="false" outlineLevel="0" collapsed="false">
      <c r="A3136" s="4" t="s">
        <v>575</v>
      </c>
      <c r="B3136" s="0" t="s">
        <v>234</v>
      </c>
      <c r="C3136" s="30" t="n">
        <f aca="false">a25_agp</f>
        <v>91.38</v>
      </c>
      <c r="D3136" s="30" t="n">
        <f aca="false">a26_agp</f>
        <v>164.623388</v>
      </c>
      <c r="E3136" s="30" t="n">
        <f aca="false">$D3136+ft*(E3124-$D3124)-(E3135-$D3135)</f>
        <v>226.929987611095</v>
      </c>
      <c r="F3136" s="30" t="n">
        <f aca="false">$D3136+ft*(F3124-$D3124)-(F3135-$D3135)</f>
        <v>216.731782501703</v>
      </c>
      <c r="G3136" s="30" t="n">
        <f aca="false">$D3136+ft*(G3124-$D3124)-(G3135-$D3135)</f>
        <v>253.723271414335</v>
      </c>
      <c r="K3136" s="4" t="s">
        <v>576</v>
      </c>
    </row>
    <row r="3137" customFormat="false" ht="15" hidden="false" customHeight="false" outlineLevel="0" collapsed="false">
      <c r="A3137" s="4" t="s">
        <v>447</v>
      </c>
      <c r="B3137" s="0" t="s">
        <v>76</v>
      </c>
      <c r="C3137" s="14" t="n">
        <f aca="false">C3136/C3124</f>
        <v>0.234772421305764</v>
      </c>
      <c r="D3137" s="14" t="n">
        <f aca="false">D3136/D3124</f>
        <v>0.294112034690999</v>
      </c>
      <c r="E3137" s="14" t="n">
        <f aca="false">E3136/E3124</f>
        <v>0.301858957842147</v>
      </c>
      <c r="F3137" s="14" t="n">
        <f aca="false">F3136/F3124</f>
        <v>0.274112056296664</v>
      </c>
      <c r="G3137" s="14" t="n">
        <f aca="false">G3136/G3124</f>
        <v>0.278581188861438</v>
      </c>
    </row>
    <row r="3138" customFormat="false" ht="17.15" hidden="false" customHeight="false" outlineLevel="0" collapsed="false">
      <c r="A3138" s="0" t="s">
        <v>449</v>
      </c>
      <c r="B3138" s="0" t="s">
        <v>234</v>
      </c>
      <c r="C3138" s="30" t="n">
        <f aca="false">a25_egp</f>
        <v>23.695</v>
      </c>
      <c r="D3138" s="30" t="n">
        <f aca="false">a26_egp</f>
        <v>27.00552</v>
      </c>
      <c r="E3138" s="30" t="n">
        <f aca="false">E3125*ems_gm</f>
        <v>29.415287</v>
      </c>
      <c r="F3138" s="30" t="n">
        <f aca="false">F3125*ems_gm</f>
        <v>30.88605135</v>
      </c>
      <c r="G3138" s="30" t="n">
        <f aca="false">G3125*ems_gm</f>
        <v>32.4303539175</v>
      </c>
    </row>
    <row r="3139" customFormat="false" ht="15" hidden="false" customHeight="false" outlineLevel="0" collapsed="false">
      <c r="A3139" s="4" t="s">
        <v>577</v>
      </c>
      <c r="B3139" s="0" t="s">
        <v>234</v>
      </c>
      <c r="C3139" s="30" t="n">
        <f aca="false">a25_lgp</f>
        <v>-0.881999999999998</v>
      </c>
      <c r="D3139" s="30" t="n">
        <f aca="false">a26_lgp</f>
        <v>-0.948662139013863</v>
      </c>
      <c r="E3139" s="30" t="n">
        <f aca="false">$D3139/$D3126*E3126</f>
        <v>-1.19116794604716</v>
      </c>
      <c r="F3139" s="30" t="n">
        <f aca="false">$D3139/$D3126*F3126</f>
        <v>-1.25214218525664</v>
      </c>
      <c r="G3139" s="30" t="n">
        <f aca="false">$D3139/$D3126*G3126</f>
        <v>-1.40216621608905</v>
      </c>
    </row>
    <row r="3140" customFormat="false" ht="15" hidden="false" customHeight="false" outlineLevel="0" collapsed="false">
      <c r="A3140" s="4" t="s">
        <v>451</v>
      </c>
      <c r="B3140" s="0" t="s">
        <v>234</v>
      </c>
      <c r="C3140" s="30" t="n">
        <f aca="false">C3136+C3138+C3139</f>
        <v>114.193</v>
      </c>
      <c r="D3140" s="30" t="n">
        <f aca="false">D3136+D3138+D3139</f>
        <v>190.680245860986</v>
      </c>
      <c r="E3140" s="30" t="n">
        <f aca="false">E3136+E3138+E3139</f>
        <v>255.154106665048</v>
      </c>
      <c r="F3140" s="30" t="n">
        <f aca="false">F3136+F3138+F3139</f>
        <v>246.365691666447</v>
      </c>
      <c r="G3140" s="30" t="n">
        <f aca="false">G3136+G3138+G3139</f>
        <v>284.751459115746</v>
      </c>
    </row>
    <row r="3141" customFormat="false" ht="15" hidden="false" customHeight="false" outlineLevel="0" collapsed="false">
      <c r="A3141" s="4" t="s">
        <v>452</v>
      </c>
      <c r="B3141" s="0" t="s">
        <v>76</v>
      </c>
      <c r="C3141" s="14" t="n">
        <f aca="false">C3140/C3127</f>
        <v>0.176936974347214</v>
      </c>
      <c r="D3141" s="14" t="n">
        <f aca="false">D3140/D3127</f>
        <v>0.218879008327391</v>
      </c>
      <c r="E3141" s="14" t="n">
        <f aca="false">E3140/E3127</f>
        <v>0.233259608245241</v>
      </c>
      <c r="F3141" s="14" t="n">
        <f aca="false">F3140/F3127</f>
        <v>0.21425775936721</v>
      </c>
      <c r="G3141" s="14" t="n">
        <f aca="false">G3140/G3127</f>
        <v>0.221144649687981</v>
      </c>
    </row>
    <row r="3142" customFormat="false" ht="15" hidden="false" customHeight="false" outlineLevel="0" collapsed="false">
      <c r="A3142" s="4" t="s">
        <v>578</v>
      </c>
      <c r="B3142" s="0" t="s">
        <v>234</v>
      </c>
      <c r="C3142" s="30" t="n">
        <f aca="false">a25_opx</f>
        <v>63.437</v>
      </c>
      <c r="D3142" s="30" t="n">
        <f aca="false">a26_opx</f>
        <v>79.658</v>
      </c>
      <c r="E3142" s="30" t="n">
        <f aca="false">D3142*(1+phi*E3128)</f>
        <v>91.8757496806646</v>
      </c>
      <c r="F3142" s="30" t="n">
        <f aca="false">E3142*(1+phi*F3128)</f>
        <v>94.6975451917859</v>
      </c>
      <c r="G3142" s="30" t="n">
        <f aca="false">F3142*(1+phi*G3128)</f>
        <v>101.505194166584</v>
      </c>
    </row>
    <row r="3143" customFormat="false" ht="15" hidden="false" customHeight="false" outlineLevel="0" collapsed="false">
      <c r="A3143" s="4" t="s">
        <v>455</v>
      </c>
      <c r="B3143" s="0" t="s">
        <v>234</v>
      </c>
      <c r="C3143" s="30" t="n">
        <f aca="false">C3140-C3142</f>
        <v>50.756</v>
      </c>
      <c r="D3143" s="30" t="n">
        <f aca="false">D3140-D3142</f>
        <v>111.022245860986</v>
      </c>
      <c r="E3143" s="30" t="n">
        <f aca="false">E3140-E3142</f>
        <v>163.278356984383</v>
      </c>
      <c r="F3143" s="30" t="n">
        <f aca="false">F3140-F3142</f>
        <v>151.668146474661</v>
      </c>
      <c r="G3143" s="30" t="n">
        <f aca="false">G3140-G3142</f>
        <v>183.246264949162</v>
      </c>
    </row>
    <row r="3144" customFormat="false" ht="15" hidden="false" customHeight="false" outlineLevel="0" collapsed="false">
      <c r="A3144" s="4" t="s">
        <v>537</v>
      </c>
      <c r="B3144" s="0" t="s">
        <v>76</v>
      </c>
      <c r="C3144" s="14" t="n">
        <f aca="false">C3143/C3127</f>
        <v>0.0786441644406156</v>
      </c>
      <c r="D3144" s="14" t="n">
        <f aca="false">D3143/D3127</f>
        <v>0.127440779020437</v>
      </c>
      <c r="E3144" s="14" t="n">
        <f aca="false">E3143/E3127</f>
        <v>0.149267617452465</v>
      </c>
      <c r="F3144" s="14" t="n">
        <f aca="false">F3143/F3127</f>
        <v>0.131901796111428</v>
      </c>
      <c r="G3144" s="14" t="n">
        <f aca="false">G3143/G3127</f>
        <v>0.142313339480874</v>
      </c>
    </row>
    <row r="3145" customFormat="false" ht="15" hidden="false" customHeight="false" outlineLevel="0" collapsed="false">
      <c r="A3145" s="4" t="s">
        <v>456</v>
      </c>
      <c r="B3145" s="0" t="s">
        <v>234</v>
      </c>
      <c r="C3145" s="30" t="n">
        <f aca="false">a25_nonop</f>
        <v>0.545</v>
      </c>
      <c r="D3145" s="30" t="n">
        <f aca="false">a26_nonop</f>
        <v>4.302</v>
      </c>
      <c r="E3145" s="30" t="n">
        <f aca="false">nonop_f</f>
        <v>-5</v>
      </c>
      <c r="F3145" s="30" t="n">
        <f aca="false">nonop_f</f>
        <v>-5</v>
      </c>
      <c r="G3145" s="30" t="n">
        <f aca="false">nonop_f</f>
        <v>-5</v>
      </c>
    </row>
    <row r="3146" customFormat="false" ht="15" hidden="false" customHeight="false" outlineLevel="0" collapsed="false">
      <c r="A3146" s="4" t="s">
        <v>459</v>
      </c>
      <c r="B3146" s="0" t="s">
        <v>234</v>
      </c>
      <c r="C3146" s="30" t="n">
        <f aca="false">C3143+C3145</f>
        <v>51.301</v>
      </c>
      <c r="D3146" s="30" t="n">
        <f aca="false">D3143+D3145</f>
        <v>115.324245860986</v>
      </c>
      <c r="E3146" s="30" t="n">
        <f aca="false">E3143+E3145</f>
        <v>158.278356984383</v>
      </c>
      <c r="F3146" s="30" t="n">
        <f aca="false">F3143+F3145</f>
        <v>146.668146474661</v>
      </c>
      <c r="G3146" s="30" t="n">
        <f aca="false">G3143+G3145</f>
        <v>178.246264949162</v>
      </c>
    </row>
    <row r="3147" customFormat="false" ht="15" hidden="false" customHeight="false" outlineLevel="0" collapsed="false">
      <c r="A3147" s="4" t="s">
        <v>460</v>
      </c>
      <c r="B3147" s="0" t="s">
        <v>234</v>
      </c>
      <c r="C3147" s="30" t="n">
        <f aca="false">a25_tax</f>
        <v>9.461</v>
      </c>
      <c r="D3147" s="30" t="n">
        <f aca="false">a26_tax</f>
        <v>19.2197317963676</v>
      </c>
      <c r="E3147" s="30" t="n">
        <f aca="false">E3146*tax</f>
        <v>26.9073206873452</v>
      </c>
      <c r="F3147" s="30" t="n">
        <f aca="false">F3146*tax</f>
        <v>24.9335849006923</v>
      </c>
      <c r="G3147" s="30" t="n">
        <f aca="false">G3146*tax</f>
        <v>30.3018650413576</v>
      </c>
    </row>
    <row r="3148" customFormat="false" ht="15" hidden="false" customHeight="false" outlineLevel="0" collapsed="false">
      <c r="A3148" s="4" t="s">
        <v>461</v>
      </c>
      <c r="B3148" s="0" t="s">
        <v>234</v>
      </c>
      <c r="C3148" s="30" t="n">
        <f aca="false">a25_nci</f>
        <v>1.182</v>
      </c>
      <c r="D3148" s="30" t="n">
        <f aca="false">a26_nci</f>
        <v>2.543</v>
      </c>
      <c r="E3148" s="30" t="n">
        <f aca="false">nci</f>
        <v>3</v>
      </c>
      <c r="F3148" s="30" t="n">
        <f aca="false">nci</f>
        <v>3</v>
      </c>
      <c r="G3148" s="30" t="n">
        <f aca="false">nci</f>
        <v>3</v>
      </c>
    </row>
    <row r="3149" customFormat="false" ht="15" hidden="false" customHeight="false" outlineLevel="0" collapsed="false">
      <c r="A3149" s="4" t="s">
        <v>462</v>
      </c>
      <c r="B3149" s="0" t="s">
        <v>234</v>
      </c>
      <c r="C3149" s="30" t="n">
        <f aca="false">C3146-C3147-C3148</f>
        <v>40.658</v>
      </c>
      <c r="D3149" s="30" t="n">
        <f aca="false">D3146-D3147-D3148</f>
        <v>93.5615140646185</v>
      </c>
      <c r="E3149" s="30" t="n">
        <f aca="false">E3146-E3147-E3148</f>
        <v>128.371036297038</v>
      </c>
      <c r="F3149" s="30" t="n">
        <f aca="false">F3146-F3147-F3148</f>
        <v>118.734561573968</v>
      </c>
      <c r="G3149" s="30" t="n">
        <f aca="false">G3146-G3147-G3148</f>
        <v>144.944399907805</v>
      </c>
      <c r="H3149" s="31" t="n">
        <f aca="false">H3127*H3153</f>
        <v>151.743644040606</v>
      </c>
      <c r="I3149" s="31" t="n">
        <f aca="false">I3127*I3153</f>
        <v>154.69257888859</v>
      </c>
      <c r="J3149" s="31" t="n">
        <f aca="false">J3127*J3153</f>
        <v>153.436071648244</v>
      </c>
    </row>
    <row r="3150" customFormat="false" ht="15" hidden="false" customHeight="false" outlineLevel="0" collapsed="false">
      <c r="A3150" s="4" t="s">
        <v>579</v>
      </c>
      <c r="B3150" s="4" t="s">
        <v>580</v>
      </c>
      <c r="C3150" s="18" t="n">
        <f aca="false">a25_sh</f>
        <v>4339.16755602988</v>
      </c>
      <c r="D3150" s="18" t="n">
        <f aca="false">a26_sh</f>
        <v>4392.90105184664</v>
      </c>
      <c r="E3150" s="18" t="n">
        <f aca="false">D3150*(1+sh_g)</f>
        <v>4414.86555710588</v>
      </c>
      <c r="F3150" s="18" t="n">
        <f aca="false">E3150*(1+sh_g)</f>
        <v>4436.9398848914</v>
      </c>
      <c r="G3150" s="18" t="n">
        <f aca="false">F3150*(1+sh_g)</f>
        <v>4459.12458431586</v>
      </c>
      <c r="H3150" s="25" t="n">
        <f aca="false">G3150*(1+sh_g)</f>
        <v>4481.42020723744</v>
      </c>
      <c r="I3150" s="25" t="n">
        <f aca="false">H3150*(1+sh_g)</f>
        <v>4503.82730827363</v>
      </c>
      <c r="J3150" s="25" t="n">
        <f aca="false">I3150*(1+sh_g)</f>
        <v>4526.34644481499</v>
      </c>
    </row>
    <row r="3151" customFormat="false" ht="17.15" hidden="false" customHeight="false" outlineLevel="0" collapsed="false">
      <c r="A3151" s="0" t="s">
        <v>465</v>
      </c>
      <c r="B3151" s="0" t="s">
        <v>304</v>
      </c>
      <c r="C3151" s="19" t="n">
        <f aca="false">a25_eps</f>
        <v>9.37</v>
      </c>
      <c r="D3151" s="19" t="n">
        <f aca="false">a26_eps</f>
        <v>21.2828697294455</v>
      </c>
      <c r="E3151" s="19" t="n">
        <f aca="false">E3149/E3150*1000</f>
        <v>29.0769978466096</v>
      </c>
      <c r="F3151" s="19" t="n">
        <f aca="false">F3149/F3150*1000</f>
        <v>26.7604620874584</v>
      </c>
      <c r="G3151" s="19" t="n">
        <f aca="false">G3149/G3150*1000</f>
        <v>32.5051245299626</v>
      </c>
      <c r="H3151" s="28" t="n">
        <f aca="false">H3149/H3150*1000</f>
        <v>33.8606149442405</v>
      </c>
      <c r="I3151" s="28" t="n">
        <f aca="false">I3149/I3150*1000</f>
        <v>34.3469161449456</v>
      </c>
      <c r="J3151" s="28" t="n">
        <f aca="false">J3149/J3150*1000</f>
        <v>33.8984374083887</v>
      </c>
    </row>
    <row r="3152" customFormat="false" ht="17.15" hidden="false" customHeight="false" outlineLevel="0" collapsed="false">
      <c r="A3152" s="0" t="s">
        <v>581</v>
      </c>
      <c r="B3152" s="0" t="s">
        <v>76</v>
      </c>
      <c r="D3152" s="21" t="n">
        <f aca="false">D3151/C3151-1</f>
        <v>1.27138417603474</v>
      </c>
      <c r="E3152" s="21" t="n">
        <f aca="false">E3151/D3151-1</f>
        <v>0.366216032717646</v>
      </c>
      <c r="F3152" s="21" t="n">
        <f aca="false">F3151/E3151-1</f>
        <v>-0.0796690143656381</v>
      </c>
      <c r="G3152" s="21" t="n">
        <f aca="false">G3151/F3151-1</f>
        <v>0.214669777514659</v>
      </c>
      <c r="H3152" s="26" t="n">
        <f aca="false">H3151/G3151-1</f>
        <v>0.0417008220666413</v>
      </c>
      <c r="I3152" s="26" t="n">
        <f aca="false">I3151/H3151-1</f>
        <v>0.0143618537792625</v>
      </c>
      <c r="J3152" s="26" t="n">
        <f aca="false">J3151/I3151-1</f>
        <v>-0.0130573217887836</v>
      </c>
    </row>
    <row r="3153" customFormat="false" ht="17.15" hidden="false" customHeight="false" outlineLevel="0" collapsed="false">
      <c r="A3153" s="4" t="s">
        <v>582</v>
      </c>
      <c r="B3153" s="0" t="s">
        <v>76</v>
      </c>
      <c r="C3153" s="14" t="n">
        <f aca="false">C3149/C3127</f>
        <v>0.0629977625862272</v>
      </c>
      <c r="D3153" s="14" t="n">
        <f aca="false">D3149/D3127</f>
        <v>0.107397865592237</v>
      </c>
      <c r="E3153" s="14" t="n">
        <f aca="false">E3149/E3127</f>
        <v>0.117355656266161</v>
      </c>
      <c r="F3153" s="14" t="n">
        <f aca="false">F3149/F3127</f>
        <v>0.103260323912021</v>
      </c>
      <c r="G3153" s="14" t="n">
        <f aca="false">G3149/G3127</f>
        <v>0.112567214374894</v>
      </c>
      <c r="H3153" s="27" t="n">
        <f aca="false">$G3153+(fade_mB-$G3153)*1/3</f>
        <v>0.107799732940681</v>
      </c>
      <c r="I3153" s="27" t="n">
        <f aca="false">$G3153+(fade_mB-$G3153)*2/3</f>
        <v>0.103032251506467</v>
      </c>
      <c r="J3153" s="27" t="n">
        <f aca="false">$G3153+(fade_mB-$G3153)*3/3</f>
        <v>0.0982647700722541</v>
      </c>
    </row>
    <row r="3154" customFormat="false" ht="17.15" hidden="false" customHeight="false" outlineLevel="0" collapsed="false">
      <c r="A3154" s="4" t="s">
        <v>583</v>
      </c>
      <c r="B3154" s="0" t="s">
        <v>234</v>
      </c>
      <c r="C3154" s="30" t="n">
        <f aca="false">C3149+C3135-C3133</f>
        <v>-54.587</v>
      </c>
      <c r="D3154" s="30" t="n">
        <f aca="false">D3149+D3135-D3133</f>
        <v>-176.164485935382</v>
      </c>
      <c r="E3154" s="30" t="n">
        <f aca="false">E3149+E3135-E3133</f>
        <v>-108.789213702962</v>
      </c>
      <c r="F3154" s="30" t="n">
        <f aca="false">F3149+F3135-F3133</f>
        <v>-65.7376273143332</v>
      </c>
      <c r="G3154" s="30" t="n">
        <f aca="false">G3149+G3135-G3133</f>
        <v>-57.7994031622238</v>
      </c>
      <c r="K3154" s="4" t="s">
        <v>584</v>
      </c>
    </row>
    <row r="3155" customFormat="false" ht="17.15" hidden="false" customHeight="false" outlineLevel="0" collapsed="false">
      <c r="A3155" s="4" t="s">
        <v>585</v>
      </c>
      <c r="B3155" s="0" t="s">
        <v>76</v>
      </c>
      <c r="D3155" s="21" t="n">
        <f aca="false">(D3143-$C3143)/SUM($D3133:D3133)</f>
        <v>0.164280348537512</v>
      </c>
      <c r="E3155" s="21" t="n">
        <f aca="false">(E3143-$C3143)/SUM($D3133:E3133)</f>
        <v>0.153122891725364</v>
      </c>
      <c r="F3155" s="21" t="n">
        <f aca="false">(F3143-$C3143)/SUM($D3133:F3133)</f>
        <v>0.0934538757994274</v>
      </c>
      <c r="G3155" s="21" t="n">
        <f aca="false">(G3143-$C3143)/SUM($D3133:G3133)</f>
        <v>0.0903695211284612</v>
      </c>
      <c r="K3155" s="4" t="s">
        <v>586</v>
      </c>
    </row>
    <row r="3158" customFormat="false" ht="17.15" hidden="false" customHeight="false" outlineLevel="0" collapsed="false">
      <c r="A3158" s="1" t="s">
        <v>978</v>
      </c>
    </row>
    <row r="3159" customFormat="false" ht="17.15" hidden="false" customHeight="false" outlineLevel="0" collapsed="false">
      <c r="A3159" s="5" t="s">
        <v>21</v>
      </c>
      <c r="B3159" s="5" t="s">
        <v>22</v>
      </c>
      <c r="C3159" s="15" t="s">
        <v>424</v>
      </c>
      <c r="D3159" s="15" t="s">
        <v>524</v>
      </c>
      <c r="E3159" s="15" t="s">
        <v>525</v>
      </c>
      <c r="F3159" s="15" t="s">
        <v>526</v>
      </c>
      <c r="G3159" s="15" t="s">
        <v>527</v>
      </c>
      <c r="H3159" s="15" t="s">
        <v>528</v>
      </c>
      <c r="I3159" s="15" t="s">
        <v>529</v>
      </c>
      <c r="J3159" s="15" t="s">
        <v>530</v>
      </c>
      <c r="K3159" s="5" t="s">
        <v>382</v>
      </c>
    </row>
    <row r="3160" customFormat="false" ht="17.15" hidden="false" customHeight="false" outlineLevel="0" collapsed="false">
      <c r="A3160" s="6" t="s">
        <v>548</v>
      </c>
    </row>
    <row r="3161" customFormat="false" ht="17.15" hidden="false" customHeight="false" outlineLevel="0" collapsed="false">
      <c r="A3161" s="0" t="s">
        <v>549</v>
      </c>
      <c r="B3161" s="4" t="s">
        <v>32</v>
      </c>
      <c r="D3161" s="19" t="n">
        <f aca="false">units_26</f>
        <v>15.2</v>
      </c>
      <c r="E3161" s="19" t="n">
        <f aca="false">units_27*1</f>
        <v>23.7</v>
      </c>
      <c r="F3161" s="19" t="n">
        <f aca="false">units_28*um28_C*1</f>
        <v>15.9</v>
      </c>
      <c r="G3161" s="19" t="n">
        <f aca="false">units_29*um29_C*1</f>
        <v>18.09</v>
      </c>
    </row>
    <row r="3162" customFormat="false" ht="17.15" hidden="false" customHeight="false" outlineLevel="0" collapsed="false">
      <c r="A3162" s="4" t="s">
        <v>497</v>
      </c>
      <c r="B3162" s="0" t="s">
        <v>45</v>
      </c>
      <c r="D3162" s="22" t="n">
        <f aca="false">ar_26</f>
        <v>1</v>
      </c>
      <c r="E3162" s="22" t="n">
        <f aca="false">ar_27</f>
        <v>1.278156</v>
      </c>
      <c r="F3162" s="22" t="n">
        <f aca="false">ar_28</f>
        <v>1.428615</v>
      </c>
      <c r="G3162" s="22" t="n">
        <f aca="false">ar_29</f>
        <v>1.431796</v>
      </c>
    </row>
    <row r="3163" customFormat="false" ht="17.15" hidden="false" customHeight="false" outlineLevel="0" collapsed="false">
      <c r="A3163" s="4" t="s">
        <v>550</v>
      </c>
      <c r="B3163" s="0" t="s">
        <v>45</v>
      </c>
      <c r="D3163" s="19" t="n">
        <f aca="false">1</f>
        <v>1</v>
      </c>
      <c r="E3163" s="19" t="n">
        <f aca="false">rel27_C</f>
        <v>1</v>
      </c>
      <c r="F3163" s="19" t="n">
        <f aca="false">rel28_C</f>
        <v>0.95</v>
      </c>
      <c r="G3163" s="19" t="n">
        <f aca="false">rel29_C</f>
        <v>0.92</v>
      </c>
    </row>
    <row r="3164" customFormat="false" ht="17.15" hidden="false" customHeight="false" outlineLevel="0" collapsed="false">
      <c r="A3164" s="4" t="s">
        <v>551</v>
      </c>
      <c r="B3164" s="0" t="s">
        <v>502</v>
      </c>
      <c r="D3164" s="23" t="n">
        <f aca="false">D3165*1000/D3161</f>
        <v>236.842105263158</v>
      </c>
      <c r="E3164" s="23" t="n">
        <f aca="false">$D3164*E3162^el</f>
        <v>267.763172119488</v>
      </c>
      <c r="F3164" s="23" t="n">
        <f aca="false">$D3164*F3162^el</f>
        <v>283.084777049615</v>
      </c>
      <c r="G3164" s="23" t="n">
        <f aca="false">$D3164*G3162^el</f>
        <v>283.399764630809</v>
      </c>
      <c r="K3164" s="8" t="s">
        <v>552</v>
      </c>
    </row>
    <row r="3165" customFormat="false" ht="17.15" hidden="false" customHeight="false" outlineLevel="0" collapsed="false">
      <c r="A3165" s="0" t="s">
        <v>553</v>
      </c>
      <c r="B3165" s="0" t="s">
        <v>120</v>
      </c>
      <c r="D3165" s="22" t="n">
        <f aca="false">leap26-D3166-D3167</f>
        <v>3.6</v>
      </c>
      <c r="E3165" s="22" t="n">
        <f aca="false">E3161*E3163*E3164/1000</f>
        <v>6.34598717923185</v>
      </c>
      <c r="F3165" s="22" t="n">
        <f aca="false">F3161*F3163*F3164/1000</f>
        <v>4.27599555733443</v>
      </c>
      <c r="G3165" s="22" t="n">
        <f aca="false">G3161*G3163*G3164/1000</f>
        <v>4.71656560279762</v>
      </c>
      <c r="K3165" s="8" t="s">
        <v>554</v>
      </c>
    </row>
    <row r="3166" customFormat="false" ht="17.15" hidden="false" customHeight="false" outlineLevel="0" collapsed="false">
      <c r="A3166" s="4" t="s">
        <v>555</v>
      </c>
      <c r="B3166" s="0" t="s">
        <v>120</v>
      </c>
      <c r="D3166" s="22" t="n">
        <f aca="false">fp26</f>
        <v>0.3</v>
      </c>
      <c r="E3166" s="22" t="n">
        <f aca="false">fp27_C</f>
        <v>0.7</v>
      </c>
      <c r="F3166" s="22" t="n">
        <f aca="false">E3166*F3161/E3161*(1+fp_g)</f>
        <v>0.610506329113924</v>
      </c>
      <c r="G3166" s="22" t="n">
        <f aca="false">F3166*G3161/F3161*(1+fp_g)</f>
        <v>0.902973417721519</v>
      </c>
    </row>
    <row r="3167" customFormat="false" ht="17.15" hidden="false" customHeight="false" outlineLevel="0" collapsed="false">
      <c r="A3167" s="0" t="s">
        <v>556</v>
      </c>
      <c r="B3167" s="0" t="s">
        <v>120</v>
      </c>
      <c r="D3167" s="22" t="n">
        <f aca="false">cpo27*cpo_C_26/cpo_A_27</f>
        <v>0.1</v>
      </c>
      <c r="E3167" s="22" t="n">
        <f aca="false">cpo27*cpo_C_27/cpo_A_27</f>
        <v>0.2</v>
      </c>
      <c r="F3167" s="22" t="n">
        <f aca="false">cpo27*cpo_C_28/cpo_A_27*F3161/E3161</f>
        <v>0.20126582278481</v>
      </c>
      <c r="G3167" s="22" t="n">
        <f aca="false">cpo27*cpo_C_29/cpo_A_27*G3161/E3161</f>
        <v>0.381645569620253</v>
      </c>
      <c r="K3167" s="8" t="s">
        <v>557</v>
      </c>
    </row>
    <row r="3168" customFormat="false" ht="17.15" hidden="false" customHeight="false" outlineLevel="0" collapsed="false">
      <c r="A3168" s="0" t="s">
        <v>510</v>
      </c>
      <c r="B3168" s="0" t="s">
        <v>120</v>
      </c>
      <c r="C3168" s="22" t="n">
        <f aca="false">leap25</f>
        <v>1.6</v>
      </c>
      <c r="D3168" s="22" t="n">
        <f aca="false">D3165+D3166+D3167</f>
        <v>4</v>
      </c>
      <c r="E3168" s="22" t="n">
        <f aca="false">E3165+E3166+E3167</f>
        <v>7.24598717923186</v>
      </c>
      <c r="F3168" s="22" t="n">
        <f aca="false">F3165+F3166+F3167</f>
        <v>5.08776770923316</v>
      </c>
      <c r="G3168" s="22" t="n">
        <f aca="false">G3165+G3166+G3167</f>
        <v>6.0011845901394</v>
      </c>
    </row>
    <row r="3169" customFormat="false" ht="17.15" hidden="false" customHeight="false" outlineLevel="0" collapsed="false">
      <c r="A3169" s="4" t="s">
        <v>558</v>
      </c>
      <c r="B3169" s="0" t="s">
        <v>114</v>
      </c>
      <c r="C3169" s="19" t="n">
        <f aca="false">fx25</f>
        <v>31</v>
      </c>
      <c r="D3169" s="19" t="n">
        <f aca="false">a26_leap/D3168</f>
        <v>31.9</v>
      </c>
      <c r="E3169" s="19" t="n">
        <f aca="false">fx</f>
        <v>32</v>
      </c>
      <c r="F3169" s="19" t="n">
        <f aca="false">fx</f>
        <v>32</v>
      </c>
      <c r="G3169" s="19" t="n">
        <f aca="false">fx</f>
        <v>32</v>
      </c>
      <c r="K3169" s="8" t="s">
        <v>559</v>
      </c>
    </row>
    <row r="3170" customFormat="false" ht="17.15" hidden="false" customHeight="false" outlineLevel="0" collapsed="false">
      <c r="A3170" s="6" t="s">
        <v>560</v>
      </c>
    </row>
    <row r="3171" customFormat="false" ht="17.15" hidden="false" customHeight="false" outlineLevel="0" collapsed="false">
      <c r="A3171" s="0" t="s">
        <v>438</v>
      </c>
      <c r="B3171" s="0" t="s">
        <v>234</v>
      </c>
      <c r="C3171" s="30" t="n">
        <f aca="false">a25_leap</f>
        <v>49.6</v>
      </c>
      <c r="D3171" s="30" t="n">
        <f aca="false">a26_leap</f>
        <v>127.6</v>
      </c>
      <c r="E3171" s="30" t="n">
        <f aca="false">E3168*E3169</f>
        <v>231.871589735419</v>
      </c>
      <c r="F3171" s="30" t="n">
        <f aca="false">F3168*F3169</f>
        <v>162.808566695461</v>
      </c>
      <c r="G3171" s="30" t="n">
        <f aca="false">G3168*G3169</f>
        <v>192.037906884461</v>
      </c>
    </row>
    <row r="3172" customFormat="false" ht="15" hidden="false" customHeight="false" outlineLevel="0" collapsed="false">
      <c r="A3172" s="4" t="s">
        <v>561</v>
      </c>
      <c r="B3172" s="0" t="s">
        <v>234</v>
      </c>
      <c r="C3172" s="30" t="n">
        <f aca="false">a25_ms</f>
        <v>339.628</v>
      </c>
      <c r="D3172" s="30" t="n">
        <f aca="false">a26_ms</f>
        <v>432.1302</v>
      </c>
      <c r="E3172" s="30" t="n">
        <f aca="false">D3172*(1+g_ms27)</f>
        <v>496.94973</v>
      </c>
      <c r="F3172" s="30" t="n">
        <f aca="false">E3172*(1+g_msL)</f>
        <v>531.7362111</v>
      </c>
      <c r="G3172" s="30" t="n">
        <f aca="false">F3172*(1+g_msL)</f>
        <v>568.957745877</v>
      </c>
    </row>
    <row r="3173" customFormat="false" ht="17.15" hidden="false" customHeight="false" outlineLevel="0" collapsed="false">
      <c r="A3173" s="4" t="s">
        <v>562</v>
      </c>
      <c r="B3173" s="0" t="s">
        <v>234</v>
      </c>
      <c r="C3173" s="30" t="n">
        <f aca="false">C3171+C3172</f>
        <v>389.228</v>
      </c>
      <c r="D3173" s="30" t="n">
        <f aca="false">D3171+D3172</f>
        <v>559.7302</v>
      </c>
      <c r="E3173" s="30" t="n">
        <f aca="false">E3171+E3172</f>
        <v>728.821319735419</v>
      </c>
      <c r="F3173" s="30" t="n">
        <f aca="false">F3171+F3172</f>
        <v>694.544777795461</v>
      </c>
      <c r="G3173" s="30" t="n">
        <f aca="false">G3171+G3172</f>
        <v>760.995652761461</v>
      </c>
    </row>
    <row r="3174" customFormat="false" ht="17.15" hidden="false" customHeight="false" outlineLevel="0" collapsed="false">
      <c r="A3174" s="0" t="s">
        <v>563</v>
      </c>
      <c r="B3174" s="0" t="s">
        <v>234</v>
      </c>
      <c r="C3174" s="30" t="n">
        <f aca="false">a25_ems</f>
        <v>259.079</v>
      </c>
      <c r="D3174" s="30" t="n">
        <f aca="false">a26_ems</f>
        <v>314.602</v>
      </c>
      <c r="E3174" s="30" t="n">
        <f aca="false">D3174*(1+g_ems27)</f>
        <v>346.0622</v>
      </c>
      <c r="F3174" s="30" t="n">
        <f aca="false">E3174*(1+g_emsL)</f>
        <v>363.36531</v>
      </c>
      <c r="G3174" s="30" t="n">
        <f aca="false">F3174*(1+g_emsL)</f>
        <v>381.5335755</v>
      </c>
    </row>
    <row r="3175" customFormat="false" ht="17.15" hidden="false" customHeight="false" outlineLevel="0" collapsed="false">
      <c r="A3175" s="4" t="s">
        <v>564</v>
      </c>
      <c r="B3175" s="0" t="s">
        <v>234</v>
      </c>
      <c r="C3175" s="30" t="n">
        <f aca="false">a25_elim</f>
        <v>-2.91899999999998</v>
      </c>
      <c r="D3175" s="30" t="n">
        <f aca="false">a26_elim</f>
        <v>-3.16484905982349</v>
      </c>
      <c r="E3175" s="30" t="n">
        <f aca="false">$D3175/($D3173+$D3174)*(E3173+E3174)</f>
        <v>-3.89079127687897</v>
      </c>
      <c r="F3175" s="30" t="n">
        <f aca="false">$D3175/($D3173+$D3174)*(F3173+F3174)</f>
        <v>-3.8293519862785</v>
      </c>
      <c r="G3175" s="30" t="n">
        <f aca="false">$D3175/($D3173+$D3174)*(G3173+G3174)</f>
        <v>-4.135650675892</v>
      </c>
      <c r="K3175" s="4" t="s">
        <v>565</v>
      </c>
    </row>
    <row r="3176" customFormat="false" ht="17.15" hidden="false" customHeight="false" outlineLevel="0" collapsed="false">
      <c r="A3176" s="4" t="s">
        <v>431</v>
      </c>
      <c r="B3176" s="0" t="s">
        <v>234</v>
      </c>
      <c r="C3176" s="30" t="n">
        <f aca="false">C3173+C3174+C3175</f>
        <v>645.388</v>
      </c>
      <c r="D3176" s="30" t="n">
        <f aca="false">D3173+D3174+D3175</f>
        <v>871.167350940177</v>
      </c>
      <c r="E3176" s="30" t="n">
        <f aca="false">E3173+E3174+E3175</f>
        <v>1070.99272845854</v>
      </c>
      <c r="F3176" s="30" t="n">
        <f aca="false">F3173+F3174+F3175</f>
        <v>1054.08073580918</v>
      </c>
      <c r="G3176" s="30" t="n">
        <f aca="false">G3173+G3174+G3175</f>
        <v>1138.39357758557</v>
      </c>
      <c r="H3176" s="31" t="n">
        <f aca="false">G3176*(1+H3177)</f>
        <v>1206.68738805437</v>
      </c>
      <c r="I3176" s="31" t="n">
        <f aca="false">H3176*(1+I3177)</f>
        <v>1254.9496874</v>
      </c>
      <c r="J3176" s="31" t="n">
        <f aca="false">I3176*(1+J3177)</f>
        <v>1280.048681148</v>
      </c>
      <c r="K3176" s="8" t="s">
        <v>566</v>
      </c>
    </row>
    <row r="3177" customFormat="false" ht="15" hidden="false" customHeight="false" outlineLevel="0" collapsed="false">
      <c r="A3177" s="4" t="s">
        <v>567</v>
      </c>
      <c r="B3177" s="0" t="s">
        <v>76</v>
      </c>
      <c r="D3177" s="21" t="n">
        <f aca="false">D3176/C3176-1</f>
        <v>0.349835061916516</v>
      </c>
      <c r="E3177" s="21" t="n">
        <f aca="false">E3176/D3176-1</f>
        <v>0.229376568466104</v>
      </c>
      <c r="F3177" s="21" t="n">
        <f aca="false">F3176/E3176-1</f>
        <v>-0.0157909500223209</v>
      </c>
      <c r="G3177" s="21" t="n">
        <f aca="false">G3176/F3176-1</f>
        <v>0.079987081550885</v>
      </c>
      <c r="H3177" s="26" t="n">
        <f aca="false">$G3177+(fade_gC-$G3177)*1/3</f>
        <v>0.05999138770059</v>
      </c>
      <c r="I3177" s="26" t="n">
        <f aca="false">$G3177+(fade_gC-$G3177)*2/3</f>
        <v>0.039995693850295</v>
      </c>
      <c r="J3177" s="26" t="n">
        <f aca="false">$G3177+(fade_gC-$G3177)*3/3</f>
        <v>0.02</v>
      </c>
    </row>
    <row r="3178" customFormat="false" ht="17.15" hidden="false" customHeight="false" outlineLevel="0" collapsed="false">
      <c r="A3178" s="0" t="s">
        <v>475</v>
      </c>
      <c r="B3178" s="0" t="s">
        <v>76</v>
      </c>
      <c r="C3178" s="21" t="n">
        <f aca="false">C3171/C3173</f>
        <v>0.127431736668482</v>
      </c>
      <c r="D3178" s="21" t="n">
        <f aca="false">D3171/D3173</f>
        <v>0.227966974088588</v>
      </c>
      <c r="E3178" s="21" t="n">
        <f aca="false">E3171/E3173</f>
        <v>0.31814600294568</v>
      </c>
      <c r="F3178" s="21" t="n">
        <f aca="false">F3171/F3173</f>
        <v>0.234410468411019</v>
      </c>
      <c r="G3178" s="21" t="n">
        <f aca="false">G3171/G3173</f>
        <v>0.252350859282315</v>
      </c>
    </row>
    <row r="3179" customFormat="false" ht="15" hidden="false" customHeight="false" outlineLevel="0" collapsed="false">
      <c r="A3179" s="4" t="s">
        <v>568</v>
      </c>
      <c r="B3179" s="0" t="s">
        <v>76</v>
      </c>
      <c r="D3179" s="21" t="n">
        <f aca="false">D3173/C3173-1</f>
        <v>0.438052247012034</v>
      </c>
      <c r="E3179" s="21" t="n">
        <f aca="false">E3173/D3173-1</f>
        <v>0.302093972659362</v>
      </c>
      <c r="F3179" s="21" t="n">
        <f aca="false">F3173/E3173-1</f>
        <v>-0.047030103280186</v>
      </c>
      <c r="G3179" s="21" t="n">
        <f aca="false">G3173/F3173-1</f>
        <v>0.0956754367614998</v>
      </c>
    </row>
    <row r="3180" customFormat="false" ht="17.15" hidden="false" customHeight="false" outlineLevel="0" collapsed="false">
      <c r="A3180" s="6" t="s">
        <v>569</v>
      </c>
    </row>
    <row r="3181" customFormat="false" ht="17.15" hidden="false" customHeight="false" outlineLevel="0" collapsed="false">
      <c r="A3181" s="4" t="s">
        <v>570</v>
      </c>
      <c r="B3181" s="0" t="s">
        <v>120</v>
      </c>
      <c r="C3181" s="19" t="n">
        <f aca="false">capex25</f>
        <v>5.5</v>
      </c>
      <c r="D3181" s="19" t="n">
        <f aca="false">capex26</f>
        <v>11.5</v>
      </c>
      <c r="E3181" s="19" t="n">
        <f aca="false">capex27_lo</f>
        <v>11.5</v>
      </c>
      <c r="F3181" s="19" t="n">
        <f aca="false">capi*F3176/F3169</f>
        <v>9.88200689821109</v>
      </c>
      <c r="G3181" s="19" t="n">
        <f aca="false">capi*G3176/G3169</f>
        <v>10.6724397898647</v>
      </c>
      <c r="K3181" s="8" t="s">
        <v>571</v>
      </c>
    </row>
    <row r="3182" customFormat="false" ht="15" hidden="false" customHeight="false" outlineLevel="0" collapsed="false">
      <c r="A3182" s="4" t="s">
        <v>572</v>
      </c>
      <c r="B3182" s="0" t="s">
        <v>234</v>
      </c>
      <c r="C3182" s="30" t="n">
        <f aca="false">C3181*C3169</f>
        <v>170.5</v>
      </c>
      <c r="D3182" s="30" t="n">
        <f aca="false">D3181*31.9</f>
        <v>366.85</v>
      </c>
      <c r="E3182" s="30" t="n">
        <f aca="false">E3181*E3169</f>
        <v>368</v>
      </c>
      <c r="F3182" s="30" t="n">
        <f aca="false">F3181*F3169</f>
        <v>316.224220742755</v>
      </c>
      <c r="G3182" s="30" t="n">
        <f aca="false">G3181*G3169</f>
        <v>341.518073275671</v>
      </c>
    </row>
    <row r="3183" customFormat="false" ht="17.15" hidden="false" customHeight="false" outlineLevel="0" collapsed="false">
      <c r="A3183" s="4" t="s">
        <v>473</v>
      </c>
      <c r="B3183" s="0" t="s">
        <v>76</v>
      </c>
      <c r="C3183" s="21" t="n">
        <f aca="false">C3182/C3176</f>
        <v>0.264182166386732</v>
      </c>
      <c r="D3183" s="21" t="n">
        <f aca="false">D3182/D3176</f>
        <v>0.421101639775745</v>
      </c>
      <c r="E3183" s="21" t="n">
        <f aca="false">E3182/E3176</f>
        <v>0.34360644122174</v>
      </c>
      <c r="F3183" s="21" t="n">
        <f aca="false">F3182/F3176</f>
        <v>0.3</v>
      </c>
      <c r="G3183" s="21" t="n">
        <f aca="false">G3182/G3176</f>
        <v>0.3</v>
      </c>
    </row>
    <row r="3184" customFormat="false" ht="17.15" hidden="false" customHeight="false" outlineLevel="0" collapsed="false">
      <c r="A3184" s="4" t="s">
        <v>573</v>
      </c>
      <c r="B3184" s="0" t="s">
        <v>234</v>
      </c>
      <c r="C3184" s="30" t="n">
        <f aca="false">a25_da</f>
        <v>75.255</v>
      </c>
      <c r="D3184" s="30" t="n">
        <f aca="false">a26_da</f>
        <v>97.124</v>
      </c>
      <c r="E3184" s="30" t="n">
        <f aca="false">D3184*(1-1/life)+D3182/life</f>
        <v>130.83975</v>
      </c>
      <c r="F3184" s="30" t="n">
        <f aca="false">E3184*(1-1/life)+E3182/life</f>
        <v>160.48478125</v>
      </c>
      <c r="G3184" s="30" t="n">
        <f aca="false">F3184*(1-1/life)+F3182/life</f>
        <v>179.952211186594</v>
      </c>
      <c r="K3184" s="4" t="s">
        <v>574</v>
      </c>
    </row>
    <row r="3185" customFormat="false" ht="17.15" hidden="false" customHeight="false" outlineLevel="0" collapsed="false">
      <c r="A3185" s="4" t="s">
        <v>575</v>
      </c>
      <c r="B3185" s="0" t="s">
        <v>234</v>
      </c>
      <c r="C3185" s="30" t="n">
        <f aca="false">a25_agp</f>
        <v>91.38</v>
      </c>
      <c r="D3185" s="30" t="n">
        <f aca="false">a26_agp</f>
        <v>164.623388</v>
      </c>
      <c r="E3185" s="30" t="n">
        <f aca="false">$D3185+ft*(E3173-$D3173)-(E3184-$D3184)</f>
        <v>215.45319786771</v>
      </c>
      <c r="F3185" s="30" t="n">
        <f aca="false">$D3185+ft*(F3173-$D3173)-(F3184-$D3184)</f>
        <v>168.669895647731</v>
      </c>
      <c r="G3185" s="30" t="n">
        <f aca="false">$D3185+ft*(G3173-$D3173)-(G3184-$D3184)</f>
        <v>182.427903194136</v>
      </c>
      <c r="K3185" s="4" t="s">
        <v>576</v>
      </c>
    </row>
    <row r="3186" customFormat="false" ht="15" hidden="false" customHeight="false" outlineLevel="0" collapsed="false">
      <c r="A3186" s="4" t="s">
        <v>447</v>
      </c>
      <c r="B3186" s="0" t="s">
        <v>76</v>
      </c>
      <c r="C3186" s="14" t="n">
        <f aca="false">C3185/C3173</f>
        <v>0.234772421305764</v>
      </c>
      <c r="D3186" s="14" t="n">
        <f aca="false">D3185/D3173</f>
        <v>0.294112034690999</v>
      </c>
      <c r="E3186" s="14" t="n">
        <f aca="false">E3185/E3173</f>
        <v>0.295618681882035</v>
      </c>
      <c r="F3186" s="14" t="n">
        <f aca="false">F3185/F3173</f>
        <v>0.242849562821712</v>
      </c>
      <c r="G3186" s="14" t="n">
        <f aca="false">G3185/G3173</f>
        <v>0.239722661400431</v>
      </c>
    </row>
    <row r="3187" customFormat="false" ht="17.15" hidden="false" customHeight="false" outlineLevel="0" collapsed="false">
      <c r="A3187" s="0" t="s">
        <v>449</v>
      </c>
      <c r="B3187" s="0" t="s">
        <v>234</v>
      </c>
      <c r="C3187" s="30" t="n">
        <f aca="false">a25_egp</f>
        <v>23.695</v>
      </c>
      <c r="D3187" s="30" t="n">
        <f aca="false">a26_egp</f>
        <v>27.00552</v>
      </c>
      <c r="E3187" s="30" t="n">
        <f aca="false">E3174*ems_gm</f>
        <v>29.415287</v>
      </c>
      <c r="F3187" s="30" t="n">
        <f aca="false">F3174*ems_gm</f>
        <v>30.88605135</v>
      </c>
      <c r="G3187" s="30" t="n">
        <f aca="false">G3174*ems_gm</f>
        <v>32.4303539175</v>
      </c>
    </row>
    <row r="3188" customFormat="false" ht="15" hidden="false" customHeight="false" outlineLevel="0" collapsed="false">
      <c r="A3188" s="4" t="s">
        <v>577</v>
      </c>
      <c r="B3188" s="0" t="s">
        <v>234</v>
      </c>
      <c r="C3188" s="30" t="n">
        <f aca="false">a25_lgp</f>
        <v>-0.881999999999998</v>
      </c>
      <c r="D3188" s="30" t="n">
        <f aca="false">a26_lgp</f>
        <v>-0.948662139013863</v>
      </c>
      <c r="E3188" s="30" t="n">
        <f aca="false">$D3188/$D3175*E3175</f>
        <v>-1.16626300509458</v>
      </c>
      <c r="F3188" s="30" t="n">
        <f aca="false">$D3188/$D3175*F3175</f>
        <v>-1.14784660426825</v>
      </c>
      <c r="G3188" s="30" t="n">
        <f aca="false">$D3188/$D3175*G3175</f>
        <v>-1.23965950421176</v>
      </c>
    </row>
    <row r="3189" customFormat="false" ht="15" hidden="false" customHeight="false" outlineLevel="0" collapsed="false">
      <c r="A3189" s="4" t="s">
        <v>451</v>
      </c>
      <c r="B3189" s="0" t="s">
        <v>234</v>
      </c>
      <c r="C3189" s="30" t="n">
        <f aca="false">C3185+C3187+C3188</f>
        <v>114.193</v>
      </c>
      <c r="D3189" s="30" t="n">
        <f aca="false">D3185+D3187+D3188</f>
        <v>190.680245860986</v>
      </c>
      <c r="E3189" s="30" t="n">
        <f aca="false">E3185+E3187+E3188</f>
        <v>243.702221862615</v>
      </c>
      <c r="F3189" s="30" t="n">
        <f aca="false">F3185+F3187+F3188</f>
        <v>198.408100393462</v>
      </c>
      <c r="G3189" s="30" t="n">
        <f aca="false">G3185+G3187+G3188</f>
        <v>213.618597607424</v>
      </c>
    </row>
    <row r="3190" customFormat="false" ht="15" hidden="false" customHeight="false" outlineLevel="0" collapsed="false">
      <c r="A3190" s="4" t="s">
        <v>452</v>
      </c>
      <c r="B3190" s="0" t="s">
        <v>76</v>
      </c>
      <c r="C3190" s="14" t="n">
        <f aca="false">C3189/C3176</f>
        <v>0.176936974347214</v>
      </c>
      <c r="D3190" s="14" t="n">
        <f aca="false">D3189/D3176</f>
        <v>0.218879008327391</v>
      </c>
      <c r="E3190" s="14" t="n">
        <f aca="false">E3189/E3176</f>
        <v>0.227547970576207</v>
      </c>
      <c r="F3190" s="14" t="n">
        <f aca="false">F3189/F3176</f>
        <v>0.188228561298154</v>
      </c>
      <c r="G3190" s="14" t="n">
        <f aca="false">G3189/G3176</f>
        <v>0.187649159142737</v>
      </c>
    </row>
    <row r="3191" customFormat="false" ht="15" hidden="false" customHeight="false" outlineLevel="0" collapsed="false">
      <c r="A3191" s="4" t="s">
        <v>578</v>
      </c>
      <c r="B3191" s="0" t="s">
        <v>234</v>
      </c>
      <c r="C3191" s="30" t="n">
        <f aca="false">a25_opx</f>
        <v>63.437</v>
      </c>
      <c r="D3191" s="30" t="n">
        <f aca="false">a26_opx</f>
        <v>79.658</v>
      </c>
      <c r="E3191" s="30" t="n">
        <f aca="false">D3191*(1+phi*E3177)</f>
        <v>90.6210072145237</v>
      </c>
      <c r="F3191" s="30" t="n">
        <f aca="false">E3191*(1+phi*F3177)</f>
        <v>89.7624121369856</v>
      </c>
      <c r="G3191" s="30" t="n">
        <f aca="false">F3191*(1+phi*G3177)</f>
        <v>94.0703121648687</v>
      </c>
    </row>
    <row r="3192" customFormat="false" ht="15" hidden="false" customHeight="false" outlineLevel="0" collapsed="false">
      <c r="A3192" s="4" t="s">
        <v>455</v>
      </c>
      <c r="B3192" s="0" t="s">
        <v>234</v>
      </c>
      <c r="C3192" s="30" t="n">
        <f aca="false">C3189-C3191</f>
        <v>50.756</v>
      </c>
      <c r="D3192" s="30" t="n">
        <f aca="false">D3189-D3191</f>
        <v>111.022245860986</v>
      </c>
      <c r="E3192" s="30" t="n">
        <f aca="false">E3189-E3191</f>
        <v>153.081214648091</v>
      </c>
      <c r="F3192" s="30" t="n">
        <f aca="false">F3189-F3191</f>
        <v>108.645688256477</v>
      </c>
      <c r="G3192" s="30" t="n">
        <f aca="false">G3189-G3191</f>
        <v>119.548285442556</v>
      </c>
    </row>
    <row r="3193" customFormat="false" ht="15" hidden="false" customHeight="false" outlineLevel="0" collapsed="false">
      <c r="A3193" s="4" t="s">
        <v>537</v>
      </c>
      <c r="B3193" s="0" t="s">
        <v>76</v>
      </c>
      <c r="C3193" s="14" t="n">
        <f aca="false">C3192/C3176</f>
        <v>0.0786441644406156</v>
      </c>
      <c r="D3193" s="14" t="n">
        <f aca="false">D3192/D3176</f>
        <v>0.127440779020437</v>
      </c>
      <c r="E3193" s="14" t="n">
        <f aca="false">E3192/E3176</f>
        <v>0.142933943975902</v>
      </c>
      <c r="F3193" s="14" t="n">
        <f aca="false">F3192/F3176</f>
        <v>0.103071505403306</v>
      </c>
      <c r="G3193" s="14" t="n">
        <f aca="false">G3192/G3176</f>
        <v>0.105014898007512</v>
      </c>
    </row>
    <row r="3194" customFormat="false" ht="15" hidden="false" customHeight="false" outlineLevel="0" collapsed="false">
      <c r="A3194" s="4" t="s">
        <v>456</v>
      </c>
      <c r="B3194" s="0" t="s">
        <v>234</v>
      </c>
      <c r="C3194" s="30" t="n">
        <f aca="false">a25_nonop</f>
        <v>0.545</v>
      </c>
      <c r="D3194" s="30" t="n">
        <f aca="false">a26_nonop</f>
        <v>4.302</v>
      </c>
      <c r="E3194" s="30" t="n">
        <f aca="false">nonop_f</f>
        <v>-5</v>
      </c>
      <c r="F3194" s="30" t="n">
        <f aca="false">nonop_f</f>
        <v>-5</v>
      </c>
      <c r="G3194" s="30" t="n">
        <f aca="false">nonop_f</f>
        <v>-5</v>
      </c>
    </row>
    <row r="3195" customFormat="false" ht="15" hidden="false" customHeight="false" outlineLevel="0" collapsed="false">
      <c r="A3195" s="4" t="s">
        <v>459</v>
      </c>
      <c r="B3195" s="0" t="s">
        <v>234</v>
      </c>
      <c r="C3195" s="30" t="n">
        <f aca="false">C3192+C3194</f>
        <v>51.301</v>
      </c>
      <c r="D3195" s="30" t="n">
        <f aca="false">D3192+D3194</f>
        <v>115.324245860986</v>
      </c>
      <c r="E3195" s="30" t="n">
        <f aca="false">E3192+E3194</f>
        <v>148.081214648091</v>
      </c>
      <c r="F3195" s="30" t="n">
        <f aca="false">F3192+F3194</f>
        <v>103.645688256477</v>
      </c>
      <c r="G3195" s="30" t="n">
        <f aca="false">G3192+G3194</f>
        <v>114.548285442556</v>
      </c>
    </row>
    <row r="3196" customFormat="false" ht="15" hidden="false" customHeight="false" outlineLevel="0" collapsed="false">
      <c r="A3196" s="4" t="s">
        <v>460</v>
      </c>
      <c r="B3196" s="0" t="s">
        <v>234</v>
      </c>
      <c r="C3196" s="30" t="n">
        <f aca="false">a25_tax</f>
        <v>9.461</v>
      </c>
      <c r="D3196" s="30" t="n">
        <f aca="false">a26_tax</f>
        <v>19.2197317963676</v>
      </c>
      <c r="E3196" s="30" t="n">
        <f aca="false">E3195*tax</f>
        <v>25.1738064901755</v>
      </c>
      <c r="F3196" s="30" t="n">
        <f aca="false">F3195*tax</f>
        <v>17.6197670036011</v>
      </c>
      <c r="G3196" s="30" t="n">
        <f aca="false">G3195*tax</f>
        <v>19.4732085252344</v>
      </c>
    </row>
    <row r="3197" customFormat="false" ht="15" hidden="false" customHeight="false" outlineLevel="0" collapsed="false">
      <c r="A3197" s="4" t="s">
        <v>461</v>
      </c>
      <c r="B3197" s="0" t="s">
        <v>234</v>
      </c>
      <c r="C3197" s="30" t="n">
        <f aca="false">a25_nci</f>
        <v>1.182</v>
      </c>
      <c r="D3197" s="30" t="n">
        <f aca="false">a26_nci</f>
        <v>2.543</v>
      </c>
      <c r="E3197" s="30" t="n">
        <f aca="false">nci</f>
        <v>3</v>
      </c>
      <c r="F3197" s="30" t="n">
        <f aca="false">nci</f>
        <v>3</v>
      </c>
      <c r="G3197" s="30" t="n">
        <f aca="false">nci</f>
        <v>3</v>
      </c>
    </row>
    <row r="3198" customFormat="false" ht="15" hidden="false" customHeight="false" outlineLevel="0" collapsed="false">
      <c r="A3198" s="4" t="s">
        <v>462</v>
      </c>
      <c r="B3198" s="0" t="s">
        <v>234</v>
      </c>
      <c r="C3198" s="30" t="n">
        <f aca="false">C3195-C3196-C3197</f>
        <v>40.658</v>
      </c>
      <c r="D3198" s="30" t="n">
        <f aca="false">D3195-D3196-D3197</f>
        <v>93.5615140646185</v>
      </c>
      <c r="E3198" s="30" t="n">
        <f aca="false">E3195-E3196-E3197</f>
        <v>119.907408157916</v>
      </c>
      <c r="F3198" s="30" t="n">
        <f aca="false">F3195-F3196-F3197</f>
        <v>83.0259212528757</v>
      </c>
      <c r="G3198" s="30" t="n">
        <f aca="false">G3195-G3196-G3197</f>
        <v>92.0750769173211</v>
      </c>
      <c r="H3198" s="31" t="n">
        <f aca="false">H3176*H3202</f>
        <v>89.8604926581064</v>
      </c>
      <c r="I3198" s="31" t="n">
        <f aca="false">I3176*I3202</f>
        <v>85.4067310019889</v>
      </c>
      <c r="J3198" s="31" t="n">
        <f aca="false">J3176*J3202</f>
        <v>78.9061153241268</v>
      </c>
    </row>
    <row r="3199" customFormat="false" ht="15" hidden="false" customHeight="false" outlineLevel="0" collapsed="false">
      <c r="A3199" s="4" t="s">
        <v>579</v>
      </c>
      <c r="B3199" s="4" t="s">
        <v>580</v>
      </c>
      <c r="C3199" s="18" t="n">
        <f aca="false">a25_sh</f>
        <v>4339.16755602988</v>
      </c>
      <c r="D3199" s="18" t="n">
        <f aca="false">a26_sh</f>
        <v>4392.90105184664</v>
      </c>
      <c r="E3199" s="18" t="n">
        <f aca="false">D3199*(1+sh_g)</f>
        <v>4414.86555710588</v>
      </c>
      <c r="F3199" s="18" t="n">
        <f aca="false">E3199*(1+sh_g)</f>
        <v>4436.9398848914</v>
      </c>
      <c r="G3199" s="18" t="n">
        <f aca="false">F3199*(1+sh_g)</f>
        <v>4459.12458431586</v>
      </c>
      <c r="H3199" s="25" t="n">
        <f aca="false">G3199*(1+sh_g)</f>
        <v>4481.42020723744</v>
      </c>
      <c r="I3199" s="25" t="n">
        <f aca="false">H3199*(1+sh_g)</f>
        <v>4503.82730827363</v>
      </c>
      <c r="J3199" s="25" t="n">
        <f aca="false">I3199*(1+sh_g)</f>
        <v>4526.34644481499</v>
      </c>
    </row>
    <row r="3200" customFormat="false" ht="17.15" hidden="false" customHeight="false" outlineLevel="0" collapsed="false">
      <c r="A3200" s="0" t="s">
        <v>465</v>
      </c>
      <c r="B3200" s="0" t="s">
        <v>304</v>
      </c>
      <c r="C3200" s="19" t="n">
        <f aca="false">a25_eps</f>
        <v>9.37</v>
      </c>
      <c r="D3200" s="19" t="n">
        <f aca="false">a26_eps</f>
        <v>21.2828697294455</v>
      </c>
      <c r="E3200" s="19" t="n">
        <f aca="false">E3198/E3199*1000</f>
        <v>27.159922902957</v>
      </c>
      <c r="F3200" s="19" t="n">
        <f aca="false">F3198/F3199*1000</f>
        <v>18.7124287024024</v>
      </c>
      <c r="G3200" s="19" t="n">
        <f aca="false">G3198/G3199*1000</f>
        <v>20.6486890366728</v>
      </c>
      <c r="H3200" s="28" t="n">
        <f aca="false">H3198/H3199*1000</f>
        <v>20.0517890540554</v>
      </c>
      <c r="I3200" s="28" t="n">
        <f aca="false">I3198/I3199*1000</f>
        <v>18.9631451554759</v>
      </c>
      <c r="J3200" s="28" t="n">
        <f aca="false">J3198/J3199*1000</f>
        <v>17.4326283430017</v>
      </c>
    </row>
    <row r="3201" customFormat="false" ht="17.15" hidden="false" customHeight="false" outlineLevel="0" collapsed="false">
      <c r="A3201" s="0" t="s">
        <v>581</v>
      </c>
      <c r="B3201" s="0" t="s">
        <v>76</v>
      </c>
      <c r="D3201" s="21" t="n">
        <f aca="false">D3200/C3200-1</f>
        <v>1.27138417603474</v>
      </c>
      <c r="E3201" s="21" t="n">
        <f aca="false">E3200/D3200-1</f>
        <v>0.276140071720703</v>
      </c>
      <c r="F3201" s="21" t="n">
        <f aca="false">F3200/E3200-1</f>
        <v>-0.311027915312489</v>
      </c>
      <c r="G3201" s="21" t="n">
        <f aca="false">G3200/F3200-1</f>
        <v>0.103474560414591</v>
      </c>
      <c r="H3201" s="26" t="n">
        <f aca="false">H3200/G3200-1</f>
        <v>-0.0289074033493021</v>
      </c>
      <c r="I3201" s="26" t="n">
        <f aca="false">I3200/H3200-1</f>
        <v>-0.0542916093743447</v>
      </c>
      <c r="J3201" s="26" t="n">
        <f aca="false">J3200/I3200-1</f>
        <v>-0.0807100720859174</v>
      </c>
    </row>
    <row r="3202" customFormat="false" ht="17.15" hidden="false" customHeight="false" outlineLevel="0" collapsed="false">
      <c r="A3202" s="4" t="s">
        <v>582</v>
      </c>
      <c r="B3202" s="0" t="s">
        <v>76</v>
      </c>
      <c r="C3202" s="14" t="n">
        <f aca="false">C3198/C3176</f>
        <v>0.0629977625862272</v>
      </c>
      <c r="D3202" s="14" t="n">
        <f aca="false">D3198/D3176</f>
        <v>0.107397865592237</v>
      </c>
      <c r="E3202" s="14" t="n">
        <f aca="false">E3198/E3176</f>
        <v>0.111959124438218</v>
      </c>
      <c r="F3202" s="14" t="n">
        <f aca="false">F3198/F3176</f>
        <v>0.078766187856701</v>
      </c>
      <c r="G3202" s="14" t="n">
        <f aca="false">G3198/G3176</f>
        <v>0.0808815850073611</v>
      </c>
      <c r="H3202" s="27" t="n">
        <f aca="false">$G3202+(fade_mC-$G3202)*1/3</f>
        <v>0.0744687427312846</v>
      </c>
      <c r="I3202" s="27" t="n">
        <f aca="false">$G3202+(fade_mC-$G3202)*2/3</f>
        <v>0.068055900455208</v>
      </c>
      <c r="J3202" s="27" t="n">
        <f aca="false">$G3202+(fade_mC-$G3202)*3/3</f>
        <v>0.0616430581791315</v>
      </c>
    </row>
    <row r="3203" customFormat="false" ht="17.15" hidden="false" customHeight="false" outlineLevel="0" collapsed="false">
      <c r="A3203" s="4" t="s">
        <v>583</v>
      </c>
      <c r="B3203" s="0" t="s">
        <v>234</v>
      </c>
      <c r="C3203" s="30" t="n">
        <f aca="false">C3198+C3184-C3182</f>
        <v>-54.587</v>
      </c>
      <c r="D3203" s="30" t="n">
        <f aca="false">D3198+D3184-D3182</f>
        <v>-176.164485935382</v>
      </c>
      <c r="E3203" s="30" t="n">
        <f aca="false">E3198+E3184-E3182</f>
        <v>-117.252841842084</v>
      </c>
      <c r="F3203" s="30" t="n">
        <f aca="false">F3198+F3184-F3182</f>
        <v>-72.7135182398791</v>
      </c>
      <c r="G3203" s="30" t="n">
        <f aca="false">G3198+G3184-G3182</f>
        <v>-69.4907851717551</v>
      </c>
      <c r="K3203" s="4" t="s">
        <v>584</v>
      </c>
    </row>
    <row r="3204" customFormat="false" ht="17.15" hidden="false" customHeight="false" outlineLevel="0" collapsed="false">
      <c r="A3204" s="4" t="s">
        <v>585</v>
      </c>
      <c r="B3204" s="0" t="s">
        <v>76</v>
      </c>
      <c r="D3204" s="21" t="n">
        <f aca="false">(D3192-$C3192)/SUM($D3182:D3182)</f>
        <v>0.164280348537512</v>
      </c>
      <c r="E3204" s="21" t="n">
        <f aca="false">(E3192-$C3192)/SUM($D3182:E3182)</f>
        <v>0.139246396745038</v>
      </c>
      <c r="F3204" s="21" t="n">
        <f aca="false">(F3192-$C3192)/SUM($D3182:F3182)</f>
        <v>0.0550766892708759</v>
      </c>
      <c r="G3204" s="21" t="n">
        <f aca="false">(G3192-$C3192)/SUM($D3182:G3182)</f>
        <v>0.0493987262015148</v>
      </c>
      <c r="K3204" s="4" t="s">
        <v>586</v>
      </c>
    </row>
    <row r="3207" customFormat="false" ht="17.15" hidden="false" customHeight="false" outlineLevel="0" collapsed="false">
      <c r="A3207" s="1" t="s">
        <v>979</v>
      </c>
    </row>
    <row r="3208" customFormat="false" ht="17.15" hidden="false" customHeight="false" outlineLevel="0" collapsed="false">
      <c r="A3208" s="5" t="s">
        <v>21</v>
      </c>
      <c r="B3208" s="5" t="s">
        <v>22</v>
      </c>
      <c r="C3208" s="15" t="s">
        <v>424</v>
      </c>
      <c r="D3208" s="15" t="s">
        <v>524</v>
      </c>
      <c r="E3208" s="15" t="s">
        <v>525</v>
      </c>
      <c r="F3208" s="15" t="s">
        <v>526</v>
      </c>
      <c r="G3208" s="15" t="s">
        <v>527</v>
      </c>
      <c r="H3208" s="15" t="s">
        <v>528</v>
      </c>
      <c r="I3208" s="15" t="s">
        <v>529</v>
      </c>
      <c r="J3208" s="15" t="s">
        <v>530</v>
      </c>
      <c r="K3208" s="5" t="s">
        <v>382</v>
      </c>
    </row>
    <row r="3209" customFormat="false" ht="17.15" hidden="false" customHeight="false" outlineLevel="0" collapsed="false">
      <c r="A3209" s="6" t="s">
        <v>548</v>
      </c>
    </row>
    <row r="3210" customFormat="false" ht="17.15" hidden="false" customHeight="false" outlineLevel="0" collapsed="false">
      <c r="A3210" s="0" t="s">
        <v>549</v>
      </c>
      <c r="B3210" s="4" t="s">
        <v>32</v>
      </c>
      <c r="D3210" s="19" t="n">
        <f aca="false">units_26</f>
        <v>15.2</v>
      </c>
      <c r="E3210" s="19" t="n">
        <f aca="false">units_27*1</f>
        <v>23.7</v>
      </c>
      <c r="F3210" s="19" t="n">
        <f aca="false">units_28*um28_A*1</f>
        <v>26.5</v>
      </c>
      <c r="G3210" s="19" t="n">
        <f aca="false">units_29*um29_A*1</f>
        <v>30.15</v>
      </c>
    </row>
    <row r="3211" customFormat="false" ht="17.15" hidden="false" customHeight="false" outlineLevel="0" collapsed="false">
      <c r="A3211" s="4" t="s">
        <v>497</v>
      </c>
      <c r="B3211" s="0" t="s">
        <v>45</v>
      </c>
      <c r="D3211" s="22" t="n">
        <f aca="false">ar_26</f>
        <v>1</v>
      </c>
      <c r="E3211" s="22" t="n">
        <f aca="false">ar_27</f>
        <v>1.278156</v>
      </c>
      <c r="F3211" s="22" t="n">
        <f aca="false">ar_28</f>
        <v>1.428615</v>
      </c>
      <c r="G3211" s="22" t="n">
        <f aca="false">ar_29</f>
        <v>1.431796</v>
      </c>
    </row>
    <row r="3212" customFormat="false" ht="17.15" hidden="false" customHeight="false" outlineLevel="0" collapsed="false">
      <c r="A3212" s="4" t="s">
        <v>550</v>
      </c>
      <c r="B3212" s="0" t="s">
        <v>45</v>
      </c>
      <c r="D3212" s="19" t="n">
        <f aca="false">1</f>
        <v>1</v>
      </c>
      <c r="E3212" s="19" t="n">
        <f aca="false">rel27_A</f>
        <v>1.1</v>
      </c>
      <c r="F3212" s="19" t="n">
        <f aca="false">rel28_A</f>
        <v>1.15</v>
      </c>
      <c r="G3212" s="19" t="n">
        <f aca="false">rel29_A</f>
        <v>1.2</v>
      </c>
    </row>
    <row r="3213" customFormat="false" ht="17.15" hidden="false" customHeight="false" outlineLevel="0" collapsed="false">
      <c r="A3213" s="4" t="s">
        <v>551</v>
      </c>
      <c r="B3213" s="0" t="s">
        <v>502</v>
      </c>
      <c r="D3213" s="23" t="n">
        <f aca="false">D3214*1000/D3210</f>
        <v>236.842105263158</v>
      </c>
      <c r="E3213" s="23" t="n">
        <f aca="false">$D3213*E3211^el</f>
        <v>267.763172119488</v>
      </c>
      <c r="F3213" s="23" t="n">
        <f aca="false">$D3213*F3211^el</f>
        <v>283.084777049615</v>
      </c>
      <c r="G3213" s="23" t="n">
        <f aca="false">$D3213*G3211^el</f>
        <v>283.399764630809</v>
      </c>
      <c r="K3213" s="8" t="s">
        <v>552</v>
      </c>
    </row>
    <row r="3214" customFormat="false" ht="17.15" hidden="false" customHeight="false" outlineLevel="0" collapsed="false">
      <c r="A3214" s="0" t="s">
        <v>553</v>
      </c>
      <c r="B3214" s="0" t="s">
        <v>120</v>
      </c>
      <c r="D3214" s="22" t="n">
        <f aca="false">leap26-D3215-D3216</f>
        <v>3.6</v>
      </c>
      <c r="E3214" s="22" t="n">
        <f aca="false">E3210*E3212*E3213/1000</f>
        <v>6.98058589715504</v>
      </c>
      <c r="F3214" s="22" t="n">
        <f aca="false">F3210*F3212*F3213/1000</f>
        <v>8.627008580587</v>
      </c>
      <c r="G3214" s="22" t="n">
        <f aca="false">G3210*G3212*G3213/1000</f>
        <v>10.2534034843427</v>
      </c>
      <c r="K3214" s="8" t="s">
        <v>554</v>
      </c>
    </row>
    <row r="3215" customFormat="false" ht="17.15" hidden="false" customHeight="false" outlineLevel="0" collapsed="false">
      <c r="A3215" s="4" t="s">
        <v>555</v>
      </c>
      <c r="B3215" s="0" t="s">
        <v>120</v>
      </c>
      <c r="D3215" s="22" t="n">
        <f aca="false">fp26</f>
        <v>0.3</v>
      </c>
      <c r="E3215" s="22" t="n">
        <f aca="false">fp27_A</f>
        <v>1.2</v>
      </c>
      <c r="F3215" s="22" t="n">
        <f aca="false">E3215*F3210/E3210*(1+fp_g)</f>
        <v>1.74430379746835</v>
      </c>
      <c r="G3215" s="22" t="n">
        <f aca="false">F3215*G3210/F3210*(1+fp_g)</f>
        <v>2.57992405063291</v>
      </c>
    </row>
    <row r="3216" customFormat="false" ht="17.15" hidden="false" customHeight="false" outlineLevel="0" collapsed="false">
      <c r="A3216" s="0" t="s">
        <v>556</v>
      </c>
      <c r="B3216" s="0" t="s">
        <v>120</v>
      </c>
      <c r="D3216" s="22" t="n">
        <f aca="false">cpo27*cpo_A_26/cpo_A_27</f>
        <v>0.1</v>
      </c>
      <c r="E3216" s="22" t="n">
        <f aca="false">cpo27*cpo_A_27/cpo_A_27</f>
        <v>0.5</v>
      </c>
      <c r="F3216" s="22" t="n">
        <f aca="false">cpo27*cpo_A_28/cpo_A_27*F3210/E3210</f>
        <v>1.11814345991561</v>
      </c>
      <c r="G3216" s="22" t="n">
        <f aca="false">cpo27*cpo_A_29/cpo_A_27*G3210/E3210</f>
        <v>2.03544303797468</v>
      </c>
      <c r="K3216" s="8" t="s">
        <v>557</v>
      </c>
    </row>
    <row r="3217" customFormat="false" ht="17.15" hidden="false" customHeight="false" outlineLevel="0" collapsed="false">
      <c r="A3217" s="0" t="s">
        <v>510</v>
      </c>
      <c r="B3217" s="0" t="s">
        <v>120</v>
      </c>
      <c r="C3217" s="22" t="n">
        <f aca="false">leap25</f>
        <v>1.6</v>
      </c>
      <c r="D3217" s="22" t="n">
        <f aca="false">D3214+D3215+D3216</f>
        <v>4</v>
      </c>
      <c r="E3217" s="22" t="n">
        <f aca="false">E3214+E3215+E3216</f>
        <v>8.68058589715504</v>
      </c>
      <c r="F3217" s="22" t="n">
        <f aca="false">F3214+F3215+F3216</f>
        <v>11.489455837971</v>
      </c>
      <c r="G3217" s="22" t="n">
        <f aca="false">G3214+G3215+G3216</f>
        <v>14.8687705729503</v>
      </c>
    </row>
    <row r="3218" customFormat="false" ht="17.15" hidden="false" customHeight="false" outlineLevel="0" collapsed="false">
      <c r="A3218" s="4" t="s">
        <v>558</v>
      </c>
      <c r="B3218" s="0" t="s">
        <v>114</v>
      </c>
      <c r="C3218" s="19" t="n">
        <f aca="false">fx25</f>
        <v>31</v>
      </c>
      <c r="D3218" s="19" t="n">
        <f aca="false">a26_leap/D3217</f>
        <v>31.9</v>
      </c>
      <c r="E3218" s="19" t="n">
        <f aca="false">fx</f>
        <v>32</v>
      </c>
      <c r="F3218" s="19" t="n">
        <f aca="false">fx</f>
        <v>32</v>
      </c>
      <c r="G3218" s="19" t="n">
        <f aca="false">fx</f>
        <v>32</v>
      </c>
      <c r="K3218" s="8" t="s">
        <v>559</v>
      </c>
    </row>
    <row r="3219" customFormat="false" ht="17.15" hidden="false" customHeight="false" outlineLevel="0" collapsed="false">
      <c r="A3219" s="6" t="s">
        <v>560</v>
      </c>
    </row>
    <row r="3220" customFormat="false" ht="17.15" hidden="false" customHeight="false" outlineLevel="0" collapsed="false">
      <c r="A3220" s="0" t="s">
        <v>438</v>
      </c>
      <c r="B3220" s="0" t="s">
        <v>234</v>
      </c>
      <c r="C3220" s="30" t="n">
        <f aca="false">a25_leap</f>
        <v>49.6</v>
      </c>
      <c r="D3220" s="30" t="n">
        <f aca="false">a26_leap</f>
        <v>127.6</v>
      </c>
      <c r="E3220" s="30" t="n">
        <f aca="false">E3217*E3218</f>
        <v>277.778748708961</v>
      </c>
      <c r="F3220" s="30" t="n">
        <f aca="false">F3217*F3218</f>
        <v>367.662586815071</v>
      </c>
      <c r="G3220" s="30" t="n">
        <f aca="false">G3217*G3218</f>
        <v>475.800658334408</v>
      </c>
    </row>
    <row r="3221" customFormat="false" ht="15" hidden="false" customHeight="false" outlineLevel="0" collapsed="false">
      <c r="A3221" s="4" t="s">
        <v>561</v>
      </c>
      <c r="B3221" s="0" t="s">
        <v>234</v>
      </c>
      <c r="C3221" s="30" t="n">
        <f aca="false">a25_ms</f>
        <v>339.628</v>
      </c>
      <c r="D3221" s="30" t="n">
        <f aca="false">a26_ms</f>
        <v>432.1302</v>
      </c>
      <c r="E3221" s="30" t="n">
        <f aca="false">D3221*(1+g_ms27)</f>
        <v>496.94973</v>
      </c>
      <c r="F3221" s="30" t="n">
        <f aca="false">E3221*(1+g_msL)</f>
        <v>531.7362111</v>
      </c>
      <c r="G3221" s="30" t="n">
        <f aca="false">F3221*(1+g_msL)</f>
        <v>568.957745877</v>
      </c>
    </row>
    <row r="3222" customFormat="false" ht="17.15" hidden="false" customHeight="false" outlineLevel="0" collapsed="false">
      <c r="A3222" s="4" t="s">
        <v>562</v>
      </c>
      <c r="B3222" s="0" t="s">
        <v>234</v>
      </c>
      <c r="C3222" s="30" t="n">
        <f aca="false">C3220+C3221</f>
        <v>389.228</v>
      </c>
      <c r="D3222" s="30" t="n">
        <f aca="false">D3220+D3221</f>
        <v>559.7302</v>
      </c>
      <c r="E3222" s="30" t="n">
        <f aca="false">E3220+E3221</f>
        <v>774.728478708961</v>
      </c>
      <c r="F3222" s="30" t="n">
        <f aca="false">F3220+F3221</f>
        <v>899.398797915071</v>
      </c>
      <c r="G3222" s="30" t="n">
        <f aca="false">G3220+G3221</f>
        <v>1044.75840421141</v>
      </c>
    </row>
    <row r="3223" customFormat="false" ht="17.15" hidden="false" customHeight="false" outlineLevel="0" collapsed="false">
      <c r="A3223" s="0" t="s">
        <v>563</v>
      </c>
      <c r="B3223" s="0" t="s">
        <v>234</v>
      </c>
      <c r="C3223" s="30" t="n">
        <f aca="false">a25_ems</f>
        <v>259.079</v>
      </c>
      <c r="D3223" s="30" t="n">
        <f aca="false">a26_ems</f>
        <v>314.602</v>
      </c>
      <c r="E3223" s="30" t="n">
        <f aca="false">D3223*(1+g_ems27)</f>
        <v>346.0622</v>
      </c>
      <c r="F3223" s="30" t="n">
        <f aca="false">E3223*(1+g_emsL)</f>
        <v>363.36531</v>
      </c>
      <c r="G3223" s="30" t="n">
        <f aca="false">F3223*(1+g_emsL)</f>
        <v>381.5335755</v>
      </c>
    </row>
    <row r="3224" customFormat="false" ht="17.15" hidden="false" customHeight="false" outlineLevel="0" collapsed="false">
      <c r="A3224" s="4" t="s">
        <v>564</v>
      </c>
      <c r="B3224" s="0" t="s">
        <v>234</v>
      </c>
      <c r="C3224" s="30" t="n">
        <f aca="false">a25_elim</f>
        <v>-2.91899999999998</v>
      </c>
      <c r="D3224" s="30" t="n">
        <f aca="false">a26_elim</f>
        <v>-3.16484905982349</v>
      </c>
      <c r="E3224" s="30" t="n">
        <f aca="false">$D3224/($D3222+$D3223)*(E3222+E3223)</f>
        <v>-4.05696293213379</v>
      </c>
      <c r="F3224" s="30" t="n">
        <f aca="false">$D3224/($D3222+$D3223)*(F3222+F3223)</f>
        <v>-4.57086882962089</v>
      </c>
      <c r="G3224" s="30" t="n">
        <f aca="false">$D3224/($D3222+$D3223)*(G3222+G3223)</f>
        <v>-5.16279605283144</v>
      </c>
      <c r="K3224" s="4" t="s">
        <v>565</v>
      </c>
    </row>
    <row r="3225" customFormat="false" ht="17.15" hidden="false" customHeight="false" outlineLevel="0" collapsed="false">
      <c r="A3225" s="4" t="s">
        <v>431</v>
      </c>
      <c r="B3225" s="0" t="s">
        <v>234</v>
      </c>
      <c r="C3225" s="30" t="n">
        <f aca="false">C3222+C3223+C3224</f>
        <v>645.388</v>
      </c>
      <c r="D3225" s="30" t="n">
        <f aca="false">D3222+D3223+D3224</f>
        <v>871.167350940177</v>
      </c>
      <c r="E3225" s="30" t="n">
        <f aca="false">E3222+E3223+E3224</f>
        <v>1116.73371577683</v>
      </c>
      <c r="F3225" s="30" t="n">
        <f aca="false">F3222+F3223+F3224</f>
        <v>1258.19323908545</v>
      </c>
      <c r="G3225" s="30" t="n">
        <f aca="false">G3222+G3223+G3224</f>
        <v>1421.12918365858</v>
      </c>
      <c r="H3225" s="31" t="n">
        <f aca="false">G3225*(1+H3226)</f>
        <v>1572.24252669828</v>
      </c>
      <c r="I3225" s="31" t="n">
        <f aca="false">H3225*(1+I3226)</f>
        <v>1703.00066355907</v>
      </c>
      <c r="J3225" s="31" t="n">
        <f aca="false">I3225*(1+J3226)</f>
        <v>1805.18070337261</v>
      </c>
      <c r="K3225" s="8" t="s">
        <v>566</v>
      </c>
    </row>
    <row r="3226" customFormat="false" ht="15" hidden="false" customHeight="false" outlineLevel="0" collapsed="false">
      <c r="A3226" s="4" t="s">
        <v>567</v>
      </c>
      <c r="B3226" s="0" t="s">
        <v>76</v>
      </c>
      <c r="D3226" s="21" t="n">
        <f aca="false">D3225/C3225-1</f>
        <v>0.349835061916516</v>
      </c>
      <c r="E3226" s="21" t="n">
        <f aca="false">E3225/D3225-1</f>
        <v>0.281881965126026</v>
      </c>
      <c r="F3226" s="21" t="n">
        <f aca="false">F3225/E3225-1</f>
        <v>0.126672564202309</v>
      </c>
      <c r="G3226" s="21" t="n">
        <f aca="false">G3225/F3225-1</f>
        <v>0.129499936505429</v>
      </c>
      <c r="H3226" s="26" t="n">
        <f aca="false">$G3226+(fade_gA-$G3226)*1/3</f>
        <v>0.10633329100362</v>
      </c>
      <c r="I3226" s="26" t="n">
        <f aca="false">$G3226+(fade_gA-$G3226)*2/3</f>
        <v>0.0831666455018098</v>
      </c>
      <c r="J3226" s="26" t="n">
        <f aca="false">$G3226+(fade_gA-$G3226)*3/3</f>
        <v>0.06</v>
      </c>
    </row>
    <row r="3227" customFormat="false" ht="17.15" hidden="false" customHeight="false" outlineLevel="0" collapsed="false">
      <c r="A3227" s="0" t="s">
        <v>475</v>
      </c>
      <c r="B3227" s="0" t="s">
        <v>76</v>
      </c>
      <c r="C3227" s="21" t="n">
        <f aca="false">C3220/C3222</f>
        <v>0.127431736668482</v>
      </c>
      <c r="D3227" s="21" t="n">
        <f aca="false">D3220/D3222</f>
        <v>0.227966974088588</v>
      </c>
      <c r="E3227" s="21" t="n">
        <f aca="false">E3220/E3222</f>
        <v>0.35854980982739</v>
      </c>
      <c r="F3227" s="21" t="n">
        <f aca="false">F3220/F3222</f>
        <v>0.408787056050512</v>
      </c>
      <c r="G3227" s="21" t="n">
        <f aca="false">G3220/G3222</f>
        <v>0.455416923583923</v>
      </c>
    </row>
    <row r="3228" customFormat="false" ht="15" hidden="false" customHeight="false" outlineLevel="0" collapsed="false">
      <c r="A3228" s="4" t="s">
        <v>568</v>
      </c>
      <c r="B3228" s="0" t="s">
        <v>76</v>
      </c>
      <c r="D3228" s="21" t="n">
        <f aca="false">D3222/C3222-1</f>
        <v>0.438052247012034</v>
      </c>
      <c r="E3228" s="21" t="n">
        <f aca="false">E3222/D3222-1</f>
        <v>0.384110556673485</v>
      </c>
      <c r="F3228" s="21" t="n">
        <f aca="false">F3222/E3222-1</f>
        <v>0.160921306796241</v>
      </c>
      <c r="G3228" s="21" t="n">
        <f aca="false">G3222/F3222-1</f>
        <v>0.161618635285371</v>
      </c>
    </row>
    <row r="3229" customFormat="false" ht="17.15" hidden="false" customHeight="false" outlineLevel="0" collapsed="false">
      <c r="A3229" s="6" t="s">
        <v>569</v>
      </c>
    </row>
    <row r="3230" customFormat="false" ht="17.15" hidden="false" customHeight="false" outlineLevel="0" collapsed="false">
      <c r="A3230" s="4" t="s">
        <v>570</v>
      </c>
      <c r="B3230" s="0" t="s">
        <v>120</v>
      </c>
      <c r="C3230" s="19" t="n">
        <f aca="false">capex25</f>
        <v>5.5</v>
      </c>
      <c r="D3230" s="19" t="n">
        <f aca="false">capex26</f>
        <v>11.5</v>
      </c>
      <c r="E3230" s="19" t="n">
        <f aca="false">capex27_hi</f>
        <v>15</v>
      </c>
      <c r="F3230" s="19" t="n">
        <f aca="false">capi*F3225/F3218</f>
        <v>11.7955616164261</v>
      </c>
      <c r="G3230" s="19" t="n">
        <f aca="false">capi*G3225/G3218</f>
        <v>13.3230860967992</v>
      </c>
      <c r="K3230" s="8" t="s">
        <v>571</v>
      </c>
    </row>
    <row r="3231" customFormat="false" ht="15" hidden="false" customHeight="false" outlineLevel="0" collapsed="false">
      <c r="A3231" s="4" t="s">
        <v>572</v>
      </c>
      <c r="B3231" s="0" t="s">
        <v>234</v>
      </c>
      <c r="C3231" s="30" t="n">
        <f aca="false">C3230*C3218</f>
        <v>170.5</v>
      </c>
      <c r="D3231" s="30" t="n">
        <f aca="false">D3230*31.9</f>
        <v>366.85</v>
      </c>
      <c r="E3231" s="30" t="n">
        <f aca="false">E3230*E3218</f>
        <v>480</v>
      </c>
      <c r="F3231" s="30" t="n">
        <f aca="false">F3230*F3218</f>
        <v>377.457971725635</v>
      </c>
      <c r="G3231" s="30" t="n">
        <f aca="false">G3230*G3218</f>
        <v>426.338755097573</v>
      </c>
    </row>
    <row r="3232" customFormat="false" ht="17.15" hidden="false" customHeight="false" outlineLevel="0" collapsed="false">
      <c r="A3232" s="4" t="s">
        <v>473</v>
      </c>
      <c r="B3232" s="0" t="s">
        <v>76</v>
      </c>
      <c r="C3232" s="21" t="n">
        <f aca="false">C3231/C3225</f>
        <v>0.264182166386732</v>
      </c>
      <c r="D3232" s="21" t="n">
        <f aca="false">D3231/D3225</f>
        <v>0.421101639775745</v>
      </c>
      <c r="E3232" s="21" t="n">
        <f aca="false">E3231/E3225</f>
        <v>0.429824937869007</v>
      </c>
      <c r="F3232" s="21" t="n">
        <f aca="false">F3231/F3225</f>
        <v>0.3</v>
      </c>
      <c r="G3232" s="21" t="n">
        <f aca="false">G3231/G3225</f>
        <v>0.3</v>
      </c>
    </row>
    <row r="3233" customFormat="false" ht="17.15" hidden="false" customHeight="false" outlineLevel="0" collapsed="false">
      <c r="A3233" s="4" t="s">
        <v>573</v>
      </c>
      <c r="B3233" s="0" t="s">
        <v>234</v>
      </c>
      <c r="C3233" s="30" t="n">
        <f aca="false">a25_da</f>
        <v>75.255</v>
      </c>
      <c r="D3233" s="30" t="n">
        <f aca="false">a26_da</f>
        <v>97.124</v>
      </c>
      <c r="E3233" s="30" t="n">
        <f aca="false">D3233*(1-1/life)+D3231/life</f>
        <v>130.83975</v>
      </c>
      <c r="F3233" s="30" t="n">
        <f aca="false">E3233*(1-1/life)+E3231/life</f>
        <v>174.48478125</v>
      </c>
      <c r="G3233" s="30" t="n">
        <f aca="false">F3233*(1-1/life)+F3231/life</f>
        <v>199.856430059454</v>
      </c>
      <c r="K3233" s="4" t="s">
        <v>574</v>
      </c>
    </row>
    <row r="3234" customFormat="false" ht="17.15" hidden="false" customHeight="false" outlineLevel="0" collapsed="false">
      <c r="A3234" s="4" t="s">
        <v>575</v>
      </c>
      <c r="B3234" s="0" t="s">
        <v>234</v>
      </c>
      <c r="C3234" s="30" t="n">
        <f aca="false">a25_agp</f>
        <v>91.38</v>
      </c>
      <c r="D3234" s="30" t="n">
        <f aca="false">a26_agp</f>
        <v>164.623388</v>
      </c>
      <c r="E3234" s="30" t="n">
        <f aca="false">$D3234+ft*(E3222-$D3222)-(E3233-$D3233)</f>
        <v>238.406777354481</v>
      </c>
      <c r="F3234" s="30" t="n">
        <f aca="false">$D3234+ft*(F3222-$D3222)-(F3233-$D3233)</f>
        <v>257.096905707536</v>
      </c>
      <c r="G3234" s="30" t="n">
        <f aca="false">$D3234+ft*(G3222-$D3222)-(G3233-$D3233)</f>
        <v>304.40506004625</v>
      </c>
      <c r="K3234" s="4" t="s">
        <v>576</v>
      </c>
    </row>
    <row r="3235" customFormat="false" ht="15" hidden="false" customHeight="false" outlineLevel="0" collapsed="false">
      <c r="A3235" s="4" t="s">
        <v>447</v>
      </c>
      <c r="B3235" s="0" t="s">
        <v>76</v>
      </c>
      <c r="C3235" s="14" t="n">
        <f aca="false">C3234/C3222</f>
        <v>0.234772421305764</v>
      </c>
      <c r="D3235" s="14" t="n">
        <f aca="false">D3234/D3222</f>
        <v>0.294112034690999</v>
      </c>
      <c r="E3235" s="14" t="n">
        <f aca="false">E3234/E3222</f>
        <v>0.307729461232368</v>
      </c>
      <c r="F3235" s="14" t="n">
        <f aca="false">F3234/F3222</f>
        <v>0.285854179818253</v>
      </c>
      <c r="G3235" s="14" t="n">
        <f aca="false">G3234/G3222</f>
        <v>0.29136406926156</v>
      </c>
    </row>
    <row r="3236" customFormat="false" ht="17.15" hidden="false" customHeight="false" outlineLevel="0" collapsed="false">
      <c r="A3236" s="0" t="s">
        <v>449</v>
      </c>
      <c r="B3236" s="0" t="s">
        <v>234</v>
      </c>
      <c r="C3236" s="30" t="n">
        <f aca="false">a25_egp</f>
        <v>23.695</v>
      </c>
      <c r="D3236" s="30" t="n">
        <f aca="false">a26_egp</f>
        <v>27.00552</v>
      </c>
      <c r="E3236" s="30" t="n">
        <f aca="false">E3223*ems_gm</f>
        <v>29.415287</v>
      </c>
      <c r="F3236" s="30" t="n">
        <f aca="false">F3223*ems_gm</f>
        <v>30.88605135</v>
      </c>
      <c r="G3236" s="30" t="n">
        <f aca="false">G3223*ems_gm</f>
        <v>32.4303539175</v>
      </c>
    </row>
    <row r="3237" customFormat="false" ht="15" hidden="false" customHeight="false" outlineLevel="0" collapsed="false">
      <c r="A3237" s="4" t="s">
        <v>577</v>
      </c>
      <c r="B3237" s="0" t="s">
        <v>234</v>
      </c>
      <c r="C3237" s="30" t="n">
        <f aca="false">a25_lgp</f>
        <v>-0.881999999999998</v>
      </c>
      <c r="D3237" s="30" t="n">
        <f aca="false">a26_lgp</f>
        <v>-0.948662139013863</v>
      </c>
      <c r="E3237" s="30" t="n">
        <f aca="false">$D3237/$D3224*E3224</f>
        <v>-1.21607288699975</v>
      </c>
      <c r="F3237" s="30" t="n">
        <f aca="false">$D3237/$D3224*F3224</f>
        <v>-1.37011595785291</v>
      </c>
      <c r="G3237" s="30" t="n">
        <f aca="false">$D3237/$D3224*G3224</f>
        <v>-1.54754588739994</v>
      </c>
    </row>
    <row r="3238" customFormat="false" ht="15" hidden="false" customHeight="false" outlineLevel="0" collapsed="false">
      <c r="A3238" s="4" t="s">
        <v>451</v>
      </c>
      <c r="B3238" s="0" t="s">
        <v>234</v>
      </c>
      <c r="C3238" s="30" t="n">
        <f aca="false">C3234+C3236+C3237</f>
        <v>114.193</v>
      </c>
      <c r="D3238" s="30" t="n">
        <f aca="false">D3234+D3236+D3237</f>
        <v>190.680245860986</v>
      </c>
      <c r="E3238" s="30" t="n">
        <f aca="false">E3234+E3236+E3237</f>
        <v>266.605991467481</v>
      </c>
      <c r="F3238" s="30" t="n">
        <f aca="false">F3234+F3236+F3237</f>
        <v>286.612841099683</v>
      </c>
      <c r="G3238" s="30" t="n">
        <f aca="false">G3234+G3236+G3237</f>
        <v>335.28786807635</v>
      </c>
    </row>
    <row r="3239" customFormat="false" ht="15" hidden="false" customHeight="false" outlineLevel="0" collapsed="false">
      <c r="A3239" s="4" t="s">
        <v>452</v>
      </c>
      <c r="B3239" s="0" t="s">
        <v>76</v>
      </c>
      <c r="C3239" s="14" t="n">
        <f aca="false">C3238/C3225</f>
        <v>0.176936974347214</v>
      </c>
      <c r="D3239" s="14" t="n">
        <f aca="false">D3238/D3225</f>
        <v>0.218879008327391</v>
      </c>
      <c r="E3239" s="14" t="n">
        <f aca="false">E3238/E3225</f>
        <v>0.238737299412531</v>
      </c>
      <c r="F3239" s="14" t="n">
        <f aca="false">F3238/F3225</f>
        <v>0.22779715563248</v>
      </c>
      <c r="G3239" s="14" t="n">
        <f aca="false">G3238/G3225</f>
        <v>0.235930604994811</v>
      </c>
    </row>
    <row r="3240" customFormat="false" ht="15" hidden="false" customHeight="false" outlineLevel="0" collapsed="false">
      <c r="A3240" s="4" t="s">
        <v>578</v>
      </c>
      <c r="B3240" s="0" t="s">
        <v>234</v>
      </c>
      <c r="C3240" s="30" t="n">
        <f aca="false">a25_opx</f>
        <v>63.437</v>
      </c>
      <c r="D3240" s="30" t="n">
        <f aca="false">a26_opx</f>
        <v>79.658</v>
      </c>
      <c r="E3240" s="30" t="n">
        <f aca="false">D3240*(1+phi*E3226)</f>
        <v>93.1304921468054</v>
      </c>
      <c r="F3240" s="30" t="n">
        <f aca="false">E3240*(1+phi*F3226)</f>
        <v>100.208739094201</v>
      </c>
      <c r="G3240" s="30" t="n">
        <f aca="false">F3240*(1+phi*G3226)</f>
        <v>107.994954304194</v>
      </c>
    </row>
    <row r="3241" customFormat="false" ht="15" hidden="false" customHeight="false" outlineLevel="0" collapsed="false">
      <c r="A3241" s="4" t="s">
        <v>455</v>
      </c>
      <c r="B3241" s="0" t="s">
        <v>234</v>
      </c>
      <c r="C3241" s="30" t="n">
        <f aca="false">C3238-C3240</f>
        <v>50.756</v>
      </c>
      <c r="D3241" s="30" t="n">
        <f aca="false">D3238-D3240</f>
        <v>111.022245860986</v>
      </c>
      <c r="E3241" s="30" t="n">
        <f aca="false">E3238-E3240</f>
        <v>173.475499320676</v>
      </c>
      <c r="F3241" s="30" t="n">
        <f aca="false">F3238-F3240</f>
        <v>186.404102005482</v>
      </c>
      <c r="G3241" s="30" t="n">
        <f aca="false">G3238-G3240</f>
        <v>227.292913772156</v>
      </c>
    </row>
    <row r="3242" customFormat="false" ht="15" hidden="false" customHeight="false" outlineLevel="0" collapsed="false">
      <c r="A3242" s="4" t="s">
        <v>537</v>
      </c>
      <c r="B3242" s="0" t="s">
        <v>76</v>
      </c>
      <c r="C3242" s="14" t="n">
        <f aca="false">C3241/C3225</f>
        <v>0.0786441644406156</v>
      </c>
      <c r="D3242" s="14" t="n">
        <f aca="false">D3241/D3225</f>
        <v>0.127440779020437</v>
      </c>
      <c r="E3242" s="14" t="n">
        <f aca="false">E3241/E3225</f>
        <v>0.155341866077717</v>
      </c>
      <c r="F3242" s="14" t="n">
        <f aca="false">F3241/F3225</f>
        <v>0.148152204458653</v>
      </c>
      <c r="G3242" s="14" t="n">
        <f aca="false">G3241/G3225</f>
        <v>0.159938249376464</v>
      </c>
    </row>
    <row r="3243" customFormat="false" ht="15" hidden="false" customHeight="false" outlineLevel="0" collapsed="false">
      <c r="A3243" s="4" t="s">
        <v>456</v>
      </c>
      <c r="B3243" s="0" t="s">
        <v>234</v>
      </c>
      <c r="C3243" s="30" t="n">
        <f aca="false">a25_nonop</f>
        <v>0.545</v>
      </c>
      <c r="D3243" s="30" t="n">
        <f aca="false">a26_nonop</f>
        <v>4.302</v>
      </c>
      <c r="E3243" s="30" t="n">
        <f aca="false">nonop_f</f>
        <v>-5</v>
      </c>
      <c r="F3243" s="30" t="n">
        <f aca="false">nonop_f</f>
        <v>-5</v>
      </c>
      <c r="G3243" s="30" t="n">
        <f aca="false">nonop_f</f>
        <v>-5</v>
      </c>
    </row>
    <row r="3244" customFormat="false" ht="15" hidden="false" customHeight="false" outlineLevel="0" collapsed="false">
      <c r="A3244" s="4" t="s">
        <v>459</v>
      </c>
      <c r="B3244" s="0" t="s">
        <v>234</v>
      </c>
      <c r="C3244" s="30" t="n">
        <f aca="false">C3241+C3243</f>
        <v>51.301</v>
      </c>
      <c r="D3244" s="30" t="n">
        <f aca="false">D3241+D3243</f>
        <v>115.324245860986</v>
      </c>
      <c r="E3244" s="30" t="n">
        <f aca="false">E3241+E3243</f>
        <v>168.475499320676</v>
      </c>
      <c r="F3244" s="30" t="n">
        <f aca="false">F3241+F3243</f>
        <v>181.404102005482</v>
      </c>
      <c r="G3244" s="30" t="n">
        <f aca="false">G3241+G3243</f>
        <v>222.292913772156</v>
      </c>
    </row>
    <row r="3245" customFormat="false" ht="15" hidden="false" customHeight="false" outlineLevel="0" collapsed="false">
      <c r="A3245" s="4" t="s">
        <v>460</v>
      </c>
      <c r="B3245" s="0" t="s">
        <v>234</v>
      </c>
      <c r="C3245" s="30" t="n">
        <f aca="false">a25_tax</f>
        <v>9.461</v>
      </c>
      <c r="D3245" s="30" t="n">
        <f aca="false">a26_tax</f>
        <v>19.2197317963676</v>
      </c>
      <c r="E3245" s="30" t="n">
        <f aca="false">E3244*tax</f>
        <v>28.6408348845149</v>
      </c>
      <c r="F3245" s="30" t="n">
        <f aca="false">F3244*tax</f>
        <v>30.8386973409319</v>
      </c>
      <c r="G3245" s="30" t="n">
        <f aca="false">G3244*tax</f>
        <v>37.7897953412666</v>
      </c>
    </row>
    <row r="3246" customFormat="false" ht="15" hidden="false" customHeight="false" outlineLevel="0" collapsed="false">
      <c r="A3246" s="4" t="s">
        <v>461</v>
      </c>
      <c r="B3246" s="0" t="s">
        <v>234</v>
      </c>
      <c r="C3246" s="30" t="n">
        <f aca="false">a25_nci</f>
        <v>1.182</v>
      </c>
      <c r="D3246" s="30" t="n">
        <f aca="false">a26_nci</f>
        <v>2.543</v>
      </c>
      <c r="E3246" s="30" t="n">
        <f aca="false">nci</f>
        <v>3</v>
      </c>
      <c r="F3246" s="30" t="n">
        <f aca="false">nci</f>
        <v>3</v>
      </c>
      <c r="G3246" s="30" t="n">
        <f aca="false">nci</f>
        <v>3</v>
      </c>
    </row>
    <row r="3247" customFormat="false" ht="15" hidden="false" customHeight="false" outlineLevel="0" collapsed="false">
      <c r="A3247" s="4" t="s">
        <v>462</v>
      </c>
      <c r="B3247" s="0" t="s">
        <v>234</v>
      </c>
      <c r="C3247" s="30" t="n">
        <f aca="false">C3244-C3245-C3246</f>
        <v>40.658</v>
      </c>
      <c r="D3247" s="30" t="n">
        <f aca="false">D3244-D3245-D3246</f>
        <v>93.5615140646185</v>
      </c>
      <c r="E3247" s="30" t="n">
        <f aca="false">E3244-E3245-E3246</f>
        <v>136.834664436161</v>
      </c>
      <c r="F3247" s="30" t="n">
        <f aca="false">F3244-F3245-F3246</f>
        <v>147.56540466455</v>
      </c>
      <c r="G3247" s="30" t="n">
        <f aca="false">G3244-G3245-G3246</f>
        <v>181.50311843089</v>
      </c>
      <c r="H3247" s="31" t="n">
        <f aca="false">H3225*H3251</f>
        <v>202.945541147976</v>
      </c>
      <c r="I3247" s="31" t="n">
        <f aca="false">I3225*I3251</f>
        <v>222.14463258714</v>
      </c>
      <c r="J3247" s="31" t="n">
        <f aca="false">J3225*J3251</f>
        <v>237.933349598446</v>
      </c>
    </row>
    <row r="3248" customFormat="false" ht="15" hidden="false" customHeight="false" outlineLevel="0" collapsed="false">
      <c r="A3248" s="4" t="s">
        <v>579</v>
      </c>
      <c r="B3248" s="4" t="s">
        <v>580</v>
      </c>
      <c r="C3248" s="18" t="n">
        <f aca="false">a25_sh</f>
        <v>4339.16755602988</v>
      </c>
      <c r="D3248" s="18" t="n">
        <f aca="false">a26_sh</f>
        <v>4392.90105184664</v>
      </c>
      <c r="E3248" s="18" t="n">
        <f aca="false">D3248*(1+sh_g)</f>
        <v>4414.86555710588</v>
      </c>
      <c r="F3248" s="18" t="n">
        <f aca="false">E3248*(1+sh_g)</f>
        <v>4436.9398848914</v>
      </c>
      <c r="G3248" s="18" t="n">
        <f aca="false">F3248*(1+sh_g)</f>
        <v>4459.12458431586</v>
      </c>
      <c r="H3248" s="25" t="n">
        <f aca="false">G3248*(1+sh_g)</f>
        <v>4481.42020723744</v>
      </c>
      <c r="I3248" s="25" t="n">
        <f aca="false">H3248*(1+sh_g)</f>
        <v>4503.82730827363</v>
      </c>
      <c r="J3248" s="25" t="n">
        <f aca="false">I3248*(1+sh_g)</f>
        <v>4526.34644481499</v>
      </c>
    </row>
    <row r="3249" customFormat="false" ht="17.15" hidden="false" customHeight="false" outlineLevel="0" collapsed="false">
      <c r="A3249" s="0" t="s">
        <v>465</v>
      </c>
      <c r="B3249" s="0" t="s">
        <v>304</v>
      </c>
      <c r="C3249" s="19" t="n">
        <f aca="false">a25_eps</f>
        <v>9.37</v>
      </c>
      <c r="D3249" s="19" t="n">
        <f aca="false">a26_eps</f>
        <v>21.2828697294455</v>
      </c>
      <c r="E3249" s="19" t="n">
        <f aca="false">E3247/E3248*1000</f>
        <v>30.9940727902621</v>
      </c>
      <c r="F3249" s="19" t="n">
        <f aca="false">F3247/F3248*1000</f>
        <v>33.2583736748468</v>
      </c>
      <c r="G3249" s="19" t="n">
        <f aca="false">G3247/G3248*1000</f>
        <v>40.7037558603527</v>
      </c>
      <c r="H3249" s="28" t="n">
        <f aca="false">H3247/H3248*1000</f>
        <v>45.285987870591</v>
      </c>
      <c r="I3249" s="28" t="n">
        <f aca="false">I3247/I3248*1000</f>
        <v>49.3235236126962</v>
      </c>
      <c r="J3249" s="28" t="n">
        <f aca="false">J3247/J3248*1000</f>
        <v>52.5663142446825</v>
      </c>
    </row>
    <row r="3250" customFormat="false" ht="17.15" hidden="false" customHeight="false" outlineLevel="0" collapsed="false">
      <c r="A3250" s="0" t="s">
        <v>581</v>
      </c>
      <c r="B3250" s="0" t="s">
        <v>76</v>
      </c>
      <c r="D3250" s="21" t="n">
        <f aca="false">D3249/C3249-1</f>
        <v>1.27138417603474</v>
      </c>
      <c r="E3250" s="21" t="n">
        <f aca="false">E3249/D3249-1</f>
        <v>0.456291993714591</v>
      </c>
      <c r="F3250" s="21" t="n">
        <f aca="false">F3249/E3249-1</f>
        <v>0.0730559323360711</v>
      </c>
      <c r="G3250" s="21" t="n">
        <f aca="false">G3249/F3249-1</f>
        <v>0.223864890637658</v>
      </c>
      <c r="H3250" s="26" t="n">
        <f aca="false">H3249/G3249-1</f>
        <v>0.112575164462933</v>
      </c>
      <c r="I3250" s="26" t="n">
        <f aca="false">I3249/H3249-1</f>
        <v>0.0891564020562565</v>
      </c>
      <c r="J3250" s="26" t="n">
        <f aca="false">J3249/I3249-1</f>
        <v>0.065745315712836</v>
      </c>
    </row>
    <row r="3251" customFormat="false" ht="17.15" hidden="false" customHeight="false" outlineLevel="0" collapsed="false">
      <c r="A3251" s="4" t="s">
        <v>582</v>
      </c>
      <c r="B3251" s="0" t="s">
        <v>76</v>
      </c>
      <c r="C3251" s="14" t="n">
        <f aca="false">C3247/C3225</f>
        <v>0.0629977625862272</v>
      </c>
      <c r="D3251" s="14" t="n">
        <f aca="false">D3247/D3225</f>
        <v>0.107397865592237</v>
      </c>
      <c r="E3251" s="14" t="n">
        <f aca="false">E3247/E3225</f>
        <v>0.122531148207498</v>
      </c>
      <c r="F3251" s="14" t="n">
        <f aca="false">F3247/F3225</f>
        <v>0.117283577816562</v>
      </c>
      <c r="G3251" s="14" t="n">
        <f aca="false">G3247/G3225</f>
        <v>0.1277175365322</v>
      </c>
      <c r="H3251" s="27" t="n">
        <f aca="false">$G3251+(fade_mA-$G3251)*1/3</f>
        <v>0.129080302626188</v>
      </c>
      <c r="I3251" s="27" t="n">
        <f aca="false">$G3251+(fade_mA-$G3251)*2/3</f>
        <v>0.130443068720176</v>
      </c>
      <c r="J3251" s="27" t="n">
        <f aca="false">$G3251+(fade_mA-$G3251)*3/3</f>
        <v>0.131805834814164</v>
      </c>
    </row>
    <row r="3252" customFormat="false" ht="17.15" hidden="false" customHeight="false" outlineLevel="0" collapsed="false">
      <c r="A3252" s="4" t="s">
        <v>583</v>
      </c>
      <c r="B3252" s="0" t="s">
        <v>234</v>
      </c>
      <c r="C3252" s="30" t="n">
        <f aca="false">C3247+C3233-C3231</f>
        <v>-54.587</v>
      </c>
      <c r="D3252" s="30" t="n">
        <f aca="false">D3247+D3233-D3231</f>
        <v>-176.164485935382</v>
      </c>
      <c r="E3252" s="30" t="n">
        <f aca="false">E3247+E3233-E3231</f>
        <v>-212.325585563839</v>
      </c>
      <c r="F3252" s="30" t="n">
        <f aca="false">F3247+F3233-F3231</f>
        <v>-55.407785811085</v>
      </c>
      <c r="G3252" s="30" t="n">
        <f aca="false">G3247+G3233-G3231</f>
        <v>-44.979206607229</v>
      </c>
      <c r="K3252" s="4" t="s">
        <v>584</v>
      </c>
    </row>
    <row r="3253" customFormat="false" ht="17.15" hidden="false" customHeight="false" outlineLevel="0" collapsed="false">
      <c r="A3253" s="4" t="s">
        <v>585</v>
      </c>
      <c r="B3253" s="0" t="s">
        <v>76</v>
      </c>
      <c r="D3253" s="21" t="n">
        <f aca="false">(D3241-$C3241)/SUM($D3231:D3231)</f>
        <v>0.164280348537512</v>
      </c>
      <c r="E3253" s="21" t="n">
        <f aca="false">(E3241-$C3241)/SUM($D3231:E3231)</f>
        <v>0.144912911756126</v>
      </c>
      <c r="F3253" s="21" t="n">
        <f aca="false">(F3241-$C3241)/SUM($D3231:F3231)</f>
        <v>0.110795735336338</v>
      </c>
      <c r="G3253" s="21" t="n">
        <f aca="false">(G3241-$C3241)/SUM($D3231:G3231)</f>
        <v>0.106950149237514</v>
      </c>
      <c r="K3253" s="4" t="s">
        <v>586</v>
      </c>
    </row>
    <row r="3256" customFormat="false" ht="17.15" hidden="false" customHeight="false" outlineLevel="0" collapsed="false">
      <c r="A3256" s="1" t="s">
        <v>980</v>
      </c>
    </row>
    <row r="3257" customFormat="false" ht="17.15" hidden="false" customHeight="false" outlineLevel="0" collapsed="false">
      <c r="A3257" s="5" t="s">
        <v>21</v>
      </c>
      <c r="B3257" s="5" t="s">
        <v>22</v>
      </c>
      <c r="C3257" s="15" t="s">
        <v>424</v>
      </c>
      <c r="D3257" s="15" t="s">
        <v>524</v>
      </c>
      <c r="E3257" s="15" t="s">
        <v>525</v>
      </c>
      <c r="F3257" s="15" t="s">
        <v>526</v>
      </c>
      <c r="G3257" s="15" t="s">
        <v>527</v>
      </c>
      <c r="H3257" s="15" t="s">
        <v>528</v>
      </c>
      <c r="I3257" s="15" t="s">
        <v>529</v>
      </c>
      <c r="J3257" s="15" t="s">
        <v>530</v>
      </c>
      <c r="K3257" s="5" t="s">
        <v>382</v>
      </c>
    </row>
    <row r="3258" customFormat="false" ht="17.15" hidden="false" customHeight="false" outlineLevel="0" collapsed="false">
      <c r="A3258" s="6" t="s">
        <v>548</v>
      </c>
    </row>
    <row r="3259" customFormat="false" ht="17.15" hidden="false" customHeight="false" outlineLevel="0" collapsed="false">
      <c r="A3259" s="0" t="s">
        <v>549</v>
      </c>
      <c r="B3259" s="4" t="s">
        <v>32</v>
      </c>
      <c r="D3259" s="19" t="n">
        <f aca="false">units_26</f>
        <v>15.2</v>
      </c>
      <c r="E3259" s="19" t="n">
        <f aca="false">units_27*1</f>
        <v>23.7</v>
      </c>
      <c r="F3259" s="19" t="n">
        <f aca="false">units_28*um28_B*1</f>
        <v>21.2</v>
      </c>
      <c r="G3259" s="19" t="n">
        <f aca="false">units_29*um29_B*1</f>
        <v>25.6275</v>
      </c>
    </row>
    <row r="3260" customFormat="false" ht="17.15" hidden="false" customHeight="false" outlineLevel="0" collapsed="false">
      <c r="A3260" s="4" t="s">
        <v>497</v>
      </c>
      <c r="B3260" s="0" t="s">
        <v>45</v>
      </c>
      <c r="D3260" s="22" t="n">
        <f aca="false">ar_26</f>
        <v>1</v>
      </c>
      <c r="E3260" s="22" t="n">
        <f aca="false">ar_27</f>
        <v>1.278156</v>
      </c>
      <c r="F3260" s="22" t="n">
        <f aca="false">ar_28</f>
        <v>1.428615</v>
      </c>
      <c r="G3260" s="22" t="n">
        <f aca="false">ar_29</f>
        <v>1.431796</v>
      </c>
    </row>
    <row r="3261" customFormat="false" ht="17.15" hidden="false" customHeight="false" outlineLevel="0" collapsed="false">
      <c r="A3261" s="4" t="s">
        <v>550</v>
      </c>
      <c r="B3261" s="0" t="s">
        <v>45</v>
      </c>
      <c r="D3261" s="19" t="n">
        <f aca="false">1</f>
        <v>1</v>
      </c>
      <c r="E3261" s="19" t="n">
        <f aca="false">rel27_B</f>
        <v>1.05</v>
      </c>
      <c r="F3261" s="19" t="n">
        <f aca="false">rel28_B</f>
        <v>1.08</v>
      </c>
      <c r="G3261" s="19" t="n">
        <f aca="false">rel29_B</f>
        <v>1.1</v>
      </c>
    </row>
    <row r="3262" customFormat="false" ht="17.15" hidden="false" customHeight="false" outlineLevel="0" collapsed="false">
      <c r="A3262" s="4" t="s">
        <v>551</v>
      </c>
      <c r="B3262" s="0" t="s">
        <v>502</v>
      </c>
      <c r="D3262" s="23" t="n">
        <f aca="false">D3263*1000/D3259</f>
        <v>236.842105263158</v>
      </c>
      <c r="E3262" s="23" t="n">
        <f aca="false">$D3262*E3260^el</f>
        <v>267.763172119488</v>
      </c>
      <c r="F3262" s="23" t="n">
        <f aca="false">$D3262*F3260^el</f>
        <v>283.084777049615</v>
      </c>
      <c r="G3262" s="23" t="n">
        <f aca="false">$D3262*G3260^el</f>
        <v>283.399764630809</v>
      </c>
      <c r="K3262" s="8" t="s">
        <v>552</v>
      </c>
    </row>
    <row r="3263" customFormat="false" ht="17.15" hidden="false" customHeight="false" outlineLevel="0" collapsed="false">
      <c r="A3263" s="0" t="s">
        <v>553</v>
      </c>
      <c r="B3263" s="0" t="s">
        <v>120</v>
      </c>
      <c r="D3263" s="22" t="n">
        <f aca="false">leap26-D3264-D3265</f>
        <v>3.6</v>
      </c>
      <c r="E3263" s="22" t="n">
        <f aca="false">E3259*E3261*E3262/1000</f>
        <v>6.66328653819345</v>
      </c>
      <c r="F3263" s="22" t="n">
        <f aca="false">F3259*F3261*F3262/1000</f>
        <v>6.48150905532798</v>
      </c>
      <c r="G3263" s="22" t="n">
        <f aca="false">G3259*G3261*G3262/1000</f>
        <v>7.98911021488366</v>
      </c>
      <c r="K3263" s="8" t="s">
        <v>554</v>
      </c>
    </row>
    <row r="3264" customFormat="false" ht="17.15" hidden="false" customHeight="false" outlineLevel="0" collapsed="false">
      <c r="A3264" s="4" t="s">
        <v>555</v>
      </c>
      <c r="B3264" s="0" t="s">
        <v>120</v>
      </c>
      <c r="D3264" s="22" t="n">
        <f aca="false">fp26</f>
        <v>0.3</v>
      </c>
      <c r="E3264" s="22" t="n">
        <f aca="false">fp27_B</f>
        <v>1</v>
      </c>
      <c r="F3264" s="22" t="n">
        <f aca="false">E3264*F3259/E3259*(1+fp_g)</f>
        <v>1.16286919831224</v>
      </c>
      <c r="G3264" s="22" t="n">
        <f aca="false">F3264*G3259/F3259*(1+fp_g)</f>
        <v>1.82744620253165</v>
      </c>
    </row>
    <row r="3265" customFormat="false" ht="17.15" hidden="false" customHeight="false" outlineLevel="0" collapsed="false">
      <c r="A3265" s="0" t="s">
        <v>556</v>
      </c>
      <c r="B3265" s="0" t="s">
        <v>120</v>
      </c>
      <c r="D3265" s="22" t="n">
        <f aca="false">cpo27*cpo_B_26/cpo_A_27</f>
        <v>0.1</v>
      </c>
      <c r="E3265" s="22" t="n">
        <f aca="false">cpo27*cpo_B_27/cpo_A_27</f>
        <v>0.3</v>
      </c>
      <c r="F3265" s="22" t="n">
        <f aca="false">cpo27*cpo_B_28/cpo_A_27*F3259/E3259</f>
        <v>0.447257383966245</v>
      </c>
      <c r="G3265" s="22" t="n">
        <f aca="false">cpo27*cpo_B_29/cpo_A_27*G3259/E3259</f>
        <v>0.86506329113924</v>
      </c>
      <c r="K3265" s="8" t="s">
        <v>557</v>
      </c>
    </row>
    <row r="3266" customFormat="false" ht="17.15" hidden="false" customHeight="false" outlineLevel="0" collapsed="false">
      <c r="A3266" s="0" t="s">
        <v>510</v>
      </c>
      <c r="B3266" s="0" t="s">
        <v>120</v>
      </c>
      <c r="C3266" s="22" t="n">
        <f aca="false">leap25</f>
        <v>1.6</v>
      </c>
      <c r="D3266" s="22" t="n">
        <f aca="false">D3263+D3264+D3265</f>
        <v>4</v>
      </c>
      <c r="E3266" s="22" t="n">
        <f aca="false">E3263+E3264+E3265</f>
        <v>7.96328653819345</v>
      </c>
      <c r="F3266" s="22" t="n">
        <f aca="false">F3263+F3264+F3265</f>
        <v>8.09163563760646</v>
      </c>
      <c r="G3266" s="22" t="n">
        <f aca="false">G3263+G3264+G3265</f>
        <v>10.6816197085545</v>
      </c>
    </row>
    <row r="3267" customFormat="false" ht="17.15" hidden="false" customHeight="false" outlineLevel="0" collapsed="false">
      <c r="A3267" s="4" t="s">
        <v>558</v>
      </c>
      <c r="B3267" s="0" t="s">
        <v>114</v>
      </c>
      <c r="C3267" s="19" t="n">
        <f aca="false">fx25</f>
        <v>31</v>
      </c>
      <c r="D3267" s="19" t="n">
        <f aca="false">a26_leap/D3266</f>
        <v>31.9</v>
      </c>
      <c r="E3267" s="19" t="n">
        <f aca="false">fx</f>
        <v>32</v>
      </c>
      <c r="F3267" s="19" t="n">
        <f aca="false">fx</f>
        <v>32</v>
      </c>
      <c r="G3267" s="19" t="n">
        <f aca="false">fx</f>
        <v>32</v>
      </c>
      <c r="K3267" s="8" t="s">
        <v>559</v>
      </c>
    </row>
    <row r="3268" customFormat="false" ht="17.15" hidden="false" customHeight="false" outlineLevel="0" collapsed="false">
      <c r="A3268" s="6" t="s">
        <v>560</v>
      </c>
    </row>
    <row r="3269" customFormat="false" ht="17.15" hidden="false" customHeight="false" outlineLevel="0" collapsed="false">
      <c r="A3269" s="0" t="s">
        <v>438</v>
      </c>
      <c r="B3269" s="0" t="s">
        <v>234</v>
      </c>
      <c r="C3269" s="30" t="n">
        <f aca="false">a25_leap</f>
        <v>49.6</v>
      </c>
      <c r="D3269" s="30" t="n">
        <f aca="false">a26_leap</f>
        <v>127.6</v>
      </c>
      <c r="E3269" s="30" t="n">
        <f aca="false">E3266*E3267</f>
        <v>254.82516922219</v>
      </c>
      <c r="F3269" s="30" t="n">
        <f aca="false">F3266*F3267</f>
        <v>258.932340403407</v>
      </c>
      <c r="G3269" s="30" t="n">
        <f aca="false">G3266*G3267</f>
        <v>341.811830673745</v>
      </c>
    </row>
    <row r="3270" customFormat="false" ht="15" hidden="false" customHeight="false" outlineLevel="0" collapsed="false">
      <c r="A3270" s="4" t="s">
        <v>561</v>
      </c>
      <c r="B3270" s="0" t="s">
        <v>234</v>
      </c>
      <c r="C3270" s="30" t="n">
        <f aca="false">a25_ms</f>
        <v>339.628</v>
      </c>
      <c r="D3270" s="30" t="n">
        <f aca="false">a26_ms</f>
        <v>432.1302</v>
      </c>
      <c r="E3270" s="30" t="n">
        <f aca="false">D3270*(1+g_ms27)</f>
        <v>496.94973</v>
      </c>
      <c r="F3270" s="30" t="n">
        <f aca="false">E3270*(1+g_msL)</f>
        <v>531.7362111</v>
      </c>
      <c r="G3270" s="30" t="n">
        <f aca="false">F3270*(1+g_msL)</f>
        <v>568.957745877</v>
      </c>
    </row>
    <row r="3271" customFormat="false" ht="17.15" hidden="false" customHeight="false" outlineLevel="0" collapsed="false">
      <c r="A3271" s="4" t="s">
        <v>562</v>
      </c>
      <c r="B3271" s="0" t="s">
        <v>234</v>
      </c>
      <c r="C3271" s="30" t="n">
        <f aca="false">C3269+C3270</f>
        <v>389.228</v>
      </c>
      <c r="D3271" s="30" t="n">
        <f aca="false">D3269+D3270</f>
        <v>559.7302</v>
      </c>
      <c r="E3271" s="30" t="n">
        <f aca="false">E3269+E3270</f>
        <v>751.77489922219</v>
      </c>
      <c r="F3271" s="30" t="n">
        <f aca="false">F3269+F3270</f>
        <v>790.668551503407</v>
      </c>
      <c r="G3271" s="30" t="n">
        <f aca="false">G3269+G3270</f>
        <v>910.769576550745</v>
      </c>
    </row>
    <row r="3272" customFormat="false" ht="17.15" hidden="false" customHeight="false" outlineLevel="0" collapsed="false">
      <c r="A3272" s="0" t="s">
        <v>563</v>
      </c>
      <c r="B3272" s="0" t="s">
        <v>234</v>
      </c>
      <c r="C3272" s="30" t="n">
        <f aca="false">a25_ems</f>
        <v>259.079</v>
      </c>
      <c r="D3272" s="30" t="n">
        <f aca="false">a26_ems</f>
        <v>314.602</v>
      </c>
      <c r="E3272" s="30" t="n">
        <f aca="false">D3272*(1+g_ems27)</f>
        <v>346.0622</v>
      </c>
      <c r="F3272" s="30" t="n">
        <f aca="false">E3272*(1+g_emsL)</f>
        <v>363.36531</v>
      </c>
      <c r="G3272" s="30" t="n">
        <f aca="false">F3272*(1+g_emsL)</f>
        <v>381.5335755</v>
      </c>
    </row>
    <row r="3273" customFormat="false" ht="17.15" hidden="false" customHeight="false" outlineLevel="0" collapsed="false">
      <c r="A3273" s="4" t="s">
        <v>564</v>
      </c>
      <c r="B3273" s="0" t="s">
        <v>234</v>
      </c>
      <c r="C3273" s="30" t="n">
        <f aca="false">a25_elim</f>
        <v>-2.91899999999998</v>
      </c>
      <c r="D3273" s="30" t="n">
        <f aca="false">a26_elim</f>
        <v>-3.16484905982349</v>
      </c>
      <c r="E3273" s="30" t="n">
        <f aca="false">$D3273/($D3271+$D3272)*(E3271+E3272)</f>
        <v>-3.97387710450638</v>
      </c>
      <c r="F3273" s="30" t="n">
        <f aca="false">$D3273/($D3271+$D3272)*(F3271+F3272)</f>
        <v>-4.17729437573445</v>
      </c>
      <c r="G3273" s="30" t="n">
        <f aca="false">$D3273/($D3271+$D3272)*(G3271+G3272)</f>
        <v>-4.67779228052533</v>
      </c>
      <c r="K3273" s="4" t="s">
        <v>565</v>
      </c>
    </row>
    <row r="3274" customFormat="false" ht="17.15" hidden="false" customHeight="false" outlineLevel="0" collapsed="false">
      <c r="A3274" s="4" t="s">
        <v>431</v>
      </c>
      <c r="B3274" s="0" t="s">
        <v>234</v>
      </c>
      <c r="C3274" s="30" t="n">
        <f aca="false">C3271+C3272+C3273</f>
        <v>645.388</v>
      </c>
      <c r="D3274" s="30" t="n">
        <f aca="false">D3271+D3272+D3273</f>
        <v>871.167350940177</v>
      </c>
      <c r="E3274" s="30" t="n">
        <f aca="false">E3271+E3272+E3273</f>
        <v>1093.86322211768</v>
      </c>
      <c r="F3274" s="30" t="n">
        <f aca="false">F3271+F3272+F3273</f>
        <v>1149.85656712767</v>
      </c>
      <c r="G3274" s="30" t="n">
        <f aca="false">G3271+G3272+G3273</f>
        <v>1287.62535977022</v>
      </c>
      <c r="H3274" s="31" t="n">
        <f aca="false">G3274*(1+H3275)</f>
        <v>1407.64396999115</v>
      </c>
      <c r="I3274" s="31" t="n">
        <f aca="false">H3274*(1+I3275)</f>
        <v>1501.39957757674</v>
      </c>
      <c r="J3274" s="31" t="n">
        <f aca="false">I3274*(1+J3275)</f>
        <v>1561.45556067981</v>
      </c>
      <c r="K3274" s="8" t="s">
        <v>566</v>
      </c>
    </row>
    <row r="3275" customFormat="false" ht="15" hidden="false" customHeight="false" outlineLevel="0" collapsed="false">
      <c r="A3275" s="4" t="s">
        <v>567</v>
      </c>
      <c r="B3275" s="0" t="s">
        <v>76</v>
      </c>
      <c r="D3275" s="21" t="n">
        <f aca="false">D3274/C3274-1</f>
        <v>0.349835061916516</v>
      </c>
      <c r="E3275" s="21" t="n">
        <f aca="false">E3274/D3274-1</f>
        <v>0.255629266796065</v>
      </c>
      <c r="F3275" s="21" t="n">
        <f aca="false">F3274/E3274-1</f>
        <v>0.0511886165270159</v>
      </c>
      <c r="G3275" s="21" t="n">
        <f aca="false">G3274/F3274-1</f>
        <v>0.11981389382042</v>
      </c>
      <c r="H3275" s="26" t="n">
        <f aca="false">$G3275+(fade_gB-$G3275)*1/3</f>
        <v>0.0932092625469469</v>
      </c>
      <c r="I3275" s="26" t="n">
        <f aca="false">$G3275+(fade_gB-$G3275)*2/3</f>
        <v>0.0666046312734734</v>
      </c>
      <c r="J3275" s="26" t="n">
        <f aca="false">$G3275+(fade_gB-$G3275)*3/3</f>
        <v>0.04</v>
      </c>
    </row>
    <row r="3276" customFormat="false" ht="17.15" hidden="false" customHeight="false" outlineLevel="0" collapsed="false">
      <c r="A3276" s="0" t="s">
        <v>475</v>
      </c>
      <c r="B3276" s="0" t="s">
        <v>76</v>
      </c>
      <c r="C3276" s="21" t="n">
        <f aca="false">C3269/C3271</f>
        <v>0.127431736668482</v>
      </c>
      <c r="D3276" s="21" t="n">
        <f aca="false">D3269/D3271</f>
        <v>0.227966974088588</v>
      </c>
      <c r="E3276" s="21" t="n">
        <f aca="false">E3269/E3271</f>
        <v>0.338964721335922</v>
      </c>
      <c r="F3276" s="21" t="n">
        <f aca="false">F3269/F3271</f>
        <v>0.327485315953269</v>
      </c>
      <c r="G3276" s="21" t="n">
        <f aca="false">G3269/G3271</f>
        <v>0.375300009436251</v>
      </c>
    </row>
    <row r="3277" customFormat="false" ht="15" hidden="false" customHeight="false" outlineLevel="0" collapsed="false">
      <c r="A3277" s="4" t="s">
        <v>568</v>
      </c>
      <c r="B3277" s="0" t="s">
        <v>76</v>
      </c>
      <c r="D3277" s="21" t="n">
        <f aca="false">D3271/C3271-1</f>
        <v>0.438052247012034</v>
      </c>
      <c r="E3277" s="21" t="n">
        <f aca="false">E3271/D3271-1</f>
        <v>0.343102264666424</v>
      </c>
      <c r="F3277" s="21" t="n">
        <f aca="false">F3271/E3271-1</f>
        <v>0.0517357686741828</v>
      </c>
      <c r="G3277" s="21" t="n">
        <f aca="false">G3271/F3271-1</f>
        <v>0.151898067551788</v>
      </c>
    </row>
    <row r="3278" customFormat="false" ht="17.15" hidden="false" customHeight="false" outlineLevel="0" collapsed="false">
      <c r="A3278" s="6" t="s">
        <v>569</v>
      </c>
    </row>
    <row r="3279" customFormat="false" ht="17.15" hidden="false" customHeight="false" outlineLevel="0" collapsed="false">
      <c r="A3279" s="4" t="s">
        <v>570</v>
      </c>
      <c r="B3279" s="0" t="s">
        <v>120</v>
      </c>
      <c r="C3279" s="19" t="n">
        <f aca="false">capex25</f>
        <v>5.5</v>
      </c>
      <c r="D3279" s="19" t="n">
        <f aca="false">capex26</f>
        <v>11.5</v>
      </c>
      <c r="E3279" s="19" t="n">
        <f aca="false">capex27_hi</f>
        <v>15</v>
      </c>
      <c r="F3279" s="19" t="n">
        <f aca="false">capi*F3274/F3267</f>
        <v>10.7799053168219</v>
      </c>
      <c r="G3279" s="19" t="n">
        <f aca="false">capi*G3274/G3267</f>
        <v>12.0714877478458</v>
      </c>
      <c r="K3279" s="8" t="s">
        <v>571</v>
      </c>
    </row>
    <row r="3280" customFormat="false" ht="15" hidden="false" customHeight="false" outlineLevel="0" collapsed="false">
      <c r="A3280" s="4" t="s">
        <v>572</v>
      </c>
      <c r="B3280" s="0" t="s">
        <v>234</v>
      </c>
      <c r="C3280" s="30" t="n">
        <f aca="false">C3279*C3267</f>
        <v>170.5</v>
      </c>
      <c r="D3280" s="30" t="n">
        <f aca="false">D3279*31.9</f>
        <v>366.85</v>
      </c>
      <c r="E3280" s="30" t="n">
        <f aca="false">E3279*E3267</f>
        <v>480</v>
      </c>
      <c r="F3280" s="30" t="n">
        <f aca="false">F3279*F3267</f>
        <v>344.956970138302</v>
      </c>
      <c r="G3280" s="30" t="n">
        <f aca="false">G3279*G3267</f>
        <v>386.287607931066</v>
      </c>
    </row>
    <row r="3281" customFormat="false" ht="17.15" hidden="false" customHeight="false" outlineLevel="0" collapsed="false">
      <c r="A3281" s="4" t="s">
        <v>473</v>
      </c>
      <c r="B3281" s="0" t="s">
        <v>76</v>
      </c>
      <c r="C3281" s="21" t="n">
        <f aca="false">C3280/C3274</f>
        <v>0.264182166386732</v>
      </c>
      <c r="D3281" s="21" t="n">
        <f aca="false">D3280/D3274</f>
        <v>0.421101639775745</v>
      </c>
      <c r="E3281" s="21" t="n">
        <f aca="false">E3280/E3274</f>
        <v>0.438811718224455</v>
      </c>
      <c r="F3281" s="21" t="n">
        <f aca="false">F3280/F3274</f>
        <v>0.3</v>
      </c>
      <c r="G3281" s="21" t="n">
        <f aca="false">G3280/G3274</f>
        <v>0.3</v>
      </c>
    </row>
    <row r="3282" customFormat="false" ht="17.15" hidden="false" customHeight="false" outlineLevel="0" collapsed="false">
      <c r="A3282" s="4" t="s">
        <v>573</v>
      </c>
      <c r="B3282" s="0" t="s">
        <v>234</v>
      </c>
      <c r="C3282" s="30" t="n">
        <f aca="false">a25_da</f>
        <v>75.255</v>
      </c>
      <c r="D3282" s="30" t="n">
        <f aca="false">a26_da</f>
        <v>97.124</v>
      </c>
      <c r="E3282" s="30" t="n">
        <f aca="false">D3282*(1-1/life)+D3280/life</f>
        <v>130.83975</v>
      </c>
      <c r="F3282" s="30" t="n">
        <f aca="false">E3282*(1-1/life)+E3280/life</f>
        <v>174.48478125</v>
      </c>
      <c r="G3282" s="30" t="n">
        <f aca="false">F3282*(1-1/life)+F3280/life</f>
        <v>195.793804861038</v>
      </c>
      <c r="K3282" s="4" t="s">
        <v>574</v>
      </c>
    </row>
    <row r="3283" customFormat="false" ht="17.15" hidden="false" customHeight="false" outlineLevel="0" collapsed="false">
      <c r="A3283" s="4" t="s">
        <v>575</v>
      </c>
      <c r="B3283" s="0" t="s">
        <v>234</v>
      </c>
      <c r="C3283" s="30" t="n">
        <f aca="false">a25_agp</f>
        <v>91.38</v>
      </c>
      <c r="D3283" s="30" t="n">
        <f aca="false">a26_agp</f>
        <v>164.623388</v>
      </c>
      <c r="E3283" s="30" t="n">
        <f aca="false">$D3283+ft*(E3271-$D3271)-(E3282-$D3282)</f>
        <v>226.929987611095</v>
      </c>
      <c r="F3283" s="30" t="n">
        <f aca="false">$D3283+ft*(F3271-$D3271)-(F3282-$D3282)</f>
        <v>202.731782501703</v>
      </c>
      <c r="G3283" s="30" t="n">
        <f aca="false">$D3283+ft*(G3271-$D3271)-(G3282-$D3282)</f>
        <v>241.473271414335</v>
      </c>
      <c r="K3283" s="4" t="s">
        <v>576</v>
      </c>
    </row>
    <row r="3284" customFormat="false" ht="15" hidden="false" customHeight="false" outlineLevel="0" collapsed="false">
      <c r="A3284" s="4" t="s">
        <v>447</v>
      </c>
      <c r="B3284" s="0" t="s">
        <v>76</v>
      </c>
      <c r="C3284" s="14" t="n">
        <f aca="false">C3283/C3271</f>
        <v>0.234772421305764</v>
      </c>
      <c r="D3284" s="14" t="n">
        <f aca="false">D3283/D3271</f>
        <v>0.294112034690999</v>
      </c>
      <c r="E3284" s="14" t="n">
        <f aca="false">E3283/E3271</f>
        <v>0.301858957842147</v>
      </c>
      <c r="F3284" s="14" t="n">
        <f aca="false">F3283/F3271</f>
        <v>0.256405521778021</v>
      </c>
      <c r="G3284" s="14" t="n">
        <f aca="false">G3283/G3271</f>
        <v>0.265131025048991</v>
      </c>
    </row>
    <row r="3285" customFormat="false" ht="17.15" hidden="false" customHeight="false" outlineLevel="0" collapsed="false">
      <c r="A3285" s="0" t="s">
        <v>449</v>
      </c>
      <c r="B3285" s="0" t="s">
        <v>234</v>
      </c>
      <c r="C3285" s="30" t="n">
        <f aca="false">a25_egp</f>
        <v>23.695</v>
      </c>
      <c r="D3285" s="30" t="n">
        <f aca="false">a26_egp</f>
        <v>27.00552</v>
      </c>
      <c r="E3285" s="30" t="n">
        <f aca="false">E3272*ems_gm</f>
        <v>29.415287</v>
      </c>
      <c r="F3285" s="30" t="n">
        <f aca="false">F3272*ems_gm</f>
        <v>30.88605135</v>
      </c>
      <c r="G3285" s="30" t="n">
        <f aca="false">G3272*ems_gm</f>
        <v>32.4303539175</v>
      </c>
    </row>
    <row r="3286" customFormat="false" ht="15" hidden="false" customHeight="false" outlineLevel="0" collapsed="false">
      <c r="A3286" s="4" t="s">
        <v>577</v>
      </c>
      <c r="B3286" s="0" t="s">
        <v>234</v>
      </c>
      <c r="C3286" s="30" t="n">
        <f aca="false">a25_lgp</f>
        <v>-0.881999999999998</v>
      </c>
      <c r="D3286" s="30" t="n">
        <f aca="false">a26_lgp</f>
        <v>-0.948662139013863</v>
      </c>
      <c r="E3286" s="30" t="n">
        <f aca="false">$D3286/$D3273*E3273</f>
        <v>-1.19116794604716</v>
      </c>
      <c r="F3286" s="30" t="n">
        <f aca="false">$D3286/$D3273*F3273</f>
        <v>-1.25214218525664</v>
      </c>
      <c r="G3286" s="30" t="n">
        <f aca="false">$D3286/$D3273*G3273</f>
        <v>-1.40216621608905</v>
      </c>
    </row>
    <row r="3287" customFormat="false" ht="15" hidden="false" customHeight="false" outlineLevel="0" collapsed="false">
      <c r="A3287" s="4" t="s">
        <v>451</v>
      </c>
      <c r="B3287" s="0" t="s">
        <v>234</v>
      </c>
      <c r="C3287" s="30" t="n">
        <f aca="false">C3283+C3285+C3286</f>
        <v>114.193</v>
      </c>
      <c r="D3287" s="30" t="n">
        <f aca="false">D3283+D3285+D3286</f>
        <v>190.680245860986</v>
      </c>
      <c r="E3287" s="30" t="n">
        <f aca="false">E3283+E3285+E3286</f>
        <v>255.154106665048</v>
      </c>
      <c r="F3287" s="30" t="n">
        <f aca="false">F3283+F3285+F3286</f>
        <v>232.365691666447</v>
      </c>
      <c r="G3287" s="30" t="n">
        <f aca="false">G3283+G3285+G3286</f>
        <v>272.501459115746</v>
      </c>
    </row>
    <row r="3288" customFormat="false" ht="15" hidden="false" customHeight="false" outlineLevel="0" collapsed="false">
      <c r="A3288" s="4" t="s">
        <v>452</v>
      </c>
      <c r="B3288" s="0" t="s">
        <v>76</v>
      </c>
      <c r="C3288" s="14" t="n">
        <f aca="false">C3287/C3274</f>
        <v>0.176936974347214</v>
      </c>
      <c r="D3288" s="14" t="n">
        <f aca="false">D3287/D3274</f>
        <v>0.218879008327391</v>
      </c>
      <c r="E3288" s="14" t="n">
        <f aca="false">E3287/E3274</f>
        <v>0.233259608245241</v>
      </c>
      <c r="F3288" s="14" t="n">
        <f aca="false">F3287/F3274</f>
        <v>0.202082327752316</v>
      </c>
      <c r="G3288" s="14" t="n">
        <f aca="false">G3287/G3274</f>
        <v>0.211631012893668</v>
      </c>
    </row>
    <row r="3289" customFormat="false" ht="15" hidden="false" customHeight="false" outlineLevel="0" collapsed="false">
      <c r="A3289" s="4" t="s">
        <v>578</v>
      </c>
      <c r="B3289" s="0" t="s">
        <v>234</v>
      </c>
      <c r="C3289" s="30" t="n">
        <f aca="false">a25_opx</f>
        <v>63.437</v>
      </c>
      <c r="D3289" s="30" t="n">
        <f aca="false">a26_opx</f>
        <v>79.658</v>
      </c>
      <c r="E3289" s="30" t="n">
        <f aca="false">D3289*(1+phi*E3275)</f>
        <v>91.8757496806646</v>
      </c>
      <c r="F3289" s="30" t="n">
        <f aca="false">E3289*(1+phi*F3275)</f>
        <v>94.6975451917859</v>
      </c>
      <c r="G3289" s="30" t="n">
        <f aca="false">F3289*(1+phi*G3275)</f>
        <v>101.505194166584</v>
      </c>
    </row>
    <row r="3290" customFormat="false" ht="15" hidden="false" customHeight="false" outlineLevel="0" collapsed="false">
      <c r="A3290" s="4" t="s">
        <v>455</v>
      </c>
      <c r="B3290" s="0" t="s">
        <v>234</v>
      </c>
      <c r="C3290" s="30" t="n">
        <f aca="false">C3287-C3289</f>
        <v>50.756</v>
      </c>
      <c r="D3290" s="30" t="n">
        <f aca="false">D3287-D3289</f>
        <v>111.022245860986</v>
      </c>
      <c r="E3290" s="30" t="n">
        <f aca="false">E3287-E3289</f>
        <v>163.278356984383</v>
      </c>
      <c r="F3290" s="30" t="n">
        <f aca="false">F3287-F3289</f>
        <v>137.668146474661</v>
      </c>
      <c r="G3290" s="30" t="n">
        <f aca="false">G3287-G3289</f>
        <v>170.996264949162</v>
      </c>
    </row>
    <row r="3291" customFormat="false" ht="15" hidden="false" customHeight="false" outlineLevel="0" collapsed="false">
      <c r="A3291" s="4" t="s">
        <v>537</v>
      </c>
      <c r="B3291" s="0" t="s">
        <v>76</v>
      </c>
      <c r="C3291" s="14" t="n">
        <f aca="false">C3290/C3274</f>
        <v>0.0786441644406156</v>
      </c>
      <c r="D3291" s="14" t="n">
        <f aca="false">D3290/D3274</f>
        <v>0.127440779020437</v>
      </c>
      <c r="E3291" s="14" t="n">
        <f aca="false">E3290/E3274</f>
        <v>0.149267617452465</v>
      </c>
      <c r="F3291" s="14" t="n">
        <f aca="false">F3290/F3274</f>
        <v>0.119726364496534</v>
      </c>
      <c r="G3291" s="14" t="n">
        <f aca="false">G3290/G3274</f>
        <v>0.132799702686562</v>
      </c>
    </row>
    <row r="3292" customFormat="false" ht="15" hidden="false" customHeight="false" outlineLevel="0" collapsed="false">
      <c r="A3292" s="4" t="s">
        <v>456</v>
      </c>
      <c r="B3292" s="0" t="s">
        <v>234</v>
      </c>
      <c r="C3292" s="30" t="n">
        <f aca="false">a25_nonop</f>
        <v>0.545</v>
      </c>
      <c r="D3292" s="30" t="n">
        <f aca="false">a26_nonop</f>
        <v>4.302</v>
      </c>
      <c r="E3292" s="30" t="n">
        <f aca="false">nonop_f</f>
        <v>-5</v>
      </c>
      <c r="F3292" s="30" t="n">
        <f aca="false">nonop_f</f>
        <v>-5</v>
      </c>
      <c r="G3292" s="30" t="n">
        <f aca="false">nonop_f</f>
        <v>-5</v>
      </c>
    </row>
    <row r="3293" customFormat="false" ht="15" hidden="false" customHeight="false" outlineLevel="0" collapsed="false">
      <c r="A3293" s="4" t="s">
        <v>459</v>
      </c>
      <c r="B3293" s="0" t="s">
        <v>234</v>
      </c>
      <c r="C3293" s="30" t="n">
        <f aca="false">C3290+C3292</f>
        <v>51.301</v>
      </c>
      <c r="D3293" s="30" t="n">
        <f aca="false">D3290+D3292</f>
        <v>115.324245860986</v>
      </c>
      <c r="E3293" s="30" t="n">
        <f aca="false">E3290+E3292</f>
        <v>158.278356984383</v>
      </c>
      <c r="F3293" s="30" t="n">
        <f aca="false">F3290+F3292</f>
        <v>132.668146474661</v>
      </c>
      <c r="G3293" s="30" t="n">
        <f aca="false">G3290+G3292</f>
        <v>165.996264949162</v>
      </c>
    </row>
    <row r="3294" customFormat="false" ht="15" hidden="false" customHeight="false" outlineLevel="0" collapsed="false">
      <c r="A3294" s="4" t="s">
        <v>460</v>
      </c>
      <c r="B3294" s="0" t="s">
        <v>234</v>
      </c>
      <c r="C3294" s="30" t="n">
        <f aca="false">a25_tax</f>
        <v>9.461</v>
      </c>
      <c r="D3294" s="30" t="n">
        <f aca="false">a26_tax</f>
        <v>19.2197317963676</v>
      </c>
      <c r="E3294" s="30" t="n">
        <f aca="false">E3293*tax</f>
        <v>26.9073206873452</v>
      </c>
      <c r="F3294" s="30" t="n">
        <f aca="false">F3293*tax</f>
        <v>22.5535849006923</v>
      </c>
      <c r="G3294" s="30" t="n">
        <f aca="false">G3293*tax</f>
        <v>28.2193650413576</v>
      </c>
    </row>
    <row r="3295" customFormat="false" ht="15" hidden="false" customHeight="false" outlineLevel="0" collapsed="false">
      <c r="A3295" s="4" t="s">
        <v>461</v>
      </c>
      <c r="B3295" s="0" t="s">
        <v>234</v>
      </c>
      <c r="C3295" s="30" t="n">
        <f aca="false">a25_nci</f>
        <v>1.182</v>
      </c>
      <c r="D3295" s="30" t="n">
        <f aca="false">a26_nci</f>
        <v>2.543</v>
      </c>
      <c r="E3295" s="30" t="n">
        <f aca="false">nci</f>
        <v>3</v>
      </c>
      <c r="F3295" s="30" t="n">
        <f aca="false">nci</f>
        <v>3</v>
      </c>
      <c r="G3295" s="30" t="n">
        <f aca="false">nci</f>
        <v>3</v>
      </c>
    </row>
    <row r="3296" customFormat="false" ht="15" hidden="false" customHeight="false" outlineLevel="0" collapsed="false">
      <c r="A3296" s="4" t="s">
        <v>462</v>
      </c>
      <c r="B3296" s="0" t="s">
        <v>234</v>
      </c>
      <c r="C3296" s="30" t="n">
        <f aca="false">C3293-C3294-C3295</f>
        <v>40.658</v>
      </c>
      <c r="D3296" s="30" t="n">
        <f aca="false">D3293-D3294-D3295</f>
        <v>93.5615140646185</v>
      </c>
      <c r="E3296" s="30" t="n">
        <f aca="false">E3293-E3294-E3295</f>
        <v>128.371036297038</v>
      </c>
      <c r="F3296" s="30" t="n">
        <f aca="false">F3293-F3294-F3295</f>
        <v>107.114561573968</v>
      </c>
      <c r="G3296" s="30" t="n">
        <f aca="false">G3293-G3294-G3295</f>
        <v>134.776899907805</v>
      </c>
      <c r="H3296" s="31" t="n">
        <f aca="false">H3274*H3300</f>
        <v>144.333507255975</v>
      </c>
      <c r="I3296" s="31" t="n">
        <f aca="false">I3274*I3300</f>
        <v>150.740735782162</v>
      </c>
      <c r="J3296" s="31" t="n">
        <f aca="false">J3274*J3300</f>
        <v>153.436071648244</v>
      </c>
    </row>
    <row r="3297" customFormat="false" ht="15" hidden="false" customHeight="false" outlineLevel="0" collapsed="false">
      <c r="A3297" s="4" t="s">
        <v>579</v>
      </c>
      <c r="B3297" s="4" t="s">
        <v>580</v>
      </c>
      <c r="C3297" s="18" t="n">
        <f aca="false">a25_sh</f>
        <v>4339.16755602988</v>
      </c>
      <c r="D3297" s="18" t="n">
        <f aca="false">a26_sh</f>
        <v>4392.90105184664</v>
      </c>
      <c r="E3297" s="18" t="n">
        <f aca="false">D3297*(1+sh_g)</f>
        <v>4414.86555710588</v>
      </c>
      <c r="F3297" s="18" t="n">
        <f aca="false">E3297*(1+sh_g)</f>
        <v>4436.9398848914</v>
      </c>
      <c r="G3297" s="18" t="n">
        <f aca="false">F3297*(1+sh_g)</f>
        <v>4459.12458431586</v>
      </c>
      <c r="H3297" s="25" t="n">
        <f aca="false">G3297*(1+sh_g)</f>
        <v>4481.42020723744</v>
      </c>
      <c r="I3297" s="25" t="n">
        <f aca="false">H3297*(1+sh_g)</f>
        <v>4503.82730827363</v>
      </c>
      <c r="J3297" s="25" t="n">
        <f aca="false">I3297*(1+sh_g)</f>
        <v>4526.34644481499</v>
      </c>
    </row>
    <row r="3298" customFormat="false" ht="17.15" hidden="false" customHeight="false" outlineLevel="0" collapsed="false">
      <c r="A3298" s="0" t="s">
        <v>465</v>
      </c>
      <c r="B3298" s="0" t="s">
        <v>304</v>
      </c>
      <c r="C3298" s="19" t="n">
        <f aca="false">a25_eps</f>
        <v>9.37</v>
      </c>
      <c r="D3298" s="19" t="n">
        <f aca="false">a26_eps</f>
        <v>21.2828697294455</v>
      </c>
      <c r="E3298" s="19" t="n">
        <f aca="false">E3296/E3297*1000</f>
        <v>29.0769978466096</v>
      </c>
      <c r="F3298" s="19" t="n">
        <f aca="false">F3296/F3297*1000</f>
        <v>24.1415399696339</v>
      </c>
      <c r="G3298" s="19" t="n">
        <f aca="false">G3296/G3297*1000</f>
        <v>30.2249684572297</v>
      </c>
      <c r="H3298" s="28" t="n">
        <f aca="false">H3296/H3297*1000</f>
        <v>32.2070907394219</v>
      </c>
      <c r="I3298" s="28" t="n">
        <f aca="false">I3296/I3297*1000</f>
        <v>33.4694750629643</v>
      </c>
      <c r="J3298" s="28" t="n">
        <f aca="false">J3296/J3297*1000</f>
        <v>33.8984374083887</v>
      </c>
    </row>
    <row r="3299" customFormat="false" ht="17.15" hidden="false" customHeight="false" outlineLevel="0" collapsed="false">
      <c r="A3299" s="0" t="s">
        <v>581</v>
      </c>
      <c r="B3299" s="0" t="s">
        <v>76</v>
      </c>
      <c r="D3299" s="21" t="n">
        <f aca="false">D3298/C3298-1</f>
        <v>1.27138417603474</v>
      </c>
      <c r="E3299" s="21" t="n">
        <f aca="false">E3298/D3298-1</f>
        <v>0.366216032717646</v>
      </c>
      <c r="F3299" s="21" t="n">
        <f aca="false">F3298/E3298-1</f>
        <v>-0.169737532843378</v>
      </c>
      <c r="G3299" s="21" t="n">
        <f aca="false">G3298/F3298-1</f>
        <v>0.251990075829788</v>
      </c>
      <c r="H3299" s="26" t="n">
        <f aca="false">H3298/G3298-1</f>
        <v>0.0655789694204958</v>
      </c>
      <c r="I3299" s="26" t="n">
        <f aca="false">I3298/H3298-1</f>
        <v>0.0391958508067702</v>
      </c>
      <c r="J3299" s="26" t="n">
        <f aca="false">J3298/I3298-1</f>
        <v>0.0128165244485428</v>
      </c>
    </row>
    <row r="3300" customFormat="false" ht="17.15" hidden="false" customHeight="false" outlineLevel="0" collapsed="false">
      <c r="A3300" s="4" t="s">
        <v>582</v>
      </c>
      <c r="B3300" s="0" t="s">
        <v>76</v>
      </c>
      <c r="C3300" s="14" t="n">
        <f aca="false">C3296/C3274</f>
        <v>0.0629977625862272</v>
      </c>
      <c r="D3300" s="14" t="n">
        <f aca="false">D3296/D3274</f>
        <v>0.107397865592237</v>
      </c>
      <c r="E3300" s="14" t="n">
        <f aca="false">E3296/E3274</f>
        <v>0.117355656266161</v>
      </c>
      <c r="F3300" s="14" t="n">
        <f aca="false">F3296/F3274</f>
        <v>0.0931547156716592</v>
      </c>
      <c r="G3300" s="14" t="n">
        <f aca="false">G3296/G3274</f>
        <v>0.104670895835615</v>
      </c>
      <c r="H3300" s="27" t="n">
        <f aca="false">$G3300+(fade_mB-$G3300)*1/3</f>
        <v>0.102535520581161</v>
      </c>
      <c r="I3300" s="27" t="n">
        <f aca="false">$G3300+(fade_mB-$G3300)*2/3</f>
        <v>0.100400145326708</v>
      </c>
      <c r="J3300" s="27" t="n">
        <f aca="false">$G3300+(fade_mB-$G3300)*3/3</f>
        <v>0.0982647700722541</v>
      </c>
    </row>
    <row r="3301" customFormat="false" ht="17.15" hidden="false" customHeight="false" outlineLevel="0" collapsed="false">
      <c r="A3301" s="4" t="s">
        <v>583</v>
      </c>
      <c r="B3301" s="0" t="s">
        <v>234</v>
      </c>
      <c r="C3301" s="30" t="n">
        <f aca="false">C3296+C3282-C3280</f>
        <v>-54.587</v>
      </c>
      <c r="D3301" s="30" t="n">
        <f aca="false">D3296+D3282-D3280</f>
        <v>-176.164485935382</v>
      </c>
      <c r="E3301" s="30" t="n">
        <f aca="false">E3296+E3282-E3280</f>
        <v>-220.789213702962</v>
      </c>
      <c r="F3301" s="30" t="n">
        <f aca="false">F3296+F3282-F3280</f>
        <v>-63.3576273143332</v>
      </c>
      <c r="G3301" s="30" t="n">
        <f aca="false">G3296+G3282-G3280</f>
        <v>-55.7169031622238</v>
      </c>
      <c r="K3301" s="4" t="s">
        <v>584</v>
      </c>
    </row>
    <row r="3302" customFormat="false" ht="17.15" hidden="false" customHeight="false" outlineLevel="0" collapsed="false">
      <c r="A3302" s="4" t="s">
        <v>585</v>
      </c>
      <c r="B3302" s="0" t="s">
        <v>76</v>
      </c>
      <c r="D3302" s="21" t="n">
        <f aca="false">(D3290-$C3290)/SUM($D3280:D3280)</f>
        <v>0.164280348537512</v>
      </c>
      <c r="E3302" s="21" t="n">
        <f aca="false">(E3290-$C3290)/SUM($D3280:E3280)</f>
        <v>0.132871650214776</v>
      </c>
      <c r="F3302" s="21" t="n">
        <f aca="false">(F3290-$C3290)/SUM($D3280:F3280)</f>
        <v>0.0729246838223938</v>
      </c>
      <c r="G3302" s="21" t="n">
        <f aca="false">(G3290-$C3290)/SUM($D3280:G3280)</f>
        <v>0.0761933198555586</v>
      </c>
      <c r="K3302" s="4" t="s">
        <v>586</v>
      </c>
    </row>
    <row r="3305" customFormat="false" ht="17.15" hidden="false" customHeight="false" outlineLevel="0" collapsed="false">
      <c r="A3305" s="1" t="s">
        <v>981</v>
      </c>
    </row>
    <row r="3306" customFormat="false" ht="17.15" hidden="false" customHeight="false" outlineLevel="0" collapsed="false">
      <c r="A3306" s="5" t="s">
        <v>21</v>
      </c>
      <c r="B3306" s="5" t="s">
        <v>22</v>
      </c>
      <c r="C3306" s="15" t="s">
        <v>424</v>
      </c>
      <c r="D3306" s="15" t="s">
        <v>524</v>
      </c>
      <c r="E3306" s="15" t="s">
        <v>525</v>
      </c>
      <c r="F3306" s="15" t="s">
        <v>526</v>
      </c>
      <c r="G3306" s="15" t="s">
        <v>527</v>
      </c>
      <c r="H3306" s="15" t="s">
        <v>528</v>
      </c>
      <c r="I3306" s="15" t="s">
        <v>529</v>
      </c>
      <c r="J3306" s="15" t="s">
        <v>530</v>
      </c>
      <c r="K3306" s="5" t="s">
        <v>382</v>
      </c>
    </row>
    <row r="3307" customFormat="false" ht="17.15" hidden="false" customHeight="false" outlineLevel="0" collapsed="false">
      <c r="A3307" s="6" t="s">
        <v>548</v>
      </c>
    </row>
    <row r="3308" customFormat="false" ht="17.15" hidden="false" customHeight="false" outlineLevel="0" collapsed="false">
      <c r="A3308" s="0" t="s">
        <v>549</v>
      </c>
      <c r="B3308" s="4" t="s">
        <v>32</v>
      </c>
      <c r="D3308" s="19" t="n">
        <f aca="false">units_26</f>
        <v>15.2</v>
      </c>
      <c r="E3308" s="19" t="n">
        <f aca="false">units_27*1</f>
        <v>23.7</v>
      </c>
      <c r="F3308" s="19" t="n">
        <f aca="false">units_28*um28_C*1</f>
        <v>15.9</v>
      </c>
      <c r="G3308" s="19" t="n">
        <f aca="false">units_29*um29_C*1</f>
        <v>18.09</v>
      </c>
    </row>
    <row r="3309" customFormat="false" ht="17.15" hidden="false" customHeight="false" outlineLevel="0" collapsed="false">
      <c r="A3309" s="4" t="s">
        <v>497</v>
      </c>
      <c r="B3309" s="0" t="s">
        <v>45</v>
      </c>
      <c r="D3309" s="22" t="n">
        <f aca="false">ar_26</f>
        <v>1</v>
      </c>
      <c r="E3309" s="22" t="n">
        <f aca="false">ar_27</f>
        <v>1.278156</v>
      </c>
      <c r="F3309" s="22" t="n">
        <f aca="false">ar_28</f>
        <v>1.428615</v>
      </c>
      <c r="G3309" s="22" t="n">
        <f aca="false">ar_29</f>
        <v>1.431796</v>
      </c>
    </row>
    <row r="3310" customFormat="false" ht="17.15" hidden="false" customHeight="false" outlineLevel="0" collapsed="false">
      <c r="A3310" s="4" t="s">
        <v>550</v>
      </c>
      <c r="B3310" s="0" t="s">
        <v>45</v>
      </c>
      <c r="D3310" s="19" t="n">
        <f aca="false">1</f>
        <v>1</v>
      </c>
      <c r="E3310" s="19" t="n">
        <f aca="false">rel27_C</f>
        <v>1</v>
      </c>
      <c r="F3310" s="19" t="n">
        <f aca="false">rel28_C</f>
        <v>0.95</v>
      </c>
      <c r="G3310" s="19" t="n">
        <f aca="false">rel29_C</f>
        <v>0.92</v>
      </c>
    </row>
    <row r="3311" customFormat="false" ht="17.15" hidden="false" customHeight="false" outlineLevel="0" collapsed="false">
      <c r="A3311" s="4" t="s">
        <v>551</v>
      </c>
      <c r="B3311" s="0" t="s">
        <v>502</v>
      </c>
      <c r="D3311" s="23" t="n">
        <f aca="false">D3312*1000/D3308</f>
        <v>236.842105263158</v>
      </c>
      <c r="E3311" s="23" t="n">
        <f aca="false">$D3311*E3309^el</f>
        <v>267.763172119488</v>
      </c>
      <c r="F3311" s="23" t="n">
        <f aca="false">$D3311*F3309^el</f>
        <v>283.084777049615</v>
      </c>
      <c r="G3311" s="23" t="n">
        <f aca="false">$D3311*G3309^el</f>
        <v>283.399764630809</v>
      </c>
      <c r="K3311" s="8" t="s">
        <v>552</v>
      </c>
    </row>
    <row r="3312" customFormat="false" ht="17.15" hidden="false" customHeight="false" outlineLevel="0" collapsed="false">
      <c r="A3312" s="0" t="s">
        <v>553</v>
      </c>
      <c r="B3312" s="0" t="s">
        <v>120</v>
      </c>
      <c r="D3312" s="22" t="n">
        <f aca="false">leap26-D3313-D3314</f>
        <v>3.6</v>
      </c>
      <c r="E3312" s="22" t="n">
        <f aca="false">E3308*E3310*E3311/1000</f>
        <v>6.34598717923185</v>
      </c>
      <c r="F3312" s="22" t="n">
        <f aca="false">F3308*F3310*F3311/1000</f>
        <v>4.27599555733443</v>
      </c>
      <c r="G3312" s="22" t="n">
        <f aca="false">G3308*G3310*G3311/1000</f>
        <v>4.71656560279762</v>
      </c>
      <c r="K3312" s="8" t="s">
        <v>554</v>
      </c>
    </row>
    <row r="3313" customFormat="false" ht="17.15" hidden="false" customHeight="false" outlineLevel="0" collapsed="false">
      <c r="A3313" s="4" t="s">
        <v>555</v>
      </c>
      <c r="B3313" s="0" t="s">
        <v>120</v>
      </c>
      <c r="D3313" s="22" t="n">
        <f aca="false">fp26</f>
        <v>0.3</v>
      </c>
      <c r="E3313" s="22" t="n">
        <f aca="false">fp27_C</f>
        <v>0.7</v>
      </c>
      <c r="F3313" s="22" t="n">
        <f aca="false">E3313*F3308/E3308*(1+fp_g)</f>
        <v>0.610506329113924</v>
      </c>
      <c r="G3313" s="22" t="n">
        <f aca="false">F3313*G3308/F3308*(1+fp_g)</f>
        <v>0.902973417721519</v>
      </c>
    </row>
    <row r="3314" customFormat="false" ht="17.15" hidden="false" customHeight="false" outlineLevel="0" collapsed="false">
      <c r="A3314" s="0" t="s">
        <v>556</v>
      </c>
      <c r="B3314" s="0" t="s">
        <v>120</v>
      </c>
      <c r="D3314" s="22" t="n">
        <f aca="false">cpo27*cpo_C_26/cpo_A_27</f>
        <v>0.1</v>
      </c>
      <c r="E3314" s="22" t="n">
        <f aca="false">cpo27*cpo_C_27/cpo_A_27</f>
        <v>0.2</v>
      </c>
      <c r="F3314" s="22" t="n">
        <f aca="false">cpo27*cpo_C_28/cpo_A_27*F3308/E3308</f>
        <v>0.20126582278481</v>
      </c>
      <c r="G3314" s="22" t="n">
        <f aca="false">cpo27*cpo_C_29/cpo_A_27*G3308/E3308</f>
        <v>0.381645569620253</v>
      </c>
      <c r="K3314" s="8" t="s">
        <v>557</v>
      </c>
    </row>
    <row r="3315" customFormat="false" ht="17.15" hidden="false" customHeight="false" outlineLevel="0" collapsed="false">
      <c r="A3315" s="0" t="s">
        <v>510</v>
      </c>
      <c r="B3315" s="0" t="s">
        <v>120</v>
      </c>
      <c r="C3315" s="22" t="n">
        <f aca="false">leap25</f>
        <v>1.6</v>
      </c>
      <c r="D3315" s="22" t="n">
        <f aca="false">D3312+D3313+D3314</f>
        <v>4</v>
      </c>
      <c r="E3315" s="22" t="n">
        <f aca="false">E3312+E3313+E3314</f>
        <v>7.24598717923186</v>
      </c>
      <c r="F3315" s="22" t="n">
        <f aca="false">F3312+F3313+F3314</f>
        <v>5.08776770923316</v>
      </c>
      <c r="G3315" s="22" t="n">
        <f aca="false">G3312+G3313+G3314</f>
        <v>6.0011845901394</v>
      </c>
    </row>
    <row r="3316" customFormat="false" ht="17.15" hidden="false" customHeight="false" outlineLevel="0" collapsed="false">
      <c r="A3316" s="4" t="s">
        <v>558</v>
      </c>
      <c r="B3316" s="0" t="s">
        <v>114</v>
      </c>
      <c r="C3316" s="19" t="n">
        <f aca="false">fx25</f>
        <v>31</v>
      </c>
      <c r="D3316" s="19" t="n">
        <f aca="false">a26_leap/D3315</f>
        <v>31.9</v>
      </c>
      <c r="E3316" s="19" t="n">
        <f aca="false">fx</f>
        <v>32</v>
      </c>
      <c r="F3316" s="19" t="n">
        <f aca="false">fx</f>
        <v>32</v>
      </c>
      <c r="G3316" s="19" t="n">
        <f aca="false">fx</f>
        <v>32</v>
      </c>
      <c r="K3316" s="8" t="s">
        <v>559</v>
      </c>
    </row>
    <row r="3317" customFormat="false" ht="17.15" hidden="false" customHeight="false" outlineLevel="0" collapsed="false">
      <c r="A3317" s="6" t="s">
        <v>560</v>
      </c>
    </row>
    <row r="3318" customFormat="false" ht="17.15" hidden="false" customHeight="false" outlineLevel="0" collapsed="false">
      <c r="A3318" s="0" t="s">
        <v>438</v>
      </c>
      <c r="B3318" s="0" t="s">
        <v>234</v>
      </c>
      <c r="C3318" s="30" t="n">
        <f aca="false">a25_leap</f>
        <v>49.6</v>
      </c>
      <c r="D3318" s="30" t="n">
        <f aca="false">a26_leap</f>
        <v>127.6</v>
      </c>
      <c r="E3318" s="30" t="n">
        <f aca="false">E3315*E3316</f>
        <v>231.871589735419</v>
      </c>
      <c r="F3318" s="30" t="n">
        <f aca="false">F3315*F3316</f>
        <v>162.808566695461</v>
      </c>
      <c r="G3318" s="30" t="n">
        <f aca="false">G3315*G3316</f>
        <v>192.037906884461</v>
      </c>
    </row>
    <row r="3319" customFormat="false" ht="15" hidden="false" customHeight="false" outlineLevel="0" collapsed="false">
      <c r="A3319" s="4" t="s">
        <v>561</v>
      </c>
      <c r="B3319" s="0" t="s">
        <v>234</v>
      </c>
      <c r="C3319" s="30" t="n">
        <f aca="false">a25_ms</f>
        <v>339.628</v>
      </c>
      <c r="D3319" s="30" t="n">
        <f aca="false">a26_ms</f>
        <v>432.1302</v>
      </c>
      <c r="E3319" s="30" t="n">
        <f aca="false">D3319*(1+g_ms27)</f>
        <v>496.94973</v>
      </c>
      <c r="F3319" s="30" t="n">
        <f aca="false">E3319*(1+g_msL)</f>
        <v>531.7362111</v>
      </c>
      <c r="G3319" s="30" t="n">
        <f aca="false">F3319*(1+g_msL)</f>
        <v>568.957745877</v>
      </c>
    </row>
    <row r="3320" customFormat="false" ht="17.15" hidden="false" customHeight="false" outlineLevel="0" collapsed="false">
      <c r="A3320" s="4" t="s">
        <v>562</v>
      </c>
      <c r="B3320" s="0" t="s">
        <v>234</v>
      </c>
      <c r="C3320" s="30" t="n">
        <f aca="false">C3318+C3319</f>
        <v>389.228</v>
      </c>
      <c r="D3320" s="30" t="n">
        <f aca="false">D3318+D3319</f>
        <v>559.7302</v>
      </c>
      <c r="E3320" s="30" t="n">
        <f aca="false">E3318+E3319</f>
        <v>728.821319735419</v>
      </c>
      <c r="F3320" s="30" t="n">
        <f aca="false">F3318+F3319</f>
        <v>694.544777795461</v>
      </c>
      <c r="G3320" s="30" t="n">
        <f aca="false">G3318+G3319</f>
        <v>760.995652761461</v>
      </c>
    </row>
    <row r="3321" customFormat="false" ht="17.15" hidden="false" customHeight="false" outlineLevel="0" collapsed="false">
      <c r="A3321" s="0" t="s">
        <v>563</v>
      </c>
      <c r="B3321" s="0" t="s">
        <v>234</v>
      </c>
      <c r="C3321" s="30" t="n">
        <f aca="false">a25_ems</f>
        <v>259.079</v>
      </c>
      <c r="D3321" s="30" t="n">
        <f aca="false">a26_ems</f>
        <v>314.602</v>
      </c>
      <c r="E3321" s="30" t="n">
        <f aca="false">D3321*(1+g_ems27)</f>
        <v>346.0622</v>
      </c>
      <c r="F3321" s="30" t="n">
        <f aca="false">E3321*(1+g_emsL)</f>
        <v>363.36531</v>
      </c>
      <c r="G3321" s="30" t="n">
        <f aca="false">F3321*(1+g_emsL)</f>
        <v>381.5335755</v>
      </c>
    </row>
    <row r="3322" customFormat="false" ht="17.15" hidden="false" customHeight="false" outlineLevel="0" collapsed="false">
      <c r="A3322" s="4" t="s">
        <v>564</v>
      </c>
      <c r="B3322" s="0" t="s">
        <v>234</v>
      </c>
      <c r="C3322" s="30" t="n">
        <f aca="false">a25_elim</f>
        <v>-2.91899999999998</v>
      </c>
      <c r="D3322" s="30" t="n">
        <f aca="false">a26_elim</f>
        <v>-3.16484905982349</v>
      </c>
      <c r="E3322" s="30" t="n">
        <f aca="false">$D3322/($D3320+$D3321)*(E3320+E3321)</f>
        <v>-3.89079127687897</v>
      </c>
      <c r="F3322" s="30" t="n">
        <f aca="false">$D3322/($D3320+$D3321)*(F3320+F3321)</f>
        <v>-3.8293519862785</v>
      </c>
      <c r="G3322" s="30" t="n">
        <f aca="false">$D3322/($D3320+$D3321)*(G3320+G3321)</f>
        <v>-4.135650675892</v>
      </c>
      <c r="K3322" s="4" t="s">
        <v>565</v>
      </c>
    </row>
    <row r="3323" customFormat="false" ht="17.15" hidden="false" customHeight="false" outlineLevel="0" collapsed="false">
      <c r="A3323" s="4" t="s">
        <v>431</v>
      </c>
      <c r="B3323" s="0" t="s">
        <v>234</v>
      </c>
      <c r="C3323" s="30" t="n">
        <f aca="false">C3320+C3321+C3322</f>
        <v>645.388</v>
      </c>
      <c r="D3323" s="30" t="n">
        <f aca="false">D3320+D3321+D3322</f>
        <v>871.167350940177</v>
      </c>
      <c r="E3323" s="30" t="n">
        <f aca="false">E3320+E3321+E3322</f>
        <v>1070.99272845854</v>
      </c>
      <c r="F3323" s="30" t="n">
        <f aca="false">F3320+F3321+F3322</f>
        <v>1054.08073580918</v>
      </c>
      <c r="G3323" s="30" t="n">
        <f aca="false">G3320+G3321+G3322</f>
        <v>1138.39357758557</v>
      </c>
      <c r="H3323" s="31" t="n">
        <f aca="false">G3323*(1+H3324)</f>
        <v>1206.68738805437</v>
      </c>
      <c r="I3323" s="31" t="n">
        <f aca="false">H3323*(1+I3324)</f>
        <v>1254.9496874</v>
      </c>
      <c r="J3323" s="31" t="n">
        <f aca="false">I3323*(1+J3324)</f>
        <v>1280.048681148</v>
      </c>
      <c r="K3323" s="8" t="s">
        <v>566</v>
      </c>
    </row>
    <row r="3324" customFormat="false" ht="15" hidden="false" customHeight="false" outlineLevel="0" collapsed="false">
      <c r="A3324" s="4" t="s">
        <v>567</v>
      </c>
      <c r="B3324" s="0" t="s">
        <v>76</v>
      </c>
      <c r="D3324" s="21" t="n">
        <f aca="false">D3323/C3323-1</f>
        <v>0.349835061916516</v>
      </c>
      <c r="E3324" s="21" t="n">
        <f aca="false">E3323/D3323-1</f>
        <v>0.229376568466104</v>
      </c>
      <c r="F3324" s="21" t="n">
        <f aca="false">F3323/E3323-1</f>
        <v>-0.0157909500223209</v>
      </c>
      <c r="G3324" s="21" t="n">
        <f aca="false">G3323/F3323-1</f>
        <v>0.079987081550885</v>
      </c>
      <c r="H3324" s="26" t="n">
        <f aca="false">$G3324+(fade_gC-$G3324)*1/3</f>
        <v>0.05999138770059</v>
      </c>
      <c r="I3324" s="26" t="n">
        <f aca="false">$G3324+(fade_gC-$G3324)*2/3</f>
        <v>0.039995693850295</v>
      </c>
      <c r="J3324" s="26" t="n">
        <f aca="false">$G3324+(fade_gC-$G3324)*3/3</f>
        <v>0.02</v>
      </c>
    </row>
    <row r="3325" customFormat="false" ht="17.15" hidden="false" customHeight="false" outlineLevel="0" collapsed="false">
      <c r="A3325" s="0" t="s">
        <v>475</v>
      </c>
      <c r="B3325" s="0" t="s">
        <v>76</v>
      </c>
      <c r="C3325" s="21" t="n">
        <f aca="false">C3318/C3320</f>
        <v>0.127431736668482</v>
      </c>
      <c r="D3325" s="21" t="n">
        <f aca="false">D3318/D3320</f>
        <v>0.227966974088588</v>
      </c>
      <c r="E3325" s="21" t="n">
        <f aca="false">E3318/E3320</f>
        <v>0.31814600294568</v>
      </c>
      <c r="F3325" s="21" t="n">
        <f aca="false">F3318/F3320</f>
        <v>0.234410468411019</v>
      </c>
      <c r="G3325" s="21" t="n">
        <f aca="false">G3318/G3320</f>
        <v>0.252350859282315</v>
      </c>
    </row>
    <row r="3326" customFormat="false" ht="15" hidden="false" customHeight="false" outlineLevel="0" collapsed="false">
      <c r="A3326" s="4" t="s">
        <v>568</v>
      </c>
      <c r="B3326" s="0" t="s">
        <v>76</v>
      </c>
      <c r="D3326" s="21" t="n">
        <f aca="false">D3320/C3320-1</f>
        <v>0.438052247012034</v>
      </c>
      <c r="E3326" s="21" t="n">
        <f aca="false">E3320/D3320-1</f>
        <v>0.302093972659362</v>
      </c>
      <c r="F3326" s="21" t="n">
        <f aca="false">F3320/E3320-1</f>
        <v>-0.047030103280186</v>
      </c>
      <c r="G3326" s="21" t="n">
        <f aca="false">G3320/F3320-1</f>
        <v>0.0956754367614998</v>
      </c>
    </row>
    <row r="3327" customFormat="false" ht="17.15" hidden="false" customHeight="false" outlineLevel="0" collapsed="false">
      <c r="A3327" s="6" t="s">
        <v>569</v>
      </c>
    </row>
    <row r="3328" customFormat="false" ht="17.15" hidden="false" customHeight="false" outlineLevel="0" collapsed="false">
      <c r="A3328" s="4" t="s">
        <v>570</v>
      </c>
      <c r="B3328" s="0" t="s">
        <v>120</v>
      </c>
      <c r="C3328" s="19" t="n">
        <f aca="false">capex25</f>
        <v>5.5</v>
      </c>
      <c r="D3328" s="19" t="n">
        <f aca="false">capex26</f>
        <v>11.5</v>
      </c>
      <c r="E3328" s="19" t="n">
        <f aca="false">capex27_hi</f>
        <v>15</v>
      </c>
      <c r="F3328" s="19" t="n">
        <f aca="false">capi*F3323/F3316</f>
        <v>9.88200689821109</v>
      </c>
      <c r="G3328" s="19" t="n">
        <f aca="false">capi*G3323/G3316</f>
        <v>10.6724397898647</v>
      </c>
      <c r="K3328" s="8" t="s">
        <v>571</v>
      </c>
    </row>
    <row r="3329" customFormat="false" ht="15" hidden="false" customHeight="false" outlineLevel="0" collapsed="false">
      <c r="A3329" s="4" t="s">
        <v>572</v>
      </c>
      <c r="B3329" s="0" t="s">
        <v>234</v>
      </c>
      <c r="C3329" s="30" t="n">
        <f aca="false">C3328*C3316</f>
        <v>170.5</v>
      </c>
      <c r="D3329" s="30" t="n">
        <f aca="false">D3328*31.9</f>
        <v>366.85</v>
      </c>
      <c r="E3329" s="30" t="n">
        <f aca="false">E3328*E3316</f>
        <v>480</v>
      </c>
      <c r="F3329" s="30" t="n">
        <f aca="false">F3328*F3316</f>
        <v>316.224220742755</v>
      </c>
      <c r="G3329" s="30" t="n">
        <f aca="false">G3328*G3316</f>
        <v>341.518073275671</v>
      </c>
    </row>
    <row r="3330" customFormat="false" ht="17.15" hidden="false" customHeight="false" outlineLevel="0" collapsed="false">
      <c r="A3330" s="4" t="s">
        <v>473</v>
      </c>
      <c r="B3330" s="0" t="s">
        <v>76</v>
      </c>
      <c r="C3330" s="21" t="n">
        <f aca="false">C3329/C3323</f>
        <v>0.264182166386732</v>
      </c>
      <c r="D3330" s="21" t="n">
        <f aca="false">D3329/D3323</f>
        <v>0.421101639775745</v>
      </c>
      <c r="E3330" s="21" t="n">
        <f aca="false">E3329/E3323</f>
        <v>0.448182314637052</v>
      </c>
      <c r="F3330" s="21" t="n">
        <f aca="false">F3329/F3323</f>
        <v>0.3</v>
      </c>
      <c r="G3330" s="21" t="n">
        <f aca="false">G3329/G3323</f>
        <v>0.3</v>
      </c>
    </row>
    <row r="3331" customFormat="false" ht="17.15" hidden="false" customHeight="false" outlineLevel="0" collapsed="false">
      <c r="A3331" s="4" t="s">
        <v>573</v>
      </c>
      <c r="B3331" s="0" t="s">
        <v>234</v>
      </c>
      <c r="C3331" s="30" t="n">
        <f aca="false">a25_da</f>
        <v>75.255</v>
      </c>
      <c r="D3331" s="30" t="n">
        <f aca="false">a26_da</f>
        <v>97.124</v>
      </c>
      <c r="E3331" s="30" t="n">
        <f aca="false">D3331*(1-1/life)+D3329/life</f>
        <v>130.83975</v>
      </c>
      <c r="F3331" s="30" t="n">
        <f aca="false">E3331*(1-1/life)+E3329/life</f>
        <v>174.48478125</v>
      </c>
      <c r="G3331" s="30" t="n">
        <f aca="false">F3331*(1-1/life)+F3329/life</f>
        <v>192.202211186594</v>
      </c>
      <c r="K3331" s="4" t="s">
        <v>574</v>
      </c>
    </row>
    <row r="3332" customFormat="false" ht="17.15" hidden="false" customHeight="false" outlineLevel="0" collapsed="false">
      <c r="A3332" s="4" t="s">
        <v>575</v>
      </c>
      <c r="B3332" s="0" t="s">
        <v>234</v>
      </c>
      <c r="C3332" s="30" t="n">
        <f aca="false">a25_agp</f>
        <v>91.38</v>
      </c>
      <c r="D3332" s="30" t="n">
        <f aca="false">a26_agp</f>
        <v>164.623388</v>
      </c>
      <c r="E3332" s="30" t="n">
        <f aca="false">$D3332+ft*(E3320-$D3320)-(E3331-$D3331)</f>
        <v>215.45319786771</v>
      </c>
      <c r="F3332" s="30" t="n">
        <f aca="false">$D3332+ft*(F3320-$D3320)-(F3331-$D3331)</f>
        <v>154.669895647731</v>
      </c>
      <c r="G3332" s="30" t="n">
        <f aca="false">$D3332+ft*(G3320-$D3320)-(G3331-$D3331)</f>
        <v>170.177903194136</v>
      </c>
      <c r="K3332" s="4" t="s">
        <v>576</v>
      </c>
    </row>
    <row r="3333" customFormat="false" ht="15" hidden="false" customHeight="false" outlineLevel="0" collapsed="false">
      <c r="A3333" s="4" t="s">
        <v>447</v>
      </c>
      <c r="B3333" s="0" t="s">
        <v>76</v>
      </c>
      <c r="C3333" s="14" t="n">
        <f aca="false">C3332/C3320</f>
        <v>0.234772421305764</v>
      </c>
      <c r="D3333" s="14" t="n">
        <f aca="false">D3332/D3320</f>
        <v>0.294112034690999</v>
      </c>
      <c r="E3333" s="14" t="n">
        <f aca="false">E3332/E3320</f>
        <v>0.295618681882035</v>
      </c>
      <c r="F3333" s="14" t="n">
        <f aca="false">F3332/F3320</f>
        <v>0.222692475118256</v>
      </c>
      <c r="G3333" s="14" t="n">
        <f aca="false">G3332/G3320</f>
        <v>0.223625328970807</v>
      </c>
    </row>
    <row r="3334" customFormat="false" ht="17.15" hidden="false" customHeight="false" outlineLevel="0" collapsed="false">
      <c r="A3334" s="0" t="s">
        <v>449</v>
      </c>
      <c r="B3334" s="0" t="s">
        <v>234</v>
      </c>
      <c r="C3334" s="30" t="n">
        <f aca="false">a25_egp</f>
        <v>23.695</v>
      </c>
      <c r="D3334" s="30" t="n">
        <f aca="false">a26_egp</f>
        <v>27.00552</v>
      </c>
      <c r="E3334" s="30" t="n">
        <f aca="false">E3321*ems_gm</f>
        <v>29.415287</v>
      </c>
      <c r="F3334" s="30" t="n">
        <f aca="false">F3321*ems_gm</f>
        <v>30.88605135</v>
      </c>
      <c r="G3334" s="30" t="n">
        <f aca="false">G3321*ems_gm</f>
        <v>32.4303539175</v>
      </c>
    </row>
    <row r="3335" customFormat="false" ht="15" hidden="false" customHeight="false" outlineLevel="0" collapsed="false">
      <c r="A3335" s="4" t="s">
        <v>577</v>
      </c>
      <c r="B3335" s="0" t="s">
        <v>234</v>
      </c>
      <c r="C3335" s="30" t="n">
        <f aca="false">a25_lgp</f>
        <v>-0.881999999999998</v>
      </c>
      <c r="D3335" s="30" t="n">
        <f aca="false">a26_lgp</f>
        <v>-0.948662139013863</v>
      </c>
      <c r="E3335" s="30" t="n">
        <f aca="false">$D3335/$D3322*E3322</f>
        <v>-1.16626300509458</v>
      </c>
      <c r="F3335" s="30" t="n">
        <f aca="false">$D3335/$D3322*F3322</f>
        <v>-1.14784660426825</v>
      </c>
      <c r="G3335" s="30" t="n">
        <f aca="false">$D3335/$D3322*G3322</f>
        <v>-1.23965950421176</v>
      </c>
    </row>
    <row r="3336" customFormat="false" ht="15" hidden="false" customHeight="false" outlineLevel="0" collapsed="false">
      <c r="A3336" s="4" t="s">
        <v>451</v>
      </c>
      <c r="B3336" s="0" t="s">
        <v>234</v>
      </c>
      <c r="C3336" s="30" t="n">
        <f aca="false">C3332+C3334+C3335</f>
        <v>114.193</v>
      </c>
      <c r="D3336" s="30" t="n">
        <f aca="false">D3332+D3334+D3335</f>
        <v>190.680245860986</v>
      </c>
      <c r="E3336" s="30" t="n">
        <f aca="false">E3332+E3334+E3335</f>
        <v>243.702221862615</v>
      </c>
      <c r="F3336" s="30" t="n">
        <f aca="false">F3332+F3334+F3335</f>
        <v>184.408100393462</v>
      </c>
      <c r="G3336" s="30" t="n">
        <f aca="false">G3332+G3334+G3335</f>
        <v>201.368597607424</v>
      </c>
    </row>
    <row r="3337" customFormat="false" ht="15" hidden="false" customHeight="false" outlineLevel="0" collapsed="false">
      <c r="A3337" s="4" t="s">
        <v>452</v>
      </c>
      <c r="B3337" s="0" t="s">
        <v>76</v>
      </c>
      <c r="C3337" s="14" t="n">
        <f aca="false">C3336/C3323</f>
        <v>0.176936974347214</v>
      </c>
      <c r="D3337" s="14" t="n">
        <f aca="false">D3336/D3323</f>
        <v>0.218879008327391</v>
      </c>
      <c r="E3337" s="14" t="n">
        <f aca="false">E3336/E3323</f>
        <v>0.227547970576207</v>
      </c>
      <c r="F3337" s="14" t="n">
        <f aca="false">F3336/F3323</f>
        <v>0.174946846222266</v>
      </c>
      <c r="G3337" s="14" t="n">
        <f aca="false">G3336/G3323</f>
        <v>0.176888381639072</v>
      </c>
    </row>
    <row r="3338" customFormat="false" ht="15" hidden="false" customHeight="false" outlineLevel="0" collapsed="false">
      <c r="A3338" s="4" t="s">
        <v>578</v>
      </c>
      <c r="B3338" s="0" t="s">
        <v>234</v>
      </c>
      <c r="C3338" s="30" t="n">
        <f aca="false">a25_opx</f>
        <v>63.437</v>
      </c>
      <c r="D3338" s="30" t="n">
        <f aca="false">a26_opx</f>
        <v>79.658</v>
      </c>
      <c r="E3338" s="30" t="n">
        <f aca="false">D3338*(1+phi*E3324)</f>
        <v>90.6210072145237</v>
      </c>
      <c r="F3338" s="30" t="n">
        <f aca="false">E3338*(1+phi*F3324)</f>
        <v>89.7624121369856</v>
      </c>
      <c r="G3338" s="30" t="n">
        <f aca="false">F3338*(1+phi*G3324)</f>
        <v>94.0703121648687</v>
      </c>
    </row>
    <row r="3339" customFormat="false" ht="15" hidden="false" customHeight="false" outlineLevel="0" collapsed="false">
      <c r="A3339" s="4" t="s">
        <v>455</v>
      </c>
      <c r="B3339" s="0" t="s">
        <v>234</v>
      </c>
      <c r="C3339" s="30" t="n">
        <f aca="false">C3336-C3338</f>
        <v>50.756</v>
      </c>
      <c r="D3339" s="30" t="n">
        <f aca="false">D3336-D3338</f>
        <v>111.022245860986</v>
      </c>
      <c r="E3339" s="30" t="n">
        <f aca="false">E3336-E3338</f>
        <v>153.081214648091</v>
      </c>
      <c r="F3339" s="30" t="n">
        <f aca="false">F3336-F3338</f>
        <v>94.6456882564768</v>
      </c>
      <c r="G3339" s="30" t="n">
        <f aca="false">G3336-G3338</f>
        <v>107.298285442556</v>
      </c>
    </row>
    <row r="3340" customFormat="false" ht="15" hidden="false" customHeight="false" outlineLevel="0" collapsed="false">
      <c r="A3340" s="4" t="s">
        <v>537</v>
      </c>
      <c r="B3340" s="0" t="s">
        <v>76</v>
      </c>
      <c r="C3340" s="14" t="n">
        <f aca="false">C3339/C3323</f>
        <v>0.0786441644406156</v>
      </c>
      <c r="D3340" s="14" t="n">
        <f aca="false">D3339/D3323</f>
        <v>0.127440779020437</v>
      </c>
      <c r="E3340" s="14" t="n">
        <f aca="false">E3339/E3323</f>
        <v>0.142933943975902</v>
      </c>
      <c r="F3340" s="14" t="n">
        <f aca="false">F3339/F3323</f>
        <v>0.0897897903274178</v>
      </c>
      <c r="G3340" s="14" t="n">
        <f aca="false">G3339/G3323</f>
        <v>0.0942541205038469</v>
      </c>
    </row>
    <row r="3341" customFormat="false" ht="15" hidden="false" customHeight="false" outlineLevel="0" collapsed="false">
      <c r="A3341" s="4" t="s">
        <v>456</v>
      </c>
      <c r="B3341" s="0" t="s">
        <v>234</v>
      </c>
      <c r="C3341" s="30" t="n">
        <f aca="false">a25_nonop</f>
        <v>0.545</v>
      </c>
      <c r="D3341" s="30" t="n">
        <f aca="false">a26_nonop</f>
        <v>4.302</v>
      </c>
      <c r="E3341" s="30" t="n">
        <f aca="false">nonop_f</f>
        <v>-5</v>
      </c>
      <c r="F3341" s="30" t="n">
        <f aca="false">nonop_f</f>
        <v>-5</v>
      </c>
      <c r="G3341" s="30" t="n">
        <f aca="false">nonop_f</f>
        <v>-5</v>
      </c>
    </row>
    <row r="3342" customFormat="false" ht="15" hidden="false" customHeight="false" outlineLevel="0" collapsed="false">
      <c r="A3342" s="4" t="s">
        <v>459</v>
      </c>
      <c r="B3342" s="0" t="s">
        <v>234</v>
      </c>
      <c r="C3342" s="30" t="n">
        <f aca="false">C3339+C3341</f>
        <v>51.301</v>
      </c>
      <c r="D3342" s="30" t="n">
        <f aca="false">D3339+D3341</f>
        <v>115.324245860986</v>
      </c>
      <c r="E3342" s="30" t="n">
        <f aca="false">E3339+E3341</f>
        <v>148.081214648091</v>
      </c>
      <c r="F3342" s="30" t="n">
        <f aca="false">F3339+F3341</f>
        <v>89.6456882564768</v>
      </c>
      <c r="G3342" s="30" t="n">
        <f aca="false">G3339+G3341</f>
        <v>102.298285442556</v>
      </c>
    </row>
    <row r="3343" customFormat="false" ht="15" hidden="false" customHeight="false" outlineLevel="0" collapsed="false">
      <c r="A3343" s="4" t="s">
        <v>460</v>
      </c>
      <c r="B3343" s="0" t="s">
        <v>234</v>
      </c>
      <c r="C3343" s="30" t="n">
        <f aca="false">a25_tax</f>
        <v>9.461</v>
      </c>
      <c r="D3343" s="30" t="n">
        <f aca="false">a26_tax</f>
        <v>19.2197317963676</v>
      </c>
      <c r="E3343" s="30" t="n">
        <f aca="false">E3342*tax</f>
        <v>25.1738064901755</v>
      </c>
      <c r="F3343" s="30" t="n">
        <f aca="false">F3342*tax</f>
        <v>15.2397670036011</v>
      </c>
      <c r="G3343" s="30" t="n">
        <f aca="false">G3342*tax</f>
        <v>17.3907085252344</v>
      </c>
    </row>
    <row r="3344" customFormat="false" ht="15" hidden="false" customHeight="false" outlineLevel="0" collapsed="false">
      <c r="A3344" s="4" t="s">
        <v>461</v>
      </c>
      <c r="B3344" s="0" t="s">
        <v>234</v>
      </c>
      <c r="C3344" s="30" t="n">
        <f aca="false">a25_nci</f>
        <v>1.182</v>
      </c>
      <c r="D3344" s="30" t="n">
        <f aca="false">a26_nci</f>
        <v>2.543</v>
      </c>
      <c r="E3344" s="30" t="n">
        <f aca="false">nci</f>
        <v>3</v>
      </c>
      <c r="F3344" s="30" t="n">
        <f aca="false">nci</f>
        <v>3</v>
      </c>
      <c r="G3344" s="30" t="n">
        <f aca="false">nci</f>
        <v>3</v>
      </c>
    </row>
    <row r="3345" customFormat="false" ht="15" hidden="false" customHeight="false" outlineLevel="0" collapsed="false">
      <c r="A3345" s="4" t="s">
        <v>462</v>
      </c>
      <c r="B3345" s="0" t="s">
        <v>234</v>
      </c>
      <c r="C3345" s="30" t="n">
        <f aca="false">C3342-C3343-C3344</f>
        <v>40.658</v>
      </c>
      <c r="D3345" s="30" t="n">
        <f aca="false">D3342-D3343-D3344</f>
        <v>93.5615140646185</v>
      </c>
      <c r="E3345" s="30" t="n">
        <f aca="false">E3342-E3343-E3344</f>
        <v>119.907408157916</v>
      </c>
      <c r="F3345" s="30" t="n">
        <f aca="false">F3342-F3343-F3344</f>
        <v>71.4059212528757</v>
      </c>
      <c r="G3345" s="30" t="n">
        <f aca="false">G3342-G3343-G3344</f>
        <v>81.9075769173211</v>
      </c>
      <c r="H3345" s="31" t="n">
        <f aca="false">H3323*H3349</f>
        <v>82.6755177018092</v>
      </c>
      <c r="I3345" s="31" t="n">
        <f aca="false">I3323*I3349</f>
        <v>81.6705594945033</v>
      </c>
      <c r="J3345" s="31" t="n">
        <f aca="false">J3323*J3349</f>
        <v>78.9061153241268</v>
      </c>
    </row>
    <row r="3346" customFormat="false" ht="15" hidden="false" customHeight="false" outlineLevel="0" collapsed="false">
      <c r="A3346" s="4" t="s">
        <v>579</v>
      </c>
      <c r="B3346" s="4" t="s">
        <v>580</v>
      </c>
      <c r="C3346" s="18" t="n">
        <f aca="false">a25_sh</f>
        <v>4339.16755602988</v>
      </c>
      <c r="D3346" s="18" t="n">
        <f aca="false">a26_sh</f>
        <v>4392.90105184664</v>
      </c>
      <c r="E3346" s="18" t="n">
        <f aca="false">D3346*(1+sh_g)</f>
        <v>4414.86555710588</v>
      </c>
      <c r="F3346" s="18" t="n">
        <f aca="false">E3346*(1+sh_g)</f>
        <v>4436.9398848914</v>
      </c>
      <c r="G3346" s="18" t="n">
        <f aca="false">F3346*(1+sh_g)</f>
        <v>4459.12458431586</v>
      </c>
      <c r="H3346" s="25" t="n">
        <f aca="false">G3346*(1+sh_g)</f>
        <v>4481.42020723744</v>
      </c>
      <c r="I3346" s="25" t="n">
        <f aca="false">H3346*(1+sh_g)</f>
        <v>4503.82730827363</v>
      </c>
      <c r="J3346" s="25" t="n">
        <f aca="false">I3346*(1+sh_g)</f>
        <v>4526.34644481499</v>
      </c>
    </row>
    <row r="3347" customFormat="false" ht="17.15" hidden="false" customHeight="false" outlineLevel="0" collapsed="false">
      <c r="A3347" s="0" t="s">
        <v>465</v>
      </c>
      <c r="B3347" s="0" t="s">
        <v>304</v>
      </c>
      <c r="C3347" s="19" t="n">
        <f aca="false">a25_eps</f>
        <v>9.37</v>
      </c>
      <c r="D3347" s="19" t="n">
        <f aca="false">a26_eps</f>
        <v>21.2828697294455</v>
      </c>
      <c r="E3347" s="19" t="n">
        <f aca="false">E3345/E3346*1000</f>
        <v>27.159922902957</v>
      </c>
      <c r="F3347" s="19" t="n">
        <f aca="false">F3345/F3346*1000</f>
        <v>16.0935065845778</v>
      </c>
      <c r="G3347" s="19" t="n">
        <f aca="false">G3345/G3346*1000</f>
        <v>18.36853296394</v>
      </c>
      <c r="H3347" s="28" t="n">
        <f aca="false">H3345/H3346*1000</f>
        <v>18.4485082582279</v>
      </c>
      <c r="I3347" s="28" t="n">
        <f aca="false">I3345/I3346*1000</f>
        <v>18.1335903675687</v>
      </c>
      <c r="J3347" s="28" t="n">
        <f aca="false">J3345/J3346*1000</f>
        <v>17.4326283430017</v>
      </c>
    </row>
    <row r="3348" customFormat="false" ht="17.15" hidden="false" customHeight="false" outlineLevel="0" collapsed="false">
      <c r="A3348" s="0" t="s">
        <v>581</v>
      </c>
      <c r="B3348" s="0" t="s">
        <v>76</v>
      </c>
      <c r="D3348" s="21" t="n">
        <f aca="false">D3347/C3347-1</f>
        <v>1.27138417603474</v>
      </c>
      <c r="E3348" s="21" t="n">
        <f aca="false">E3347/D3347-1</f>
        <v>0.276140071720703</v>
      </c>
      <c r="F3348" s="21" t="n">
        <f aca="false">F3347/E3347-1</f>
        <v>-0.407453892925975</v>
      </c>
      <c r="G3348" s="21" t="n">
        <f aca="false">G3347/F3347-1</f>
        <v>0.141363000499985</v>
      </c>
      <c r="H3348" s="26" t="n">
        <f aca="false">H3347/G3347-1</f>
        <v>0.00435392932276568</v>
      </c>
      <c r="I3348" s="26" t="n">
        <f aca="false">I3347/H3347-1</f>
        <v>-0.0170701005334007</v>
      </c>
      <c r="J3348" s="26" t="n">
        <f aca="false">J3347/I3347-1</f>
        <v>-0.0386554460731954</v>
      </c>
    </row>
    <row r="3349" customFormat="false" ht="17.15" hidden="false" customHeight="false" outlineLevel="0" collapsed="false">
      <c r="A3349" s="4" t="s">
        <v>582</v>
      </c>
      <c r="B3349" s="0" t="s">
        <v>76</v>
      </c>
      <c r="C3349" s="14" t="n">
        <f aca="false">C3345/C3323</f>
        <v>0.0629977625862272</v>
      </c>
      <c r="D3349" s="14" t="n">
        <f aca="false">D3345/D3323</f>
        <v>0.107397865592237</v>
      </c>
      <c r="E3349" s="14" t="n">
        <f aca="false">E3345/E3323</f>
        <v>0.111959124438218</v>
      </c>
      <c r="F3349" s="14" t="n">
        <f aca="false">F3345/F3323</f>
        <v>0.0677423643437139</v>
      </c>
      <c r="G3349" s="14" t="n">
        <f aca="false">G3345/G3323</f>
        <v>0.0719501396793188</v>
      </c>
      <c r="H3349" s="27" t="n">
        <f aca="false">$G3349+(fade_mC-$G3349)*1/3</f>
        <v>0.068514445845923</v>
      </c>
      <c r="I3349" s="27" t="n">
        <f aca="false">$G3349+(fade_mC-$G3349)*2/3</f>
        <v>0.0650787520125273</v>
      </c>
      <c r="J3349" s="27" t="n">
        <f aca="false">$G3349+(fade_mC-$G3349)*3/3</f>
        <v>0.0616430581791315</v>
      </c>
    </row>
    <row r="3350" customFormat="false" ht="17.15" hidden="false" customHeight="false" outlineLevel="0" collapsed="false">
      <c r="A3350" s="4" t="s">
        <v>583</v>
      </c>
      <c r="B3350" s="0" t="s">
        <v>234</v>
      </c>
      <c r="C3350" s="30" t="n">
        <f aca="false">C3345+C3331-C3329</f>
        <v>-54.587</v>
      </c>
      <c r="D3350" s="30" t="n">
        <f aca="false">D3345+D3331-D3329</f>
        <v>-176.164485935382</v>
      </c>
      <c r="E3350" s="30" t="n">
        <f aca="false">E3345+E3331-E3329</f>
        <v>-229.252841842084</v>
      </c>
      <c r="F3350" s="30" t="n">
        <f aca="false">F3345+F3331-F3329</f>
        <v>-70.3335182398791</v>
      </c>
      <c r="G3350" s="30" t="n">
        <f aca="false">G3345+G3331-G3329</f>
        <v>-67.4082851717552</v>
      </c>
      <c r="K3350" s="4" t="s">
        <v>584</v>
      </c>
    </row>
    <row r="3351" customFormat="false" ht="17.15" hidden="false" customHeight="false" outlineLevel="0" collapsed="false">
      <c r="A3351" s="4" t="s">
        <v>585</v>
      </c>
      <c r="B3351" s="0" t="s">
        <v>76</v>
      </c>
      <c r="D3351" s="21" t="n">
        <f aca="false">(D3339-$C3339)/SUM($D3329:D3329)</f>
        <v>0.164280348537512</v>
      </c>
      <c r="E3351" s="21" t="n">
        <f aca="false">(E3339-$C3339)/SUM($D3329:E3329)</f>
        <v>0.120830388673427</v>
      </c>
      <c r="F3351" s="21" t="n">
        <f aca="false">(F3339-$C3339)/SUM($D3329:F3329)</f>
        <v>0.0377359307546583</v>
      </c>
      <c r="G3351" s="21" t="n">
        <f aca="false">(G3339-$C3339)/SUM($D3329:G3329)</f>
        <v>0.037579805285021</v>
      </c>
      <c r="K3351" s="4" t="s">
        <v>586</v>
      </c>
    </row>
    <row r="3354" customFormat="false" ht="17.15" hidden="false" customHeight="false" outlineLevel="0" collapsed="false">
      <c r="A3354" s="1" t="s">
        <v>982</v>
      </c>
    </row>
    <row r="3355" customFormat="false" ht="17.15" hidden="false" customHeight="false" outlineLevel="0" collapsed="false">
      <c r="A3355" s="5" t="s">
        <v>21</v>
      </c>
      <c r="B3355" s="5" t="s">
        <v>22</v>
      </c>
      <c r="C3355" s="15" t="s">
        <v>424</v>
      </c>
      <c r="D3355" s="15" t="s">
        <v>524</v>
      </c>
      <c r="E3355" s="15" t="s">
        <v>525</v>
      </c>
      <c r="F3355" s="15" t="s">
        <v>526</v>
      </c>
      <c r="G3355" s="15" t="s">
        <v>527</v>
      </c>
      <c r="H3355" s="15" t="s">
        <v>528</v>
      </c>
      <c r="I3355" s="15" t="s">
        <v>529</v>
      </c>
      <c r="J3355" s="15" t="s">
        <v>530</v>
      </c>
      <c r="K3355" s="5" t="s">
        <v>382</v>
      </c>
    </row>
    <row r="3356" customFormat="false" ht="17.15" hidden="false" customHeight="false" outlineLevel="0" collapsed="false">
      <c r="A3356" s="6" t="s">
        <v>548</v>
      </c>
    </row>
    <row r="3357" customFormat="false" ht="17.15" hidden="false" customHeight="false" outlineLevel="0" collapsed="false">
      <c r="A3357" s="0" t="s">
        <v>549</v>
      </c>
      <c r="B3357" s="4" t="s">
        <v>32</v>
      </c>
      <c r="D3357" s="19" t="n">
        <f aca="false">units_26</f>
        <v>15.2</v>
      </c>
      <c r="E3357" s="19" t="n">
        <f aca="false">units_27*1</f>
        <v>23.7</v>
      </c>
      <c r="F3357" s="19" t="n">
        <f aca="false">units_28*um28_A*1</f>
        <v>26.5</v>
      </c>
      <c r="G3357" s="19" t="n">
        <f aca="false">units_29*um29_A*1</f>
        <v>30.15</v>
      </c>
    </row>
    <row r="3358" customFormat="false" ht="17.15" hidden="false" customHeight="false" outlineLevel="0" collapsed="false">
      <c r="A3358" s="4" t="s">
        <v>497</v>
      </c>
      <c r="B3358" s="0" t="s">
        <v>45</v>
      </c>
      <c r="D3358" s="22" t="n">
        <f aca="false">ar_26</f>
        <v>1</v>
      </c>
      <c r="E3358" s="22" t="n">
        <f aca="false">ar_27</f>
        <v>1.278156</v>
      </c>
      <c r="F3358" s="22" t="n">
        <f aca="false">ar_28</f>
        <v>1.428615</v>
      </c>
      <c r="G3358" s="22" t="n">
        <f aca="false">ar_29</f>
        <v>1.431796</v>
      </c>
    </row>
    <row r="3359" customFormat="false" ht="17.15" hidden="false" customHeight="false" outlineLevel="0" collapsed="false">
      <c r="A3359" s="4" t="s">
        <v>550</v>
      </c>
      <c r="B3359" s="0" t="s">
        <v>45</v>
      </c>
      <c r="D3359" s="19" t="n">
        <f aca="false">1</f>
        <v>1</v>
      </c>
      <c r="E3359" s="19" t="n">
        <f aca="false">rel27_A</f>
        <v>1.1</v>
      </c>
      <c r="F3359" s="19" t="n">
        <f aca="false">rel28_A</f>
        <v>1.15</v>
      </c>
      <c r="G3359" s="19" t="n">
        <f aca="false">rel29_A</f>
        <v>1.2</v>
      </c>
    </row>
    <row r="3360" customFormat="false" ht="17.15" hidden="false" customHeight="false" outlineLevel="0" collapsed="false">
      <c r="A3360" s="4" t="s">
        <v>551</v>
      </c>
      <c r="B3360" s="0" t="s">
        <v>502</v>
      </c>
      <c r="D3360" s="23" t="n">
        <f aca="false">D3361*1000/D3357</f>
        <v>236.842105263158</v>
      </c>
      <c r="E3360" s="23" t="n">
        <f aca="false">$D3360*E3358^el</f>
        <v>267.763172119488</v>
      </c>
      <c r="F3360" s="23" t="n">
        <f aca="false">$D3360*F3358^el</f>
        <v>283.084777049615</v>
      </c>
      <c r="G3360" s="23" t="n">
        <f aca="false">$D3360*G3358^el</f>
        <v>283.399764630809</v>
      </c>
      <c r="K3360" s="8" t="s">
        <v>552</v>
      </c>
    </row>
    <row r="3361" customFormat="false" ht="17.15" hidden="false" customHeight="false" outlineLevel="0" collapsed="false">
      <c r="A3361" s="0" t="s">
        <v>553</v>
      </c>
      <c r="B3361" s="0" t="s">
        <v>120</v>
      </c>
      <c r="D3361" s="22" t="n">
        <f aca="false">leap26-D3362-D3363</f>
        <v>3.6</v>
      </c>
      <c r="E3361" s="22" t="n">
        <f aca="false">E3357*E3359*E3360/1000</f>
        <v>6.98058589715504</v>
      </c>
      <c r="F3361" s="22" t="n">
        <f aca="false">F3357*F3359*F3360/1000</f>
        <v>8.627008580587</v>
      </c>
      <c r="G3361" s="22" t="n">
        <f aca="false">G3357*G3359*G3360/1000</f>
        <v>10.2534034843427</v>
      </c>
      <c r="K3361" s="8" t="s">
        <v>554</v>
      </c>
    </row>
    <row r="3362" customFormat="false" ht="17.15" hidden="false" customHeight="false" outlineLevel="0" collapsed="false">
      <c r="A3362" s="4" t="s">
        <v>555</v>
      </c>
      <c r="B3362" s="0" t="s">
        <v>120</v>
      </c>
      <c r="D3362" s="22" t="n">
        <f aca="false">fp26</f>
        <v>0.3</v>
      </c>
      <c r="E3362" s="22" t="n">
        <f aca="false">fp27_A</f>
        <v>1.2</v>
      </c>
      <c r="F3362" s="22" t="n">
        <f aca="false">E3362*F3357/E3357*(1+fp_g)</f>
        <v>1.74430379746835</v>
      </c>
      <c r="G3362" s="22" t="n">
        <f aca="false">F3362*G3357/F3357*(1+fp_g)</f>
        <v>2.57992405063291</v>
      </c>
    </row>
    <row r="3363" customFormat="false" ht="17.15" hidden="false" customHeight="false" outlineLevel="0" collapsed="false">
      <c r="A3363" s="0" t="s">
        <v>556</v>
      </c>
      <c r="B3363" s="0" t="s">
        <v>120</v>
      </c>
      <c r="D3363" s="22" t="n">
        <f aca="false">cpo27*cpo_A_26/cpo_A_27</f>
        <v>0.1</v>
      </c>
      <c r="E3363" s="22" t="n">
        <f aca="false">cpo27*cpo_A_27/cpo_A_27</f>
        <v>0.5</v>
      </c>
      <c r="F3363" s="22" t="n">
        <f aca="false">cpo27*cpo_A_28/cpo_A_27*F3357/E3357</f>
        <v>1.11814345991561</v>
      </c>
      <c r="G3363" s="22" t="n">
        <f aca="false">cpo27*cpo_A_29/cpo_A_27*G3357/E3357</f>
        <v>2.03544303797468</v>
      </c>
      <c r="K3363" s="8" t="s">
        <v>557</v>
      </c>
    </row>
    <row r="3364" customFormat="false" ht="17.15" hidden="false" customHeight="false" outlineLevel="0" collapsed="false">
      <c r="A3364" s="0" t="s">
        <v>510</v>
      </c>
      <c r="B3364" s="0" t="s">
        <v>120</v>
      </c>
      <c r="C3364" s="22" t="n">
        <f aca="false">leap25</f>
        <v>1.6</v>
      </c>
      <c r="D3364" s="22" t="n">
        <f aca="false">D3361+D3362+D3363</f>
        <v>4</v>
      </c>
      <c r="E3364" s="22" t="n">
        <f aca="false">E3361+E3362+E3363</f>
        <v>8.68058589715504</v>
      </c>
      <c r="F3364" s="22" t="n">
        <f aca="false">F3361+F3362+F3363</f>
        <v>11.489455837971</v>
      </c>
      <c r="G3364" s="22" t="n">
        <f aca="false">G3361+G3362+G3363</f>
        <v>14.8687705729503</v>
      </c>
    </row>
    <row r="3365" customFormat="false" ht="17.15" hidden="false" customHeight="false" outlineLevel="0" collapsed="false">
      <c r="A3365" s="4" t="s">
        <v>558</v>
      </c>
      <c r="B3365" s="0" t="s">
        <v>114</v>
      </c>
      <c r="C3365" s="19" t="n">
        <f aca="false">fx25</f>
        <v>31</v>
      </c>
      <c r="D3365" s="19" t="n">
        <f aca="false">a26_leap/D3364</f>
        <v>31.9</v>
      </c>
      <c r="E3365" s="19" t="n">
        <f aca="false">fx</f>
        <v>32</v>
      </c>
      <c r="F3365" s="19" t="n">
        <f aca="false">fx</f>
        <v>32</v>
      </c>
      <c r="G3365" s="19" t="n">
        <f aca="false">fx</f>
        <v>32</v>
      </c>
      <c r="K3365" s="8" t="s">
        <v>559</v>
      </c>
    </row>
    <row r="3366" customFormat="false" ht="17.15" hidden="false" customHeight="false" outlineLevel="0" collapsed="false">
      <c r="A3366" s="6" t="s">
        <v>560</v>
      </c>
    </row>
    <row r="3367" customFormat="false" ht="17.15" hidden="false" customHeight="false" outlineLevel="0" collapsed="false">
      <c r="A3367" s="0" t="s">
        <v>438</v>
      </c>
      <c r="B3367" s="0" t="s">
        <v>234</v>
      </c>
      <c r="C3367" s="30" t="n">
        <f aca="false">a25_leap</f>
        <v>49.6</v>
      </c>
      <c r="D3367" s="30" t="n">
        <f aca="false">a26_leap</f>
        <v>127.6</v>
      </c>
      <c r="E3367" s="30" t="n">
        <f aca="false">E3364*E3365</f>
        <v>277.778748708961</v>
      </c>
      <c r="F3367" s="30" t="n">
        <f aca="false">F3364*F3365</f>
        <v>367.662586815071</v>
      </c>
      <c r="G3367" s="30" t="n">
        <f aca="false">G3364*G3365</f>
        <v>475.800658334408</v>
      </c>
    </row>
    <row r="3368" customFormat="false" ht="15" hidden="false" customHeight="false" outlineLevel="0" collapsed="false">
      <c r="A3368" s="4" t="s">
        <v>561</v>
      </c>
      <c r="B3368" s="0" t="s">
        <v>234</v>
      </c>
      <c r="C3368" s="30" t="n">
        <f aca="false">a25_ms</f>
        <v>339.628</v>
      </c>
      <c r="D3368" s="30" t="n">
        <f aca="false">a26_ms</f>
        <v>432.1302</v>
      </c>
      <c r="E3368" s="30" t="n">
        <f aca="false">D3368*(1+g_ms27)</f>
        <v>496.94973</v>
      </c>
      <c r="F3368" s="30" t="n">
        <f aca="false">E3368*(1+g_msL)</f>
        <v>531.7362111</v>
      </c>
      <c r="G3368" s="30" t="n">
        <f aca="false">F3368*(1+g_msL)</f>
        <v>568.957745877</v>
      </c>
    </row>
    <row r="3369" customFormat="false" ht="17.15" hidden="false" customHeight="false" outlineLevel="0" collapsed="false">
      <c r="A3369" s="4" t="s">
        <v>562</v>
      </c>
      <c r="B3369" s="0" t="s">
        <v>234</v>
      </c>
      <c r="C3369" s="30" t="n">
        <f aca="false">C3367+C3368</f>
        <v>389.228</v>
      </c>
      <c r="D3369" s="30" t="n">
        <f aca="false">D3367+D3368</f>
        <v>559.7302</v>
      </c>
      <c r="E3369" s="30" t="n">
        <f aca="false">E3367+E3368</f>
        <v>774.728478708961</v>
      </c>
      <c r="F3369" s="30" t="n">
        <f aca="false">F3367+F3368</f>
        <v>899.398797915071</v>
      </c>
      <c r="G3369" s="30" t="n">
        <f aca="false">G3367+G3368</f>
        <v>1044.75840421141</v>
      </c>
    </row>
    <row r="3370" customFormat="false" ht="17.15" hidden="false" customHeight="false" outlineLevel="0" collapsed="false">
      <c r="A3370" s="0" t="s">
        <v>563</v>
      </c>
      <c r="B3370" s="0" t="s">
        <v>234</v>
      </c>
      <c r="C3370" s="30" t="n">
        <f aca="false">a25_ems</f>
        <v>259.079</v>
      </c>
      <c r="D3370" s="30" t="n">
        <f aca="false">a26_ems</f>
        <v>314.602</v>
      </c>
      <c r="E3370" s="30" t="n">
        <f aca="false">D3370*(1+g_ems27)</f>
        <v>346.0622</v>
      </c>
      <c r="F3370" s="30" t="n">
        <f aca="false">E3370*(1+g_emsL)</f>
        <v>363.36531</v>
      </c>
      <c r="G3370" s="30" t="n">
        <f aca="false">F3370*(1+g_emsL)</f>
        <v>381.5335755</v>
      </c>
    </row>
    <row r="3371" customFormat="false" ht="17.15" hidden="false" customHeight="false" outlineLevel="0" collapsed="false">
      <c r="A3371" s="4" t="s">
        <v>564</v>
      </c>
      <c r="B3371" s="0" t="s">
        <v>234</v>
      </c>
      <c r="C3371" s="30" t="n">
        <f aca="false">a25_elim</f>
        <v>-2.91899999999998</v>
      </c>
      <c r="D3371" s="30" t="n">
        <f aca="false">a26_elim</f>
        <v>-3.16484905982349</v>
      </c>
      <c r="E3371" s="30" t="n">
        <f aca="false">$D3371/($D3369+$D3370)*(E3369+E3370)</f>
        <v>-4.05696293213379</v>
      </c>
      <c r="F3371" s="30" t="n">
        <f aca="false">$D3371/($D3369+$D3370)*(F3369+F3370)</f>
        <v>-4.57086882962089</v>
      </c>
      <c r="G3371" s="30" t="n">
        <f aca="false">$D3371/($D3369+$D3370)*(G3369+G3370)</f>
        <v>-5.16279605283144</v>
      </c>
      <c r="K3371" s="4" t="s">
        <v>565</v>
      </c>
    </row>
    <row r="3372" customFormat="false" ht="17.15" hidden="false" customHeight="false" outlineLevel="0" collapsed="false">
      <c r="A3372" s="4" t="s">
        <v>431</v>
      </c>
      <c r="B3372" s="0" t="s">
        <v>234</v>
      </c>
      <c r="C3372" s="30" t="n">
        <f aca="false">C3369+C3370+C3371</f>
        <v>645.388</v>
      </c>
      <c r="D3372" s="30" t="n">
        <f aca="false">D3369+D3370+D3371</f>
        <v>871.167350940177</v>
      </c>
      <c r="E3372" s="30" t="n">
        <f aca="false">E3369+E3370+E3371</f>
        <v>1116.73371577683</v>
      </c>
      <c r="F3372" s="30" t="n">
        <f aca="false">F3369+F3370+F3371</f>
        <v>1258.19323908545</v>
      </c>
      <c r="G3372" s="30" t="n">
        <f aca="false">G3369+G3370+G3371</f>
        <v>1421.12918365858</v>
      </c>
      <c r="H3372" s="31" t="n">
        <f aca="false">G3372*(1+H3373)</f>
        <v>1572.24252669828</v>
      </c>
      <c r="I3372" s="31" t="n">
        <f aca="false">H3372*(1+I3373)</f>
        <v>1703.00066355907</v>
      </c>
      <c r="J3372" s="31" t="n">
        <f aca="false">I3372*(1+J3373)</f>
        <v>1805.18070337261</v>
      </c>
      <c r="K3372" s="8" t="s">
        <v>566</v>
      </c>
    </row>
    <row r="3373" customFormat="false" ht="15" hidden="false" customHeight="false" outlineLevel="0" collapsed="false">
      <c r="A3373" s="4" t="s">
        <v>567</v>
      </c>
      <c r="B3373" s="0" t="s">
        <v>76</v>
      </c>
      <c r="D3373" s="21" t="n">
        <f aca="false">D3372/C3372-1</f>
        <v>0.349835061916516</v>
      </c>
      <c r="E3373" s="21" t="n">
        <f aca="false">E3372/D3372-1</f>
        <v>0.281881965126026</v>
      </c>
      <c r="F3373" s="21" t="n">
        <f aca="false">F3372/E3372-1</f>
        <v>0.126672564202309</v>
      </c>
      <c r="G3373" s="21" t="n">
        <f aca="false">G3372/F3372-1</f>
        <v>0.129499936505429</v>
      </c>
      <c r="H3373" s="26" t="n">
        <f aca="false">$G3373+(fade_gA-$G3373)*1/3</f>
        <v>0.10633329100362</v>
      </c>
      <c r="I3373" s="26" t="n">
        <f aca="false">$G3373+(fade_gA-$G3373)*2/3</f>
        <v>0.0831666455018098</v>
      </c>
      <c r="J3373" s="26" t="n">
        <f aca="false">$G3373+(fade_gA-$G3373)*3/3</f>
        <v>0.06</v>
      </c>
    </row>
    <row r="3374" customFormat="false" ht="17.15" hidden="false" customHeight="false" outlineLevel="0" collapsed="false">
      <c r="A3374" s="0" t="s">
        <v>475</v>
      </c>
      <c r="B3374" s="0" t="s">
        <v>76</v>
      </c>
      <c r="C3374" s="21" t="n">
        <f aca="false">C3367/C3369</f>
        <v>0.127431736668482</v>
      </c>
      <c r="D3374" s="21" t="n">
        <f aca="false">D3367/D3369</f>
        <v>0.227966974088588</v>
      </c>
      <c r="E3374" s="21" t="n">
        <f aca="false">E3367/E3369</f>
        <v>0.35854980982739</v>
      </c>
      <c r="F3374" s="21" t="n">
        <f aca="false">F3367/F3369</f>
        <v>0.408787056050512</v>
      </c>
      <c r="G3374" s="21" t="n">
        <f aca="false">G3367/G3369</f>
        <v>0.455416923583923</v>
      </c>
    </row>
    <row r="3375" customFormat="false" ht="15" hidden="false" customHeight="false" outlineLevel="0" collapsed="false">
      <c r="A3375" s="4" t="s">
        <v>568</v>
      </c>
      <c r="B3375" s="0" t="s">
        <v>76</v>
      </c>
      <c r="D3375" s="21" t="n">
        <f aca="false">D3369/C3369-1</f>
        <v>0.438052247012034</v>
      </c>
      <c r="E3375" s="21" t="n">
        <f aca="false">E3369/D3369-1</f>
        <v>0.384110556673485</v>
      </c>
      <c r="F3375" s="21" t="n">
        <f aca="false">F3369/E3369-1</f>
        <v>0.160921306796241</v>
      </c>
      <c r="G3375" s="21" t="n">
        <f aca="false">G3369/F3369-1</f>
        <v>0.161618635285371</v>
      </c>
    </row>
    <row r="3376" customFormat="false" ht="17.15" hidden="false" customHeight="false" outlineLevel="0" collapsed="false">
      <c r="A3376" s="6" t="s">
        <v>569</v>
      </c>
    </row>
    <row r="3377" customFormat="false" ht="17.15" hidden="false" customHeight="false" outlineLevel="0" collapsed="false">
      <c r="A3377" s="4" t="s">
        <v>570</v>
      </c>
      <c r="B3377" s="0" t="s">
        <v>120</v>
      </c>
      <c r="C3377" s="19" t="n">
        <f aca="false">capex25</f>
        <v>5.5</v>
      </c>
      <c r="D3377" s="19" t="n">
        <f aca="false">capex26</f>
        <v>11.5</v>
      </c>
      <c r="E3377" s="19" t="n">
        <f aca="false">capex27</f>
        <v>13</v>
      </c>
      <c r="F3377" s="19" t="n">
        <f aca="false">capi_lo*F3372/F3365</f>
        <v>8.65007851871247</v>
      </c>
      <c r="G3377" s="19" t="n">
        <f aca="false">capi_lo*G3372/G3365</f>
        <v>9.77026313765272</v>
      </c>
      <c r="K3377" s="8" t="s">
        <v>571</v>
      </c>
    </row>
    <row r="3378" customFormat="false" ht="15" hidden="false" customHeight="false" outlineLevel="0" collapsed="false">
      <c r="A3378" s="4" t="s">
        <v>572</v>
      </c>
      <c r="B3378" s="0" t="s">
        <v>234</v>
      </c>
      <c r="C3378" s="30" t="n">
        <f aca="false">C3377*C3365</f>
        <v>170.5</v>
      </c>
      <c r="D3378" s="30" t="n">
        <f aca="false">D3377*31.9</f>
        <v>366.85</v>
      </c>
      <c r="E3378" s="30" t="n">
        <f aca="false">E3377*E3365</f>
        <v>416</v>
      </c>
      <c r="F3378" s="30" t="n">
        <f aca="false">F3377*F3365</f>
        <v>276.802512598799</v>
      </c>
      <c r="G3378" s="30" t="n">
        <f aca="false">G3377*G3365</f>
        <v>312.648420404887</v>
      </c>
    </row>
    <row r="3379" customFormat="false" ht="17.15" hidden="false" customHeight="false" outlineLevel="0" collapsed="false">
      <c r="A3379" s="4" t="s">
        <v>473</v>
      </c>
      <c r="B3379" s="0" t="s">
        <v>76</v>
      </c>
      <c r="C3379" s="21" t="n">
        <f aca="false">C3378/C3372</f>
        <v>0.264182166386732</v>
      </c>
      <c r="D3379" s="21" t="n">
        <f aca="false">D3378/D3372</f>
        <v>0.421101639775745</v>
      </c>
      <c r="E3379" s="21" t="n">
        <f aca="false">E3378/E3372</f>
        <v>0.372514946153139</v>
      </c>
      <c r="F3379" s="21" t="n">
        <f aca="false">F3378/F3372</f>
        <v>0.22</v>
      </c>
      <c r="G3379" s="21" t="n">
        <f aca="false">G3378/G3372</f>
        <v>0.22</v>
      </c>
    </row>
    <row r="3380" customFormat="false" ht="17.15" hidden="false" customHeight="false" outlineLevel="0" collapsed="false">
      <c r="A3380" s="4" t="s">
        <v>573</v>
      </c>
      <c r="B3380" s="0" t="s">
        <v>234</v>
      </c>
      <c r="C3380" s="30" t="n">
        <f aca="false">a25_da</f>
        <v>75.255</v>
      </c>
      <c r="D3380" s="30" t="n">
        <f aca="false">a26_da</f>
        <v>97.124</v>
      </c>
      <c r="E3380" s="30" t="n">
        <f aca="false">D3380*(1-1/life)+D3378/life</f>
        <v>130.83975</v>
      </c>
      <c r="F3380" s="30" t="n">
        <f aca="false">E3380*(1-1/life)+E3378/life</f>
        <v>166.48478125</v>
      </c>
      <c r="G3380" s="30" t="n">
        <f aca="false">F3380*(1-1/life)+F3378/life</f>
        <v>180.2744976686</v>
      </c>
      <c r="K3380" s="4" t="s">
        <v>574</v>
      </c>
    </row>
    <row r="3381" customFormat="false" ht="17.15" hidden="false" customHeight="false" outlineLevel="0" collapsed="false">
      <c r="A3381" s="4" t="s">
        <v>575</v>
      </c>
      <c r="B3381" s="0" t="s">
        <v>234</v>
      </c>
      <c r="C3381" s="30" t="n">
        <f aca="false">a25_agp</f>
        <v>91.38</v>
      </c>
      <c r="D3381" s="30" t="n">
        <f aca="false">a26_agp</f>
        <v>164.623388</v>
      </c>
      <c r="E3381" s="30" t="n">
        <f aca="false">$D3381+ft*(E3369-$D3369)-(E3380-$D3380)</f>
        <v>238.406777354481</v>
      </c>
      <c r="F3381" s="30" t="n">
        <f aca="false">$D3381+ft*(F3369-$D3369)-(F3380-$D3380)</f>
        <v>265.096905707536</v>
      </c>
      <c r="G3381" s="30" t="n">
        <f aca="false">$D3381+ft*(G3369-$D3369)-(G3380-$D3380)</f>
        <v>323.986992437104</v>
      </c>
      <c r="K3381" s="4" t="s">
        <v>576</v>
      </c>
    </row>
    <row r="3382" customFormat="false" ht="15" hidden="false" customHeight="false" outlineLevel="0" collapsed="false">
      <c r="A3382" s="4" t="s">
        <v>447</v>
      </c>
      <c r="B3382" s="0" t="s">
        <v>76</v>
      </c>
      <c r="C3382" s="14" t="n">
        <f aca="false">C3381/C3369</f>
        <v>0.234772421305764</v>
      </c>
      <c r="D3382" s="14" t="n">
        <f aca="false">D3381/D3369</f>
        <v>0.294112034690999</v>
      </c>
      <c r="E3382" s="14" t="n">
        <f aca="false">E3381/E3369</f>
        <v>0.307729461232368</v>
      </c>
      <c r="F3382" s="14" t="n">
        <f aca="false">F3381/F3369</f>
        <v>0.294749010474626</v>
      </c>
      <c r="G3382" s="14" t="n">
        <f aca="false">G3381/G3369</f>
        <v>0.310107093784665</v>
      </c>
    </row>
    <row r="3383" customFormat="false" ht="17.15" hidden="false" customHeight="false" outlineLevel="0" collapsed="false">
      <c r="A3383" s="0" t="s">
        <v>449</v>
      </c>
      <c r="B3383" s="0" t="s">
        <v>234</v>
      </c>
      <c r="C3383" s="30" t="n">
        <f aca="false">a25_egp</f>
        <v>23.695</v>
      </c>
      <c r="D3383" s="30" t="n">
        <f aca="false">a26_egp</f>
        <v>27.00552</v>
      </c>
      <c r="E3383" s="30" t="n">
        <f aca="false">E3370*ems_gm</f>
        <v>29.415287</v>
      </c>
      <c r="F3383" s="30" t="n">
        <f aca="false">F3370*ems_gm</f>
        <v>30.88605135</v>
      </c>
      <c r="G3383" s="30" t="n">
        <f aca="false">G3370*ems_gm</f>
        <v>32.4303539175</v>
      </c>
    </row>
    <row r="3384" customFormat="false" ht="15" hidden="false" customHeight="false" outlineLevel="0" collapsed="false">
      <c r="A3384" s="4" t="s">
        <v>577</v>
      </c>
      <c r="B3384" s="0" t="s">
        <v>234</v>
      </c>
      <c r="C3384" s="30" t="n">
        <f aca="false">a25_lgp</f>
        <v>-0.881999999999998</v>
      </c>
      <c r="D3384" s="30" t="n">
        <f aca="false">a26_lgp</f>
        <v>-0.948662139013863</v>
      </c>
      <c r="E3384" s="30" t="n">
        <f aca="false">$D3384/$D3371*E3371</f>
        <v>-1.21607288699975</v>
      </c>
      <c r="F3384" s="30" t="n">
        <f aca="false">$D3384/$D3371*F3371</f>
        <v>-1.37011595785291</v>
      </c>
      <c r="G3384" s="30" t="n">
        <f aca="false">$D3384/$D3371*G3371</f>
        <v>-1.54754588739994</v>
      </c>
    </row>
    <row r="3385" customFormat="false" ht="15" hidden="false" customHeight="false" outlineLevel="0" collapsed="false">
      <c r="A3385" s="4" t="s">
        <v>451</v>
      </c>
      <c r="B3385" s="0" t="s">
        <v>234</v>
      </c>
      <c r="C3385" s="30" t="n">
        <f aca="false">C3381+C3383+C3384</f>
        <v>114.193</v>
      </c>
      <c r="D3385" s="30" t="n">
        <f aca="false">D3381+D3383+D3384</f>
        <v>190.680245860986</v>
      </c>
      <c r="E3385" s="30" t="n">
        <f aca="false">E3381+E3383+E3384</f>
        <v>266.605991467481</v>
      </c>
      <c r="F3385" s="30" t="n">
        <f aca="false">F3381+F3383+F3384</f>
        <v>294.612841099683</v>
      </c>
      <c r="G3385" s="30" t="n">
        <f aca="false">G3381+G3383+G3384</f>
        <v>354.869800467204</v>
      </c>
    </row>
    <row r="3386" customFormat="false" ht="15" hidden="false" customHeight="false" outlineLevel="0" collapsed="false">
      <c r="A3386" s="4" t="s">
        <v>452</v>
      </c>
      <c r="B3386" s="0" t="s">
        <v>76</v>
      </c>
      <c r="C3386" s="14" t="n">
        <f aca="false">C3385/C3372</f>
        <v>0.176936974347214</v>
      </c>
      <c r="D3386" s="14" t="n">
        <f aca="false">D3385/D3372</f>
        <v>0.218879008327391</v>
      </c>
      <c r="E3386" s="14" t="n">
        <f aca="false">E3385/E3372</f>
        <v>0.238737299412531</v>
      </c>
      <c r="F3386" s="14" t="n">
        <f aca="false">F3385/F3372</f>
        <v>0.234155479418908</v>
      </c>
      <c r="G3386" s="14" t="n">
        <f aca="false">G3385/G3372</f>
        <v>0.249709741062119</v>
      </c>
    </row>
    <row r="3387" customFormat="false" ht="15" hidden="false" customHeight="false" outlineLevel="0" collapsed="false">
      <c r="A3387" s="4" t="s">
        <v>578</v>
      </c>
      <c r="B3387" s="0" t="s">
        <v>234</v>
      </c>
      <c r="C3387" s="30" t="n">
        <f aca="false">a25_opx</f>
        <v>63.437</v>
      </c>
      <c r="D3387" s="30" t="n">
        <f aca="false">a26_opx</f>
        <v>79.658</v>
      </c>
      <c r="E3387" s="30" t="n">
        <f aca="false">D3387*(1+phi*E3373)</f>
        <v>93.1304921468054</v>
      </c>
      <c r="F3387" s="30" t="n">
        <f aca="false">E3387*(1+phi*F3373)</f>
        <v>100.208739094201</v>
      </c>
      <c r="G3387" s="30" t="n">
        <f aca="false">F3387*(1+phi*G3373)</f>
        <v>107.994954304194</v>
      </c>
    </row>
    <row r="3388" customFormat="false" ht="15" hidden="false" customHeight="false" outlineLevel="0" collapsed="false">
      <c r="A3388" s="4" t="s">
        <v>455</v>
      </c>
      <c r="B3388" s="0" t="s">
        <v>234</v>
      </c>
      <c r="C3388" s="30" t="n">
        <f aca="false">C3385-C3387</f>
        <v>50.756</v>
      </c>
      <c r="D3388" s="30" t="n">
        <f aca="false">D3385-D3387</f>
        <v>111.022245860986</v>
      </c>
      <c r="E3388" s="30" t="n">
        <f aca="false">E3385-E3387</f>
        <v>173.475499320676</v>
      </c>
      <c r="F3388" s="30" t="n">
        <f aca="false">F3385-F3387</f>
        <v>194.404102005482</v>
      </c>
      <c r="G3388" s="30" t="n">
        <f aca="false">G3385-G3387</f>
        <v>246.874846163011</v>
      </c>
    </row>
    <row r="3389" customFormat="false" ht="15" hidden="false" customHeight="false" outlineLevel="0" collapsed="false">
      <c r="A3389" s="4" t="s">
        <v>537</v>
      </c>
      <c r="B3389" s="0" t="s">
        <v>76</v>
      </c>
      <c r="C3389" s="14" t="n">
        <f aca="false">C3388/C3372</f>
        <v>0.0786441644406156</v>
      </c>
      <c r="D3389" s="14" t="n">
        <f aca="false">D3388/D3372</f>
        <v>0.127440779020437</v>
      </c>
      <c r="E3389" s="14" t="n">
        <f aca="false">E3388/E3372</f>
        <v>0.155341866077717</v>
      </c>
      <c r="F3389" s="14" t="n">
        <f aca="false">F3388/F3372</f>
        <v>0.154510528245081</v>
      </c>
      <c r="G3389" s="14" t="n">
        <f aca="false">G3388/G3372</f>
        <v>0.173717385443773</v>
      </c>
    </row>
    <row r="3390" customFormat="false" ht="15" hidden="false" customHeight="false" outlineLevel="0" collapsed="false">
      <c r="A3390" s="4" t="s">
        <v>456</v>
      </c>
      <c r="B3390" s="0" t="s">
        <v>234</v>
      </c>
      <c r="C3390" s="30" t="n">
        <f aca="false">a25_nonop</f>
        <v>0.545</v>
      </c>
      <c r="D3390" s="30" t="n">
        <f aca="false">a26_nonop</f>
        <v>4.302</v>
      </c>
      <c r="E3390" s="30" t="n">
        <f aca="false">nonop_f</f>
        <v>-5</v>
      </c>
      <c r="F3390" s="30" t="n">
        <f aca="false">nonop_f</f>
        <v>-5</v>
      </c>
      <c r="G3390" s="30" t="n">
        <f aca="false">nonop_f</f>
        <v>-5</v>
      </c>
    </row>
    <row r="3391" customFormat="false" ht="15" hidden="false" customHeight="false" outlineLevel="0" collapsed="false">
      <c r="A3391" s="4" t="s">
        <v>459</v>
      </c>
      <c r="B3391" s="0" t="s">
        <v>234</v>
      </c>
      <c r="C3391" s="30" t="n">
        <f aca="false">C3388+C3390</f>
        <v>51.301</v>
      </c>
      <c r="D3391" s="30" t="n">
        <f aca="false">D3388+D3390</f>
        <v>115.324245860986</v>
      </c>
      <c r="E3391" s="30" t="n">
        <f aca="false">E3388+E3390</f>
        <v>168.475499320676</v>
      </c>
      <c r="F3391" s="30" t="n">
        <f aca="false">F3388+F3390</f>
        <v>189.404102005482</v>
      </c>
      <c r="G3391" s="30" t="n">
        <f aca="false">G3388+G3390</f>
        <v>241.874846163011</v>
      </c>
    </row>
    <row r="3392" customFormat="false" ht="15" hidden="false" customHeight="false" outlineLevel="0" collapsed="false">
      <c r="A3392" s="4" t="s">
        <v>460</v>
      </c>
      <c r="B3392" s="0" t="s">
        <v>234</v>
      </c>
      <c r="C3392" s="30" t="n">
        <f aca="false">a25_tax</f>
        <v>9.461</v>
      </c>
      <c r="D3392" s="30" t="n">
        <f aca="false">a26_tax</f>
        <v>19.2197317963676</v>
      </c>
      <c r="E3392" s="30" t="n">
        <f aca="false">E3391*tax</f>
        <v>28.6408348845149</v>
      </c>
      <c r="F3392" s="30" t="n">
        <f aca="false">F3391*tax</f>
        <v>32.198697340932</v>
      </c>
      <c r="G3392" s="30" t="n">
        <f aca="false">G3391*tax</f>
        <v>41.1187238477118</v>
      </c>
    </row>
    <row r="3393" customFormat="false" ht="15" hidden="false" customHeight="false" outlineLevel="0" collapsed="false">
      <c r="A3393" s="4" t="s">
        <v>461</v>
      </c>
      <c r="B3393" s="0" t="s">
        <v>234</v>
      </c>
      <c r="C3393" s="30" t="n">
        <f aca="false">a25_nci</f>
        <v>1.182</v>
      </c>
      <c r="D3393" s="30" t="n">
        <f aca="false">a26_nci</f>
        <v>2.543</v>
      </c>
      <c r="E3393" s="30" t="n">
        <f aca="false">nci</f>
        <v>3</v>
      </c>
      <c r="F3393" s="30" t="n">
        <f aca="false">nci</f>
        <v>3</v>
      </c>
      <c r="G3393" s="30" t="n">
        <f aca="false">nci</f>
        <v>3</v>
      </c>
    </row>
    <row r="3394" customFormat="false" ht="15" hidden="false" customHeight="false" outlineLevel="0" collapsed="false">
      <c r="A3394" s="4" t="s">
        <v>462</v>
      </c>
      <c r="B3394" s="0" t="s">
        <v>234</v>
      </c>
      <c r="C3394" s="30" t="n">
        <f aca="false">C3391-C3392-C3393</f>
        <v>40.658</v>
      </c>
      <c r="D3394" s="30" t="n">
        <f aca="false">D3391-D3392-D3393</f>
        <v>93.5615140646185</v>
      </c>
      <c r="E3394" s="30" t="n">
        <f aca="false">E3391-E3392-E3393</f>
        <v>136.834664436161</v>
      </c>
      <c r="F3394" s="30" t="n">
        <f aca="false">F3391-F3392-F3393</f>
        <v>154.20540466455</v>
      </c>
      <c r="G3394" s="30" t="n">
        <f aca="false">G3391-G3392-G3393</f>
        <v>197.756122315299</v>
      </c>
      <c r="H3394" s="31" t="n">
        <f aca="false">H3372*H3398</f>
        <v>214.933033998732</v>
      </c>
      <c r="I3394" s="31" t="n">
        <f aca="false">I3372*I3398</f>
        <v>228.636858796705</v>
      </c>
      <c r="J3394" s="31" t="n">
        <f aca="false">J3372*J3398</f>
        <v>237.933349598446</v>
      </c>
    </row>
    <row r="3395" customFormat="false" ht="15" hidden="false" customHeight="false" outlineLevel="0" collapsed="false">
      <c r="A3395" s="4" t="s">
        <v>579</v>
      </c>
      <c r="B3395" s="4" t="s">
        <v>580</v>
      </c>
      <c r="C3395" s="18" t="n">
        <f aca="false">a25_sh</f>
        <v>4339.16755602988</v>
      </c>
      <c r="D3395" s="18" t="n">
        <f aca="false">a26_sh</f>
        <v>4392.90105184664</v>
      </c>
      <c r="E3395" s="18" t="n">
        <f aca="false">D3395*(1+sh_g)</f>
        <v>4414.86555710588</v>
      </c>
      <c r="F3395" s="18" t="n">
        <f aca="false">E3395*(1+sh_g)</f>
        <v>4436.9398848914</v>
      </c>
      <c r="G3395" s="18" t="n">
        <f aca="false">F3395*(1+sh_g)</f>
        <v>4459.12458431586</v>
      </c>
      <c r="H3395" s="25" t="n">
        <f aca="false">G3395*(1+sh_g)</f>
        <v>4481.42020723744</v>
      </c>
      <c r="I3395" s="25" t="n">
        <f aca="false">H3395*(1+sh_g)</f>
        <v>4503.82730827363</v>
      </c>
      <c r="J3395" s="25" t="n">
        <f aca="false">I3395*(1+sh_g)</f>
        <v>4526.34644481499</v>
      </c>
    </row>
    <row r="3396" customFormat="false" ht="17.15" hidden="false" customHeight="false" outlineLevel="0" collapsed="false">
      <c r="A3396" s="0" t="s">
        <v>465</v>
      </c>
      <c r="B3396" s="0" t="s">
        <v>304</v>
      </c>
      <c r="C3396" s="19" t="n">
        <f aca="false">a25_eps</f>
        <v>9.37</v>
      </c>
      <c r="D3396" s="19" t="n">
        <f aca="false">a26_eps</f>
        <v>21.2828697294455</v>
      </c>
      <c r="E3396" s="19" t="n">
        <f aca="false">E3394/E3395*1000</f>
        <v>30.9940727902621</v>
      </c>
      <c r="F3396" s="19" t="n">
        <f aca="false">F3394/F3395*1000</f>
        <v>34.754900599318</v>
      </c>
      <c r="G3396" s="19" t="n">
        <f aca="false">G3394/G3395*1000</f>
        <v>44.3486425588711</v>
      </c>
      <c r="H3396" s="28" t="n">
        <f aca="false">H3394/H3395*1000</f>
        <v>47.9609195432326</v>
      </c>
      <c r="I3396" s="28" t="n">
        <f aca="false">I3394/I3395*1000</f>
        <v>50.7650145414533</v>
      </c>
      <c r="J3396" s="28" t="n">
        <f aca="false">J3394/J3395*1000</f>
        <v>52.5663142446825</v>
      </c>
    </row>
    <row r="3397" customFormat="false" ht="17.15" hidden="false" customHeight="false" outlineLevel="0" collapsed="false">
      <c r="A3397" s="0" t="s">
        <v>581</v>
      </c>
      <c r="B3397" s="0" t="s">
        <v>76</v>
      </c>
      <c r="D3397" s="21" t="n">
        <f aca="false">D3396/C3396-1</f>
        <v>1.27138417603474</v>
      </c>
      <c r="E3397" s="21" t="n">
        <f aca="false">E3396/D3396-1</f>
        <v>0.456291993714591</v>
      </c>
      <c r="F3397" s="21" t="n">
        <f aca="false">F3396/E3396-1</f>
        <v>0.121340226387977</v>
      </c>
      <c r="G3397" s="21" t="n">
        <f aca="false">G3396/F3396-1</f>
        <v>0.276039976927496</v>
      </c>
      <c r="H3397" s="26" t="n">
        <f aca="false">H3396/G3396-1</f>
        <v>0.0814518049693702</v>
      </c>
      <c r="I3397" s="26" t="n">
        <f aca="false">I3396/H3396-1</f>
        <v>0.0584662476225675</v>
      </c>
      <c r="J3397" s="26" t="n">
        <f aca="false">J3396/I3396-1</f>
        <v>0.0354830924308764</v>
      </c>
    </row>
    <row r="3398" customFormat="false" ht="17.15" hidden="false" customHeight="false" outlineLevel="0" collapsed="false">
      <c r="A3398" s="4" t="s">
        <v>582</v>
      </c>
      <c r="B3398" s="0" t="s">
        <v>76</v>
      </c>
      <c r="C3398" s="14" t="n">
        <f aca="false">C3394/C3372</f>
        <v>0.0629977625862272</v>
      </c>
      <c r="D3398" s="14" t="n">
        <f aca="false">D3394/D3372</f>
        <v>0.107397865592237</v>
      </c>
      <c r="E3398" s="14" t="n">
        <f aca="false">E3394/E3372</f>
        <v>0.122531148207498</v>
      </c>
      <c r="F3398" s="14" t="n">
        <f aca="false">F3394/F3372</f>
        <v>0.122560986559297</v>
      </c>
      <c r="G3398" s="14" t="n">
        <f aca="false">G3394/G3372</f>
        <v>0.139154219468066</v>
      </c>
      <c r="H3398" s="27" t="n">
        <f aca="false">$G3398+(fade_mA-$G3398)*1/3</f>
        <v>0.136704757916765</v>
      </c>
      <c r="I3398" s="27" t="n">
        <f aca="false">$G3398+(fade_mA-$G3398)*2/3</f>
        <v>0.134255296365464</v>
      </c>
      <c r="J3398" s="27" t="n">
        <f aca="false">$G3398+(fade_mA-$G3398)*3/3</f>
        <v>0.131805834814164</v>
      </c>
    </row>
    <row r="3399" customFormat="false" ht="17.15" hidden="false" customHeight="false" outlineLevel="0" collapsed="false">
      <c r="A3399" s="4" t="s">
        <v>583</v>
      </c>
      <c r="B3399" s="0" t="s">
        <v>234</v>
      </c>
      <c r="C3399" s="30" t="n">
        <f aca="false">C3394+C3380-C3378</f>
        <v>-54.587</v>
      </c>
      <c r="D3399" s="30" t="n">
        <f aca="false">D3394+D3380-D3378</f>
        <v>-176.164485935382</v>
      </c>
      <c r="E3399" s="30" t="n">
        <f aca="false">E3394+E3380-E3378</f>
        <v>-148.325585563839</v>
      </c>
      <c r="F3399" s="30" t="n">
        <f aca="false">F3394+F3380-F3378</f>
        <v>43.887673315751</v>
      </c>
      <c r="G3399" s="30" t="n">
        <f aca="false">G3394+G3380-G3378</f>
        <v>65.3821995790119</v>
      </c>
      <c r="K3399" s="4" t="s">
        <v>584</v>
      </c>
    </row>
    <row r="3400" customFormat="false" ht="17.15" hidden="false" customHeight="false" outlineLevel="0" collapsed="false">
      <c r="A3400" s="4" t="s">
        <v>585</v>
      </c>
      <c r="B3400" s="0" t="s">
        <v>76</v>
      </c>
      <c r="D3400" s="21" t="n">
        <f aca="false">(D3388-$C3388)/SUM($D3378:D3378)</f>
        <v>0.164280348537512</v>
      </c>
      <c r="E3400" s="21" t="n">
        <f aca="false">(E3388-$C3388)/SUM($D3378:E3378)</f>
        <v>0.156759914824903</v>
      </c>
      <c r="F3400" s="21" t="n">
        <f aca="false">(F3388-$C3388)/SUM($D3378:F3378)</f>
        <v>0.135561516910091</v>
      </c>
      <c r="G3400" s="21" t="n">
        <f aca="false">(G3388-$C3388)/SUM($D3378:G3378)</f>
        <v>0.142912419168693</v>
      </c>
      <c r="K3400" s="4" t="s">
        <v>586</v>
      </c>
    </row>
    <row r="3403" customFormat="false" ht="17.15" hidden="false" customHeight="false" outlineLevel="0" collapsed="false">
      <c r="A3403" s="1" t="s">
        <v>983</v>
      </c>
    </row>
    <row r="3404" customFormat="false" ht="17.15" hidden="false" customHeight="false" outlineLevel="0" collapsed="false">
      <c r="A3404" s="5" t="s">
        <v>21</v>
      </c>
      <c r="B3404" s="5" t="s">
        <v>22</v>
      </c>
      <c r="C3404" s="15" t="s">
        <v>424</v>
      </c>
      <c r="D3404" s="15" t="s">
        <v>524</v>
      </c>
      <c r="E3404" s="15" t="s">
        <v>525</v>
      </c>
      <c r="F3404" s="15" t="s">
        <v>526</v>
      </c>
      <c r="G3404" s="15" t="s">
        <v>527</v>
      </c>
      <c r="H3404" s="15" t="s">
        <v>528</v>
      </c>
      <c r="I3404" s="15" t="s">
        <v>529</v>
      </c>
      <c r="J3404" s="15" t="s">
        <v>530</v>
      </c>
      <c r="K3404" s="5" t="s">
        <v>382</v>
      </c>
    </row>
    <row r="3405" customFormat="false" ht="17.15" hidden="false" customHeight="false" outlineLevel="0" collapsed="false">
      <c r="A3405" s="6" t="s">
        <v>548</v>
      </c>
    </row>
    <row r="3406" customFormat="false" ht="17.15" hidden="false" customHeight="false" outlineLevel="0" collapsed="false">
      <c r="A3406" s="0" t="s">
        <v>549</v>
      </c>
      <c r="B3406" s="4" t="s">
        <v>32</v>
      </c>
      <c r="D3406" s="19" t="n">
        <f aca="false">units_26</f>
        <v>15.2</v>
      </c>
      <c r="E3406" s="19" t="n">
        <f aca="false">units_27*1</f>
        <v>23.7</v>
      </c>
      <c r="F3406" s="19" t="n">
        <f aca="false">units_28*um28_B*1</f>
        <v>21.2</v>
      </c>
      <c r="G3406" s="19" t="n">
        <f aca="false">units_29*um29_B*1</f>
        <v>25.6275</v>
      </c>
    </row>
    <row r="3407" customFormat="false" ht="17.15" hidden="false" customHeight="false" outlineLevel="0" collapsed="false">
      <c r="A3407" s="4" t="s">
        <v>497</v>
      </c>
      <c r="B3407" s="0" t="s">
        <v>45</v>
      </c>
      <c r="D3407" s="22" t="n">
        <f aca="false">ar_26</f>
        <v>1</v>
      </c>
      <c r="E3407" s="22" t="n">
        <f aca="false">ar_27</f>
        <v>1.278156</v>
      </c>
      <c r="F3407" s="22" t="n">
        <f aca="false">ar_28</f>
        <v>1.428615</v>
      </c>
      <c r="G3407" s="22" t="n">
        <f aca="false">ar_29</f>
        <v>1.431796</v>
      </c>
    </row>
    <row r="3408" customFormat="false" ht="17.15" hidden="false" customHeight="false" outlineLevel="0" collapsed="false">
      <c r="A3408" s="4" t="s">
        <v>550</v>
      </c>
      <c r="B3408" s="0" t="s">
        <v>45</v>
      </c>
      <c r="D3408" s="19" t="n">
        <f aca="false">1</f>
        <v>1</v>
      </c>
      <c r="E3408" s="19" t="n">
        <f aca="false">rel27_B</f>
        <v>1.05</v>
      </c>
      <c r="F3408" s="19" t="n">
        <f aca="false">rel28_B</f>
        <v>1.08</v>
      </c>
      <c r="G3408" s="19" t="n">
        <f aca="false">rel29_B</f>
        <v>1.1</v>
      </c>
    </row>
    <row r="3409" customFormat="false" ht="17.15" hidden="false" customHeight="false" outlineLevel="0" collapsed="false">
      <c r="A3409" s="4" t="s">
        <v>551</v>
      </c>
      <c r="B3409" s="0" t="s">
        <v>502</v>
      </c>
      <c r="D3409" s="23" t="n">
        <f aca="false">D3410*1000/D3406</f>
        <v>236.842105263158</v>
      </c>
      <c r="E3409" s="23" t="n">
        <f aca="false">$D3409*E3407^el</f>
        <v>267.763172119488</v>
      </c>
      <c r="F3409" s="23" t="n">
        <f aca="false">$D3409*F3407^el</f>
        <v>283.084777049615</v>
      </c>
      <c r="G3409" s="23" t="n">
        <f aca="false">$D3409*G3407^el</f>
        <v>283.399764630809</v>
      </c>
      <c r="K3409" s="8" t="s">
        <v>552</v>
      </c>
    </row>
    <row r="3410" customFormat="false" ht="17.15" hidden="false" customHeight="false" outlineLevel="0" collapsed="false">
      <c r="A3410" s="0" t="s">
        <v>553</v>
      </c>
      <c r="B3410" s="0" t="s">
        <v>120</v>
      </c>
      <c r="D3410" s="22" t="n">
        <f aca="false">leap26-D3411-D3412</f>
        <v>3.6</v>
      </c>
      <c r="E3410" s="22" t="n">
        <f aca="false">E3406*E3408*E3409/1000</f>
        <v>6.66328653819345</v>
      </c>
      <c r="F3410" s="22" t="n">
        <f aca="false">F3406*F3408*F3409/1000</f>
        <v>6.48150905532798</v>
      </c>
      <c r="G3410" s="22" t="n">
        <f aca="false">G3406*G3408*G3409/1000</f>
        <v>7.98911021488366</v>
      </c>
      <c r="K3410" s="8" t="s">
        <v>554</v>
      </c>
    </row>
    <row r="3411" customFormat="false" ht="17.15" hidden="false" customHeight="false" outlineLevel="0" collapsed="false">
      <c r="A3411" s="4" t="s">
        <v>555</v>
      </c>
      <c r="B3411" s="0" t="s">
        <v>120</v>
      </c>
      <c r="D3411" s="22" t="n">
        <f aca="false">fp26</f>
        <v>0.3</v>
      </c>
      <c r="E3411" s="22" t="n">
        <f aca="false">fp27_B</f>
        <v>1</v>
      </c>
      <c r="F3411" s="22" t="n">
        <f aca="false">E3411*F3406/E3406*(1+fp_g)</f>
        <v>1.16286919831224</v>
      </c>
      <c r="G3411" s="22" t="n">
        <f aca="false">F3411*G3406/F3406*(1+fp_g)</f>
        <v>1.82744620253165</v>
      </c>
    </row>
    <row r="3412" customFormat="false" ht="17.15" hidden="false" customHeight="false" outlineLevel="0" collapsed="false">
      <c r="A3412" s="0" t="s">
        <v>556</v>
      </c>
      <c r="B3412" s="0" t="s">
        <v>120</v>
      </c>
      <c r="D3412" s="22" t="n">
        <f aca="false">cpo27*cpo_B_26/cpo_A_27</f>
        <v>0.1</v>
      </c>
      <c r="E3412" s="22" t="n">
        <f aca="false">cpo27*cpo_B_27/cpo_A_27</f>
        <v>0.3</v>
      </c>
      <c r="F3412" s="22" t="n">
        <f aca="false">cpo27*cpo_B_28/cpo_A_27*F3406/E3406</f>
        <v>0.447257383966245</v>
      </c>
      <c r="G3412" s="22" t="n">
        <f aca="false">cpo27*cpo_B_29/cpo_A_27*G3406/E3406</f>
        <v>0.86506329113924</v>
      </c>
      <c r="K3412" s="8" t="s">
        <v>557</v>
      </c>
    </row>
    <row r="3413" customFormat="false" ht="17.15" hidden="false" customHeight="false" outlineLevel="0" collapsed="false">
      <c r="A3413" s="0" t="s">
        <v>510</v>
      </c>
      <c r="B3413" s="0" t="s">
        <v>120</v>
      </c>
      <c r="C3413" s="22" t="n">
        <f aca="false">leap25</f>
        <v>1.6</v>
      </c>
      <c r="D3413" s="22" t="n">
        <f aca="false">D3410+D3411+D3412</f>
        <v>4</v>
      </c>
      <c r="E3413" s="22" t="n">
        <f aca="false">E3410+E3411+E3412</f>
        <v>7.96328653819345</v>
      </c>
      <c r="F3413" s="22" t="n">
        <f aca="false">F3410+F3411+F3412</f>
        <v>8.09163563760646</v>
      </c>
      <c r="G3413" s="22" t="n">
        <f aca="false">G3410+G3411+G3412</f>
        <v>10.6816197085545</v>
      </c>
    </row>
    <row r="3414" customFormat="false" ht="17.15" hidden="false" customHeight="false" outlineLevel="0" collapsed="false">
      <c r="A3414" s="4" t="s">
        <v>558</v>
      </c>
      <c r="B3414" s="0" t="s">
        <v>114</v>
      </c>
      <c r="C3414" s="19" t="n">
        <f aca="false">fx25</f>
        <v>31</v>
      </c>
      <c r="D3414" s="19" t="n">
        <f aca="false">a26_leap/D3413</f>
        <v>31.9</v>
      </c>
      <c r="E3414" s="19" t="n">
        <f aca="false">fx</f>
        <v>32</v>
      </c>
      <c r="F3414" s="19" t="n">
        <f aca="false">fx</f>
        <v>32</v>
      </c>
      <c r="G3414" s="19" t="n">
        <f aca="false">fx</f>
        <v>32</v>
      </c>
      <c r="K3414" s="8" t="s">
        <v>559</v>
      </c>
    </row>
    <row r="3415" customFormat="false" ht="17.15" hidden="false" customHeight="false" outlineLevel="0" collapsed="false">
      <c r="A3415" s="6" t="s">
        <v>560</v>
      </c>
    </row>
    <row r="3416" customFormat="false" ht="17.15" hidden="false" customHeight="false" outlineLevel="0" collapsed="false">
      <c r="A3416" s="0" t="s">
        <v>438</v>
      </c>
      <c r="B3416" s="0" t="s">
        <v>234</v>
      </c>
      <c r="C3416" s="30" t="n">
        <f aca="false">a25_leap</f>
        <v>49.6</v>
      </c>
      <c r="D3416" s="30" t="n">
        <f aca="false">a26_leap</f>
        <v>127.6</v>
      </c>
      <c r="E3416" s="30" t="n">
        <f aca="false">E3413*E3414</f>
        <v>254.82516922219</v>
      </c>
      <c r="F3416" s="30" t="n">
        <f aca="false">F3413*F3414</f>
        <v>258.932340403407</v>
      </c>
      <c r="G3416" s="30" t="n">
        <f aca="false">G3413*G3414</f>
        <v>341.811830673745</v>
      </c>
    </row>
    <row r="3417" customFormat="false" ht="15" hidden="false" customHeight="false" outlineLevel="0" collapsed="false">
      <c r="A3417" s="4" t="s">
        <v>561</v>
      </c>
      <c r="B3417" s="0" t="s">
        <v>234</v>
      </c>
      <c r="C3417" s="30" t="n">
        <f aca="false">a25_ms</f>
        <v>339.628</v>
      </c>
      <c r="D3417" s="30" t="n">
        <f aca="false">a26_ms</f>
        <v>432.1302</v>
      </c>
      <c r="E3417" s="30" t="n">
        <f aca="false">D3417*(1+g_ms27)</f>
        <v>496.94973</v>
      </c>
      <c r="F3417" s="30" t="n">
        <f aca="false">E3417*(1+g_msL)</f>
        <v>531.7362111</v>
      </c>
      <c r="G3417" s="30" t="n">
        <f aca="false">F3417*(1+g_msL)</f>
        <v>568.957745877</v>
      </c>
    </row>
    <row r="3418" customFormat="false" ht="17.15" hidden="false" customHeight="false" outlineLevel="0" collapsed="false">
      <c r="A3418" s="4" t="s">
        <v>562</v>
      </c>
      <c r="B3418" s="0" t="s">
        <v>234</v>
      </c>
      <c r="C3418" s="30" t="n">
        <f aca="false">C3416+C3417</f>
        <v>389.228</v>
      </c>
      <c r="D3418" s="30" t="n">
        <f aca="false">D3416+D3417</f>
        <v>559.7302</v>
      </c>
      <c r="E3418" s="30" t="n">
        <f aca="false">E3416+E3417</f>
        <v>751.77489922219</v>
      </c>
      <c r="F3418" s="30" t="n">
        <f aca="false">F3416+F3417</f>
        <v>790.668551503407</v>
      </c>
      <c r="G3418" s="30" t="n">
        <f aca="false">G3416+G3417</f>
        <v>910.769576550745</v>
      </c>
    </row>
    <row r="3419" customFormat="false" ht="17.15" hidden="false" customHeight="false" outlineLevel="0" collapsed="false">
      <c r="A3419" s="0" t="s">
        <v>563</v>
      </c>
      <c r="B3419" s="0" t="s">
        <v>234</v>
      </c>
      <c r="C3419" s="30" t="n">
        <f aca="false">a25_ems</f>
        <v>259.079</v>
      </c>
      <c r="D3419" s="30" t="n">
        <f aca="false">a26_ems</f>
        <v>314.602</v>
      </c>
      <c r="E3419" s="30" t="n">
        <f aca="false">D3419*(1+g_ems27)</f>
        <v>346.0622</v>
      </c>
      <c r="F3419" s="30" t="n">
        <f aca="false">E3419*(1+g_emsL)</f>
        <v>363.36531</v>
      </c>
      <c r="G3419" s="30" t="n">
        <f aca="false">F3419*(1+g_emsL)</f>
        <v>381.5335755</v>
      </c>
    </row>
    <row r="3420" customFormat="false" ht="17.15" hidden="false" customHeight="false" outlineLevel="0" collapsed="false">
      <c r="A3420" s="4" t="s">
        <v>564</v>
      </c>
      <c r="B3420" s="0" t="s">
        <v>234</v>
      </c>
      <c r="C3420" s="30" t="n">
        <f aca="false">a25_elim</f>
        <v>-2.91899999999998</v>
      </c>
      <c r="D3420" s="30" t="n">
        <f aca="false">a26_elim</f>
        <v>-3.16484905982349</v>
      </c>
      <c r="E3420" s="30" t="n">
        <f aca="false">$D3420/($D3418+$D3419)*(E3418+E3419)</f>
        <v>-3.97387710450638</v>
      </c>
      <c r="F3420" s="30" t="n">
        <f aca="false">$D3420/($D3418+$D3419)*(F3418+F3419)</f>
        <v>-4.17729437573445</v>
      </c>
      <c r="G3420" s="30" t="n">
        <f aca="false">$D3420/($D3418+$D3419)*(G3418+G3419)</f>
        <v>-4.67779228052533</v>
      </c>
      <c r="K3420" s="4" t="s">
        <v>565</v>
      </c>
    </row>
    <row r="3421" customFormat="false" ht="17.15" hidden="false" customHeight="false" outlineLevel="0" collapsed="false">
      <c r="A3421" s="4" t="s">
        <v>431</v>
      </c>
      <c r="B3421" s="0" t="s">
        <v>234</v>
      </c>
      <c r="C3421" s="30" t="n">
        <f aca="false">C3418+C3419+C3420</f>
        <v>645.388</v>
      </c>
      <c r="D3421" s="30" t="n">
        <f aca="false">D3418+D3419+D3420</f>
        <v>871.167350940177</v>
      </c>
      <c r="E3421" s="30" t="n">
        <f aca="false">E3418+E3419+E3420</f>
        <v>1093.86322211768</v>
      </c>
      <c r="F3421" s="30" t="n">
        <f aca="false">F3418+F3419+F3420</f>
        <v>1149.85656712767</v>
      </c>
      <c r="G3421" s="30" t="n">
        <f aca="false">G3418+G3419+G3420</f>
        <v>1287.62535977022</v>
      </c>
      <c r="H3421" s="31" t="n">
        <f aca="false">G3421*(1+H3422)</f>
        <v>1407.64396999115</v>
      </c>
      <c r="I3421" s="31" t="n">
        <f aca="false">H3421*(1+I3422)</f>
        <v>1501.39957757674</v>
      </c>
      <c r="J3421" s="31" t="n">
        <f aca="false">I3421*(1+J3422)</f>
        <v>1561.45556067981</v>
      </c>
      <c r="K3421" s="8" t="s">
        <v>566</v>
      </c>
    </row>
    <row r="3422" customFormat="false" ht="15" hidden="false" customHeight="false" outlineLevel="0" collapsed="false">
      <c r="A3422" s="4" t="s">
        <v>567</v>
      </c>
      <c r="B3422" s="0" t="s">
        <v>76</v>
      </c>
      <c r="D3422" s="21" t="n">
        <f aca="false">D3421/C3421-1</f>
        <v>0.349835061916516</v>
      </c>
      <c r="E3422" s="21" t="n">
        <f aca="false">E3421/D3421-1</f>
        <v>0.255629266796065</v>
      </c>
      <c r="F3422" s="21" t="n">
        <f aca="false">F3421/E3421-1</f>
        <v>0.0511886165270159</v>
      </c>
      <c r="G3422" s="21" t="n">
        <f aca="false">G3421/F3421-1</f>
        <v>0.11981389382042</v>
      </c>
      <c r="H3422" s="26" t="n">
        <f aca="false">$G3422+(fade_gB-$G3422)*1/3</f>
        <v>0.0932092625469469</v>
      </c>
      <c r="I3422" s="26" t="n">
        <f aca="false">$G3422+(fade_gB-$G3422)*2/3</f>
        <v>0.0666046312734734</v>
      </c>
      <c r="J3422" s="26" t="n">
        <f aca="false">$G3422+(fade_gB-$G3422)*3/3</f>
        <v>0.04</v>
      </c>
    </row>
    <row r="3423" customFormat="false" ht="17.15" hidden="false" customHeight="false" outlineLevel="0" collapsed="false">
      <c r="A3423" s="0" t="s">
        <v>475</v>
      </c>
      <c r="B3423" s="0" t="s">
        <v>76</v>
      </c>
      <c r="C3423" s="21" t="n">
        <f aca="false">C3416/C3418</f>
        <v>0.127431736668482</v>
      </c>
      <c r="D3423" s="21" t="n">
        <f aca="false">D3416/D3418</f>
        <v>0.227966974088588</v>
      </c>
      <c r="E3423" s="21" t="n">
        <f aca="false">E3416/E3418</f>
        <v>0.338964721335922</v>
      </c>
      <c r="F3423" s="21" t="n">
        <f aca="false">F3416/F3418</f>
        <v>0.327485315953269</v>
      </c>
      <c r="G3423" s="21" t="n">
        <f aca="false">G3416/G3418</f>
        <v>0.375300009436251</v>
      </c>
    </row>
    <row r="3424" customFormat="false" ht="15" hidden="false" customHeight="false" outlineLevel="0" collapsed="false">
      <c r="A3424" s="4" t="s">
        <v>568</v>
      </c>
      <c r="B3424" s="0" t="s">
        <v>76</v>
      </c>
      <c r="D3424" s="21" t="n">
        <f aca="false">D3418/C3418-1</f>
        <v>0.438052247012034</v>
      </c>
      <c r="E3424" s="21" t="n">
        <f aca="false">E3418/D3418-1</f>
        <v>0.343102264666424</v>
      </c>
      <c r="F3424" s="21" t="n">
        <f aca="false">F3418/E3418-1</f>
        <v>0.0517357686741828</v>
      </c>
      <c r="G3424" s="21" t="n">
        <f aca="false">G3418/F3418-1</f>
        <v>0.151898067551788</v>
      </c>
    </row>
    <row r="3425" customFormat="false" ht="17.15" hidden="false" customHeight="false" outlineLevel="0" collapsed="false">
      <c r="A3425" s="6" t="s">
        <v>569</v>
      </c>
    </row>
    <row r="3426" customFormat="false" ht="17.15" hidden="false" customHeight="false" outlineLevel="0" collapsed="false">
      <c r="A3426" s="4" t="s">
        <v>570</v>
      </c>
      <c r="B3426" s="0" t="s">
        <v>120</v>
      </c>
      <c r="C3426" s="19" t="n">
        <f aca="false">capex25</f>
        <v>5.5</v>
      </c>
      <c r="D3426" s="19" t="n">
        <f aca="false">capex26</f>
        <v>11.5</v>
      </c>
      <c r="E3426" s="19" t="n">
        <f aca="false">capex27</f>
        <v>13</v>
      </c>
      <c r="F3426" s="19" t="n">
        <f aca="false">capi_lo*F3421/F3414</f>
        <v>7.90526389900275</v>
      </c>
      <c r="G3426" s="19" t="n">
        <f aca="false">capi_lo*G3421/G3414</f>
        <v>8.85242434842026</v>
      </c>
      <c r="K3426" s="8" t="s">
        <v>571</v>
      </c>
    </row>
    <row r="3427" customFormat="false" ht="15" hidden="false" customHeight="false" outlineLevel="0" collapsed="false">
      <c r="A3427" s="4" t="s">
        <v>572</v>
      </c>
      <c r="B3427" s="0" t="s">
        <v>234</v>
      </c>
      <c r="C3427" s="30" t="n">
        <f aca="false">C3426*C3414</f>
        <v>170.5</v>
      </c>
      <c r="D3427" s="30" t="n">
        <f aca="false">D3426*31.9</f>
        <v>366.85</v>
      </c>
      <c r="E3427" s="30" t="n">
        <f aca="false">E3426*E3414</f>
        <v>416</v>
      </c>
      <c r="F3427" s="30" t="n">
        <f aca="false">F3426*F3414</f>
        <v>252.968444768088</v>
      </c>
      <c r="G3427" s="30" t="n">
        <f aca="false">G3426*G3414</f>
        <v>283.277579149448</v>
      </c>
    </row>
    <row r="3428" customFormat="false" ht="17.15" hidden="false" customHeight="false" outlineLevel="0" collapsed="false">
      <c r="A3428" s="4" t="s">
        <v>473</v>
      </c>
      <c r="B3428" s="0" t="s">
        <v>76</v>
      </c>
      <c r="C3428" s="21" t="n">
        <f aca="false">C3427/C3421</f>
        <v>0.264182166386732</v>
      </c>
      <c r="D3428" s="21" t="n">
        <f aca="false">D3427/D3421</f>
        <v>0.421101639775745</v>
      </c>
      <c r="E3428" s="21" t="n">
        <f aca="false">E3427/E3421</f>
        <v>0.380303489127861</v>
      </c>
      <c r="F3428" s="21" t="n">
        <f aca="false">F3427/F3421</f>
        <v>0.22</v>
      </c>
      <c r="G3428" s="21" t="n">
        <f aca="false">G3427/G3421</f>
        <v>0.22</v>
      </c>
    </row>
    <row r="3429" customFormat="false" ht="17.15" hidden="false" customHeight="false" outlineLevel="0" collapsed="false">
      <c r="A3429" s="4" t="s">
        <v>573</v>
      </c>
      <c r="B3429" s="0" t="s">
        <v>234</v>
      </c>
      <c r="C3429" s="30" t="n">
        <f aca="false">a25_da</f>
        <v>75.255</v>
      </c>
      <c r="D3429" s="30" t="n">
        <f aca="false">a26_da</f>
        <v>97.124</v>
      </c>
      <c r="E3429" s="30" t="n">
        <f aca="false">D3429*(1-1/life)+D3427/life</f>
        <v>130.83975</v>
      </c>
      <c r="F3429" s="30" t="n">
        <f aca="false">E3429*(1-1/life)+E3427/life</f>
        <v>166.48478125</v>
      </c>
      <c r="G3429" s="30" t="n">
        <f aca="false">F3429*(1-1/life)+F3427/life</f>
        <v>177.295239189761</v>
      </c>
      <c r="K3429" s="4" t="s">
        <v>574</v>
      </c>
    </row>
    <row r="3430" customFormat="false" ht="17.15" hidden="false" customHeight="false" outlineLevel="0" collapsed="false">
      <c r="A3430" s="4" t="s">
        <v>575</v>
      </c>
      <c r="B3430" s="0" t="s">
        <v>234</v>
      </c>
      <c r="C3430" s="30" t="n">
        <f aca="false">a25_agp</f>
        <v>91.38</v>
      </c>
      <c r="D3430" s="30" t="n">
        <f aca="false">a26_agp</f>
        <v>164.623388</v>
      </c>
      <c r="E3430" s="30" t="n">
        <f aca="false">$D3430+ft*(E3418-$D3418)-(E3429-$D3429)</f>
        <v>226.929987611095</v>
      </c>
      <c r="F3430" s="30" t="n">
        <f aca="false">$D3430+ft*(F3418-$D3418)-(F3429-$D3429)</f>
        <v>210.731782501703</v>
      </c>
      <c r="G3430" s="30" t="n">
        <f aca="false">$D3430+ft*(G3418-$D3418)-(G3429-$D3429)</f>
        <v>259.971837085612</v>
      </c>
      <c r="K3430" s="4" t="s">
        <v>576</v>
      </c>
    </row>
    <row r="3431" customFormat="false" ht="15" hidden="false" customHeight="false" outlineLevel="0" collapsed="false">
      <c r="A3431" s="4" t="s">
        <v>447</v>
      </c>
      <c r="B3431" s="0" t="s">
        <v>76</v>
      </c>
      <c r="C3431" s="14" t="n">
        <f aca="false">C3430/C3418</f>
        <v>0.234772421305764</v>
      </c>
      <c r="D3431" s="14" t="n">
        <f aca="false">D3430/D3418</f>
        <v>0.294112034690999</v>
      </c>
      <c r="E3431" s="14" t="n">
        <f aca="false">E3430/E3418</f>
        <v>0.301858957842147</v>
      </c>
      <c r="F3431" s="14" t="n">
        <f aca="false">F3430/F3418</f>
        <v>0.26652354150296</v>
      </c>
      <c r="G3431" s="14" t="n">
        <f aca="false">G3430/G3418</f>
        <v>0.285441942483601</v>
      </c>
    </row>
    <row r="3432" customFormat="false" ht="17.15" hidden="false" customHeight="false" outlineLevel="0" collapsed="false">
      <c r="A3432" s="0" t="s">
        <v>449</v>
      </c>
      <c r="B3432" s="0" t="s">
        <v>234</v>
      </c>
      <c r="C3432" s="30" t="n">
        <f aca="false">a25_egp</f>
        <v>23.695</v>
      </c>
      <c r="D3432" s="30" t="n">
        <f aca="false">a26_egp</f>
        <v>27.00552</v>
      </c>
      <c r="E3432" s="30" t="n">
        <f aca="false">E3419*ems_gm</f>
        <v>29.415287</v>
      </c>
      <c r="F3432" s="30" t="n">
        <f aca="false">F3419*ems_gm</f>
        <v>30.88605135</v>
      </c>
      <c r="G3432" s="30" t="n">
        <f aca="false">G3419*ems_gm</f>
        <v>32.4303539175</v>
      </c>
    </row>
    <row r="3433" customFormat="false" ht="15" hidden="false" customHeight="false" outlineLevel="0" collapsed="false">
      <c r="A3433" s="4" t="s">
        <v>577</v>
      </c>
      <c r="B3433" s="0" t="s">
        <v>234</v>
      </c>
      <c r="C3433" s="30" t="n">
        <f aca="false">a25_lgp</f>
        <v>-0.881999999999998</v>
      </c>
      <c r="D3433" s="30" t="n">
        <f aca="false">a26_lgp</f>
        <v>-0.948662139013863</v>
      </c>
      <c r="E3433" s="30" t="n">
        <f aca="false">$D3433/$D3420*E3420</f>
        <v>-1.19116794604716</v>
      </c>
      <c r="F3433" s="30" t="n">
        <f aca="false">$D3433/$D3420*F3420</f>
        <v>-1.25214218525664</v>
      </c>
      <c r="G3433" s="30" t="n">
        <f aca="false">$D3433/$D3420*G3420</f>
        <v>-1.40216621608905</v>
      </c>
    </row>
    <row r="3434" customFormat="false" ht="15" hidden="false" customHeight="false" outlineLevel="0" collapsed="false">
      <c r="A3434" s="4" t="s">
        <v>451</v>
      </c>
      <c r="B3434" s="0" t="s">
        <v>234</v>
      </c>
      <c r="C3434" s="30" t="n">
        <f aca="false">C3430+C3432+C3433</f>
        <v>114.193</v>
      </c>
      <c r="D3434" s="30" t="n">
        <f aca="false">D3430+D3432+D3433</f>
        <v>190.680245860986</v>
      </c>
      <c r="E3434" s="30" t="n">
        <f aca="false">E3430+E3432+E3433</f>
        <v>255.154106665048</v>
      </c>
      <c r="F3434" s="30" t="n">
        <f aca="false">F3430+F3432+F3433</f>
        <v>240.365691666447</v>
      </c>
      <c r="G3434" s="30" t="n">
        <f aca="false">G3430+G3432+G3433</f>
        <v>291.000024787023</v>
      </c>
    </row>
    <row r="3435" customFormat="false" ht="15" hidden="false" customHeight="false" outlineLevel="0" collapsed="false">
      <c r="A3435" s="4" t="s">
        <v>452</v>
      </c>
      <c r="B3435" s="0" t="s">
        <v>76</v>
      </c>
      <c r="C3435" s="14" t="n">
        <f aca="false">C3434/C3421</f>
        <v>0.176936974347214</v>
      </c>
      <c r="D3435" s="14" t="n">
        <f aca="false">D3434/D3421</f>
        <v>0.218879008327391</v>
      </c>
      <c r="E3435" s="14" t="n">
        <f aca="false">E3434/E3421</f>
        <v>0.233259608245241</v>
      </c>
      <c r="F3435" s="14" t="n">
        <f aca="false">F3434/F3421</f>
        <v>0.209039717246541</v>
      </c>
      <c r="G3435" s="14" t="n">
        <f aca="false">G3434/G3421</f>
        <v>0.225997432078343</v>
      </c>
    </row>
    <row r="3436" customFormat="false" ht="15" hidden="false" customHeight="false" outlineLevel="0" collapsed="false">
      <c r="A3436" s="4" t="s">
        <v>578</v>
      </c>
      <c r="B3436" s="0" t="s">
        <v>234</v>
      </c>
      <c r="C3436" s="30" t="n">
        <f aca="false">a25_opx</f>
        <v>63.437</v>
      </c>
      <c r="D3436" s="30" t="n">
        <f aca="false">a26_opx</f>
        <v>79.658</v>
      </c>
      <c r="E3436" s="30" t="n">
        <f aca="false">D3436*(1+phi*E3422)</f>
        <v>91.8757496806646</v>
      </c>
      <c r="F3436" s="30" t="n">
        <f aca="false">E3436*(1+phi*F3422)</f>
        <v>94.6975451917859</v>
      </c>
      <c r="G3436" s="30" t="n">
        <f aca="false">F3436*(1+phi*G3422)</f>
        <v>101.505194166584</v>
      </c>
    </row>
    <row r="3437" customFormat="false" ht="15" hidden="false" customHeight="false" outlineLevel="0" collapsed="false">
      <c r="A3437" s="4" t="s">
        <v>455</v>
      </c>
      <c r="B3437" s="0" t="s">
        <v>234</v>
      </c>
      <c r="C3437" s="30" t="n">
        <f aca="false">C3434-C3436</f>
        <v>50.756</v>
      </c>
      <c r="D3437" s="30" t="n">
        <f aca="false">D3434-D3436</f>
        <v>111.022245860986</v>
      </c>
      <c r="E3437" s="30" t="n">
        <f aca="false">E3434-E3436</f>
        <v>163.278356984383</v>
      </c>
      <c r="F3437" s="30" t="n">
        <f aca="false">F3434-F3436</f>
        <v>145.668146474661</v>
      </c>
      <c r="G3437" s="30" t="n">
        <f aca="false">G3434-G3436</f>
        <v>189.494830620439</v>
      </c>
    </row>
    <row r="3438" customFormat="false" ht="15" hidden="false" customHeight="false" outlineLevel="0" collapsed="false">
      <c r="A3438" s="4" t="s">
        <v>537</v>
      </c>
      <c r="B3438" s="0" t="s">
        <v>76</v>
      </c>
      <c r="C3438" s="14" t="n">
        <f aca="false">C3437/C3421</f>
        <v>0.0786441644406156</v>
      </c>
      <c r="D3438" s="14" t="n">
        <f aca="false">D3437/D3421</f>
        <v>0.127440779020437</v>
      </c>
      <c r="E3438" s="14" t="n">
        <f aca="false">E3437/E3421</f>
        <v>0.149267617452465</v>
      </c>
      <c r="F3438" s="14" t="n">
        <f aca="false">F3437/F3421</f>
        <v>0.126683753990759</v>
      </c>
      <c r="G3438" s="14" t="n">
        <f aca="false">G3437/G3421</f>
        <v>0.147166121871236</v>
      </c>
    </row>
    <row r="3439" customFormat="false" ht="15" hidden="false" customHeight="false" outlineLevel="0" collapsed="false">
      <c r="A3439" s="4" t="s">
        <v>456</v>
      </c>
      <c r="B3439" s="0" t="s">
        <v>234</v>
      </c>
      <c r="C3439" s="30" t="n">
        <f aca="false">a25_nonop</f>
        <v>0.545</v>
      </c>
      <c r="D3439" s="30" t="n">
        <f aca="false">a26_nonop</f>
        <v>4.302</v>
      </c>
      <c r="E3439" s="30" t="n">
        <f aca="false">nonop_f</f>
        <v>-5</v>
      </c>
      <c r="F3439" s="30" t="n">
        <f aca="false">nonop_f</f>
        <v>-5</v>
      </c>
      <c r="G3439" s="30" t="n">
        <f aca="false">nonop_f</f>
        <v>-5</v>
      </c>
    </row>
    <row r="3440" customFormat="false" ht="15" hidden="false" customHeight="false" outlineLevel="0" collapsed="false">
      <c r="A3440" s="4" t="s">
        <v>459</v>
      </c>
      <c r="B3440" s="0" t="s">
        <v>234</v>
      </c>
      <c r="C3440" s="30" t="n">
        <f aca="false">C3437+C3439</f>
        <v>51.301</v>
      </c>
      <c r="D3440" s="30" t="n">
        <f aca="false">D3437+D3439</f>
        <v>115.324245860986</v>
      </c>
      <c r="E3440" s="30" t="n">
        <f aca="false">E3437+E3439</f>
        <v>158.278356984383</v>
      </c>
      <c r="F3440" s="30" t="n">
        <f aca="false">F3437+F3439</f>
        <v>140.668146474661</v>
      </c>
      <c r="G3440" s="30" t="n">
        <f aca="false">G3437+G3439</f>
        <v>184.494830620439</v>
      </c>
    </row>
    <row r="3441" customFormat="false" ht="15" hidden="false" customHeight="false" outlineLevel="0" collapsed="false">
      <c r="A3441" s="4" t="s">
        <v>460</v>
      </c>
      <c r="B3441" s="0" t="s">
        <v>234</v>
      </c>
      <c r="C3441" s="30" t="n">
        <f aca="false">a25_tax</f>
        <v>9.461</v>
      </c>
      <c r="D3441" s="30" t="n">
        <f aca="false">a26_tax</f>
        <v>19.2197317963676</v>
      </c>
      <c r="E3441" s="30" t="n">
        <f aca="false">E3440*tax</f>
        <v>26.9073206873452</v>
      </c>
      <c r="F3441" s="30" t="n">
        <f aca="false">F3440*tax</f>
        <v>23.9135849006923</v>
      </c>
      <c r="G3441" s="30" t="n">
        <f aca="false">G3440*tax</f>
        <v>31.3641212054746</v>
      </c>
    </row>
    <row r="3442" customFormat="false" ht="15" hidden="false" customHeight="false" outlineLevel="0" collapsed="false">
      <c r="A3442" s="4" t="s">
        <v>461</v>
      </c>
      <c r="B3442" s="0" t="s">
        <v>234</v>
      </c>
      <c r="C3442" s="30" t="n">
        <f aca="false">a25_nci</f>
        <v>1.182</v>
      </c>
      <c r="D3442" s="30" t="n">
        <f aca="false">a26_nci</f>
        <v>2.543</v>
      </c>
      <c r="E3442" s="30" t="n">
        <f aca="false">nci</f>
        <v>3</v>
      </c>
      <c r="F3442" s="30" t="n">
        <f aca="false">nci</f>
        <v>3</v>
      </c>
      <c r="G3442" s="30" t="n">
        <f aca="false">nci</f>
        <v>3</v>
      </c>
    </row>
    <row r="3443" customFormat="false" ht="15" hidden="false" customHeight="false" outlineLevel="0" collapsed="false">
      <c r="A3443" s="4" t="s">
        <v>462</v>
      </c>
      <c r="B3443" s="0" t="s">
        <v>234</v>
      </c>
      <c r="C3443" s="30" t="n">
        <f aca="false">C3440-C3441-C3442</f>
        <v>40.658</v>
      </c>
      <c r="D3443" s="30" t="n">
        <f aca="false">D3440-D3441-D3442</f>
        <v>93.5615140646185</v>
      </c>
      <c r="E3443" s="30" t="n">
        <f aca="false">E3440-E3441-E3442</f>
        <v>128.371036297038</v>
      </c>
      <c r="F3443" s="30" t="n">
        <f aca="false">F3440-F3441-F3442</f>
        <v>113.754561573968</v>
      </c>
      <c r="G3443" s="30" t="n">
        <f aca="false">G3440-G3441-G3442</f>
        <v>150.130709414964</v>
      </c>
      <c r="H3443" s="31" t="n">
        <f aca="false">H3421*H3447</f>
        <v>155.523458435047</v>
      </c>
      <c r="I3443" s="31" t="n">
        <f aca="false">I3421*I3447</f>
        <v>156.708362657823</v>
      </c>
      <c r="J3443" s="31" t="n">
        <f aca="false">J3421*J3447</f>
        <v>153.436071648244</v>
      </c>
    </row>
    <row r="3444" customFormat="false" ht="15" hidden="false" customHeight="false" outlineLevel="0" collapsed="false">
      <c r="A3444" s="4" t="s">
        <v>579</v>
      </c>
      <c r="B3444" s="4" t="s">
        <v>580</v>
      </c>
      <c r="C3444" s="18" t="n">
        <f aca="false">a25_sh</f>
        <v>4339.16755602988</v>
      </c>
      <c r="D3444" s="18" t="n">
        <f aca="false">a26_sh</f>
        <v>4392.90105184664</v>
      </c>
      <c r="E3444" s="18" t="n">
        <f aca="false">D3444*(1+sh_g)</f>
        <v>4414.86555710588</v>
      </c>
      <c r="F3444" s="18" t="n">
        <f aca="false">E3444*(1+sh_g)</f>
        <v>4436.9398848914</v>
      </c>
      <c r="G3444" s="18" t="n">
        <f aca="false">F3444*(1+sh_g)</f>
        <v>4459.12458431586</v>
      </c>
      <c r="H3444" s="25" t="n">
        <f aca="false">G3444*(1+sh_g)</f>
        <v>4481.42020723744</v>
      </c>
      <c r="I3444" s="25" t="n">
        <f aca="false">H3444*(1+sh_g)</f>
        <v>4503.82730827363</v>
      </c>
      <c r="J3444" s="25" t="n">
        <f aca="false">I3444*(1+sh_g)</f>
        <v>4526.34644481499</v>
      </c>
    </row>
    <row r="3445" customFormat="false" ht="17.15" hidden="false" customHeight="false" outlineLevel="0" collapsed="false">
      <c r="A3445" s="0" t="s">
        <v>465</v>
      </c>
      <c r="B3445" s="0" t="s">
        <v>304</v>
      </c>
      <c r="C3445" s="19" t="n">
        <f aca="false">a25_eps</f>
        <v>9.37</v>
      </c>
      <c r="D3445" s="19" t="n">
        <f aca="false">a26_eps</f>
        <v>21.2828697294455</v>
      </c>
      <c r="E3445" s="19" t="n">
        <f aca="false">E3443/E3444*1000</f>
        <v>29.0769978466096</v>
      </c>
      <c r="F3445" s="19" t="n">
        <f aca="false">F3443/F3444*1000</f>
        <v>25.638066894105</v>
      </c>
      <c r="G3445" s="19" t="n">
        <f aca="false">G3443/G3444*1000</f>
        <v>33.6682024859814</v>
      </c>
      <c r="H3445" s="28" t="n">
        <f aca="false">H3443/H3444*1000</f>
        <v>34.7040561346777</v>
      </c>
      <c r="I3445" s="28" t="n">
        <f aca="false">I3443/I3444*1000</f>
        <v>34.7944874284915</v>
      </c>
      <c r="J3445" s="28" t="n">
        <f aca="false">J3443/J3444*1000</f>
        <v>33.8984374083887</v>
      </c>
    </row>
    <row r="3446" customFormat="false" ht="17.15" hidden="false" customHeight="false" outlineLevel="0" collapsed="false">
      <c r="A3446" s="0" t="s">
        <v>581</v>
      </c>
      <c r="B3446" s="0" t="s">
        <v>76</v>
      </c>
      <c r="D3446" s="21" t="n">
        <f aca="false">D3445/C3445-1</f>
        <v>1.27138417603474</v>
      </c>
      <c r="E3446" s="21" t="n">
        <f aca="false">E3445/D3445-1</f>
        <v>0.366216032717646</v>
      </c>
      <c r="F3446" s="21" t="n">
        <f aca="false">F3445/E3445-1</f>
        <v>-0.118269807998955</v>
      </c>
      <c r="G3446" s="21" t="n">
        <f aca="false">G3445/F3445-1</f>
        <v>0.313211429903976</v>
      </c>
      <c r="H3446" s="26" t="n">
        <f aca="false">H3445/G3445-1</f>
        <v>0.030766526639715</v>
      </c>
      <c r="I3446" s="26" t="n">
        <f aca="false">I3445/H3445-1</f>
        <v>0.00260578456485905</v>
      </c>
      <c r="J3446" s="26" t="n">
        <f aca="false">J3445/I3445-1</f>
        <v>-0.0257526432008596</v>
      </c>
    </row>
    <row r="3447" customFormat="false" ht="17.15" hidden="false" customHeight="false" outlineLevel="0" collapsed="false">
      <c r="A3447" s="4" t="s">
        <v>582</v>
      </c>
      <c r="B3447" s="0" t="s">
        <v>76</v>
      </c>
      <c r="C3447" s="14" t="n">
        <f aca="false">C3443/C3421</f>
        <v>0.0629977625862272</v>
      </c>
      <c r="D3447" s="14" t="n">
        <f aca="false">D3443/D3421</f>
        <v>0.107397865592237</v>
      </c>
      <c r="E3447" s="14" t="n">
        <f aca="false">E3443/E3421</f>
        <v>0.117355656266161</v>
      </c>
      <c r="F3447" s="14" t="n">
        <f aca="false">F3443/F3421</f>
        <v>0.0989293489518662</v>
      </c>
      <c r="G3447" s="14" t="n">
        <f aca="false">G3443/G3421</f>
        <v>0.116595023758895</v>
      </c>
      <c r="H3447" s="27" t="n">
        <f aca="false">$G3447+(fade_mB-$G3447)*1/3</f>
        <v>0.110484939196681</v>
      </c>
      <c r="I3447" s="27" t="n">
        <f aca="false">$G3447+(fade_mB-$G3447)*2/3</f>
        <v>0.104374854634468</v>
      </c>
      <c r="J3447" s="27" t="n">
        <f aca="false">$G3447+(fade_mB-$G3447)*3/3</f>
        <v>0.0982647700722541</v>
      </c>
    </row>
    <row r="3448" customFormat="false" ht="17.15" hidden="false" customHeight="false" outlineLevel="0" collapsed="false">
      <c r="A3448" s="4" t="s">
        <v>583</v>
      </c>
      <c r="B3448" s="0" t="s">
        <v>234</v>
      </c>
      <c r="C3448" s="30" t="n">
        <f aca="false">C3443+C3429-C3427</f>
        <v>-54.587</v>
      </c>
      <c r="D3448" s="30" t="n">
        <f aca="false">D3443+D3429-D3427</f>
        <v>-176.164485935382</v>
      </c>
      <c r="E3448" s="30" t="n">
        <f aca="false">E3443+E3429-E3427</f>
        <v>-156.789213702962</v>
      </c>
      <c r="F3448" s="30" t="n">
        <f aca="false">F3443+F3429-F3427</f>
        <v>27.2708980558805</v>
      </c>
      <c r="G3448" s="30" t="n">
        <f aca="false">G3443+G3429-G3427</f>
        <v>44.1483694552768</v>
      </c>
      <c r="K3448" s="4" t="s">
        <v>584</v>
      </c>
    </row>
    <row r="3449" customFormat="false" ht="17.15" hidden="false" customHeight="false" outlineLevel="0" collapsed="false">
      <c r="A3449" s="4" t="s">
        <v>585</v>
      </c>
      <c r="B3449" s="0" t="s">
        <v>76</v>
      </c>
      <c r="D3449" s="21" t="n">
        <f aca="false">(D3437-$C3437)/SUM($D3427:D3427)</f>
        <v>0.164280348537512</v>
      </c>
      <c r="E3449" s="21" t="n">
        <f aca="false">(E3437-$C3437)/SUM($D3427:E3427)</f>
        <v>0.143734249197654</v>
      </c>
      <c r="F3449" s="21" t="n">
        <f aca="false">(F3437-$C3437)/SUM($D3427:F3427)</f>
        <v>0.0916300988402566</v>
      </c>
      <c r="G3449" s="21" t="n">
        <f aca="false">(G3437-$C3437)/SUM($D3427:G3427)</f>
        <v>0.105177203255001</v>
      </c>
      <c r="K3449" s="4" t="s">
        <v>586</v>
      </c>
    </row>
    <row r="3452" customFormat="false" ht="17.15" hidden="false" customHeight="false" outlineLevel="0" collapsed="false">
      <c r="A3452" s="1" t="s">
        <v>984</v>
      </c>
    </row>
    <row r="3453" customFormat="false" ht="17.15" hidden="false" customHeight="false" outlineLevel="0" collapsed="false">
      <c r="A3453" s="5" t="s">
        <v>21</v>
      </c>
      <c r="B3453" s="5" t="s">
        <v>22</v>
      </c>
      <c r="C3453" s="15" t="s">
        <v>424</v>
      </c>
      <c r="D3453" s="15" t="s">
        <v>524</v>
      </c>
      <c r="E3453" s="15" t="s">
        <v>525</v>
      </c>
      <c r="F3453" s="15" t="s">
        <v>526</v>
      </c>
      <c r="G3453" s="15" t="s">
        <v>527</v>
      </c>
      <c r="H3453" s="15" t="s">
        <v>528</v>
      </c>
      <c r="I3453" s="15" t="s">
        <v>529</v>
      </c>
      <c r="J3453" s="15" t="s">
        <v>530</v>
      </c>
      <c r="K3453" s="5" t="s">
        <v>382</v>
      </c>
    </row>
    <row r="3454" customFormat="false" ht="17.15" hidden="false" customHeight="false" outlineLevel="0" collapsed="false">
      <c r="A3454" s="6" t="s">
        <v>548</v>
      </c>
    </row>
    <row r="3455" customFormat="false" ht="17.15" hidden="false" customHeight="false" outlineLevel="0" collapsed="false">
      <c r="A3455" s="0" t="s">
        <v>549</v>
      </c>
      <c r="B3455" s="4" t="s">
        <v>32</v>
      </c>
      <c r="D3455" s="19" t="n">
        <f aca="false">units_26</f>
        <v>15.2</v>
      </c>
      <c r="E3455" s="19" t="n">
        <f aca="false">units_27*1</f>
        <v>23.7</v>
      </c>
      <c r="F3455" s="19" t="n">
        <f aca="false">units_28*um28_C*1</f>
        <v>15.9</v>
      </c>
      <c r="G3455" s="19" t="n">
        <f aca="false">units_29*um29_C*1</f>
        <v>18.09</v>
      </c>
    </row>
    <row r="3456" customFormat="false" ht="17.15" hidden="false" customHeight="false" outlineLevel="0" collapsed="false">
      <c r="A3456" s="4" t="s">
        <v>497</v>
      </c>
      <c r="B3456" s="0" t="s">
        <v>45</v>
      </c>
      <c r="D3456" s="22" t="n">
        <f aca="false">ar_26</f>
        <v>1</v>
      </c>
      <c r="E3456" s="22" t="n">
        <f aca="false">ar_27</f>
        <v>1.278156</v>
      </c>
      <c r="F3456" s="22" t="n">
        <f aca="false">ar_28</f>
        <v>1.428615</v>
      </c>
      <c r="G3456" s="22" t="n">
        <f aca="false">ar_29</f>
        <v>1.431796</v>
      </c>
    </row>
    <row r="3457" customFormat="false" ht="17.15" hidden="false" customHeight="false" outlineLevel="0" collapsed="false">
      <c r="A3457" s="4" t="s">
        <v>550</v>
      </c>
      <c r="B3457" s="0" t="s">
        <v>45</v>
      </c>
      <c r="D3457" s="19" t="n">
        <f aca="false">1</f>
        <v>1</v>
      </c>
      <c r="E3457" s="19" t="n">
        <f aca="false">rel27_C</f>
        <v>1</v>
      </c>
      <c r="F3457" s="19" t="n">
        <f aca="false">rel28_C</f>
        <v>0.95</v>
      </c>
      <c r="G3457" s="19" t="n">
        <f aca="false">rel29_C</f>
        <v>0.92</v>
      </c>
    </row>
    <row r="3458" customFormat="false" ht="17.15" hidden="false" customHeight="false" outlineLevel="0" collapsed="false">
      <c r="A3458" s="4" t="s">
        <v>551</v>
      </c>
      <c r="B3458" s="0" t="s">
        <v>502</v>
      </c>
      <c r="D3458" s="23" t="n">
        <f aca="false">D3459*1000/D3455</f>
        <v>236.842105263158</v>
      </c>
      <c r="E3458" s="23" t="n">
        <f aca="false">$D3458*E3456^el</f>
        <v>267.763172119488</v>
      </c>
      <c r="F3458" s="23" t="n">
        <f aca="false">$D3458*F3456^el</f>
        <v>283.084777049615</v>
      </c>
      <c r="G3458" s="23" t="n">
        <f aca="false">$D3458*G3456^el</f>
        <v>283.399764630809</v>
      </c>
      <c r="K3458" s="8" t="s">
        <v>552</v>
      </c>
    </row>
    <row r="3459" customFormat="false" ht="17.15" hidden="false" customHeight="false" outlineLevel="0" collapsed="false">
      <c r="A3459" s="0" t="s">
        <v>553</v>
      </c>
      <c r="B3459" s="0" t="s">
        <v>120</v>
      </c>
      <c r="D3459" s="22" t="n">
        <f aca="false">leap26-D3460-D3461</f>
        <v>3.6</v>
      </c>
      <c r="E3459" s="22" t="n">
        <f aca="false">E3455*E3457*E3458/1000</f>
        <v>6.34598717923185</v>
      </c>
      <c r="F3459" s="22" t="n">
        <f aca="false">F3455*F3457*F3458/1000</f>
        <v>4.27599555733443</v>
      </c>
      <c r="G3459" s="22" t="n">
        <f aca="false">G3455*G3457*G3458/1000</f>
        <v>4.71656560279762</v>
      </c>
      <c r="K3459" s="8" t="s">
        <v>554</v>
      </c>
    </row>
    <row r="3460" customFormat="false" ht="17.15" hidden="false" customHeight="false" outlineLevel="0" collapsed="false">
      <c r="A3460" s="4" t="s">
        <v>555</v>
      </c>
      <c r="B3460" s="0" t="s">
        <v>120</v>
      </c>
      <c r="D3460" s="22" t="n">
        <f aca="false">fp26</f>
        <v>0.3</v>
      </c>
      <c r="E3460" s="22" t="n">
        <f aca="false">fp27_C</f>
        <v>0.7</v>
      </c>
      <c r="F3460" s="22" t="n">
        <f aca="false">E3460*F3455/E3455*(1+fp_g)</f>
        <v>0.610506329113924</v>
      </c>
      <c r="G3460" s="22" t="n">
        <f aca="false">F3460*G3455/F3455*(1+fp_g)</f>
        <v>0.902973417721519</v>
      </c>
    </row>
    <row r="3461" customFormat="false" ht="17.15" hidden="false" customHeight="false" outlineLevel="0" collapsed="false">
      <c r="A3461" s="0" t="s">
        <v>556</v>
      </c>
      <c r="B3461" s="0" t="s">
        <v>120</v>
      </c>
      <c r="D3461" s="22" t="n">
        <f aca="false">cpo27*cpo_C_26/cpo_A_27</f>
        <v>0.1</v>
      </c>
      <c r="E3461" s="22" t="n">
        <f aca="false">cpo27*cpo_C_27/cpo_A_27</f>
        <v>0.2</v>
      </c>
      <c r="F3461" s="22" t="n">
        <f aca="false">cpo27*cpo_C_28/cpo_A_27*F3455/E3455</f>
        <v>0.20126582278481</v>
      </c>
      <c r="G3461" s="22" t="n">
        <f aca="false">cpo27*cpo_C_29/cpo_A_27*G3455/E3455</f>
        <v>0.381645569620253</v>
      </c>
      <c r="K3461" s="8" t="s">
        <v>557</v>
      </c>
    </row>
    <row r="3462" customFormat="false" ht="17.15" hidden="false" customHeight="false" outlineLevel="0" collapsed="false">
      <c r="A3462" s="0" t="s">
        <v>510</v>
      </c>
      <c r="B3462" s="0" t="s">
        <v>120</v>
      </c>
      <c r="C3462" s="22" t="n">
        <f aca="false">leap25</f>
        <v>1.6</v>
      </c>
      <c r="D3462" s="22" t="n">
        <f aca="false">D3459+D3460+D3461</f>
        <v>4</v>
      </c>
      <c r="E3462" s="22" t="n">
        <f aca="false">E3459+E3460+E3461</f>
        <v>7.24598717923186</v>
      </c>
      <c r="F3462" s="22" t="n">
        <f aca="false">F3459+F3460+F3461</f>
        <v>5.08776770923316</v>
      </c>
      <c r="G3462" s="22" t="n">
        <f aca="false">G3459+G3460+G3461</f>
        <v>6.0011845901394</v>
      </c>
    </row>
    <row r="3463" customFormat="false" ht="17.15" hidden="false" customHeight="false" outlineLevel="0" collapsed="false">
      <c r="A3463" s="4" t="s">
        <v>558</v>
      </c>
      <c r="B3463" s="0" t="s">
        <v>114</v>
      </c>
      <c r="C3463" s="19" t="n">
        <f aca="false">fx25</f>
        <v>31</v>
      </c>
      <c r="D3463" s="19" t="n">
        <f aca="false">a26_leap/D3462</f>
        <v>31.9</v>
      </c>
      <c r="E3463" s="19" t="n">
        <f aca="false">fx</f>
        <v>32</v>
      </c>
      <c r="F3463" s="19" t="n">
        <f aca="false">fx</f>
        <v>32</v>
      </c>
      <c r="G3463" s="19" t="n">
        <f aca="false">fx</f>
        <v>32</v>
      </c>
      <c r="K3463" s="8" t="s">
        <v>559</v>
      </c>
    </row>
    <row r="3464" customFormat="false" ht="17.15" hidden="false" customHeight="false" outlineLevel="0" collapsed="false">
      <c r="A3464" s="6" t="s">
        <v>560</v>
      </c>
    </row>
    <row r="3465" customFormat="false" ht="17.15" hidden="false" customHeight="false" outlineLevel="0" collapsed="false">
      <c r="A3465" s="0" t="s">
        <v>438</v>
      </c>
      <c r="B3465" s="0" t="s">
        <v>234</v>
      </c>
      <c r="C3465" s="30" t="n">
        <f aca="false">a25_leap</f>
        <v>49.6</v>
      </c>
      <c r="D3465" s="30" t="n">
        <f aca="false">a26_leap</f>
        <v>127.6</v>
      </c>
      <c r="E3465" s="30" t="n">
        <f aca="false">E3462*E3463</f>
        <v>231.871589735419</v>
      </c>
      <c r="F3465" s="30" t="n">
        <f aca="false">F3462*F3463</f>
        <v>162.808566695461</v>
      </c>
      <c r="G3465" s="30" t="n">
        <f aca="false">G3462*G3463</f>
        <v>192.037906884461</v>
      </c>
    </row>
    <row r="3466" customFormat="false" ht="15" hidden="false" customHeight="false" outlineLevel="0" collapsed="false">
      <c r="A3466" s="4" t="s">
        <v>561</v>
      </c>
      <c r="B3466" s="0" t="s">
        <v>234</v>
      </c>
      <c r="C3466" s="30" t="n">
        <f aca="false">a25_ms</f>
        <v>339.628</v>
      </c>
      <c r="D3466" s="30" t="n">
        <f aca="false">a26_ms</f>
        <v>432.1302</v>
      </c>
      <c r="E3466" s="30" t="n">
        <f aca="false">D3466*(1+g_ms27)</f>
        <v>496.94973</v>
      </c>
      <c r="F3466" s="30" t="n">
        <f aca="false">E3466*(1+g_msL)</f>
        <v>531.7362111</v>
      </c>
      <c r="G3466" s="30" t="n">
        <f aca="false">F3466*(1+g_msL)</f>
        <v>568.957745877</v>
      </c>
    </row>
    <row r="3467" customFormat="false" ht="17.15" hidden="false" customHeight="false" outlineLevel="0" collapsed="false">
      <c r="A3467" s="4" t="s">
        <v>562</v>
      </c>
      <c r="B3467" s="0" t="s">
        <v>234</v>
      </c>
      <c r="C3467" s="30" t="n">
        <f aca="false">C3465+C3466</f>
        <v>389.228</v>
      </c>
      <c r="D3467" s="30" t="n">
        <f aca="false">D3465+D3466</f>
        <v>559.7302</v>
      </c>
      <c r="E3467" s="30" t="n">
        <f aca="false">E3465+E3466</f>
        <v>728.821319735419</v>
      </c>
      <c r="F3467" s="30" t="n">
        <f aca="false">F3465+F3466</f>
        <v>694.544777795461</v>
      </c>
      <c r="G3467" s="30" t="n">
        <f aca="false">G3465+G3466</f>
        <v>760.995652761461</v>
      </c>
    </row>
    <row r="3468" customFormat="false" ht="17.15" hidden="false" customHeight="false" outlineLevel="0" collapsed="false">
      <c r="A3468" s="0" t="s">
        <v>563</v>
      </c>
      <c r="B3468" s="0" t="s">
        <v>234</v>
      </c>
      <c r="C3468" s="30" t="n">
        <f aca="false">a25_ems</f>
        <v>259.079</v>
      </c>
      <c r="D3468" s="30" t="n">
        <f aca="false">a26_ems</f>
        <v>314.602</v>
      </c>
      <c r="E3468" s="30" t="n">
        <f aca="false">D3468*(1+g_ems27)</f>
        <v>346.0622</v>
      </c>
      <c r="F3468" s="30" t="n">
        <f aca="false">E3468*(1+g_emsL)</f>
        <v>363.36531</v>
      </c>
      <c r="G3468" s="30" t="n">
        <f aca="false">F3468*(1+g_emsL)</f>
        <v>381.5335755</v>
      </c>
    </row>
    <row r="3469" customFormat="false" ht="17.15" hidden="false" customHeight="false" outlineLevel="0" collapsed="false">
      <c r="A3469" s="4" t="s">
        <v>564</v>
      </c>
      <c r="B3469" s="0" t="s">
        <v>234</v>
      </c>
      <c r="C3469" s="30" t="n">
        <f aca="false">a25_elim</f>
        <v>-2.91899999999998</v>
      </c>
      <c r="D3469" s="30" t="n">
        <f aca="false">a26_elim</f>
        <v>-3.16484905982349</v>
      </c>
      <c r="E3469" s="30" t="n">
        <f aca="false">$D3469/($D3467+$D3468)*(E3467+E3468)</f>
        <v>-3.89079127687897</v>
      </c>
      <c r="F3469" s="30" t="n">
        <f aca="false">$D3469/($D3467+$D3468)*(F3467+F3468)</f>
        <v>-3.8293519862785</v>
      </c>
      <c r="G3469" s="30" t="n">
        <f aca="false">$D3469/($D3467+$D3468)*(G3467+G3468)</f>
        <v>-4.135650675892</v>
      </c>
      <c r="K3469" s="4" t="s">
        <v>565</v>
      </c>
    </row>
    <row r="3470" customFormat="false" ht="17.15" hidden="false" customHeight="false" outlineLevel="0" collapsed="false">
      <c r="A3470" s="4" t="s">
        <v>431</v>
      </c>
      <c r="B3470" s="0" t="s">
        <v>234</v>
      </c>
      <c r="C3470" s="30" t="n">
        <f aca="false">C3467+C3468+C3469</f>
        <v>645.388</v>
      </c>
      <c r="D3470" s="30" t="n">
        <f aca="false">D3467+D3468+D3469</f>
        <v>871.167350940177</v>
      </c>
      <c r="E3470" s="30" t="n">
        <f aca="false">E3467+E3468+E3469</f>
        <v>1070.99272845854</v>
      </c>
      <c r="F3470" s="30" t="n">
        <f aca="false">F3467+F3468+F3469</f>
        <v>1054.08073580918</v>
      </c>
      <c r="G3470" s="30" t="n">
        <f aca="false">G3467+G3468+G3469</f>
        <v>1138.39357758557</v>
      </c>
      <c r="H3470" s="31" t="n">
        <f aca="false">G3470*(1+H3471)</f>
        <v>1206.68738805437</v>
      </c>
      <c r="I3470" s="31" t="n">
        <f aca="false">H3470*(1+I3471)</f>
        <v>1254.9496874</v>
      </c>
      <c r="J3470" s="31" t="n">
        <f aca="false">I3470*(1+J3471)</f>
        <v>1280.048681148</v>
      </c>
      <c r="K3470" s="8" t="s">
        <v>566</v>
      </c>
    </row>
    <row r="3471" customFormat="false" ht="15" hidden="false" customHeight="false" outlineLevel="0" collapsed="false">
      <c r="A3471" s="4" t="s">
        <v>567</v>
      </c>
      <c r="B3471" s="0" t="s">
        <v>76</v>
      </c>
      <c r="D3471" s="21" t="n">
        <f aca="false">D3470/C3470-1</f>
        <v>0.349835061916516</v>
      </c>
      <c r="E3471" s="21" t="n">
        <f aca="false">E3470/D3470-1</f>
        <v>0.229376568466104</v>
      </c>
      <c r="F3471" s="21" t="n">
        <f aca="false">F3470/E3470-1</f>
        <v>-0.0157909500223209</v>
      </c>
      <c r="G3471" s="21" t="n">
        <f aca="false">G3470/F3470-1</f>
        <v>0.079987081550885</v>
      </c>
      <c r="H3471" s="26" t="n">
        <f aca="false">$G3471+(fade_gC-$G3471)*1/3</f>
        <v>0.05999138770059</v>
      </c>
      <c r="I3471" s="26" t="n">
        <f aca="false">$G3471+(fade_gC-$G3471)*2/3</f>
        <v>0.039995693850295</v>
      </c>
      <c r="J3471" s="26" t="n">
        <f aca="false">$G3471+(fade_gC-$G3471)*3/3</f>
        <v>0.02</v>
      </c>
    </row>
    <row r="3472" customFormat="false" ht="17.15" hidden="false" customHeight="false" outlineLevel="0" collapsed="false">
      <c r="A3472" s="0" t="s">
        <v>475</v>
      </c>
      <c r="B3472" s="0" t="s">
        <v>76</v>
      </c>
      <c r="C3472" s="21" t="n">
        <f aca="false">C3465/C3467</f>
        <v>0.127431736668482</v>
      </c>
      <c r="D3472" s="21" t="n">
        <f aca="false">D3465/D3467</f>
        <v>0.227966974088588</v>
      </c>
      <c r="E3472" s="21" t="n">
        <f aca="false">E3465/E3467</f>
        <v>0.31814600294568</v>
      </c>
      <c r="F3472" s="21" t="n">
        <f aca="false">F3465/F3467</f>
        <v>0.234410468411019</v>
      </c>
      <c r="G3472" s="21" t="n">
        <f aca="false">G3465/G3467</f>
        <v>0.252350859282315</v>
      </c>
    </row>
    <row r="3473" customFormat="false" ht="15" hidden="false" customHeight="false" outlineLevel="0" collapsed="false">
      <c r="A3473" s="4" t="s">
        <v>568</v>
      </c>
      <c r="B3473" s="0" t="s">
        <v>76</v>
      </c>
      <c r="D3473" s="21" t="n">
        <f aca="false">D3467/C3467-1</f>
        <v>0.438052247012034</v>
      </c>
      <c r="E3473" s="21" t="n">
        <f aca="false">E3467/D3467-1</f>
        <v>0.302093972659362</v>
      </c>
      <c r="F3473" s="21" t="n">
        <f aca="false">F3467/E3467-1</f>
        <v>-0.047030103280186</v>
      </c>
      <c r="G3473" s="21" t="n">
        <f aca="false">G3467/F3467-1</f>
        <v>0.0956754367614998</v>
      </c>
    </row>
    <row r="3474" customFormat="false" ht="17.15" hidden="false" customHeight="false" outlineLevel="0" collapsed="false">
      <c r="A3474" s="6" t="s">
        <v>569</v>
      </c>
    </row>
    <row r="3475" customFormat="false" ht="17.15" hidden="false" customHeight="false" outlineLevel="0" collapsed="false">
      <c r="A3475" s="4" t="s">
        <v>570</v>
      </c>
      <c r="B3475" s="0" t="s">
        <v>120</v>
      </c>
      <c r="C3475" s="19" t="n">
        <f aca="false">capex25</f>
        <v>5.5</v>
      </c>
      <c r="D3475" s="19" t="n">
        <f aca="false">capex26</f>
        <v>11.5</v>
      </c>
      <c r="E3475" s="19" t="n">
        <f aca="false">capex27</f>
        <v>13</v>
      </c>
      <c r="F3475" s="19" t="n">
        <f aca="false">capi_lo*F3470/F3463</f>
        <v>7.24680505868813</v>
      </c>
      <c r="G3475" s="19" t="n">
        <f aca="false">capi_lo*G3470/G3463</f>
        <v>7.82645584590078</v>
      </c>
      <c r="K3475" s="8" t="s">
        <v>571</v>
      </c>
    </row>
    <row r="3476" customFormat="false" ht="15" hidden="false" customHeight="false" outlineLevel="0" collapsed="false">
      <c r="A3476" s="4" t="s">
        <v>572</v>
      </c>
      <c r="B3476" s="0" t="s">
        <v>234</v>
      </c>
      <c r="C3476" s="30" t="n">
        <f aca="false">C3475*C3463</f>
        <v>170.5</v>
      </c>
      <c r="D3476" s="30" t="n">
        <f aca="false">D3475*31.9</f>
        <v>366.85</v>
      </c>
      <c r="E3476" s="30" t="n">
        <f aca="false">E3475*E3463</f>
        <v>416</v>
      </c>
      <c r="F3476" s="30" t="n">
        <f aca="false">F3475*F3463</f>
        <v>231.89776187802</v>
      </c>
      <c r="G3476" s="30" t="n">
        <f aca="false">G3475*G3463</f>
        <v>250.446587068825</v>
      </c>
    </row>
    <row r="3477" customFormat="false" ht="17.15" hidden="false" customHeight="false" outlineLevel="0" collapsed="false">
      <c r="A3477" s="4" t="s">
        <v>473</v>
      </c>
      <c r="B3477" s="0" t="s">
        <v>76</v>
      </c>
      <c r="C3477" s="21" t="n">
        <f aca="false">C3476/C3470</f>
        <v>0.264182166386732</v>
      </c>
      <c r="D3477" s="21" t="n">
        <f aca="false">D3476/D3470</f>
        <v>0.421101639775745</v>
      </c>
      <c r="E3477" s="21" t="n">
        <f aca="false">E3476/E3470</f>
        <v>0.388424672685445</v>
      </c>
      <c r="F3477" s="21" t="n">
        <f aca="false">F3476/F3470</f>
        <v>0.22</v>
      </c>
      <c r="G3477" s="21" t="n">
        <f aca="false">G3476/G3470</f>
        <v>0.22</v>
      </c>
    </row>
    <row r="3478" customFormat="false" ht="17.15" hidden="false" customHeight="false" outlineLevel="0" collapsed="false">
      <c r="A3478" s="4" t="s">
        <v>573</v>
      </c>
      <c r="B3478" s="0" t="s">
        <v>234</v>
      </c>
      <c r="C3478" s="30" t="n">
        <f aca="false">a25_da</f>
        <v>75.255</v>
      </c>
      <c r="D3478" s="30" t="n">
        <f aca="false">a26_da</f>
        <v>97.124</v>
      </c>
      <c r="E3478" s="30" t="n">
        <f aca="false">D3478*(1-1/life)+D3476/life</f>
        <v>130.83975</v>
      </c>
      <c r="F3478" s="30" t="n">
        <f aca="false">E3478*(1-1/life)+E3476/life</f>
        <v>166.48478125</v>
      </c>
      <c r="G3478" s="30" t="n">
        <f aca="false">F3478*(1-1/life)+F3476/life</f>
        <v>174.661403828503</v>
      </c>
      <c r="K3478" s="4" t="s">
        <v>574</v>
      </c>
    </row>
    <row r="3479" customFormat="false" ht="17.15" hidden="false" customHeight="false" outlineLevel="0" collapsed="false">
      <c r="A3479" s="4" t="s">
        <v>575</v>
      </c>
      <c r="B3479" s="0" t="s">
        <v>234</v>
      </c>
      <c r="C3479" s="30" t="n">
        <f aca="false">a25_agp</f>
        <v>91.38</v>
      </c>
      <c r="D3479" s="30" t="n">
        <f aca="false">a26_agp</f>
        <v>164.623388</v>
      </c>
      <c r="E3479" s="30" t="n">
        <f aca="false">$D3479+ft*(E3467-$D3467)-(E3478-$D3478)</f>
        <v>215.45319786771</v>
      </c>
      <c r="F3479" s="30" t="n">
        <f aca="false">$D3479+ft*(F3467-$D3467)-(F3478-$D3478)</f>
        <v>162.669895647731</v>
      </c>
      <c r="G3479" s="30" t="n">
        <f aca="false">$D3479+ft*(G3467-$D3467)-(G3478-$D3478)</f>
        <v>187.718710552228</v>
      </c>
      <c r="K3479" s="4" t="s">
        <v>576</v>
      </c>
    </row>
    <row r="3480" customFormat="false" ht="15" hidden="false" customHeight="false" outlineLevel="0" collapsed="false">
      <c r="A3480" s="4" t="s">
        <v>447</v>
      </c>
      <c r="B3480" s="0" t="s">
        <v>76</v>
      </c>
      <c r="C3480" s="14" t="n">
        <f aca="false">C3479/C3467</f>
        <v>0.234772421305764</v>
      </c>
      <c r="D3480" s="14" t="n">
        <f aca="false">D3479/D3467</f>
        <v>0.294112034690999</v>
      </c>
      <c r="E3480" s="14" t="n">
        <f aca="false">E3479/E3467</f>
        <v>0.295618681882035</v>
      </c>
      <c r="F3480" s="14" t="n">
        <f aca="false">F3479/F3467</f>
        <v>0.234210810948802</v>
      </c>
      <c r="G3480" s="14" t="n">
        <f aca="false">G3479/G3467</f>
        <v>0.246675141797518</v>
      </c>
    </row>
    <row r="3481" customFormat="false" ht="17.15" hidden="false" customHeight="false" outlineLevel="0" collapsed="false">
      <c r="A3481" s="0" t="s">
        <v>449</v>
      </c>
      <c r="B3481" s="0" t="s">
        <v>234</v>
      </c>
      <c r="C3481" s="30" t="n">
        <f aca="false">a25_egp</f>
        <v>23.695</v>
      </c>
      <c r="D3481" s="30" t="n">
        <f aca="false">a26_egp</f>
        <v>27.00552</v>
      </c>
      <c r="E3481" s="30" t="n">
        <f aca="false">E3468*ems_gm</f>
        <v>29.415287</v>
      </c>
      <c r="F3481" s="30" t="n">
        <f aca="false">F3468*ems_gm</f>
        <v>30.88605135</v>
      </c>
      <c r="G3481" s="30" t="n">
        <f aca="false">G3468*ems_gm</f>
        <v>32.4303539175</v>
      </c>
    </row>
    <row r="3482" customFormat="false" ht="15" hidden="false" customHeight="false" outlineLevel="0" collapsed="false">
      <c r="A3482" s="4" t="s">
        <v>577</v>
      </c>
      <c r="B3482" s="0" t="s">
        <v>234</v>
      </c>
      <c r="C3482" s="30" t="n">
        <f aca="false">a25_lgp</f>
        <v>-0.881999999999998</v>
      </c>
      <c r="D3482" s="30" t="n">
        <f aca="false">a26_lgp</f>
        <v>-0.948662139013863</v>
      </c>
      <c r="E3482" s="30" t="n">
        <f aca="false">$D3482/$D3469*E3469</f>
        <v>-1.16626300509458</v>
      </c>
      <c r="F3482" s="30" t="n">
        <f aca="false">$D3482/$D3469*F3469</f>
        <v>-1.14784660426825</v>
      </c>
      <c r="G3482" s="30" t="n">
        <f aca="false">$D3482/$D3469*G3469</f>
        <v>-1.23965950421176</v>
      </c>
    </row>
    <row r="3483" customFormat="false" ht="15" hidden="false" customHeight="false" outlineLevel="0" collapsed="false">
      <c r="A3483" s="4" t="s">
        <v>451</v>
      </c>
      <c r="B3483" s="0" t="s">
        <v>234</v>
      </c>
      <c r="C3483" s="30" t="n">
        <f aca="false">C3479+C3481+C3482</f>
        <v>114.193</v>
      </c>
      <c r="D3483" s="30" t="n">
        <f aca="false">D3479+D3481+D3482</f>
        <v>190.680245860986</v>
      </c>
      <c r="E3483" s="30" t="n">
        <f aca="false">E3479+E3481+E3482</f>
        <v>243.702221862615</v>
      </c>
      <c r="F3483" s="30" t="n">
        <f aca="false">F3479+F3481+F3482</f>
        <v>192.408100393462</v>
      </c>
      <c r="G3483" s="30" t="n">
        <f aca="false">G3479+G3481+G3482</f>
        <v>218.909404965516</v>
      </c>
    </row>
    <row r="3484" customFormat="false" ht="15" hidden="false" customHeight="false" outlineLevel="0" collapsed="false">
      <c r="A3484" s="4" t="s">
        <v>452</v>
      </c>
      <c r="B3484" s="0" t="s">
        <v>76</v>
      </c>
      <c r="C3484" s="14" t="n">
        <f aca="false">C3483/C3470</f>
        <v>0.176936974347214</v>
      </c>
      <c r="D3484" s="14" t="n">
        <f aca="false">D3483/D3470</f>
        <v>0.218879008327391</v>
      </c>
      <c r="E3484" s="14" t="n">
        <f aca="false">E3483/E3470</f>
        <v>0.227547970576207</v>
      </c>
      <c r="F3484" s="14" t="n">
        <f aca="false">F3483/F3470</f>
        <v>0.182536397694202</v>
      </c>
      <c r="G3484" s="14" t="n">
        <f aca="false">G3483/G3470</f>
        <v>0.192296767370915</v>
      </c>
    </row>
    <row r="3485" customFormat="false" ht="15" hidden="false" customHeight="false" outlineLevel="0" collapsed="false">
      <c r="A3485" s="4" t="s">
        <v>578</v>
      </c>
      <c r="B3485" s="0" t="s">
        <v>234</v>
      </c>
      <c r="C3485" s="30" t="n">
        <f aca="false">a25_opx</f>
        <v>63.437</v>
      </c>
      <c r="D3485" s="30" t="n">
        <f aca="false">a26_opx</f>
        <v>79.658</v>
      </c>
      <c r="E3485" s="30" t="n">
        <f aca="false">D3485*(1+phi*E3471)</f>
        <v>90.6210072145237</v>
      </c>
      <c r="F3485" s="30" t="n">
        <f aca="false">E3485*(1+phi*F3471)</f>
        <v>89.7624121369856</v>
      </c>
      <c r="G3485" s="30" t="n">
        <f aca="false">F3485*(1+phi*G3471)</f>
        <v>94.0703121648687</v>
      </c>
    </row>
    <row r="3486" customFormat="false" ht="15" hidden="false" customHeight="false" outlineLevel="0" collapsed="false">
      <c r="A3486" s="4" t="s">
        <v>455</v>
      </c>
      <c r="B3486" s="0" t="s">
        <v>234</v>
      </c>
      <c r="C3486" s="30" t="n">
        <f aca="false">C3483-C3485</f>
        <v>50.756</v>
      </c>
      <c r="D3486" s="30" t="n">
        <f aca="false">D3483-D3485</f>
        <v>111.022245860986</v>
      </c>
      <c r="E3486" s="30" t="n">
        <f aca="false">E3483-E3485</f>
        <v>153.081214648091</v>
      </c>
      <c r="F3486" s="30" t="n">
        <f aca="false">F3483-F3485</f>
        <v>102.645688256477</v>
      </c>
      <c r="G3486" s="30" t="n">
        <f aca="false">G3483-G3485</f>
        <v>124.839092800647</v>
      </c>
    </row>
    <row r="3487" customFormat="false" ht="15" hidden="false" customHeight="false" outlineLevel="0" collapsed="false">
      <c r="A3487" s="4" t="s">
        <v>537</v>
      </c>
      <c r="B3487" s="0" t="s">
        <v>76</v>
      </c>
      <c r="C3487" s="14" t="n">
        <f aca="false">C3486/C3470</f>
        <v>0.0786441644406156</v>
      </c>
      <c r="D3487" s="14" t="n">
        <f aca="false">D3486/D3470</f>
        <v>0.127440779020437</v>
      </c>
      <c r="E3487" s="14" t="n">
        <f aca="false">E3486/E3470</f>
        <v>0.142933943975902</v>
      </c>
      <c r="F3487" s="14" t="n">
        <f aca="false">F3486/F3470</f>
        <v>0.0973793417993538</v>
      </c>
      <c r="G3487" s="14" t="n">
        <f aca="false">G3486/G3470</f>
        <v>0.10966250623569</v>
      </c>
    </row>
    <row r="3488" customFormat="false" ht="15" hidden="false" customHeight="false" outlineLevel="0" collapsed="false">
      <c r="A3488" s="4" t="s">
        <v>456</v>
      </c>
      <c r="B3488" s="0" t="s">
        <v>234</v>
      </c>
      <c r="C3488" s="30" t="n">
        <f aca="false">a25_nonop</f>
        <v>0.545</v>
      </c>
      <c r="D3488" s="30" t="n">
        <f aca="false">a26_nonop</f>
        <v>4.302</v>
      </c>
      <c r="E3488" s="30" t="n">
        <f aca="false">nonop_f</f>
        <v>-5</v>
      </c>
      <c r="F3488" s="30" t="n">
        <f aca="false">nonop_f</f>
        <v>-5</v>
      </c>
      <c r="G3488" s="30" t="n">
        <f aca="false">nonop_f</f>
        <v>-5</v>
      </c>
    </row>
    <row r="3489" customFormat="false" ht="15" hidden="false" customHeight="false" outlineLevel="0" collapsed="false">
      <c r="A3489" s="4" t="s">
        <v>459</v>
      </c>
      <c r="B3489" s="0" t="s">
        <v>234</v>
      </c>
      <c r="C3489" s="30" t="n">
        <f aca="false">C3486+C3488</f>
        <v>51.301</v>
      </c>
      <c r="D3489" s="30" t="n">
        <f aca="false">D3486+D3488</f>
        <v>115.324245860986</v>
      </c>
      <c r="E3489" s="30" t="n">
        <f aca="false">E3486+E3488</f>
        <v>148.081214648091</v>
      </c>
      <c r="F3489" s="30" t="n">
        <f aca="false">F3486+F3488</f>
        <v>97.6456882564768</v>
      </c>
      <c r="G3489" s="30" t="n">
        <f aca="false">G3486+G3488</f>
        <v>119.839092800647</v>
      </c>
    </row>
    <row r="3490" customFormat="false" ht="15" hidden="false" customHeight="false" outlineLevel="0" collapsed="false">
      <c r="A3490" s="4" t="s">
        <v>460</v>
      </c>
      <c r="B3490" s="0" t="s">
        <v>234</v>
      </c>
      <c r="C3490" s="30" t="n">
        <f aca="false">a25_tax</f>
        <v>9.461</v>
      </c>
      <c r="D3490" s="30" t="n">
        <f aca="false">a26_tax</f>
        <v>19.2197317963676</v>
      </c>
      <c r="E3490" s="30" t="n">
        <f aca="false">E3489*tax</f>
        <v>25.1738064901755</v>
      </c>
      <c r="F3490" s="30" t="n">
        <f aca="false">F3489*tax</f>
        <v>16.5997670036011</v>
      </c>
      <c r="G3490" s="30" t="n">
        <f aca="false">G3489*tax</f>
        <v>20.3726457761101</v>
      </c>
    </row>
    <row r="3491" customFormat="false" ht="15" hidden="false" customHeight="false" outlineLevel="0" collapsed="false">
      <c r="A3491" s="4" t="s">
        <v>461</v>
      </c>
      <c r="B3491" s="0" t="s">
        <v>234</v>
      </c>
      <c r="C3491" s="30" t="n">
        <f aca="false">a25_nci</f>
        <v>1.182</v>
      </c>
      <c r="D3491" s="30" t="n">
        <f aca="false">a26_nci</f>
        <v>2.543</v>
      </c>
      <c r="E3491" s="30" t="n">
        <f aca="false">nci</f>
        <v>3</v>
      </c>
      <c r="F3491" s="30" t="n">
        <f aca="false">nci</f>
        <v>3</v>
      </c>
      <c r="G3491" s="30" t="n">
        <f aca="false">nci</f>
        <v>3</v>
      </c>
    </row>
    <row r="3492" customFormat="false" ht="15" hidden="false" customHeight="false" outlineLevel="0" collapsed="false">
      <c r="A3492" s="4" t="s">
        <v>462</v>
      </c>
      <c r="B3492" s="0" t="s">
        <v>234</v>
      </c>
      <c r="C3492" s="30" t="n">
        <f aca="false">C3489-C3490-C3491</f>
        <v>40.658</v>
      </c>
      <c r="D3492" s="30" t="n">
        <f aca="false">D3489-D3490-D3491</f>
        <v>93.5615140646185</v>
      </c>
      <c r="E3492" s="30" t="n">
        <f aca="false">E3489-E3490-E3491</f>
        <v>119.907408157916</v>
      </c>
      <c r="F3492" s="30" t="n">
        <f aca="false">F3489-F3490-F3491</f>
        <v>78.0459212528757</v>
      </c>
      <c r="G3492" s="30" t="n">
        <f aca="false">G3489-G3490-G3491</f>
        <v>96.4664470245373</v>
      </c>
      <c r="H3492" s="31" t="n">
        <f aca="false">H3470*H3496</f>
        <v>92.9637023206764</v>
      </c>
      <c r="I3492" s="31" t="n">
        <f aca="false">I3470*I3496</f>
        <v>87.0203933450826</v>
      </c>
      <c r="J3492" s="31" t="n">
        <f aca="false">J3470*J3496</f>
        <v>78.9061153241268</v>
      </c>
    </row>
    <row r="3493" customFormat="false" ht="15" hidden="false" customHeight="false" outlineLevel="0" collapsed="false">
      <c r="A3493" s="4" t="s">
        <v>579</v>
      </c>
      <c r="B3493" s="4" t="s">
        <v>580</v>
      </c>
      <c r="C3493" s="18" t="n">
        <f aca="false">a25_sh</f>
        <v>4339.16755602988</v>
      </c>
      <c r="D3493" s="18" t="n">
        <f aca="false">a26_sh</f>
        <v>4392.90105184664</v>
      </c>
      <c r="E3493" s="18" t="n">
        <f aca="false">D3493*(1+sh_g)</f>
        <v>4414.86555710588</v>
      </c>
      <c r="F3493" s="18" t="n">
        <f aca="false">E3493*(1+sh_g)</f>
        <v>4436.9398848914</v>
      </c>
      <c r="G3493" s="18" t="n">
        <f aca="false">F3493*(1+sh_g)</f>
        <v>4459.12458431586</v>
      </c>
      <c r="H3493" s="25" t="n">
        <f aca="false">G3493*(1+sh_g)</f>
        <v>4481.42020723744</v>
      </c>
      <c r="I3493" s="25" t="n">
        <f aca="false">H3493*(1+sh_g)</f>
        <v>4503.82730827363</v>
      </c>
      <c r="J3493" s="25" t="n">
        <f aca="false">I3493*(1+sh_g)</f>
        <v>4526.34644481499</v>
      </c>
    </row>
    <row r="3494" customFormat="false" ht="17.15" hidden="false" customHeight="false" outlineLevel="0" collapsed="false">
      <c r="A3494" s="0" t="s">
        <v>465</v>
      </c>
      <c r="B3494" s="0" t="s">
        <v>304</v>
      </c>
      <c r="C3494" s="19" t="n">
        <f aca="false">a25_eps</f>
        <v>9.37</v>
      </c>
      <c r="D3494" s="19" t="n">
        <f aca="false">a26_eps</f>
        <v>21.2828697294455</v>
      </c>
      <c r="E3494" s="19" t="n">
        <f aca="false">E3492/E3493*1000</f>
        <v>27.159922902957</v>
      </c>
      <c r="F3494" s="19" t="n">
        <f aca="false">F3492/F3493*1000</f>
        <v>17.590033509049</v>
      </c>
      <c r="G3494" s="19" t="n">
        <f aca="false">G3492/G3493*1000</f>
        <v>21.6334944674657</v>
      </c>
      <c r="H3494" s="28" t="n">
        <f aca="false">H3492/H3493*1000</f>
        <v>20.7442502648025</v>
      </c>
      <c r="I3494" s="28" t="n">
        <f aca="false">I3492/I3493*1000</f>
        <v>19.3214320596228</v>
      </c>
      <c r="J3494" s="28" t="n">
        <f aca="false">J3492/J3493*1000</f>
        <v>17.4326283430017</v>
      </c>
    </row>
    <row r="3495" customFormat="false" ht="17.15" hidden="false" customHeight="false" outlineLevel="0" collapsed="false">
      <c r="A3495" s="0" t="s">
        <v>581</v>
      </c>
      <c r="B3495" s="0" t="s">
        <v>76</v>
      </c>
      <c r="D3495" s="21" t="n">
        <f aca="false">D3494/C3494-1</f>
        <v>1.27138417603474</v>
      </c>
      <c r="E3495" s="21" t="n">
        <f aca="false">E3494/D3494-1</f>
        <v>0.276140071720703</v>
      </c>
      <c r="F3495" s="21" t="n">
        <f aca="false">F3494/E3494-1</f>
        <v>-0.352353334289697</v>
      </c>
      <c r="G3495" s="21" t="n">
        <f aca="false">G3494/F3494-1</f>
        <v>0.229872271496048</v>
      </c>
      <c r="H3495" s="26" t="n">
        <f aca="false">H3494/G3494-1</f>
        <v>-0.0411049728466444</v>
      </c>
      <c r="I3495" s="26" t="n">
        <f aca="false">I3494/H3494-1</f>
        <v>-0.068588557649337</v>
      </c>
      <c r="J3495" s="26" t="n">
        <f aca="false">J3494/I3494-1</f>
        <v>-0.097756921474172</v>
      </c>
    </row>
    <row r="3496" customFormat="false" ht="17.15" hidden="false" customHeight="false" outlineLevel="0" collapsed="false">
      <c r="A3496" s="4" t="s">
        <v>582</v>
      </c>
      <c r="B3496" s="0" t="s">
        <v>76</v>
      </c>
      <c r="C3496" s="14" t="n">
        <f aca="false">C3492/C3470</f>
        <v>0.0629977625862272</v>
      </c>
      <c r="D3496" s="14" t="n">
        <f aca="false">D3492/D3470</f>
        <v>0.107397865592237</v>
      </c>
      <c r="E3496" s="14" t="n">
        <f aca="false">E3492/E3470</f>
        <v>0.111959124438218</v>
      </c>
      <c r="F3496" s="14" t="n">
        <f aca="false">F3492/F3470</f>
        <v>0.0740416920654208</v>
      </c>
      <c r="G3496" s="14" t="n">
        <f aca="false">G3492/G3470</f>
        <v>0.0847390998367489</v>
      </c>
      <c r="H3496" s="27" t="n">
        <f aca="false">$G3496+(fade_mC-$G3496)*1/3</f>
        <v>0.0770404192842098</v>
      </c>
      <c r="I3496" s="27" t="n">
        <f aca="false">$G3496+(fade_mC-$G3496)*2/3</f>
        <v>0.0693417387316707</v>
      </c>
      <c r="J3496" s="27" t="n">
        <f aca="false">$G3496+(fade_mC-$G3496)*3/3</f>
        <v>0.0616430581791315</v>
      </c>
    </row>
    <row r="3497" customFormat="false" ht="17.15" hidden="false" customHeight="false" outlineLevel="0" collapsed="false">
      <c r="A3497" s="4" t="s">
        <v>583</v>
      </c>
      <c r="B3497" s="0" t="s">
        <v>234</v>
      </c>
      <c r="C3497" s="30" t="n">
        <f aca="false">C3492+C3478-C3476</f>
        <v>-54.587</v>
      </c>
      <c r="D3497" s="30" t="n">
        <f aca="false">D3492+D3478-D3476</f>
        <v>-176.164485935382</v>
      </c>
      <c r="E3497" s="30" t="n">
        <f aca="false">E3492+E3478-E3476</f>
        <v>-165.252841842084</v>
      </c>
      <c r="F3497" s="30" t="n">
        <f aca="false">F3492+F3478-F3476</f>
        <v>12.6329406248555</v>
      </c>
      <c r="G3497" s="30" t="n">
        <f aca="false">G3492+G3478-G3476</f>
        <v>20.6812637842147</v>
      </c>
      <c r="K3497" s="4" t="s">
        <v>584</v>
      </c>
    </row>
    <row r="3498" customFormat="false" ht="17.15" hidden="false" customHeight="false" outlineLevel="0" collapsed="false">
      <c r="A3498" s="4" t="s">
        <v>585</v>
      </c>
      <c r="B3498" s="0" t="s">
        <v>76</v>
      </c>
      <c r="D3498" s="21" t="n">
        <f aca="false">(D3486-$C3486)/SUM($D3476:D3476)</f>
        <v>0.164280348537512</v>
      </c>
      <c r="E3498" s="21" t="n">
        <f aca="false">(E3486-$C3486)/SUM($D3476:E3476)</f>
        <v>0.130708583570405</v>
      </c>
      <c r="F3498" s="21" t="n">
        <f aca="false">(F3486-$C3486)/SUM($D3476:F3476)</f>
        <v>0.0511355532930106</v>
      </c>
      <c r="G3498" s="21" t="n">
        <f aca="false">(G3486-$C3486)/SUM($D3476:G3476)</f>
        <v>0.0585547136393034</v>
      </c>
      <c r="K3498" s="4" t="s">
        <v>586</v>
      </c>
    </row>
    <row r="3501" customFormat="false" ht="17.15" hidden="false" customHeight="false" outlineLevel="0" collapsed="false">
      <c r="A3501" s="1" t="s">
        <v>985</v>
      </c>
    </row>
    <row r="3502" customFormat="false" ht="17.15" hidden="false" customHeight="false" outlineLevel="0" collapsed="false">
      <c r="A3502" s="5" t="s">
        <v>21</v>
      </c>
      <c r="B3502" s="5" t="s">
        <v>22</v>
      </c>
      <c r="C3502" s="15" t="s">
        <v>424</v>
      </c>
      <c r="D3502" s="15" t="s">
        <v>524</v>
      </c>
      <c r="E3502" s="15" t="s">
        <v>525</v>
      </c>
      <c r="F3502" s="15" t="s">
        <v>526</v>
      </c>
      <c r="G3502" s="15" t="s">
        <v>527</v>
      </c>
      <c r="H3502" s="15" t="s">
        <v>528</v>
      </c>
      <c r="I3502" s="15" t="s">
        <v>529</v>
      </c>
      <c r="J3502" s="15" t="s">
        <v>530</v>
      </c>
      <c r="K3502" s="5" t="s">
        <v>382</v>
      </c>
    </row>
    <row r="3503" customFormat="false" ht="17.15" hidden="false" customHeight="false" outlineLevel="0" collapsed="false">
      <c r="A3503" s="6" t="s">
        <v>548</v>
      </c>
    </row>
    <row r="3504" customFormat="false" ht="17.15" hidden="false" customHeight="false" outlineLevel="0" collapsed="false">
      <c r="A3504" s="0" t="s">
        <v>549</v>
      </c>
      <c r="B3504" s="4" t="s">
        <v>32</v>
      </c>
      <c r="D3504" s="19" t="n">
        <f aca="false">units_26</f>
        <v>15.2</v>
      </c>
      <c r="E3504" s="19" t="n">
        <f aca="false">units_27*1</f>
        <v>23.7</v>
      </c>
      <c r="F3504" s="19" t="n">
        <f aca="false">units_28*um28_A*1</f>
        <v>26.5</v>
      </c>
      <c r="G3504" s="19" t="n">
        <f aca="false">units_29*um29_A*1</f>
        <v>30.15</v>
      </c>
    </row>
    <row r="3505" customFormat="false" ht="17.15" hidden="false" customHeight="false" outlineLevel="0" collapsed="false">
      <c r="A3505" s="4" t="s">
        <v>497</v>
      </c>
      <c r="B3505" s="0" t="s">
        <v>45</v>
      </c>
      <c r="D3505" s="22" t="n">
        <f aca="false">ar_26</f>
        <v>1</v>
      </c>
      <c r="E3505" s="22" t="n">
        <f aca="false">ar_27</f>
        <v>1.278156</v>
      </c>
      <c r="F3505" s="22" t="n">
        <f aca="false">ar_28</f>
        <v>1.428615</v>
      </c>
      <c r="G3505" s="22" t="n">
        <f aca="false">ar_29</f>
        <v>1.431796</v>
      </c>
    </row>
    <row r="3506" customFormat="false" ht="17.15" hidden="false" customHeight="false" outlineLevel="0" collapsed="false">
      <c r="A3506" s="4" t="s">
        <v>550</v>
      </c>
      <c r="B3506" s="0" t="s">
        <v>45</v>
      </c>
      <c r="D3506" s="19" t="n">
        <f aca="false">1</f>
        <v>1</v>
      </c>
      <c r="E3506" s="19" t="n">
        <f aca="false">rel27_A</f>
        <v>1.1</v>
      </c>
      <c r="F3506" s="19" t="n">
        <f aca="false">rel28_A</f>
        <v>1.15</v>
      </c>
      <c r="G3506" s="19" t="n">
        <f aca="false">rel29_A</f>
        <v>1.2</v>
      </c>
    </row>
    <row r="3507" customFormat="false" ht="17.15" hidden="false" customHeight="false" outlineLevel="0" collapsed="false">
      <c r="A3507" s="4" t="s">
        <v>551</v>
      </c>
      <c r="B3507" s="0" t="s">
        <v>502</v>
      </c>
      <c r="D3507" s="23" t="n">
        <f aca="false">D3508*1000/D3504</f>
        <v>236.842105263158</v>
      </c>
      <c r="E3507" s="23" t="n">
        <f aca="false">$D3507*E3505^el</f>
        <v>267.763172119488</v>
      </c>
      <c r="F3507" s="23" t="n">
        <f aca="false">$D3507*F3505^el</f>
        <v>283.084777049615</v>
      </c>
      <c r="G3507" s="23" t="n">
        <f aca="false">$D3507*G3505^el</f>
        <v>283.399764630809</v>
      </c>
      <c r="K3507" s="8" t="s">
        <v>552</v>
      </c>
    </row>
    <row r="3508" customFormat="false" ht="17.15" hidden="false" customHeight="false" outlineLevel="0" collapsed="false">
      <c r="A3508" s="0" t="s">
        <v>553</v>
      </c>
      <c r="B3508" s="0" t="s">
        <v>120</v>
      </c>
      <c r="D3508" s="22" t="n">
        <f aca="false">leap26-D3509-D3510</f>
        <v>3.6</v>
      </c>
      <c r="E3508" s="22" t="n">
        <f aca="false">E3504*E3506*E3507/1000</f>
        <v>6.98058589715504</v>
      </c>
      <c r="F3508" s="22" t="n">
        <f aca="false">F3504*F3506*F3507/1000</f>
        <v>8.627008580587</v>
      </c>
      <c r="G3508" s="22" t="n">
        <f aca="false">G3504*G3506*G3507/1000</f>
        <v>10.2534034843427</v>
      </c>
      <c r="K3508" s="8" t="s">
        <v>554</v>
      </c>
    </row>
    <row r="3509" customFormat="false" ht="17.15" hidden="false" customHeight="false" outlineLevel="0" collapsed="false">
      <c r="A3509" s="4" t="s">
        <v>555</v>
      </c>
      <c r="B3509" s="0" t="s">
        <v>120</v>
      </c>
      <c r="D3509" s="22" t="n">
        <f aca="false">fp26</f>
        <v>0.3</v>
      </c>
      <c r="E3509" s="22" t="n">
        <f aca="false">fp27_A</f>
        <v>1.2</v>
      </c>
      <c r="F3509" s="22" t="n">
        <f aca="false">E3509*F3504/E3504*(1+fp_g)</f>
        <v>1.74430379746835</v>
      </c>
      <c r="G3509" s="22" t="n">
        <f aca="false">F3509*G3504/F3504*(1+fp_g)</f>
        <v>2.57992405063291</v>
      </c>
    </row>
    <row r="3510" customFormat="false" ht="17.15" hidden="false" customHeight="false" outlineLevel="0" collapsed="false">
      <c r="A3510" s="0" t="s">
        <v>556</v>
      </c>
      <c r="B3510" s="0" t="s">
        <v>120</v>
      </c>
      <c r="D3510" s="22" t="n">
        <f aca="false">cpo27*cpo_A_26/cpo_A_27</f>
        <v>0.1</v>
      </c>
      <c r="E3510" s="22" t="n">
        <f aca="false">cpo27*cpo_A_27/cpo_A_27</f>
        <v>0.5</v>
      </c>
      <c r="F3510" s="22" t="n">
        <f aca="false">cpo27*cpo_A_28/cpo_A_27*F3504/E3504</f>
        <v>1.11814345991561</v>
      </c>
      <c r="G3510" s="22" t="n">
        <f aca="false">cpo27*cpo_A_29/cpo_A_27*G3504/E3504</f>
        <v>2.03544303797468</v>
      </c>
      <c r="K3510" s="8" t="s">
        <v>557</v>
      </c>
    </row>
    <row r="3511" customFormat="false" ht="17.15" hidden="false" customHeight="false" outlineLevel="0" collapsed="false">
      <c r="A3511" s="0" t="s">
        <v>510</v>
      </c>
      <c r="B3511" s="0" t="s">
        <v>120</v>
      </c>
      <c r="C3511" s="22" t="n">
        <f aca="false">leap25</f>
        <v>1.6</v>
      </c>
      <c r="D3511" s="22" t="n">
        <f aca="false">D3508+D3509+D3510</f>
        <v>4</v>
      </c>
      <c r="E3511" s="22" t="n">
        <f aca="false">E3508+E3509+E3510</f>
        <v>8.68058589715504</v>
      </c>
      <c r="F3511" s="22" t="n">
        <f aca="false">F3508+F3509+F3510</f>
        <v>11.489455837971</v>
      </c>
      <c r="G3511" s="22" t="n">
        <f aca="false">G3508+G3509+G3510</f>
        <v>14.8687705729503</v>
      </c>
    </row>
    <row r="3512" customFormat="false" ht="17.15" hidden="false" customHeight="false" outlineLevel="0" collapsed="false">
      <c r="A3512" s="4" t="s">
        <v>558</v>
      </c>
      <c r="B3512" s="0" t="s">
        <v>114</v>
      </c>
      <c r="C3512" s="19" t="n">
        <f aca="false">fx25</f>
        <v>31</v>
      </c>
      <c r="D3512" s="19" t="n">
        <f aca="false">a26_leap/D3511</f>
        <v>31.9</v>
      </c>
      <c r="E3512" s="19" t="n">
        <f aca="false">fx</f>
        <v>32</v>
      </c>
      <c r="F3512" s="19" t="n">
        <f aca="false">fx</f>
        <v>32</v>
      </c>
      <c r="G3512" s="19" t="n">
        <f aca="false">fx</f>
        <v>32</v>
      </c>
      <c r="K3512" s="8" t="s">
        <v>559</v>
      </c>
    </row>
    <row r="3513" customFormat="false" ht="17.15" hidden="false" customHeight="false" outlineLevel="0" collapsed="false">
      <c r="A3513" s="6" t="s">
        <v>560</v>
      </c>
    </row>
    <row r="3514" customFormat="false" ht="17.15" hidden="false" customHeight="false" outlineLevel="0" collapsed="false">
      <c r="A3514" s="0" t="s">
        <v>438</v>
      </c>
      <c r="B3514" s="0" t="s">
        <v>234</v>
      </c>
      <c r="C3514" s="30" t="n">
        <f aca="false">a25_leap</f>
        <v>49.6</v>
      </c>
      <c r="D3514" s="30" t="n">
        <f aca="false">a26_leap</f>
        <v>127.6</v>
      </c>
      <c r="E3514" s="30" t="n">
        <f aca="false">E3511*E3512</f>
        <v>277.778748708961</v>
      </c>
      <c r="F3514" s="30" t="n">
        <f aca="false">F3511*F3512</f>
        <v>367.662586815071</v>
      </c>
      <c r="G3514" s="30" t="n">
        <f aca="false">G3511*G3512</f>
        <v>475.800658334408</v>
      </c>
    </row>
    <row r="3515" customFormat="false" ht="15" hidden="false" customHeight="false" outlineLevel="0" collapsed="false">
      <c r="A3515" s="4" t="s">
        <v>561</v>
      </c>
      <c r="B3515" s="0" t="s">
        <v>234</v>
      </c>
      <c r="C3515" s="30" t="n">
        <f aca="false">a25_ms</f>
        <v>339.628</v>
      </c>
      <c r="D3515" s="30" t="n">
        <f aca="false">a26_ms</f>
        <v>432.1302</v>
      </c>
      <c r="E3515" s="30" t="n">
        <f aca="false">D3515*(1+g_ms27)</f>
        <v>496.94973</v>
      </c>
      <c r="F3515" s="30" t="n">
        <f aca="false">E3515*(1+g_msL)</f>
        <v>531.7362111</v>
      </c>
      <c r="G3515" s="30" t="n">
        <f aca="false">F3515*(1+g_msL)</f>
        <v>568.957745877</v>
      </c>
    </row>
    <row r="3516" customFormat="false" ht="17.15" hidden="false" customHeight="false" outlineLevel="0" collapsed="false">
      <c r="A3516" s="4" t="s">
        <v>562</v>
      </c>
      <c r="B3516" s="0" t="s">
        <v>234</v>
      </c>
      <c r="C3516" s="30" t="n">
        <f aca="false">C3514+C3515</f>
        <v>389.228</v>
      </c>
      <c r="D3516" s="30" t="n">
        <f aca="false">D3514+D3515</f>
        <v>559.7302</v>
      </c>
      <c r="E3516" s="30" t="n">
        <f aca="false">E3514+E3515</f>
        <v>774.728478708961</v>
      </c>
      <c r="F3516" s="30" t="n">
        <f aca="false">F3514+F3515</f>
        <v>899.398797915071</v>
      </c>
      <c r="G3516" s="30" t="n">
        <f aca="false">G3514+G3515</f>
        <v>1044.75840421141</v>
      </c>
    </row>
    <row r="3517" customFormat="false" ht="17.15" hidden="false" customHeight="false" outlineLevel="0" collapsed="false">
      <c r="A3517" s="0" t="s">
        <v>563</v>
      </c>
      <c r="B3517" s="0" t="s">
        <v>234</v>
      </c>
      <c r="C3517" s="30" t="n">
        <f aca="false">a25_ems</f>
        <v>259.079</v>
      </c>
      <c r="D3517" s="30" t="n">
        <f aca="false">a26_ems</f>
        <v>314.602</v>
      </c>
      <c r="E3517" s="30" t="n">
        <f aca="false">D3517*(1+g_ems27)</f>
        <v>346.0622</v>
      </c>
      <c r="F3517" s="30" t="n">
        <f aca="false">E3517*(1+g_emsL)</f>
        <v>363.36531</v>
      </c>
      <c r="G3517" s="30" t="n">
        <f aca="false">F3517*(1+g_emsL)</f>
        <v>381.5335755</v>
      </c>
    </row>
    <row r="3518" customFormat="false" ht="17.15" hidden="false" customHeight="false" outlineLevel="0" collapsed="false">
      <c r="A3518" s="4" t="s">
        <v>564</v>
      </c>
      <c r="B3518" s="0" t="s">
        <v>234</v>
      </c>
      <c r="C3518" s="30" t="n">
        <f aca="false">a25_elim</f>
        <v>-2.91899999999998</v>
      </c>
      <c r="D3518" s="30" t="n">
        <f aca="false">a26_elim</f>
        <v>-3.16484905982349</v>
      </c>
      <c r="E3518" s="30" t="n">
        <f aca="false">$D3518/($D3516+$D3517)*(E3516+E3517)</f>
        <v>-4.05696293213379</v>
      </c>
      <c r="F3518" s="30" t="n">
        <f aca="false">$D3518/($D3516+$D3517)*(F3516+F3517)</f>
        <v>-4.57086882962089</v>
      </c>
      <c r="G3518" s="30" t="n">
        <f aca="false">$D3518/($D3516+$D3517)*(G3516+G3517)</f>
        <v>-5.16279605283144</v>
      </c>
      <c r="K3518" s="4" t="s">
        <v>565</v>
      </c>
    </row>
    <row r="3519" customFormat="false" ht="17.15" hidden="false" customHeight="false" outlineLevel="0" collapsed="false">
      <c r="A3519" s="4" t="s">
        <v>431</v>
      </c>
      <c r="B3519" s="0" t="s">
        <v>234</v>
      </c>
      <c r="C3519" s="30" t="n">
        <f aca="false">C3516+C3517+C3518</f>
        <v>645.388</v>
      </c>
      <c r="D3519" s="30" t="n">
        <f aca="false">D3516+D3517+D3518</f>
        <v>871.167350940177</v>
      </c>
      <c r="E3519" s="30" t="n">
        <f aca="false">E3516+E3517+E3518</f>
        <v>1116.73371577683</v>
      </c>
      <c r="F3519" s="30" t="n">
        <f aca="false">F3516+F3517+F3518</f>
        <v>1258.19323908545</v>
      </c>
      <c r="G3519" s="30" t="n">
        <f aca="false">G3516+G3517+G3518</f>
        <v>1421.12918365858</v>
      </c>
      <c r="H3519" s="31" t="n">
        <f aca="false">G3519*(1+H3520)</f>
        <v>1572.24252669828</v>
      </c>
      <c r="I3519" s="31" t="n">
        <f aca="false">H3519*(1+I3520)</f>
        <v>1703.00066355907</v>
      </c>
      <c r="J3519" s="31" t="n">
        <f aca="false">I3519*(1+J3520)</f>
        <v>1805.18070337261</v>
      </c>
      <c r="K3519" s="8" t="s">
        <v>566</v>
      </c>
    </row>
    <row r="3520" customFormat="false" ht="15" hidden="false" customHeight="false" outlineLevel="0" collapsed="false">
      <c r="A3520" s="4" t="s">
        <v>567</v>
      </c>
      <c r="B3520" s="0" t="s">
        <v>76</v>
      </c>
      <c r="D3520" s="21" t="n">
        <f aca="false">D3519/C3519-1</f>
        <v>0.349835061916516</v>
      </c>
      <c r="E3520" s="21" t="n">
        <f aca="false">E3519/D3519-1</f>
        <v>0.281881965126026</v>
      </c>
      <c r="F3520" s="21" t="n">
        <f aca="false">F3519/E3519-1</f>
        <v>0.126672564202309</v>
      </c>
      <c r="G3520" s="21" t="n">
        <f aca="false">G3519/F3519-1</f>
        <v>0.129499936505429</v>
      </c>
      <c r="H3520" s="26" t="n">
        <f aca="false">$G3520+(fade_gA-$G3520)*1/3</f>
        <v>0.10633329100362</v>
      </c>
      <c r="I3520" s="26" t="n">
        <f aca="false">$G3520+(fade_gA-$G3520)*2/3</f>
        <v>0.0831666455018098</v>
      </c>
      <c r="J3520" s="26" t="n">
        <f aca="false">$G3520+(fade_gA-$G3520)*3/3</f>
        <v>0.06</v>
      </c>
    </row>
    <row r="3521" customFormat="false" ht="17.15" hidden="false" customHeight="false" outlineLevel="0" collapsed="false">
      <c r="A3521" s="0" t="s">
        <v>475</v>
      </c>
      <c r="B3521" s="0" t="s">
        <v>76</v>
      </c>
      <c r="C3521" s="21" t="n">
        <f aca="false">C3514/C3516</f>
        <v>0.127431736668482</v>
      </c>
      <c r="D3521" s="21" t="n">
        <f aca="false">D3514/D3516</f>
        <v>0.227966974088588</v>
      </c>
      <c r="E3521" s="21" t="n">
        <f aca="false">E3514/E3516</f>
        <v>0.35854980982739</v>
      </c>
      <c r="F3521" s="21" t="n">
        <f aca="false">F3514/F3516</f>
        <v>0.408787056050512</v>
      </c>
      <c r="G3521" s="21" t="n">
        <f aca="false">G3514/G3516</f>
        <v>0.455416923583923</v>
      </c>
    </row>
    <row r="3522" customFormat="false" ht="15" hidden="false" customHeight="false" outlineLevel="0" collapsed="false">
      <c r="A3522" s="4" t="s">
        <v>568</v>
      </c>
      <c r="B3522" s="0" t="s">
        <v>76</v>
      </c>
      <c r="D3522" s="21" t="n">
        <f aca="false">D3516/C3516-1</f>
        <v>0.438052247012034</v>
      </c>
      <c r="E3522" s="21" t="n">
        <f aca="false">E3516/D3516-1</f>
        <v>0.384110556673485</v>
      </c>
      <c r="F3522" s="21" t="n">
        <f aca="false">F3516/E3516-1</f>
        <v>0.160921306796241</v>
      </c>
      <c r="G3522" s="21" t="n">
        <f aca="false">G3516/F3516-1</f>
        <v>0.161618635285371</v>
      </c>
    </row>
    <row r="3523" customFormat="false" ht="17.15" hidden="false" customHeight="false" outlineLevel="0" collapsed="false">
      <c r="A3523" s="6" t="s">
        <v>569</v>
      </c>
    </row>
    <row r="3524" customFormat="false" ht="17.15" hidden="false" customHeight="false" outlineLevel="0" collapsed="false">
      <c r="A3524" s="4" t="s">
        <v>570</v>
      </c>
      <c r="B3524" s="0" t="s">
        <v>120</v>
      </c>
      <c r="C3524" s="19" t="n">
        <f aca="false">capex25</f>
        <v>5.5</v>
      </c>
      <c r="D3524" s="19" t="n">
        <f aca="false">capex26</f>
        <v>11.5</v>
      </c>
      <c r="E3524" s="19" t="n">
        <f aca="false">capex27</f>
        <v>13</v>
      </c>
      <c r="F3524" s="19" t="n">
        <f aca="false">capi_hi*F3519/F3512</f>
        <v>14.9410447141397</v>
      </c>
      <c r="G3524" s="19" t="n">
        <f aca="false">capi_hi*G3519/G3512</f>
        <v>16.8759090559456</v>
      </c>
      <c r="K3524" s="8" t="s">
        <v>571</v>
      </c>
    </row>
    <row r="3525" customFormat="false" ht="15" hidden="false" customHeight="false" outlineLevel="0" collapsed="false">
      <c r="A3525" s="4" t="s">
        <v>572</v>
      </c>
      <c r="B3525" s="0" t="s">
        <v>234</v>
      </c>
      <c r="C3525" s="30" t="n">
        <f aca="false">C3524*C3512</f>
        <v>170.5</v>
      </c>
      <c r="D3525" s="30" t="n">
        <f aca="false">D3524*31.9</f>
        <v>366.85</v>
      </c>
      <c r="E3525" s="30" t="n">
        <f aca="false">E3524*E3512</f>
        <v>416</v>
      </c>
      <c r="F3525" s="30" t="n">
        <f aca="false">F3524*F3512</f>
        <v>478.113430852471</v>
      </c>
      <c r="G3525" s="30" t="n">
        <f aca="false">G3524*G3512</f>
        <v>540.029089790259</v>
      </c>
    </row>
    <row r="3526" customFormat="false" ht="17.15" hidden="false" customHeight="false" outlineLevel="0" collapsed="false">
      <c r="A3526" s="4" t="s">
        <v>473</v>
      </c>
      <c r="B3526" s="0" t="s">
        <v>76</v>
      </c>
      <c r="C3526" s="21" t="n">
        <f aca="false">C3525/C3519</f>
        <v>0.264182166386732</v>
      </c>
      <c r="D3526" s="21" t="n">
        <f aca="false">D3525/D3519</f>
        <v>0.421101639775745</v>
      </c>
      <c r="E3526" s="21" t="n">
        <f aca="false">E3525/E3519</f>
        <v>0.372514946153139</v>
      </c>
      <c r="F3526" s="21" t="n">
        <f aca="false">F3525/F3519</f>
        <v>0.38</v>
      </c>
      <c r="G3526" s="21" t="n">
        <f aca="false">G3525/G3519</f>
        <v>0.38</v>
      </c>
    </row>
    <row r="3527" customFormat="false" ht="17.15" hidden="false" customHeight="false" outlineLevel="0" collapsed="false">
      <c r="A3527" s="4" t="s">
        <v>573</v>
      </c>
      <c r="B3527" s="0" t="s">
        <v>234</v>
      </c>
      <c r="C3527" s="30" t="n">
        <f aca="false">a25_da</f>
        <v>75.255</v>
      </c>
      <c r="D3527" s="30" t="n">
        <f aca="false">a26_da</f>
        <v>97.124</v>
      </c>
      <c r="E3527" s="30" t="n">
        <f aca="false">D3527*(1-1/life)+D3525/life</f>
        <v>130.83975</v>
      </c>
      <c r="F3527" s="30" t="n">
        <f aca="false">E3527*(1-1/life)+E3525/life</f>
        <v>166.48478125</v>
      </c>
      <c r="G3527" s="30" t="n">
        <f aca="false">F3527*(1-1/life)+F3525/life</f>
        <v>205.438362450309</v>
      </c>
      <c r="K3527" s="4" t="s">
        <v>574</v>
      </c>
    </row>
    <row r="3528" customFormat="false" ht="17.15" hidden="false" customHeight="false" outlineLevel="0" collapsed="false">
      <c r="A3528" s="4" t="s">
        <v>575</v>
      </c>
      <c r="B3528" s="0" t="s">
        <v>234</v>
      </c>
      <c r="C3528" s="30" t="n">
        <f aca="false">a25_agp</f>
        <v>91.38</v>
      </c>
      <c r="D3528" s="30" t="n">
        <f aca="false">a26_agp</f>
        <v>164.623388</v>
      </c>
      <c r="E3528" s="30" t="n">
        <f aca="false">$D3528+ft*(E3516-$D3516)-(E3527-$D3527)</f>
        <v>238.406777354481</v>
      </c>
      <c r="F3528" s="30" t="n">
        <f aca="false">$D3528+ft*(F3516-$D3516)-(F3527-$D3527)</f>
        <v>265.096905707536</v>
      </c>
      <c r="G3528" s="30" t="n">
        <f aca="false">$D3528+ft*(G3516-$D3516)-(G3527-$D3527)</f>
        <v>298.823127655395</v>
      </c>
      <c r="K3528" s="4" t="s">
        <v>576</v>
      </c>
    </row>
    <row r="3529" customFormat="false" ht="15" hidden="false" customHeight="false" outlineLevel="0" collapsed="false">
      <c r="A3529" s="4" t="s">
        <v>447</v>
      </c>
      <c r="B3529" s="0" t="s">
        <v>76</v>
      </c>
      <c r="C3529" s="14" t="n">
        <f aca="false">C3528/C3516</f>
        <v>0.234772421305764</v>
      </c>
      <c r="D3529" s="14" t="n">
        <f aca="false">D3528/D3516</f>
        <v>0.294112034690999</v>
      </c>
      <c r="E3529" s="14" t="n">
        <f aca="false">E3528/E3516</f>
        <v>0.307729461232368</v>
      </c>
      <c r="F3529" s="14" t="n">
        <f aca="false">F3528/F3516</f>
        <v>0.294749010474626</v>
      </c>
      <c r="G3529" s="14" t="n">
        <f aca="false">G3528/G3516</f>
        <v>0.286021271952293</v>
      </c>
    </row>
    <row r="3530" customFormat="false" ht="17.15" hidden="false" customHeight="false" outlineLevel="0" collapsed="false">
      <c r="A3530" s="0" t="s">
        <v>449</v>
      </c>
      <c r="B3530" s="0" t="s">
        <v>234</v>
      </c>
      <c r="C3530" s="30" t="n">
        <f aca="false">a25_egp</f>
        <v>23.695</v>
      </c>
      <c r="D3530" s="30" t="n">
        <f aca="false">a26_egp</f>
        <v>27.00552</v>
      </c>
      <c r="E3530" s="30" t="n">
        <f aca="false">E3517*ems_gm</f>
        <v>29.415287</v>
      </c>
      <c r="F3530" s="30" t="n">
        <f aca="false">F3517*ems_gm</f>
        <v>30.88605135</v>
      </c>
      <c r="G3530" s="30" t="n">
        <f aca="false">G3517*ems_gm</f>
        <v>32.4303539175</v>
      </c>
    </row>
    <row r="3531" customFormat="false" ht="15" hidden="false" customHeight="false" outlineLevel="0" collapsed="false">
      <c r="A3531" s="4" t="s">
        <v>577</v>
      </c>
      <c r="B3531" s="0" t="s">
        <v>234</v>
      </c>
      <c r="C3531" s="30" t="n">
        <f aca="false">a25_lgp</f>
        <v>-0.881999999999998</v>
      </c>
      <c r="D3531" s="30" t="n">
        <f aca="false">a26_lgp</f>
        <v>-0.948662139013863</v>
      </c>
      <c r="E3531" s="30" t="n">
        <f aca="false">$D3531/$D3518*E3518</f>
        <v>-1.21607288699975</v>
      </c>
      <c r="F3531" s="30" t="n">
        <f aca="false">$D3531/$D3518*F3518</f>
        <v>-1.37011595785291</v>
      </c>
      <c r="G3531" s="30" t="n">
        <f aca="false">$D3531/$D3518*G3518</f>
        <v>-1.54754588739994</v>
      </c>
    </row>
    <row r="3532" customFormat="false" ht="15" hidden="false" customHeight="false" outlineLevel="0" collapsed="false">
      <c r="A3532" s="4" t="s">
        <v>451</v>
      </c>
      <c r="B3532" s="0" t="s">
        <v>234</v>
      </c>
      <c r="C3532" s="30" t="n">
        <f aca="false">C3528+C3530+C3531</f>
        <v>114.193</v>
      </c>
      <c r="D3532" s="30" t="n">
        <f aca="false">D3528+D3530+D3531</f>
        <v>190.680245860986</v>
      </c>
      <c r="E3532" s="30" t="n">
        <f aca="false">E3528+E3530+E3531</f>
        <v>266.605991467481</v>
      </c>
      <c r="F3532" s="30" t="n">
        <f aca="false">F3528+F3530+F3531</f>
        <v>294.612841099683</v>
      </c>
      <c r="G3532" s="30" t="n">
        <f aca="false">G3528+G3530+G3531</f>
        <v>329.705935685495</v>
      </c>
    </row>
    <row r="3533" customFormat="false" ht="15" hidden="false" customHeight="false" outlineLevel="0" collapsed="false">
      <c r="A3533" s="4" t="s">
        <v>452</v>
      </c>
      <c r="B3533" s="0" t="s">
        <v>76</v>
      </c>
      <c r="C3533" s="14" t="n">
        <f aca="false">C3532/C3519</f>
        <v>0.176936974347214</v>
      </c>
      <c r="D3533" s="14" t="n">
        <f aca="false">D3532/D3519</f>
        <v>0.218879008327391</v>
      </c>
      <c r="E3533" s="14" t="n">
        <f aca="false">E3532/E3519</f>
        <v>0.238737299412531</v>
      </c>
      <c r="F3533" s="14" t="n">
        <f aca="false">F3532/F3519</f>
        <v>0.234155479418908</v>
      </c>
      <c r="G3533" s="14" t="n">
        <f aca="false">G3532/G3519</f>
        <v>0.232002790088861</v>
      </c>
    </row>
    <row r="3534" customFormat="false" ht="15" hidden="false" customHeight="false" outlineLevel="0" collapsed="false">
      <c r="A3534" s="4" t="s">
        <v>578</v>
      </c>
      <c r="B3534" s="0" t="s">
        <v>234</v>
      </c>
      <c r="C3534" s="30" t="n">
        <f aca="false">a25_opx</f>
        <v>63.437</v>
      </c>
      <c r="D3534" s="30" t="n">
        <f aca="false">a26_opx</f>
        <v>79.658</v>
      </c>
      <c r="E3534" s="30" t="n">
        <f aca="false">D3534*(1+phi*E3520)</f>
        <v>93.1304921468054</v>
      </c>
      <c r="F3534" s="30" t="n">
        <f aca="false">E3534*(1+phi*F3520)</f>
        <v>100.208739094201</v>
      </c>
      <c r="G3534" s="30" t="n">
        <f aca="false">F3534*(1+phi*G3520)</f>
        <v>107.994954304194</v>
      </c>
    </row>
    <row r="3535" customFormat="false" ht="15" hidden="false" customHeight="false" outlineLevel="0" collapsed="false">
      <c r="A3535" s="4" t="s">
        <v>455</v>
      </c>
      <c r="B3535" s="0" t="s">
        <v>234</v>
      </c>
      <c r="C3535" s="30" t="n">
        <f aca="false">C3532-C3534</f>
        <v>50.756</v>
      </c>
      <c r="D3535" s="30" t="n">
        <f aca="false">D3532-D3534</f>
        <v>111.022245860986</v>
      </c>
      <c r="E3535" s="30" t="n">
        <f aca="false">E3532-E3534</f>
        <v>173.475499320676</v>
      </c>
      <c r="F3535" s="30" t="n">
        <f aca="false">F3532-F3534</f>
        <v>194.404102005482</v>
      </c>
      <c r="G3535" s="30" t="n">
        <f aca="false">G3532-G3534</f>
        <v>221.710981381302</v>
      </c>
    </row>
    <row r="3536" customFormat="false" ht="15" hidden="false" customHeight="false" outlineLevel="0" collapsed="false">
      <c r="A3536" s="4" t="s">
        <v>537</v>
      </c>
      <c r="B3536" s="0" t="s">
        <v>76</v>
      </c>
      <c r="C3536" s="14" t="n">
        <f aca="false">C3535/C3519</f>
        <v>0.0786441644406156</v>
      </c>
      <c r="D3536" s="14" t="n">
        <f aca="false">D3535/D3519</f>
        <v>0.127440779020437</v>
      </c>
      <c r="E3536" s="14" t="n">
        <f aca="false">E3535/E3519</f>
        <v>0.155341866077717</v>
      </c>
      <c r="F3536" s="14" t="n">
        <f aca="false">F3535/F3519</f>
        <v>0.154510528245081</v>
      </c>
      <c r="G3536" s="14" t="n">
        <f aca="false">G3535/G3519</f>
        <v>0.156010434470514</v>
      </c>
    </row>
    <row r="3537" customFormat="false" ht="15" hidden="false" customHeight="false" outlineLevel="0" collapsed="false">
      <c r="A3537" s="4" t="s">
        <v>456</v>
      </c>
      <c r="B3537" s="0" t="s">
        <v>234</v>
      </c>
      <c r="C3537" s="30" t="n">
        <f aca="false">a25_nonop</f>
        <v>0.545</v>
      </c>
      <c r="D3537" s="30" t="n">
        <f aca="false">a26_nonop</f>
        <v>4.302</v>
      </c>
      <c r="E3537" s="30" t="n">
        <f aca="false">nonop_f</f>
        <v>-5</v>
      </c>
      <c r="F3537" s="30" t="n">
        <f aca="false">nonop_f</f>
        <v>-5</v>
      </c>
      <c r="G3537" s="30" t="n">
        <f aca="false">nonop_f</f>
        <v>-5</v>
      </c>
    </row>
    <row r="3538" customFormat="false" ht="15" hidden="false" customHeight="false" outlineLevel="0" collapsed="false">
      <c r="A3538" s="4" t="s">
        <v>459</v>
      </c>
      <c r="B3538" s="0" t="s">
        <v>234</v>
      </c>
      <c r="C3538" s="30" t="n">
        <f aca="false">C3535+C3537</f>
        <v>51.301</v>
      </c>
      <c r="D3538" s="30" t="n">
        <f aca="false">D3535+D3537</f>
        <v>115.324245860986</v>
      </c>
      <c r="E3538" s="30" t="n">
        <f aca="false">E3535+E3537</f>
        <v>168.475499320676</v>
      </c>
      <c r="F3538" s="30" t="n">
        <f aca="false">F3535+F3537</f>
        <v>189.404102005482</v>
      </c>
      <c r="G3538" s="30" t="n">
        <f aca="false">G3535+G3537</f>
        <v>216.710981381302</v>
      </c>
    </row>
    <row r="3539" customFormat="false" ht="15" hidden="false" customHeight="false" outlineLevel="0" collapsed="false">
      <c r="A3539" s="4" t="s">
        <v>460</v>
      </c>
      <c r="B3539" s="0" t="s">
        <v>234</v>
      </c>
      <c r="C3539" s="30" t="n">
        <f aca="false">a25_tax</f>
        <v>9.461</v>
      </c>
      <c r="D3539" s="30" t="n">
        <f aca="false">a26_tax</f>
        <v>19.2197317963676</v>
      </c>
      <c r="E3539" s="30" t="n">
        <f aca="false">E3538*tax</f>
        <v>28.6408348845149</v>
      </c>
      <c r="F3539" s="30" t="n">
        <f aca="false">F3538*tax</f>
        <v>32.198697340932</v>
      </c>
      <c r="G3539" s="30" t="n">
        <f aca="false">G3538*tax</f>
        <v>36.8408668348213</v>
      </c>
    </row>
    <row r="3540" customFormat="false" ht="15" hidden="false" customHeight="false" outlineLevel="0" collapsed="false">
      <c r="A3540" s="4" t="s">
        <v>461</v>
      </c>
      <c r="B3540" s="0" t="s">
        <v>234</v>
      </c>
      <c r="C3540" s="30" t="n">
        <f aca="false">a25_nci</f>
        <v>1.182</v>
      </c>
      <c r="D3540" s="30" t="n">
        <f aca="false">a26_nci</f>
        <v>2.543</v>
      </c>
      <c r="E3540" s="30" t="n">
        <f aca="false">nci</f>
        <v>3</v>
      </c>
      <c r="F3540" s="30" t="n">
        <f aca="false">nci</f>
        <v>3</v>
      </c>
      <c r="G3540" s="30" t="n">
        <f aca="false">nci</f>
        <v>3</v>
      </c>
    </row>
    <row r="3541" customFormat="false" ht="15" hidden="false" customHeight="false" outlineLevel="0" collapsed="false">
      <c r="A3541" s="4" t="s">
        <v>462</v>
      </c>
      <c r="B3541" s="0" t="s">
        <v>234</v>
      </c>
      <c r="C3541" s="30" t="n">
        <f aca="false">C3538-C3539-C3540</f>
        <v>40.658</v>
      </c>
      <c r="D3541" s="30" t="n">
        <f aca="false">D3538-D3539-D3540</f>
        <v>93.5615140646185</v>
      </c>
      <c r="E3541" s="30" t="n">
        <f aca="false">E3538-E3539-E3540</f>
        <v>136.834664436161</v>
      </c>
      <c r="F3541" s="30" t="n">
        <f aca="false">F3538-F3539-F3540</f>
        <v>154.20540466455</v>
      </c>
      <c r="G3541" s="30" t="n">
        <f aca="false">G3538-G3539-G3540</f>
        <v>176.870114546481</v>
      </c>
      <c r="H3541" s="31" t="n">
        <f aca="false">H3519*H3545</f>
        <v>199.528443524862</v>
      </c>
      <c r="I3541" s="31" t="n">
        <f aca="false">I3519*I3545</f>
        <v>220.29398950225</v>
      </c>
      <c r="J3541" s="31" t="n">
        <f aca="false">J3519*J3545</f>
        <v>237.933349598446</v>
      </c>
    </row>
    <row r="3542" customFormat="false" ht="15" hidden="false" customHeight="false" outlineLevel="0" collapsed="false">
      <c r="A3542" s="4" t="s">
        <v>579</v>
      </c>
      <c r="B3542" s="4" t="s">
        <v>580</v>
      </c>
      <c r="C3542" s="18" t="n">
        <f aca="false">a25_sh</f>
        <v>4339.16755602988</v>
      </c>
      <c r="D3542" s="18" t="n">
        <f aca="false">a26_sh</f>
        <v>4392.90105184664</v>
      </c>
      <c r="E3542" s="18" t="n">
        <f aca="false">D3542*(1+sh_g)</f>
        <v>4414.86555710588</v>
      </c>
      <c r="F3542" s="18" t="n">
        <f aca="false">E3542*(1+sh_g)</f>
        <v>4436.9398848914</v>
      </c>
      <c r="G3542" s="18" t="n">
        <f aca="false">F3542*(1+sh_g)</f>
        <v>4459.12458431586</v>
      </c>
      <c r="H3542" s="25" t="n">
        <f aca="false">G3542*(1+sh_g)</f>
        <v>4481.42020723744</v>
      </c>
      <c r="I3542" s="25" t="n">
        <f aca="false">H3542*(1+sh_g)</f>
        <v>4503.82730827363</v>
      </c>
      <c r="J3542" s="25" t="n">
        <f aca="false">I3542*(1+sh_g)</f>
        <v>4526.34644481499</v>
      </c>
    </row>
    <row r="3543" customFormat="false" ht="17.15" hidden="false" customHeight="false" outlineLevel="0" collapsed="false">
      <c r="A3543" s="0" t="s">
        <v>465</v>
      </c>
      <c r="B3543" s="0" t="s">
        <v>304</v>
      </c>
      <c r="C3543" s="19" t="n">
        <f aca="false">a25_eps</f>
        <v>9.37</v>
      </c>
      <c r="D3543" s="19" t="n">
        <f aca="false">a26_eps</f>
        <v>21.2828697294455</v>
      </c>
      <c r="E3543" s="19" t="n">
        <f aca="false">E3541/E3542*1000</f>
        <v>30.9940727902621</v>
      </c>
      <c r="F3543" s="19" t="n">
        <f aca="false">F3541/F3542*1000</f>
        <v>34.754900599318</v>
      </c>
      <c r="G3543" s="19" t="n">
        <f aca="false">G3541/G3542*1000</f>
        <v>39.6647618163861</v>
      </c>
      <c r="H3543" s="28" t="n">
        <f aca="false">H3541/H3542*1000</f>
        <v>44.5234845870125</v>
      </c>
      <c r="I3543" s="28" t="n">
        <f aca="false">I3541/I3542*1000</f>
        <v>48.9126190734634</v>
      </c>
      <c r="J3543" s="28" t="n">
        <f aca="false">J3541/J3542*1000</f>
        <v>52.5663142446825</v>
      </c>
    </row>
    <row r="3544" customFormat="false" ht="17.15" hidden="false" customHeight="false" outlineLevel="0" collapsed="false">
      <c r="A3544" s="0" t="s">
        <v>581</v>
      </c>
      <c r="B3544" s="0" t="s">
        <v>76</v>
      </c>
      <c r="D3544" s="21" t="n">
        <f aca="false">D3543/C3543-1</f>
        <v>1.27138417603474</v>
      </c>
      <c r="E3544" s="21" t="n">
        <f aca="false">E3543/D3543-1</f>
        <v>0.456291993714591</v>
      </c>
      <c r="F3544" s="21" t="n">
        <f aca="false">F3543/E3543-1</f>
        <v>0.121340226387977</v>
      </c>
      <c r="G3544" s="21" t="n">
        <f aca="false">G3543/F3543-1</f>
        <v>0.141271047604852</v>
      </c>
      <c r="H3544" s="26" t="n">
        <f aca="false">H3543/G3543-1</f>
        <v>0.122494691714475</v>
      </c>
      <c r="I3544" s="26" t="n">
        <f aca="false">I3543/H3543-1</f>
        <v>0.0985802105824229</v>
      </c>
      <c r="J3544" s="26" t="n">
        <f aca="false">J3543/I3543-1</f>
        <v>0.0746984160821862</v>
      </c>
    </row>
    <row r="3545" customFormat="false" ht="17.15" hidden="false" customHeight="false" outlineLevel="0" collapsed="false">
      <c r="A3545" s="4" t="s">
        <v>582</v>
      </c>
      <c r="B3545" s="0" t="s">
        <v>76</v>
      </c>
      <c r="C3545" s="14" t="n">
        <f aca="false">C3541/C3519</f>
        <v>0.0629977625862272</v>
      </c>
      <c r="D3545" s="14" t="n">
        <f aca="false">D3541/D3519</f>
        <v>0.107397865592237</v>
      </c>
      <c r="E3545" s="14" t="n">
        <f aca="false">E3541/E3519</f>
        <v>0.122531148207498</v>
      </c>
      <c r="F3545" s="14" t="n">
        <f aca="false">F3541/F3519</f>
        <v>0.122560986559297</v>
      </c>
      <c r="G3545" s="14" t="n">
        <f aca="false">G3541/G3519</f>
        <v>0.124457450160262</v>
      </c>
      <c r="H3545" s="27" t="n">
        <f aca="false">$G3545+(fade_mA-$G3545)*1/3</f>
        <v>0.126906911711562</v>
      </c>
      <c r="I3545" s="27" t="n">
        <f aca="false">$G3545+(fade_mA-$G3545)*2/3</f>
        <v>0.129356373262863</v>
      </c>
      <c r="J3545" s="27" t="n">
        <f aca="false">$G3545+(fade_mA-$G3545)*3/3</f>
        <v>0.131805834814164</v>
      </c>
    </row>
    <row r="3546" customFormat="false" ht="17.15" hidden="false" customHeight="false" outlineLevel="0" collapsed="false">
      <c r="A3546" s="4" t="s">
        <v>583</v>
      </c>
      <c r="B3546" s="0" t="s">
        <v>234</v>
      </c>
      <c r="C3546" s="30" t="n">
        <f aca="false">C3541+C3527-C3525</f>
        <v>-54.587</v>
      </c>
      <c r="D3546" s="30" t="n">
        <f aca="false">D3541+D3527-D3525</f>
        <v>-176.164485935382</v>
      </c>
      <c r="E3546" s="30" t="n">
        <f aca="false">E3541+E3527-E3525</f>
        <v>-148.325585563839</v>
      </c>
      <c r="F3546" s="30" t="n">
        <f aca="false">F3541+F3527-F3525</f>
        <v>-157.423244937921</v>
      </c>
      <c r="G3546" s="30" t="n">
        <f aca="false">G3541+G3527-G3525</f>
        <v>-157.72061279347</v>
      </c>
      <c r="K3546" s="4" t="s">
        <v>584</v>
      </c>
    </row>
    <row r="3547" customFormat="false" ht="17.15" hidden="false" customHeight="false" outlineLevel="0" collapsed="false">
      <c r="A3547" s="4" t="s">
        <v>585</v>
      </c>
      <c r="B3547" s="0" t="s">
        <v>76</v>
      </c>
      <c r="D3547" s="21" t="n">
        <f aca="false">(D3535-$C3535)/SUM($D3525:D3525)</f>
        <v>0.164280348537512</v>
      </c>
      <c r="E3547" s="21" t="n">
        <f aca="false">(E3535-$C3535)/SUM($D3525:E3525)</f>
        <v>0.156759914824903</v>
      </c>
      <c r="F3547" s="21" t="n">
        <f aca="false">(F3535-$C3535)/SUM($D3525:F3525)</f>
        <v>0.113919324296637</v>
      </c>
      <c r="G3547" s="21" t="n">
        <f aca="false">(G3535-$C3535)/SUM($D3525:G3525)</f>
        <v>0.0949226492735751</v>
      </c>
      <c r="K3547" s="4" t="s">
        <v>586</v>
      </c>
    </row>
    <row r="3550" customFormat="false" ht="17.15" hidden="false" customHeight="false" outlineLevel="0" collapsed="false">
      <c r="A3550" s="1" t="s">
        <v>986</v>
      </c>
    </row>
    <row r="3551" customFormat="false" ht="17.15" hidden="false" customHeight="false" outlineLevel="0" collapsed="false">
      <c r="A3551" s="5" t="s">
        <v>21</v>
      </c>
      <c r="B3551" s="5" t="s">
        <v>22</v>
      </c>
      <c r="C3551" s="15" t="s">
        <v>424</v>
      </c>
      <c r="D3551" s="15" t="s">
        <v>524</v>
      </c>
      <c r="E3551" s="15" t="s">
        <v>525</v>
      </c>
      <c r="F3551" s="15" t="s">
        <v>526</v>
      </c>
      <c r="G3551" s="15" t="s">
        <v>527</v>
      </c>
      <c r="H3551" s="15" t="s">
        <v>528</v>
      </c>
      <c r="I3551" s="15" t="s">
        <v>529</v>
      </c>
      <c r="J3551" s="15" t="s">
        <v>530</v>
      </c>
      <c r="K3551" s="5" t="s">
        <v>382</v>
      </c>
    </row>
    <row r="3552" customFormat="false" ht="17.15" hidden="false" customHeight="false" outlineLevel="0" collapsed="false">
      <c r="A3552" s="6" t="s">
        <v>548</v>
      </c>
    </row>
    <row r="3553" customFormat="false" ht="17.15" hidden="false" customHeight="false" outlineLevel="0" collapsed="false">
      <c r="A3553" s="0" t="s">
        <v>549</v>
      </c>
      <c r="B3553" s="4" t="s">
        <v>32</v>
      </c>
      <c r="D3553" s="19" t="n">
        <f aca="false">units_26</f>
        <v>15.2</v>
      </c>
      <c r="E3553" s="19" t="n">
        <f aca="false">units_27*1</f>
        <v>23.7</v>
      </c>
      <c r="F3553" s="19" t="n">
        <f aca="false">units_28*um28_B*1</f>
        <v>21.2</v>
      </c>
      <c r="G3553" s="19" t="n">
        <f aca="false">units_29*um29_B*1</f>
        <v>25.6275</v>
      </c>
    </row>
    <row r="3554" customFormat="false" ht="17.15" hidden="false" customHeight="false" outlineLevel="0" collapsed="false">
      <c r="A3554" s="4" t="s">
        <v>497</v>
      </c>
      <c r="B3554" s="0" t="s">
        <v>45</v>
      </c>
      <c r="D3554" s="22" t="n">
        <f aca="false">ar_26</f>
        <v>1</v>
      </c>
      <c r="E3554" s="22" t="n">
        <f aca="false">ar_27</f>
        <v>1.278156</v>
      </c>
      <c r="F3554" s="22" t="n">
        <f aca="false">ar_28</f>
        <v>1.428615</v>
      </c>
      <c r="G3554" s="22" t="n">
        <f aca="false">ar_29</f>
        <v>1.431796</v>
      </c>
    </row>
    <row r="3555" customFormat="false" ht="17.15" hidden="false" customHeight="false" outlineLevel="0" collapsed="false">
      <c r="A3555" s="4" t="s">
        <v>550</v>
      </c>
      <c r="B3555" s="0" t="s">
        <v>45</v>
      </c>
      <c r="D3555" s="19" t="n">
        <f aca="false">1</f>
        <v>1</v>
      </c>
      <c r="E3555" s="19" t="n">
        <f aca="false">rel27_B</f>
        <v>1.05</v>
      </c>
      <c r="F3555" s="19" t="n">
        <f aca="false">rel28_B</f>
        <v>1.08</v>
      </c>
      <c r="G3555" s="19" t="n">
        <f aca="false">rel29_B</f>
        <v>1.1</v>
      </c>
    </row>
    <row r="3556" customFormat="false" ht="17.15" hidden="false" customHeight="false" outlineLevel="0" collapsed="false">
      <c r="A3556" s="4" t="s">
        <v>551</v>
      </c>
      <c r="B3556" s="0" t="s">
        <v>502</v>
      </c>
      <c r="D3556" s="23" t="n">
        <f aca="false">D3557*1000/D3553</f>
        <v>236.842105263158</v>
      </c>
      <c r="E3556" s="23" t="n">
        <f aca="false">$D3556*E3554^el</f>
        <v>267.763172119488</v>
      </c>
      <c r="F3556" s="23" t="n">
        <f aca="false">$D3556*F3554^el</f>
        <v>283.084777049615</v>
      </c>
      <c r="G3556" s="23" t="n">
        <f aca="false">$D3556*G3554^el</f>
        <v>283.399764630809</v>
      </c>
      <c r="K3556" s="8" t="s">
        <v>552</v>
      </c>
    </row>
    <row r="3557" customFormat="false" ht="17.15" hidden="false" customHeight="false" outlineLevel="0" collapsed="false">
      <c r="A3557" s="0" t="s">
        <v>553</v>
      </c>
      <c r="B3557" s="0" t="s">
        <v>120</v>
      </c>
      <c r="D3557" s="22" t="n">
        <f aca="false">leap26-D3558-D3559</f>
        <v>3.6</v>
      </c>
      <c r="E3557" s="22" t="n">
        <f aca="false">E3553*E3555*E3556/1000</f>
        <v>6.66328653819345</v>
      </c>
      <c r="F3557" s="22" t="n">
        <f aca="false">F3553*F3555*F3556/1000</f>
        <v>6.48150905532798</v>
      </c>
      <c r="G3557" s="22" t="n">
        <f aca="false">G3553*G3555*G3556/1000</f>
        <v>7.98911021488366</v>
      </c>
      <c r="K3557" s="8" t="s">
        <v>554</v>
      </c>
    </row>
    <row r="3558" customFormat="false" ht="17.15" hidden="false" customHeight="false" outlineLevel="0" collapsed="false">
      <c r="A3558" s="4" t="s">
        <v>555</v>
      </c>
      <c r="B3558" s="0" t="s">
        <v>120</v>
      </c>
      <c r="D3558" s="22" t="n">
        <f aca="false">fp26</f>
        <v>0.3</v>
      </c>
      <c r="E3558" s="22" t="n">
        <f aca="false">fp27_B</f>
        <v>1</v>
      </c>
      <c r="F3558" s="22" t="n">
        <f aca="false">E3558*F3553/E3553*(1+fp_g)</f>
        <v>1.16286919831224</v>
      </c>
      <c r="G3558" s="22" t="n">
        <f aca="false">F3558*G3553/F3553*(1+fp_g)</f>
        <v>1.82744620253165</v>
      </c>
    </row>
    <row r="3559" customFormat="false" ht="17.15" hidden="false" customHeight="false" outlineLevel="0" collapsed="false">
      <c r="A3559" s="0" t="s">
        <v>556</v>
      </c>
      <c r="B3559" s="0" t="s">
        <v>120</v>
      </c>
      <c r="D3559" s="22" t="n">
        <f aca="false">cpo27*cpo_B_26/cpo_A_27</f>
        <v>0.1</v>
      </c>
      <c r="E3559" s="22" t="n">
        <f aca="false">cpo27*cpo_B_27/cpo_A_27</f>
        <v>0.3</v>
      </c>
      <c r="F3559" s="22" t="n">
        <f aca="false">cpo27*cpo_B_28/cpo_A_27*F3553/E3553</f>
        <v>0.447257383966245</v>
      </c>
      <c r="G3559" s="22" t="n">
        <f aca="false">cpo27*cpo_B_29/cpo_A_27*G3553/E3553</f>
        <v>0.86506329113924</v>
      </c>
      <c r="K3559" s="8" t="s">
        <v>557</v>
      </c>
    </row>
    <row r="3560" customFormat="false" ht="17.15" hidden="false" customHeight="false" outlineLevel="0" collapsed="false">
      <c r="A3560" s="0" t="s">
        <v>510</v>
      </c>
      <c r="B3560" s="0" t="s">
        <v>120</v>
      </c>
      <c r="C3560" s="22" t="n">
        <f aca="false">leap25</f>
        <v>1.6</v>
      </c>
      <c r="D3560" s="22" t="n">
        <f aca="false">D3557+D3558+D3559</f>
        <v>4</v>
      </c>
      <c r="E3560" s="22" t="n">
        <f aca="false">E3557+E3558+E3559</f>
        <v>7.96328653819345</v>
      </c>
      <c r="F3560" s="22" t="n">
        <f aca="false">F3557+F3558+F3559</f>
        <v>8.09163563760646</v>
      </c>
      <c r="G3560" s="22" t="n">
        <f aca="false">G3557+G3558+G3559</f>
        <v>10.6816197085545</v>
      </c>
    </row>
    <row r="3561" customFormat="false" ht="17.15" hidden="false" customHeight="false" outlineLevel="0" collapsed="false">
      <c r="A3561" s="4" t="s">
        <v>558</v>
      </c>
      <c r="B3561" s="0" t="s">
        <v>114</v>
      </c>
      <c r="C3561" s="19" t="n">
        <f aca="false">fx25</f>
        <v>31</v>
      </c>
      <c r="D3561" s="19" t="n">
        <f aca="false">a26_leap/D3560</f>
        <v>31.9</v>
      </c>
      <c r="E3561" s="19" t="n">
        <f aca="false">fx</f>
        <v>32</v>
      </c>
      <c r="F3561" s="19" t="n">
        <f aca="false">fx</f>
        <v>32</v>
      </c>
      <c r="G3561" s="19" t="n">
        <f aca="false">fx</f>
        <v>32</v>
      </c>
      <c r="K3561" s="8" t="s">
        <v>559</v>
      </c>
    </row>
    <row r="3562" customFormat="false" ht="17.15" hidden="false" customHeight="false" outlineLevel="0" collapsed="false">
      <c r="A3562" s="6" t="s">
        <v>560</v>
      </c>
    </row>
    <row r="3563" customFormat="false" ht="17.15" hidden="false" customHeight="false" outlineLevel="0" collapsed="false">
      <c r="A3563" s="0" t="s">
        <v>438</v>
      </c>
      <c r="B3563" s="0" t="s">
        <v>234</v>
      </c>
      <c r="C3563" s="30" t="n">
        <f aca="false">a25_leap</f>
        <v>49.6</v>
      </c>
      <c r="D3563" s="30" t="n">
        <f aca="false">a26_leap</f>
        <v>127.6</v>
      </c>
      <c r="E3563" s="30" t="n">
        <f aca="false">E3560*E3561</f>
        <v>254.82516922219</v>
      </c>
      <c r="F3563" s="30" t="n">
        <f aca="false">F3560*F3561</f>
        <v>258.932340403407</v>
      </c>
      <c r="G3563" s="30" t="n">
        <f aca="false">G3560*G3561</f>
        <v>341.811830673745</v>
      </c>
    </row>
    <row r="3564" customFormat="false" ht="15" hidden="false" customHeight="false" outlineLevel="0" collapsed="false">
      <c r="A3564" s="4" t="s">
        <v>561</v>
      </c>
      <c r="B3564" s="0" t="s">
        <v>234</v>
      </c>
      <c r="C3564" s="30" t="n">
        <f aca="false">a25_ms</f>
        <v>339.628</v>
      </c>
      <c r="D3564" s="30" t="n">
        <f aca="false">a26_ms</f>
        <v>432.1302</v>
      </c>
      <c r="E3564" s="30" t="n">
        <f aca="false">D3564*(1+g_ms27)</f>
        <v>496.94973</v>
      </c>
      <c r="F3564" s="30" t="n">
        <f aca="false">E3564*(1+g_msL)</f>
        <v>531.7362111</v>
      </c>
      <c r="G3564" s="30" t="n">
        <f aca="false">F3564*(1+g_msL)</f>
        <v>568.957745877</v>
      </c>
    </row>
    <row r="3565" customFormat="false" ht="17.15" hidden="false" customHeight="false" outlineLevel="0" collapsed="false">
      <c r="A3565" s="4" t="s">
        <v>562</v>
      </c>
      <c r="B3565" s="0" t="s">
        <v>234</v>
      </c>
      <c r="C3565" s="30" t="n">
        <f aca="false">C3563+C3564</f>
        <v>389.228</v>
      </c>
      <c r="D3565" s="30" t="n">
        <f aca="false">D3563+D3564</f>
        <v>559.7302</v>
      </c>
      <c r="E3565" s="30" t="n">
        <f aca="false">E3563+E3564</f>
        <v>751.77489922219</v>
      </c>
      <c r="F3565" s="30" t="n">
        <f aca="false">F3563+F3564</f>
        <v>790.668551503407</v>
      </c>
      <c r="G3565" s="30" t="n">
        <f aca="false">G3563+G3564</f>
        <v>910.769576550745</v>
      </c>
    </row>
    <row r="3566" customFormat="false" ht="17.15" hidden="false" customHeight="false" outlineLevel="0" collapsed="false">
      <c r="A3566" s="0" t="s">
        <v>563</v>
      </c>
      <c r="B3566" s="0" t="s">
        <v>234</v>
      </c>
      <c r="C3566" s="30" t="n">
        <f aca="false">a25_ems</f>
        <v>259.079</v>
      </c>
      <c r="D3566" s="30" t="n">
        <f aca="false">a26_ems</f>
        <v>314.602</v>
      </c>
      <c r="E3566" s="30" t="n">
        <f aca="false">D3566*(1+g_ems27)</f>
        <v>346.0622</v>
      </c>
      <c r="F3566" s="30" t="n">
        <f aca="false">E3566*(1+g_emsL)</f>
        <v>363.36531</v>
      </c>
      <c r="G3566" s="30" t="n">
        <f aca="false">F3566*(1+g_emsL)</f>
        <v>381.5335755</v>
      </c>
    </row>
    <row r="3567" customFormat="false" ht="17.15" hidden="false" customHeight="false" outlineLevel="0" collapsed="false">
      <c r="A3567" s="4" t="s">
        <v>564</v>
      </c>
      <c r="B3567" s="0" t="s">
        <v>234</v>
      </c>
      <c r="C3567" s="30" t="n">
        <f aca="false">a25_elim</f>
        <v>-2.91899999999998</v>
      </c>
      <c r="D3567" s="30" t="n">
        <f aca="false">a26_elim</f>
        <v>-3.16484905982349</v>
      </c>
      <c r="E3567" s="30" t="n">
        <f aca="false">$D3567/($D3565+$D3566)*(E3565+E3566)</f>
        <v>-3.97387710450638</v>
      </c>
      <c r="F3567" s="30" t="n">
        <f aca="false">$D3567/($D3565+$D3566)*(F3565+F3566)</f>
        <v>-4.17729437573445</v>
      </c>
      <c r="G3567" s="30" t="n">
        <f aca="false">$D3567/($D3565+$D3566)*(G3565+G3566)</f>
        <v>-4.67779228052533</v>
      </c>
      <c r="K3567" s="4" t="s">
        <v>565</v>
      </c>
    </row>
    <row r="3568" customFormat="false" ht="17.15" hidden="false" customHeight="false" outlineLevel="0" collapsed="false">
      <c r="A3568" s="4" t="s">
        <v>431</v>
      </c>
      <c r="B3568" s="0" t="s">
        <v>234</v>
      </c>
      <c r="C3568" s="30" t="n">
        <f aca="false">C3565+C3566+C3567</f>
        <v>645.388</v>
      </c>
      <c r="D3568" s="30" t="n">
        <f aca="false">D3565+D3566+D3567</f>
        <v>871.167350940177</v>
      </c>
      <c r="E3568" s="30" t="n">
        <f aca="false">E3565+E3566+E3567</f>
        <v>1093.86322211768</v>
      </c>
      <c r="F3568" s="30" t="n">
        <f aca="false">F3565+F3566+F3567</f>
        <v>1149.85656712767</v>
      </c>
      <c r="G3568" s="30" t="n">
        <f aca="false">G3565+G3566+G3567</f>
        <v>1287.62535977022</v>
      </c>
      <c r="H3568" s="31" t="n">
        <f aca="false">G3568*(1+H3569)</f>
        <v>1407.64396999115</v>
      </c>
      <c r="I3568" s="31" t="n">
        <f aca="false">H3568*(1+I3569)</f>
        <v>1501.39957757674</v>
      </c>
      <c r="J3568" s="31" t="n">
        <f aca="false">I3568*(1+J3569)</f>
        <v>1561.45556067981</v>
      </c>
      <c r="K3568" s="8" t="s">
        <v>566</v>
      </c>
    </row>
    <row r="3569" customFormat="false" ht="15" hidden="false" customHeight="false" outlineLevel="0" collapsed="false">
      <c r="A3569" s="4" t="s">
        <v>567</v>
      </c>
      <c r="B3569" s="0" t="s">
        <v>76</v>
      </c>
      <c r="D3569" s="21" t="n">
        <f aca="false">D3568/C3568-1</f>
        <v>0.349835061916516</v>
      </c>
      <c r="E3569" s="21" t="n">
        <f aca="false">E3568/D3568-1</f>
        <v>0.255629266796065</v>
      </c>
      <c r="F3569" s="21" t="n">
        <f aca="false">F3568/E3568-1</f>
        <v>0.0511886165270159</v>
      </c>
      <c r="G3569" s="21" t="n">
        <f aca="false">G3568/F3568-1</f>
        <v>0.11981389382042</v>
      </c>
      <c r="H3569" s="26" t="n">
        <f aca="false">$G3569+(fade_gB-$G3569)*1/3</f>
        <v>0.0932092625469469</v>
      </c>
      <c r="I3569" s="26" t="n">
        <f aca="false">$G3569+(fade_gB-$G3569)*2/3</f>
        <v>0.0666046312734734</v>
      </c>
      <c r="J3569" s="26" t="n">
        <f aca="false">$G3569+(fade_gB-$G3569)*3/3</f>
        <v>0.04</v>
      </c>
    </row>
    <row r="3570" customFormat="false" ht="17.15" hidden="false" customHeight="false" outlineLevel="0" collapsed="false">
      <c r="A3570" s="0" t="s">
        <v>475</v>
      </c>
      <c r="B3570" s="0" t="s">
        <v>76</v>
      </c>
      <c r="C3570" s="21" t="n">
        <f aca="false">C3563/C3565</f>
        <v>0.127431736668482</v>
      </c>
      <c r="D3570" s="21" t="n">
        <f aca="false">D3563/D3565</f>
        <v>0.227966974088588</v>
      </c>
      <c r="E3570" s="21" t="n">
        <f aca="false">E3563/E3565</f>
        <v>0.338964721335922</v>
      </c>
      <c r="F3570" s="21" t="n">
        <f aca="false">F3563/F3565</f>
        <v>0.327485315953269</v>
      </c>
      <c r="G3570" s="21" t="n">
        <f aca="false">G3563/G3565</f>
        <v>0.375300009436251</v>
      </c>
    </row>
    <row r="3571" customFormat="false" ht="15" hidden="false" customHeight="false" outlineLevel="0" collapsed="false">
      <c r="A3571" s="4" t="s">
        <v>568</v>
      </c>
      <c r="B3571" s="0" t="s">
        <v>76</v>
      </c>
      <c r="D3571" s="21" t="n">
        <f aca="false">D3565/C3565-1</f>
        <v>0.438052247012034</v>
      </c>
      <c r="E3571" s="21" t="n">
        <f aca="false">E3565/D3565-1</f>
        <v>0.343102264666424</v>
      </c>
      <c r="F3571" s="21" t="n">
        <f aca="false">F3565/E3565-1</f>
        <v>0.0517357686741828</v>
      </c>
      <c r="G3571" s="21" t="n">
        <f aca="false">G3565/F3565-1</f>
        <v>0.151898067551788</v>
      </c>
    </row>
    <row r="3572" customFormat="false" ht="17.15" hidden="false" customHeight="false" outlineLevel="0" collapsed="false">
      <c r="A3572" s="6" t="s">
        <v>569</v>
      </c>
    </row>
    <row r="3573" customFormat="false" ht="17.15" hidden="false" customHeight="false" outlineLevel="0" collapsed="false">
      <c r="A3573" s="4" t="s">
        <v>570</v>
      </c>
      <c r="B3573" s="0" t="s">
        <v>120</v>
      </c>
      <c r="C3573" s="19" t="n">
        <f aca="false">capex25</f>
        <v>5.5</v>
      </c>
      <c r="D3573" s="19" t="n">
        <f aca="false">capex26</f>
        <v>11.5</v>
      </c>
      <c r="E3573" s="19" t="n">
        <f aca="false">capex27</f>
        <v>13</v>
      </c>
      <c r="F3573" s="19" t="n">
        <f aca="false">capi_hi*F3568/F3561</f>
        <v>13.6545467346411</v>
      </c>
      <c r="G3573" s="19" t="n">
        <f aca="false">capi_hi*G3568/G3561</f>
        <v>15.2905511472714</v>
      </c>
      <c r="K3573" s="8" t="s">
        <v>571</v>
      </c>
    </row>
    <row r="3574" customFormat="false" ht="15" hidden="false" customHeight="false" outlineLevel="0" collapsed="false">
      <c r="A3574" s="4" t="s">
        <v>572</v>
      </c>
      <c r="B3574" s="0" t="s">
        <v>234</v>
      </c>
      <c r="C3574" s="30" t="n">
        <f aca="false">C3573*C3561</f>
        <v>170.5</v>
      </c>
      <c r="D3574" s="30" t="n">
        <f aca="false">D3573*31.9</f>
        <v>366.85</v>
      </c>
      <c r="E3574" s="30" t="n">
        <f aca="false">E3573*E3561</f>
        <v>416</v>
      </c>
      <c r="F3574" s="30" t="n">
        <f aca="false">F3573*F3561</f>
        <v>436.945495508515</v>
      </c>
      <c r="G3574" s="30" t="n">
        <f aca="false">G3573*G3561</f>
        <v>489.297636712684</v>
      </c>
    </row>
    <row r="3575" customFormat="false" ht="17.15" hidden="false" customHeight="false" outlineLevel="0" collapsed="false">
      <c r="A3575" s="4" t="s">
        <v>473</v>
      </c>
      <c r="B3575" s="0" t="s">
        <v>76</v>
      </c>
      <c r="C3575" s="21" t="n">
        <f aca="false">C3574/C3568</f>
        <v>0.264182166386732</v>
      </c>
      <c r="D3575" s="21" t="n">
        <f aca="false">D3574/D3568</f>
        <v>0.421101639775745</v>
      </c>
      <c r="E3575" s="21" t="n">
        <f aca="false">E3574/E3568</f>
        <v>0.380303489127861</v>
      </c>
      <c r="F3575" s="21" t="n">
        <f aca="false">F3574/F3568</f>
        <v>0.38</v>
      </c>
      <c r="G3575" s="21" t="n">
        <f aca="false">G3574/G3568</f>
        <v>0.38</v>
      </c>
    </row>
    <row r="3576" customFormat="false" ht="17.15" hidden="false" customHeight="false" outlineLevel="0" collapsed="false">
      <c r="A3576" s="4" t="s">
        <v>573</v>
      </c>
      <c r="B3576" s="0" t="s">
        <v>234</v>
      </c>
      <c r="C3576" s="30" t="n">
        <f aca="false">a25_da</f>
        <v>75.255</v>
      </c>
      <c r="D3576" s="30" t="n">
        <f aca="false">a26_da</f>
        <v>97.124</v>
      </c>
      <c r="E3576" s="30" t="n">
        <f aca="false">D3576*(1-1/life)+D3574/life</f>
        <v>130.83975</v>
      </c>
      <c r="F3576" s="30" t="n">
        <f aca="false">E3576*(1-1/life)+E3574/life</f>
        <v>166.48478125</v>
      </c>
      <c r="G3576" s="30" t="n">
        <f aca="false">F3576*(1-1/life)+F3574/life</f>
        <v>200.292370532314</v>
      </c>
      <c r="K3576" s="4" t="s">
        <v>574</v>
      </c>
    </row>
    <row r="3577" customFormat="false" ht="17.15" hidden="false" customHeight="false" outlineLevel="0" collapsed="false">
      <c r="A3577" s="4" t="s">
        <v>575</v>
      </c>
      <c r="B3577" s="0" t="s">
        <v>234</v>
      </c>
      <c r="C3577" s="30" t="n">
        <f aca="false">a25_agp</f>
        <v>91.38</v>
      </c>
      <c r="D3577" s="30" t="n">
        <f aca="false">a26_agp</f>
        <v>164.623388</v>
      </c>
      <c r="E3577" s="30" t="n">
        <f aca="false">$D3577+ft*(E3565-$D3565)-(E3576-$D3576)</f>
        <v>226.929987611095</v>
      </c>
      <c r="F3577" s="30" t="n">
        <f aca="false">$D3577+ft*(F3565-$D3565)-(F3576-$D3576)</f>
        <v>210.731782501703</v>
      </c>
      <c r="G3577" s="30" t="n">
        <f aca="false">$D3577+ft*(G3565-$D3565)-(G3576-$D3576)</f>
        <v>236.974705743058</v>
      </c>
      <c r="K3577" s="4" t="s">
        <v>576</v>
      </c>
    </row>
    <row r="3578" customFormat="false" ht="15" hidden="false" customHeight="false" outlineLevel="0" collapsed="false">
      <c r="A3578" s="4" t="s">
        <v>447</v>
      </c>
      <c r="B3578" s="0" t="s">
        <v>76</v>
      </c>
      <c r="C3578" s="14" t="n">
        <f aca="false">C3577/C3565</f>
        <v>0.234772421305764</v>
      </c>
      <c r="D3578" s="14" t="n">
        <f aca="false">D3577/D3565</f>
        <v>0.294112034690999</v>
      </c>
      <c r="E3578" s="14" t="n">
        <f aca="false">E3577/E3565</f>
        <v>0.301858957842147</v>
      </c>
      <c r="F3578" s="14" t="n">
        <f aca="false">F3577/F3565</f>
        <v>0.26652354150296</v>
      </c>
      <c r="G3578" s="14" t="n">
        <f aca="false">G3577/G3565</f>
        <v>0.260191723400035</v>
      </c>
    </row>
    <row r="3579" customFormat="false" ht="17.15" hidden="false" customHeight="false" outlineLevel="0" collapsed="false">
      <c r="A3579" s="0" t="s">
        <v>449</v>
      </c>
      <c r="B3579" s="0" t="s">
        <v>234</v>
      </c>
      <c r="C3579" s="30" t="n">
        <f aca="false">a25_egp</f>
        <v>23.695</v>
      </c>
      <c r="D3579" s="30" t="n">
        <f aca="false">a26_egp</f>
        <v>27.00552</v>
      </c>
      <c r="E3579" s="30" t="n">
        <f aca="false">E3566*ems_gm</f>
        <v>29.415287</v>
      </c>
      <c r="F3579" s="30" t="n">
        <f aca="false">F3566*ems_gm</f>
        <v>30.88605135</v>
      </c>
      <c r="G3579" s="30" t="n">
        <f aca="false">G3566*ems_gm</f>
        <v>32.4303539175</v>
      </c>
    </row>
    <row r="3580" customFormat="false" ht="15" hidden="false" customHeight="false" outlineLevel="0" collapsed="false">
      <c r="A3580" s="4" t="s">
        <v>577</v>
      </c>
      <c r="B3580" s="0" t="s">
        <v>234</v>
      </c>
      <c r="C3580" s="30" t="n">
        <f aca="false">a25_lgp</f>
        <v>-0.881999999999998</v>
      </c>
      <c r="D3580" s="30" t="n">
        <f aca="false">a26_lgp</f>
        <v>-0.948662139013863</v>
      </c>
      <c r="E3580" s="30" t="n">
        <f aca="false">$D3580/$D3567*E3567</f>
        <v>-1.19116794604716</v>
      </c>
      <c r="F3580" s="30" t="n">
        <f aca="false">$D3580/$D3567*F3567</f>
        <v>-1.25214218525664</v>
      </c>
      <c r="G3580" s="30" t="n">
        <f aca="false">$D3580/$D3567*G3567</f>
        <v>-1.40216621608905</v>
      </c>
    </row>
    <row r="3581" customFormat="false" ht="15" hidden="false" customHeight="false" outlineLevel="0" collapsed="false">
      <c r="A3581" s="4" t="s">
        <v>451</v>
      </c>
      <c r="B3581" s="0" t="s">
        <v>234</v>
      </c>
      <c r="C3581" s="30" t="n">
        <f aca="false">C3577+C3579+C3580</f>
        <v>114.193</v>
      </c>
      <c r="D3581" s="30" t="n">
        <f aca="false">D3577+D3579+D3580</f>
        <v>190.680245860986</v>
      </c>
      <c r="E3581" s="30" t="n">
        <f aca="false">E3577+E3579+E3580</f>
        <v>255.154106665048</v>
      </c>
      <c r="F3581" s="30" t="n">
        <f aca="false">F3577+F3579+F3580</f>
        <v>240.365691666447</v>
      </c>
      <c r="G3581" s="30" t="n">
        <f aca="false">G3577+G3579+G3580</f>
        <v>268.002893444469</v>
      </c>
    </row>
    <row r="3582" customFormat="false" ht="15" hidden="false" customHeight="false" outlineLevel="0" collapsed="false">
      <c r="A3582" s="4" t="s">
        <v>452</v>
      </c>
      <c r="B3582" s="0" t="s">
        <v>76</v>
      </c>
      <c r="C3582" s="14" t="n">
        <f aca="false">C3581/C3568</f>
        <v>0.176936974347214</v>
      </c>
      <c r="D3582" s="14" t="n">
        <f aca="false">D3581/D3568</f>
        <v>0.218879008327391</v>
      </c>
      <c r="E3582" s="14" t="n">
        <f aca="false">E3581/E3568</f>
        <v>0.233259608245241</v>
      </c>
      <c r="F3582" s="14" t="n">
        <f aca="false">F3581/F3568</f>
        <v>0.209039717246541</v>
      </c>
      <c r="G3582" s="14" t="n">
        <f aca="false">G3581/G3568</f>
        <v>0.208137321473922</v>
      </c>
    </row>
    <row r="3583" customFormat="false" ht="15" hidden="false" customHeight="false" outlineLevel="0" collapsed="false">
      <c r="A3583" s="4" t="s">
        <v>578</v>
      </c>
      <c r="B3583" s="0" t="s">
        <v>234</v>
      </c>
      <c r="C3583" s="30" t="n">
        <f aca="false">a25_opx</f>
        <v>63.437</v>
      </c>
      <c r="D3583" s="30" t="n">
        <f aca="false">a26_opx</f>
        <v>79.658</v>
      </c>
      <c r="E3583" s="30" t="n">
        <f aca="false">D3583*(1+phi*E3569)</f>
        <v>91.8757496806646</v>
      </c>
      <c r="F3583" s="30" t="n">
        <f aca="false">E3583*(1+phi*F3569)</f>
        <v>94.6975451917859</v>
      </c>
      <c r="G3583" s="30" t="n">
        <f aca="false">F3583*(1+phi*G3569)</f>
        <v>101.505194166584</v>
      </c>
    </row>
    <row r="3584" customFormat="false" ht="15" hidden="false" customHeight="false" outlineLevel="0" collapsed="false">
      <c r="A3584" s="4" t="s">
        <v>455</v>
      </c>
      <c r="B3584" s="0" t="s">
        <v>234</v>
      </c>
      <c r="C3584" s="30" t="n">
        <f aca="false">C3581-C3583</f>
        <v>50.756</v>
      </c>
      <c r="D3584" s="30" t="n">
        <f aca="false">D3581-D3583</f>
        <v>111.022245860986</v>
      </c>
      <c r="E3584" s="30" t="n">
        <f aca="false">E3581-E3583</f>
        <v>163.278356984383</v>
      </c>
      <c r="F3584" s="30" t="n">
        <f aca="false">F3581-F3583</f>
        <v>145.668146474661</v>
      </c>
      <c r="G3584" s="30" t="n">
        <f aca="false">G3581-G3583</f>
        <v>166.497699277885</v>
      </c>
    </row>
    <row r="3585" customFormat="false" ht="15" hidden="false" customHeight="false" outlineLevel="0" collapsed="false">
      <c r="A3585" s="4" t="s">
        <v>537</v>
      </c>
      <c r="B3585" s="0" t="s">
        <v>76</v>
      </c>
      <c r="C3585" s="14" t="n">
        <f aca="false">C3584/C3568</f>
        <v>0.0786441644406156</v>
      </c>
      <c r="D3585" s="14" t="n">
        <f aca="false">D3584/D3568</f>
        <v>0.127440779020437</v>
      </c>
      <c r="E3585" s="14" t="n">
        <f aca="false">E3584/E3568</f>
        <v>0.149267617452465</v>
      </c>
      <c r="F3585" s="14" t="n">
        <f aca="false">F3584/F3568</f>
        <v>0.126683753990759</v>
      </c>
      <c r="G3585" s="14" t="n">
        <f aca="false">G3584/G3568</f>
        <v>0.129306011266815</v>
      </c>
    </row>
    <row r="3586" customFormat="false" ht="15" hidden="false" customHeight="false" outlineLevel="0" collapsed="false">
      <c r="A3586" s="4" t="s">
        <v>456</v>
      </c>
      <c r="B3586" s="0" t="s">
        <v>234</v>
      </c>
      <c r="C3586" s="30" t="n">
        <f aca="false">a25_nonop</f>
        <v>0.545</v>
      </c>
      <c r="D3586" s="30" t="n">
        <f aca="false">a26_nonop</f>
        <v>4.302</v>
      </c>
      <c r="E3586" s="30" t="n">
        <f aca="false">nonop_f</f>
        <v>-5</v>
      </c>
      <c r="F3586" s="30" t="n">
        <f aca="false">nonop_f</f>
        <v>-5</v>
      </c>
      <c r="G3586" s="30" t="n">
        <f aca="false">nonop_f</f>
        <v>-5</v>
      </c>
    </row>
    <row r="3587" customFormat="false" ht="15" hidden="false" customHeight="false" outlineLevel="0" collapsed="false">
      <c r="A3587" s="4" t="s">
        <v>459</v>
      </c>
      <c r="B3587" s="0" t="s">
        <v>234</v>
      </c>
      <c r="C3587" s="30" t="n">
        <f aca="false">C3584+C3586</f>
        <v>51.301</v>
      </c>
      <c r="D3587" s="30" t="n">
        <f aca="false">D3584+D3586</f>
        <v>115.324245860986</v>
      </c>
      <c r="E3587" s="30" t="n">
        <f aca="false">E3584+E3586</f>
        <v>158.278356984383</v>
      </c>
      <c r="F3587" s="30" t="n">
        <f aca="false">F3584+F3586</f>
        <v>140.668146474661</v>
      </c>
      <c r="G3587" s="30" t="n">
        <f aca="false">G3584+G3586</f>
        <v>161.497699277885</v>
      </c>
    </row>
    <row r="3588" customFormat="false" ht="15" hidden="false" customHeight="false" outlineLevel="0" collapsed="false">
      <c r="A3588" s="4" t="s">
        <v>460</v>
      </c>
      <c r="B3588" s="0" t="s">
        <v>234</v>
      </c>
      <c r="C3588" s="30" t="n">
        <f aca="false">a25_tax</f>
        <v>9.461</v>
      </c>
      <c r="D3588" s="30" t="n">
        <f aca="false">a26_tax</f>
        <v>19.2197317963676</v>
      </c>
      <c r="E3588" s="30" t="n">
        <f aca="false">E3587*tax</f>
        <v>26.9073206873452</v>
      </c>
      <c r="F3588" s="30" t="n">
        <f aca="false">F3587*tax</f>
        <v>23.9135849006923</v>
      </c>
      <c r="G3588" s="30" t="n">
        <f aca="false">G3587*tax</f>
        <v>27.4546088772405</v>
      </c>
    </row>
    <row r="3589" customFormat="false" ht="15" hidden="false" customHeight="false" outlineLevel="0" collapsed="false">
      <c r="A3589" s="4" t="s">
        <v>461</v>
      </c>
      <c r="B3589" s="0" t="s">
        <v>234</v>
      </c>
      <c r="C3589" s="30" t="n">
        <f aca="false">a25_nci</f>
        <v>1.182</v>
      </c>
      <c r="D3589" s="30" t="n">
        <f aca="false">a26_nci</f>
        <v>2.543</v>
      </c>
      <c r="E3589" s="30" t="n">
        <f aca="false">nci</f>
        <v>3</v>
      </c>
      <c r="F3589" s="30" t="n">
        <f aca="false">nci</f>
        <v>3</v>
      </c>
      <c r="G3589" s="30" t="n">
        <f aca="false">nci</f>
        <v>3</v>
      </c>
    </row>
    <row r="3590" customFormat="false" ht="15" hidden="false" customHeight="false" outlineLevel="0" collapsed="false">
      <c r="A3590" s="4" t="s">
        <v>462</v>
      </c>
      <c r="B3590" s="0" t="s">
        <v>234</v>
      </c>
      <c r="C3590" s="30" t="n">
        <f aca="false">C3587-C3588-C3589</f>
        <v>40.658</v>
      </c>
      <c r="D3590" s="30" t="n">
        <f aca="false">D3587-D3588-D3589</f>
        <v>93.5615140646185</v>
      </c>
      <c r="E3590" s="30" t="n">
        <f aca="false">E3587-E3588-E3589</f>
        <v>128.371036297038</v>
      </c>
      <c r="F3590" s="30" t="n">
        <f aca="false">F3587-F3588-F3589</f>
        <v>113.754561573968</v>
      </c>
      <c r="G3590" s="30" t="n">
        <f aca="false">G3587-G3588-G3589</f>
        <v>131.043090400645</v>
      </c>
      <c r="H3590" s="31" t="n">
        <f aca="false">H3568*H3594</f>
        <v>141.612283830766</v>
      </c>
      <c r="I3590" s="31" t="n">
        <f aca="false">I3568*I3594</f>
        <v>149.289501028133</v>
      </c>
      <c r="J3590" s="31" t="n">
        <f aca="false">J3568*J3594</f>
        <v>153.436071648244</v>
      </c>
    </row>
    <row r="3591" customFormat="false" ht="15" hidden="false" customHeight="false" outlineLevel="0" collapsed="false">
      <c r="A3591" s="4" t="s">
        <v>579</v>
      </c>
      <c r="B3591" s="4" t="s">
        <v>580</v>
      </c>
      <c r="C3591" s="18" t="n">
        <f aca="false">a25_sh</f>
        <v>4339.16755602988</v>
      </c>
      <c r="D3591" s="18" t="n">
        <f aca="false">a26_sh</f>
        <v>4392.90105184664</v>
      </c>
      <c r="E3591" s="18" t="n">
        <f aca="false">D3591*(1+sh_g)</f>
        <v>4414.86555710588</v>
      </c>
      <c r="F3591" s="18" t="n">
        <f aca="false">E3591*(1+sh_g)</f>
        <v>4436.9398848914</v>
      </c>
      <c r="G3591" s="18" t="n">
        <f aca="false">F3591*(1+sh_g)</f>
        <v>4459.12458431586</v>
      </c>
      <c r="H3591" s="25" t="n">
        <f aca="false">G3591*(1+sh_g)</f>
        <v>4481.42020723744</v>
      </c>
      <c r="I3591" s="25" t="n">
        <f aca="false">H3591*(1+sh_g)</f>
        <v>4503.82730827363</v>
      </c>
      <c r="J3591" s="25" t="n">
        <f aca="false">I3591*(1+sh_g)</f>
        <v>4526.34644481499</v>
      </c>
    </row>
    <row r="3592" customFormat="false" ht="17.15" hidden="false" customHeight="false" outlineLevel="0" collapsed="false">
      <c r="A3592" s="0" t="s">
        <v>465</v>
      </c>
      <c r="B3592" s="0" t="s">
        <v>304</v>
      </c>
      <c r="C3592" s="19" t="n">
        <f aca="false">a25_eps</f>
        <v>9.37</v>
      </c>
      <c r="D3592" s="19" t="n">
        <f aca="false">a26_eps</f>
        <v>21.2828697294455</v>
      </c>
      <c r="E3592" s="19" t="n">
        <f aca="false">E3590/E3591*1000</f>
        <v>29.0769978466096</v>
      </c>
      <c r="F3592" s="19" t="n">
        <f aca="false">F3590/F3591*1000</f>
        <v>25.638066894105</v>
      </c>
      <c r="G3592" s="19" t="n">
        <f aca="false">G3590/G3591*1000</f>
        <v>29.3876270830298</v>
      </c>
      <c r="H3592" s="28" t="n">
        <f aca="false">H3590/H3591*1000</f>
        <v>31.5998672925302</v>
      </c>
      <c r="I3592" s="28" t="n">
        <f aca="false">I3590/I3591*1000</f>
        <v>33.1472525054159</v>
      </c>
      <c r="J3592" s="28" t="n">
        <f aca="false">J3590/J3591*1000</f>
        <v>33.8984374083887</v>
      </c>
    </row>
    <row r="3593" customFormat="false" ht="17.15" hidden="false" customHeight="false" outlineLevel="0" collapsed="false">
      <c r="A3593" s="0" t="s">
        <v>581</v>
      </c>
      <c r="B3593" s="0" t="s">
        <v>76</v>
      </c>
      <c r="D3593" s="21" t="n">
        <f aca="false">D3592/C3592-1</f>
        <v>1.27138417603474</v>
      </c>
      <c r="E3593" s="21" t="n">
        <f aca="false">E3592/D3592-1</f>
        <v>0.366216032717646</v>
      </c>
      <c r="F3593" s="21" t="n">
        <f aca="false">F3592/E3592-1</f>
        <v>-0.118269807998955</v>
      </c>
      <c r="G3593" s="21" t="n">
        <f aca="false">G3592/F3592-1</f>
        <v>0.146249723288886</v>
      </c>
      <c r="H3593" s="26" t="n">
        <f aca="false">H3592/G3592-1</f>
        <v>0.0752779461659179</v>
      </c>
      <c r="I3593" s="26" t="n">
        <f aca="false">I3592/H3592-1</f>
        <v>0.0489680921302924</v>
      </c>
      <c r="J3593" s="26" t="n">
        <f aca="false">J3592/I3592-1</f>
        <v>0.0226620563152296</v>
      </c>
    </row>
    <row r="3594" customFormat="false" ht="17.15" hidden="false" customHeight="false" outlineLevel="0" collapsed="false">
      <c r="A3594" s="4" t="s">
        <v>582</v>
      </c>
      <c r="B3594" s="0" t="s">
        <v>76</v>
      </c>
      <c r="C3594" s="14" t="n">
        <f aca="false">C3590/C3568</f>
        <v>0.0629977625862272</v>
      </c>
      <c r="D3594" s="14" t="n">
        <f aca="false">D3590/D3568</f>
        <v>0.107397865592237</v>
      </c>
      <c r="E3594" s="14" t="n">
        <f aca="false">E3590/E3568</f>
        <v>0.117355656266161</v>
      </c>
      <c r="F3594" s="14" t="n">
        <f aca="false">F3590/F3568</f>
        <v>0.0989293489518662</v>
      </c>
      <c r="G3594" s="14" t="n">
        <f aca="false">G3590/G3568</f>
        <v>0.101771131957225</v>
      </c>
      <c r="H3594" s="27" t="n">
        <f aca="false">$G3594+(fade_mB-$G3594)*1/3</f>
        <v>0.100602344662235</v>
      </c>
      <c r="I3594" s="27" t="n">
        <f aca="false">$G3594+(fade_mB-$G3594)*2/3</f>
        <v>0.0994335573672445</v>
      </c>
      <c r="J3594" s="27" t="n">
        <f aca="false">$G3594+(fade_mB-$G3594)*3/3</f>
        <v>0.0982647700722541</v>
      </c>
    </row>
    <row r="3595" customFormat="false" ht="17.15" hidden="false" customHeight="false" outlineLevel="0" collapsed="false">
      <c r="A3595" s="4" t="s">
        <v>583</v>
      </c>
      <c r="B3595" s="0" t="s">
        <v>234</v>
      </c>
      <c r="C3595" s="30" t="n">
        <f aca="false">C3590+C3576-C3574</f>
        <v>-54.587</v>
      </c>
      <c r="D3595" s="30" t="n">
        <f aca="false">D3590+D3576-D3574</f>
        <v>-176.164485935382</v>
      </c>
      <c r="E3595" s="30" t="n">
        <f aca="false">E3590+E3576-E3574</f>
        <v>-156.789213702962</v>
      </c>
      <c r="F3595" s="30" t="n">
        <f aca="false">F3590+F3576-F3574</f>
        <v>-156.706152684547</v>
      </c>
      <c r="G3595" s="30" t="n">
        <f aca="false">G3590+G3576-G3574</f>
        <v>-157.962175779724</v>
      </c>
      <c r="K3595" s="4" t="s">
        <v>584</v>
      </c>
    </row>
    <row r="3596" customFormat="false" ht="17.15" hidden="false" customHeight="false" outlineLevel="0" collapsed="false">
      <c r="A3596" s="4" t="s">
        <v>585</v>
      </c>
      <c r="B3596" s="0" t="s">
        <v>76</v>
      </c>
      <c r="D3596" s="21" t="n">
        <f aca="false">(D3584-$C3584)/SUM($D3574:D3574)</f>
        <v>0.164280348537512</v>
      </c>
      <c r="E3596" s="21" t="n">
        <f aca="false">(E3584-$C3584)/SUM($D3574:E3574)</f>
        <v>0.143734249197654</v>
      </c>
      <c r="F3596" s="21" t="n">
        <f aca="false">(F3584-$C3584)/SUM($D3574:F3574)</f>
        <v>0.0778098843815563</v>
      </c>
      <c r="G3596" s="21" t="n">
        <f aca="false">(G3584-$C3584)/SUM($D3574:G3574)</f>
        <v>0.067721118934849</v>
      </c>
      <c r="K3596" s="4" t="s">
        <v>586</v>
      </c>
    </row>
    <row r="3599" customFormat="false" ht="17.15" hidden="false" customHeight="false" outlineLevel="0" collapsed="false">
      <c r="A3599" s="1" t="s">
        <v>987</v>
      </c>
    </row>
    <row r="3600" customFormat="false" ht="17.15" hidden="false" customHeight="false" outlineLevel="0" collapsed="false">
      <c r="A3600" s="5" t="s">
        <v>21</v>
      </c>
      <c r="B3600" s="5" t="s">
        <v>22</v>
      </c>
      <c r="C3600" s="15" t="s">
        <v>424</v>
      </c>
      <c r="D3600" s="15" t="s">
        <v>524</v>
      </c>
      <c r="E3600" s="15" t="s">
        <v>525</v>
      </c>
      <c r="F3600" s="15" t="s">
        <v>526</v>
      </c>
      <c r="G3600" s="15" t="s">
        <v>527</v>
      </c>
      <c r="H3600" s="15" t="s">
        <v>528</v>
      </c>
      <c r="I3600" s="15" t="s">
        <v>529</v>
      </c>
      <c r="J3600" s="15" t="s">
        <v>530</v>
      </c>
      <c r="K3600" s="5" t="s">
        <v>382</v>
      </c>
    </row>
    <row r="3601" customFormat="false" ht="17.15" hidden="false" customHeight="false" outlineLevel="0" collapsed="false">
      <c r="A3601" s="6" t="s">
        <v>548</v>
      </c>
    </row>
    <row r="3602" customFormat="false" ht="17.15" hidden="false" customHeight="false" outlineLevel="0" collapsed="false">
      <c r="A3602" s="0" t="s">
        <v>549</v>
      </c>
      <c r="B3602" s="4" t="s">
        <v>32</v>
      </c>
      <c r="D3602" s="19" t="n">
        <f aca="false">units_26</f>
        <v>15.2</v>
      </c>
      <c r="E3602" s="19" t="n">
        <f aca="false">units_27*1</f>
        <v>23.7</v>
      </c>
      <c r="F3602" s="19" t="n">
        <f aca="false">units_28*um28_C*1</f>
        <v>15.9</v>
      </c>
      <c r="G3602" s="19" t="n">
        <f aca="false">units_29*um29_C*1</f>
        <v>18.09</v>
      </c>
    </row>
    <row r="3603" customFormat="false" ht="17.15" hidden="false" customHeight="false" outlineLevel="0" collapsed="false">
      <c r="A3603" s="4" t="s">
        <v>497</v>
      </c>
      <c r="B3603" s="0" t="s">
        <v>45</v>
      </c>
      <c r="D3603" s="22" t="n">
        <f aca="false">ar_26</f>
        <v>1</v>
      </c>
      <c r="E3603" s="22" t="n">
        <f aca="false">ar_27</f>
        <v>1.278156</v>
      </c>
      <c r="F3603" s="22" t="n">
        <f aca="false">ar_28</f>
        <v>1.428615</v>
      </c>
      <c r="G3603" s="22" t="n">
        <f aca="false">ar_29</f>
        <v>1.431796</v>
      </c>
    </row>
    <row r="3604" customFormat="false" ht="17.15" hidden="false" customHeight="false" outlineLevel="0" collapsed="false">
      <c r="A3604" s="4" t="s">
        <v>550</v>
      </c>
      <c r="B3604" s="0" t="s">
        <v>45</v>
      </c>
      <c r="D3604" s="19" t="n">
        <f aca="false">1</f>
        <v>1</v>
      </c>
      <c r="E3604" s="19" t="n">
        <f aca="false">rel27_C</f>
        <v>1</v>
      </c>
      <c r="F3604" s="19" t="n">
        <f aca="false">rel28_C</f>
        <v>0.95</v>
      </c>
      <c r="G3604" s="19" t="n">
        <f aca="false">rel29_C</f>
        <v>0.92</v>
      </c>
    </row>
    <row r="3605" customFormat="false" ht="17.15" hidden="false" customHeight="false" outlineLevel="0" collapsed="false">
      <c r="A3605" s="4" t="s">
        <v>551</v>
      </c>
      <c r="B3605" s="0" t="s">
        <v>502</v>
      </c>
      <c r="D3605" s="23" t="n">
        <f aca="false">D3606*1000/D3602</f>
        <v>236.842105263158</v>
      </c>
      <c r="E3605" s="23" t="n">
        <f aca="false">$D3605*E3603^el</f>
        <v>267.763172119488</v>
      </c>
      <c r="F3605" s="23" t="n">
        <f aca="false">$D3605*F3603^el</f>
        <v>283.084777049615</v>
      </c>
      <c r="G3605" s="23" t="n">
        <f aca="false">$D3605*G3603^el</f>
        <v>283.399764630809</v>
      </c>
      <c r="K3605" s="8" t="s">
        <v>552</v>
      </c>
    </row>
    <row r="3606" customFormat="false" ht="17.15" hidden="false" customHeight="false" outlineLevel="0" collapsed="false">
      <c r="A3606" s="0" t="s">
        <v>553</v>
      </c>
      <c r="B3606" s="0" t="s">
        <v>120</v>
      </c>
      <c r="D3606" s="22" t="n">
        <f aca="false">leap26-D3607-D3608</f>
        <v>3.6</v>
      </c>
      <c r="E3606" s="22" t="n">
        <f aca="false">E3602*E3604*E3605/1000</f>
        <v>6.34598717923185</v>
      </c>
      <c r="F3606" s="22" t="n">
        <f aca="false">F3602*F3604*F3605/1000</f>
        <v>4.27599555733443</v>
      </c>
      <c r="G3606" s="22" t="n">
        <f aca="false">G3602*G3604*G3605/1000</f>
        <v>4.71656560279762</v>
      </c>
      <c r="K3606" s="8" t="s">
        <v>554</v>
      </c>
    </row>
    <row r="3607" customFormat="false" ht="17.15" hidden="false" customHeight="false" outlineLevel="0" collapsed="false">
      <c r="A3607" s="4" t="s">
        <v>555</v>
      </c>
      <c r="B3607" s="0" t="s">
        <v>120</v>
      </c>
      <c r="D3607" s="22" t="n">
        <f aca="false">fp26</f>
        <v>0.3</v>
      </c>
      <c r="E3607" s="22" t="n">
        <f aca="false">fp27_C</f>
        <v>0.7</v>
      </c>
      <c r="F3607" s="22" t="n">
        <f aca="false">E3607*F3602/E3602*(1+fp_g)</f>
        <v>0.610506329113924</v>
      </c>
      <c r="G3607" s="22" t="n">
        <f aca="false">F3607*G3602/F3602*(1+fp_g)</f>
        <v>0.902973417721519</v>
      </c>
    </row>
    <row r="3608" customFormat="false" ht="17.15" hidden="false" customHeight="false" outlineLevel="0" collapsed="false">
      <c r="A3608" s="0" t="s">
        <v>556</v>
      </c>
      <c r="B3608" s="0" t="s">
        <v>120</v>
      </c>
      <c r="D3608" s="22" t="n">
        <f aca="false">cpo27*cpo_C_26/cpo_A_27</f>
        <v>0.1</v>
      </c>
      <c r="E3608" s="22" t="n">
        <f aca="false">cpo27*cpo_C_27/cpo_A_27</f>
        <v>0.2</v>
      </c>
      <c r="F3608" s="22" t="n">
        <f aca="false">cpo27*cpo_C_28/cpo_A_27*F3602/E3602</f>
        <v>0.20126582278481</v>
      </c>
      <c r="G3608" s="22" t="n">
        <f aca="false">cpo27*cpo_C_29/cpo_A_27*G3602/E3602</f>
        <v>0.381645569620253</v>
      </c>
      <c r="K3608" s="8" t="s">
        <v>557</v>
      </c>
    </row>
    <row r="3609" customFormat="false" ht="17.15" hidden="false" customHeight="false" outlineLevel="0" collapsed="false">
      <c r="A3609" s="0" t="s">
        <v>510</v>
      </c>
      <c r="B3609" s="0" t="s">
        <v>120</v>
      </c>
      <c r="C3609" s="22" t="n">
        <f aca="false">leap25</f>
        <v>1.6</v>
      </c>
      <c r="D3609" s="22" t="n">
        <f aca="false">D3606+D3607+D3608</f>
        <v>4</v>
      </c>
      <c r="E3609" s="22" t="n">
        <f aca="false">E3606+E3607+E3608</f>
        <v>7.24598717923186</v>
      </c>
      <c r="F3609" s="22" t="n">
        <f aca="false">F3606+F3607+F3608</f>
        <v>5.08776770923316</v>
      </c>
      <c r="G3609" s="22" t="n">
        <f aca="false">G3606+G3607+G3608</f>
        <v>6.0011845901394</v>
      </c>
    </row>
    <row r="3610" customFormat="false" ht="17.15" hidden="false" customHeight="false" outlineLevel="0" collapsed="false">
      <c r="A3610" s="4" t="s">
        <v>558</v>
      </c>
      <c r="B3610" s="0" t="s">
        <v>114</v>
      </c>
      <c r="C3610" s="19" t="n">
        <f aca="false">fx25</f>
        <v>31</v>
      </c>
      <c r="D3610" s="19" t="n">
        <f aca="false">a26_leap/D3609</f>
        <v>31.9</v>
      </c>
      <c r="E3610" s="19" t="n">
        <f aca="false">fx</f>
        <v>32</v>
      </c>
      <c r="F3610" s="19" t="n">
        <f aca="false">fx</f>
        <v>32</v>
      </c>
      <c r="G3610" s="19" t="n">
        <f aca="false">fx</f>
        <v>32</v>
      </c>
      <c r="K3610" s="8" t="s">
        <v>559</v>
      </c>
    </row>
    <row r="3611" customFormat="false" ht="17.15" hidden="false" customHeight="false" outlineLevel="0" collapsed="false">
      <c r="A3611" s="6" t="s">
        <v>560</v>
      </c>
    </row>
    <row r="3612" customFormat="false" ht="17.15" hidden="false" customHeight="false" outlineLevel="0" collapsed="false">
      <c r="A3612" s="0" t="s">
        <v>438</v>
      </c>
      <c r="B3612" s="0" t="s">
        <v>234</v>
      </c>
      <c r="C3612" s="30" t="n">
        <f aca="false">a25_leap</f>
        <v>49.6</v>
      </c>
      <c r="D3612" s="30" t="n">
        <f aca="false">a26_leap</f>
        <v>127.6</v>
      </c>
      <c r="E3612" s="30" t="n">
        <f aca="false">E3609*E3610</f>
        <v>231.871589735419</v>
      </c>
      <c r="F3612" s="30" t="n">
        <f aca="false">F3609*F3610</f>
        <v>162.808566695461</v>
      </c>
      <c r="G3612" s="30" t="n">
        <f aca="false">G3609*G3610</f>
        <v>192.037906884461</v>
      </c>
    </row>
    <row r="3613" customFormat="false" ht="15" hidden="false" customHeight="false" outlineLevel="0" collapsed="false">
      <c r="A3613" s="4" t="s">
        <v>561</v>
      </c>
      <c r="B3613" s="0" t="s">
        <v>234</v>
      </c>
      <c r="C3613" s="30" t="n">
        <f aca="false">a25_ms</f>
        <v>339.628</v>
      </c>
      <c r="D3613" s="30" t="n">
        <f aca="false">a26_ms</f>
        <v>432.1302</v>
      </c>
      <c r="E3613" s="30" t="n">
        <f aca="false">D3613*(1+g_ms27)</f>
        <v>496.94973</v>
      </c>
      <c r="F3613" s="30" t="n">
        <f aca="false">E3613*(1+g_msL)</f>
        <v>531.7362111</v>
      </c>
      <c r="G3613" s="30" t="n">
        <f aca="false">F3613*(1+g_msL)</f>
        <v>568.957745877</v>
      </c>
    </row>
    <row r="3614" customFormat="false" ht="17.15" hidden="false" customHeight="false" outlineLevel="0" collapsed="false">
      <c r="A3614" s="4" t="s">
        <v>562</v>
      </c>
      <c r="B3614" s="0" t="s">
        <v>234</v>
      </c>
      <c r="C3614" s="30" t="n">
        <f aca="false">C3612+C3613</f>
        <v>389.228</v>
      </c>
      <c r="D3614" s="30" t="n">
        <f aca="false">D3612+D3613</f>
        <v>559.7302</v>
      </c>
      <c r="E3614" s="30" t="n">
        <f aca="false">E3612+E3613</f>
        <v>728.821319735419</v>
      </c>
      <c r="F3614" s="30" t="n">
        <f aca="false">F3612+F3613</f>
        <v>694.544777795461</v>
      </c>
      <c r="G3614" s="30" t="n">
        <f aca="false">G3612+G3613</f>
        <v>760.995652761461</v>
      </c>
    </row>
    <row r="3615" customFormat="false" ht="17.15" hidden="false" customHeight="false" outlineLevel="0" collapsed="false">
      <c r="A3615" s="0" t="s">
        <v>563</v>
      </c>
      <c r="B3615" s="0" t="s">
        <v>234</v>
      </c>
      <c r="C3615" s="30" t="n">
        <f aca="false">a25_ems</f>
        <v>259.079</v>
      </c>
      <c r="D3615" s="30" t="n">
        <f aca="false">a26_ems</f>
        <v>314.602</v>
      </c>
      <c r="E3615" s="30" t="n">
        <f aca="false">D3615*(1+g_ems27)</f>
        <v>346.0622</v>
      </c>
      <c r="F3615" s="30" t="n">
        <f aca="false">E3615*(1+g_emsL)</f>
        <v>363.36531</v>
      </c>
      <c r="G3615" s="30" t="n">
        <f aca="false">F3615*(1+g_emsL)</f>
        <v>381.5335755</v>
      </c>
    </row>
    <row r="3616" customFormat="false" ht="17.15" hidden="false" customHeight="false" outlineLevel="0" collapsed="false">
      <c r="A3616" s="4" t="s">
        <v>564</v>
      </c>
      <c r="B3616" s="0" t="s">
        <v>234</v>
      </c>
      <c r="C3616" s="30" t="n">
        <f aca="false">a25_elim</f>
        <v>-2.91899999999998</v>
      </c>
      <c r="D3616" s="30" t="n">
        <f aca="false">a26_elim</f>
        <v>-3.16484905982349</v>
      </c>
      <c r="E3616" s="30" t="n">
        <f aca="false">$D3616/($D3614+$D3615)*(E3614+E3615)</f>
        <v>-3.89079127687897</v>
      </c>
      <c r="F3616" s="30" t="n">
        <f aca="false">$D3616/($D3614+$D3615)*(F3614+F3615)</f>
        <v>-3.8293519862785</v>
      </c>
      <c r="G3616" s="30" t="n">
        <f aca="false">$D3616/($D3614+$D3615)*(G3614+G3615)</f>
        <v>-4.135650675892</v>
      </c>
      <c r="K3616" s="4" t="s">
        <v>565</v>
      </c>
    </row>
    <row r="3617" customFormat="false" ht="17.15" hidden="false" customHeight="false" outlineLevel="0" collapsed="false">
      <c r="A3617" s="4" t="s">
        <v>431</v>
      </c>
      <c r="B3617" s="0" t="s">
        <v>234</v>
      </c>
      <c r="C3617" s="30" t="n">
        <f aca="false">C3614+C3615+C3616</f>
        <v>645.388</v>
      </c>
      <c r="D3617" s="30" t="n">
        <f aca="false">D3614+D3615+D3616</f>
        <v>871.167350940177</v>
      </c>
      <c r="E3617" s="30" t="n">
        <f aca="false">E3614+E3615+E3616</f>
        <v>1070.99272845854</v>
      </c>
      <c r="F3617" s="30" t="n">
        <f aca="false">F3614+F3615+F3616</f>
        <v>1054.08073580918</v>
      </c>
      <c r="G3617" s="30" t="n">
        <f aca="false">G3614+G3615+G3616</f>
        <v>1138.39357758557</v>
      </c>
      <c r="H3617" s="31" t="n">
        <f aca="false">G3617*(1+H3618)</f>
        <v>1206.68738805437</v>
      </c>
      <c r="I3617" s="31" t="n">
        <f aca="false">H3617*(1+I3618)</f>
        <v>1254.9496874</v>
      </c>
      <c r="J3617" s="31" t="n">
        <f aca="false">I3617*(1+J3618)</f>
        <v>1280.048681148</v>
      </c>
      <c r="K3617" s="8" t="s">
        <v>566</v>
      </c>
    </row>
    <row r="3618" customFormat="false" ht="15" hidden="false" customHeight="false" outlineLevel="0" collapsed="false">
      <c r="A3618" s="4" t="s">
        <v>567</v>
      </c>
      <c r="B3618" s="0" t="s">
        <v>76</v>
      </c>
      <c r="D3618" s="21" t="n">
        <f aca="false">D3617/C3617-1</f>
        <v>0.349835061916516</v>
      </c>
      <c r="E3618" s="21" t="n">
        <f aca="false">E3617/D3617-1</f>
        <v>0.229376568466104</v>
      </c>
      <c r="F3618" s="21" t="n">
        <f aca="false">F3617/E3617-1</f>
        <v>-0.0157909500223209</v>
      </c>
      <c r="G3618" s="21" t="n">
        <f aca="false">G3617/F3617-1</f>
        <v>0.079987081550885</v>
      </c>
      <c r="H3618" s="26" t="n">
        <f aca="false">$G3618+(fade_gC-$G3618)*1/3</f>
        <v>0.05999138770059</v>
      </c>
      <c r="I3618" s="26" t="n">
        <f aca="false">$G3618+(fade_gC-$G3618)*2/3</f>
        <v>0.039995693850295</v>
      </c>
      <c r="J3618" s="26" t="n">
        <f aca="false">$G3618+(fade_gC-$G3618)*3/3</f>
        <v>0.02</v>
      </c>
    </row>
    <row r="3619" customFormat="false" ht="17.15" hidden="false" customHeight="false" outlineLevel="0" collapsed="false">
      <c r="A3619" s="0" t="s">
        <v>475</v>
      </c>
      <c r="B3619" s="0" t="s">
        <v>76</v>
      </c>
      <c r="C3619" s="21" t="n">
        <f aca="false">C3612/C3614</f>
        <v>0.127431736668482</v>
      </c>
      <c r="D3619" s="21" t="n">
        <f aca="false">D3612/D3614</f>
        <v>0.227966974088588</v>
      </c>
      <c r="E3619" s="21" t="n">
        <f aca="false">E3612/E3614</f>
        <v>0.31814600294568</v>
      </c>
      <c r="F3619" s="21" t="n">
        <f aca="false">F3612/F3614</f>
        <v>0.234410468411019</v>
      </c>
      <c r="G3619" s="21" t="n">
        <f aca="false">G3612/G3614</f>
        <v>0.252350859282315</v>
      </c>
    </row>
    <row r="3620" customFormat="false" ht="15" hidden="false" customHeight="false" outlineLevel="0" collapsed="false">
      <c r="A3620" s="4" t="s">
        <v>568</v>
      </c>
      <c r="B3620" s="0" t="s">
        <v>76</v>
      </c>
      <c r="D3620" s="21" t="n">
        <f aca="false">D3614/C3614-1</f>
        <v>0.438052247012034</v>
      </c>
      <c r="E3620" s="21" t="n">
        <f aca="false">E3614/D3614-1</f>
        <v>0.302093972659362</v>
      </c>
      <c r="F3620" s="21" t="n">
        <f aca="false">F3614/E3614-1</f>
        <v>-0.047030103280186</v>
      </c>
      <c r="G3620" s="21" t="n">
        <f aca="false">G3614/F3614-1</f>
        <v>0.0956754367614998</v>
      </c>
    </row>
    <row r="3621" customFormat="false" ht="17.15" hidden="false" customHeight="false" outlineLevel="0" collapsed="false">
      <c r="A3621" s="6" t="s">
        <v>569</v>
      </c>
    </row>
    <row r="3622" customFormat="false" ht="17.15" hidden="false" customHeight="false" outlineLevel="0" collapsed="false">
      <c r="A3622" s="4" t="s">
        <v>570</v>
      </c>
      <c r="B3622" s="0" t="s">
        <v>120</v>
      </c>
      <c r="C3622" s="19" t="n">
        <f aca="false">capex25</f>
        <v>5.5</v>
      </c>
      <c r="D3622" s="19" t="n">
        <f aca="false">capex26</f>
        <v>11.5</v>
      </c>
      <c r="E3622" s="19" t="n">
        <f aca="false">capex27</f>
        <v>13</v>
      </c>
      <c r="F3622" s="19" t="n">
        <f aca="false">capi_hi*F3617/F3610</f>
        <v>12.517208737734</v>
      </c>
      <c r="G3622" s="19" t="n">
        <f aca="false">capi_hi*G3617/G3610</f>
        <v>13.5184237338286</v>
      </c>
      <c r="K3622" s="8" t="s">
        <v>571</v>
      </c>
    </row>
    <row r="3623" customFormat="false" ht="15" hidden="false" customHeight="false" outlineLevel="0" collapsed="false">
      <c r="A3623" s="4" t="s">
        <v>572</v>
      </c>
      <c r="B3623" s="0" t="s">
        <v>234</v>
      </c>
      <c r="C3623" s="30" t="n">
        <f aca="false">C3622*C3610</f>
        <v>170.5</v>
      </c>
      <c r="D3623" s="30" t="n">
        <f aca="false">D3622*31.9</f>
        <v>366.85</v>
      </c>
      <c r="E3623" s="30" t="n">
        <f aca="false">E3622*E3610</f>
        <v>416</v>
      </c>
      <c r="F3623" s="30" t="n">
        <f aca="false">F3622*F3610</f>
        <v>400.550679607489</v>
      </c>
      <c r="G3623" s="30" t="n">
        <f aca="false">G3622*G3610</f>
        <v>432.589559482516</v>
      </c>
    </row>
    <row r="3624" customFormat="false" ht="17.15" hidden="false" customHeight="false" outlineLevel="0" collapsed="false">
      <c r="A3624" s="4" t="s">
        <v>473</v>
      </c>
      <c r="B3624" s="0" t="s">
        <v>76</v>
      </c>
      <c r="C3624" s="21" t="n">
        <f aca="false">C3623/C3617</f>
        <v>0.264182166386732</v>
      </c>
      <c r="D3624" s="21" t="n">
        <f aca="false">D3623/D3617</f>
        <v>0.421101639775745</v>
      </c>
      <c r="E3624" s="21" t="n">
        <f aca="false">E3623/E3617</f>
        <v>0.388424672685445</v>
      </c>
      <c r="F3624" s="21" t="n">
        <f aca="false">F3623/F3617</f>
        <v>0.38</v>
      </c>
      <c r="G3624" s="21" t="n">
        <f aca="false">G3623/G3617</f>
        <v>0.38</v>
      </c>
    </row>
    <row r="3625" customFormat="false" ht="17.15" hidden="false" customHeight="false" outlineLevel="0" collapsed="false">
      <c r="A3625" s="4" t="s">
        <v>573</v>
      </c>
      <c r="B3625" s="0" t="s">
        <v>234</v>
      </c>
      <c r="C3625" s="30" t="n">
        <f aca="false">a25_da</f>
        <v>75.255</v>
      </c>
      <c r="D3625" s="30" t="n">
        <f aca="false">a26_da</f>
        <v>97.124</v>
      </c>
      <c r="E3625" s="30" t="n">
        <f aca="false">D3625*(1-1/life)+D3623/life</f>
        <v>130.83975</v>
      </c>
      <c r="F3625" s="30" t="n">
        <f aca="false">E3625*(1-1/life)+E3623/life</f>
        <v>166.48478125</v>
      </c>
      <c r="G3625" s="30" t="n">
        <f aca="false">F3625*(1-1/life)+F3623/life</f>
        <v>195.743018544686</v>
      </c>
      <c r="K3625" s="4" t="s">
        <v>574</v>
      </c>
    </row>
    <row r="3626" customFormat="false" ht="17.15" hidden="false" customHeight="false" outlineLevel="0" collapsed="false">
      <c r="A3626" s="4" t="s">
        <v>575</v>
      </c>
      <c r="B3626" s="0" t="s">
        <v>234</v>
      </c>
      <c r="C3626" s="30" t="n">
        <f aca="false">a25_agp</f>
        <v>91.38</v>
      </c>
      <c r="D3626" s="30" t="n">
        <f aca="false">a26_agp</f>
        <v>164.623388</v>
      </c>
      <c r="E3626" s="30" t="n">
        <f aca="false">$D3626+ft*(E3614-$D3614)-(E3625-$D3625)</f>
        <v>215.45319786771</v>
      </c>
      <c r="F3626" s="30" t="n">
        <f aca="false">$D3626+ft*(F3614-$D3614)-(F3625-$D3625)</f>
        <v>162.669895647731</v>
      </c>
      <c r="G3626" s="30" t="n">
        <f aca="false">$D3626+ft*(G3614-$D3614)-(G3625-$D3625)</f>
        <v>166.637095836044</v>
      </c>
      <c r="K3626" s="4" t="s">
        <v>576</v>
      </c>
    </row>
    <row r="3627" customFormat="false" ht="15" hidden="false" customHeight="false" outlineLevel="0" collapsed="false">
      <c r="A3627" s="4" t="s">
        <v>447</v>
      </c>
      <c r="B3627" s="0" t="s">
        <v>76</v>
      </c>
      <c r="C3627" s="14" t="n">
        <f aca="false">C3626/C3614</f>
        <v>0.234772421305764</v>
      </c>
      <c r="D3627" s="14" t="n">
        <f aca="false">D3626/D3614</f>
        <v>0.294112034690999</v>
      </c>
      <c r="E3627" s="14" t="n">
        <f aca="false">E3626/E3614</f>
        <v>0.295618681882035</v>
      </c>
      <c r="F3627" s="14" t="n">
        <f aca="false">F3626/F3614</f>
        <v>0.234210810948802</v>
      </c>
      <c r="G3627" s="14" t="n">
        <f aca="false">G3626/G3614</f>
        <v>0.218972467492239</v>
      </c>
    </row>
    <row r="3628" customFormat="false" ht="17.15" hidden="false" customHeight="false" outlineLevel="0" collapsed="false">
      <c r="A3628" s="0" t="s">
        <v>449</v>
      </c>
      <c r="B3628" s="0" t="s">
        <v>234</v>
      </c>
      <c r="C3628" s="30" t="n">
        <f aca="false">a25_egp</f>
        <v>23.695</v>
      </c>
      <c r="D3628" s="30" t="n">
        <f aca="false">a26_egp</f>
        <v>27.00552</v>
      </c>
      <c r="E3628" s="30" t="n">
        <f aca="false">E3615*ems_gm</f>
        <v>29.415287</v>
      </c>
      <c r="F3628" s="30" t="n">
        <f aca="false">F3615*ems_gm</f>
        <v>30.88605135</v>
      </c>
      <c r="G3628" s="30" t="n">
        <f aca="false">G3615*ems_gm</f>
        <v>32.4303539175</v>
      </c>
    </row>
    <row r="3629" customFormat="false" ht="15" hidden="false" customHeight="false" outlineLevel="0" collapsed="false">
      <c r="A3629" s="4" t="s">
        <v>577</v>
      </c>
      <c r="B3629" s="0" t="s">
        <v>234</v>
      </c>
      <c r="C3629" s="30" t="n">
        <f aca="false">a25_lgp</f>
        <v>-0.881999999999998</v>
      </c>
      <c r="D3629" s="30" t="n">
        <f aca="false">a26_lgp</f>
        <v>-0.948662139013863</v>
      </c>
      <c r="E3629" s="30" t="n">
        <f aca="false">$D3629/$D3616*E3616</f>
        <v>-1.16626300509458</v>
      </c>
      <c r="F3629" s="30" t="n">
        <f aca="false">$D3629/$D3616*F3616</f>
        <v>-1.14784660426825</v>
      </c>
      <c r="G3629" s="30" t="n">
        <f aca="false">$D3629/$D3616*G3616</f>
        <v>-1.23965950421176</v>
      </c>
    </row>
    <row r="3630" customFormat="false" ht="15" hidden="false" customHeight="false" outlineLevel="0" collapsed="false">
      <c r="A3630" s="4" t="s">
        <v>451</v>
      </c>
      <c r="B3630" s="0" t="s">
        <v>234</v>
      </c>
      <c r="C3630" s="30" t="n">
        <f aca="false">C3626+C3628+C3629</f>
        <v>114.193</v>
      </c>
      <c r="D3630" s="30" t="n">
        <f aca="false">D3626+D3628+D3629</f>
        <v>190.680245860986</v>
      </c>
      <c r="E3630" s="30" t="n">
        <f aca="false">E3626+E3628+E3629</f>
        <v>243.702221862615</v>
      </c>
      <c r="F3630" s="30" t="n">
        <f aca="false">F3626+F3628+F3629</f>
        <v>192.408100393462</v>
      </c>
      <c r="G3630" s="30" t="n">
        <f aca="false">G3626+G3628+G3629</f>
        <v>197.827790249332</v>
      </c>
    </row>
    <row r="3631" customFormat="false" ht="15" hidden="false" customHeight="false" outlineLevel="0" collapsed="false">
      <c r="A3631" s="4" t="s">
        <v>452</v>
      </c>
      <c r="B3631" s="0" t="s">
        <v>76</v>
      </c>
      <c r="C3631" s="14" t="n">
        <f aca="false">C3630/C3617</f>
        <v>0.176936974347214</v>
      </c>
      <c r="D3631" s="14" t="n">
        <f aca="false">D3630/D3617</f>
        <v>0.218879008327391</v>
      </c>
      <c r="E3631" s="14" t="n">
        <f aca="false">E3630/E3617</f>
        <v>0.227547970576207</v>
      </c>
      <c r="F3631" s="14" t="n">
        <f aca="false">F3630/F3617</f>
        <v>0.182536397694202</v>
      </c>
      <c r="G3631" s="14" t="n">
        <f aca="false">G3630/G3617</f>
        <v>0.173778027339989</v>
      </c>
    </row>
    <row r="3632" customFormat="false" ht="15" hidden="false" customHeight="false" outlineLevel="0" collapsed="false">
      <c r="A3632" s="4" t="s">
        <v>578</v>
      </c>
      <c r="B3632" s="0" t="s">
        <v>234</v>
      </c>
      <c r="C3632" s="30" t="n">
        <f aca="false">a25_opx</f>
        <v>63.437</v>
      </c>
      <c r="D3632" s="30" t="n">
        <f aca="false">a26_opx</f>
        <v>79.658</v>
      </c>
      <c r="E3632" s="30" t="n">
        <f aca="false">D3632*(1+phi*E3618)</f>
        <v>90.6210072145237</v>
      </c>
      <c r="F3632" s="30" t="n">
        <f aca="false">E3632*(1+phi*F3618)</f>
        <v>89.7624121369856</v>
      </c>
      <c r="G3632" s="30" t="n">
        <f aca="false">F3632*(1+phi*G3618)</f>
        <v>94.0703121648687</v>
      </c>
    </row>
    <row r="3633" customFormat="false" ht="15" hidden="false" customHeight="false" outlineLevel="0" collapsed="false">
      <c r="A3633" s="4" t="s">
        <v>455</v>
      </c>
      <c r="B3633" s="0" t="s">
        <v>234</v>
      </c>
      <c r="C3633" s="30" t="n">
        <f aca="false">C3630-C3632</f>
        <v>50.756</v>
      </c>
      <c r="D3633" s="30" t="n">
        <f aca="false">D3630-D3632</f>
        <v>111.022245860986</v>
      </c>
      <c r="E3633" s="30" t="n">
        <f aca="false">E3630-E3632</f>
        <v>153.081214648091</v>
      </c>
      <c r="F3633" s="30" t="n">
        <f aca="false">F3630-F3632</f>
        <v>102.645688256477</v>
      </c>
      <c r="G3633" s="30" t="n">
        <f aca="false">G3630-G3632</f>
        <v>103.757478084464</v>
      </c>
    </row>
    <row r="3634" customFormat="false" ht="15" hidden="false" customHeight="false" outlineLevel="0" collapsed="false">
      <c r="A3634" s="4" t="s">
        <v>537</v>
      </c>
      <c r="B3634" s="0" t="s">
        <v>76</v>
      </c>
      <c r="C3634" s="14" t="n">
        <f aca="false">C3633/C3617</f>
        <v>0.0786441644406156</v>
      </c>
      <c r="D3634" s="14" t="n">
        <f aca="false">D3633/D3617</f>
        <v>0.127440779020437</v>
      </c>
      <c r="E3634" s="14" t="n">
        <f aca="false">E3633/E3617</f>
        <v>0.142933943975902</v>
      </c>
      <c r="F3634" s="14" t="n">
        <f aca="false">F3633/F3617</f>
        <v>0.0973793417993538</v>
      </c>
      <c r="G3634" s="14" t="n">
        <f aca="false">G3633/G3617</f>
        <v>0.0911437662047638</v>
      </c>
    </row>
    <row r="3635" customFormat="false" ht="15" hidden="false" customHeight="false" outlineLevel="0" collapsed="false">
      <c r="A3635" s="4" t="s">
        <v>456</v>
      </c>
      <c r="B3635" s="0" t="s">
        <v>234</v>
      </c>
      <c r="C3635" s="30" t="n">
        <f aca="false">a25_nonop</f>
        <v>0.545</v>
      </c>
      <c r="D3635" s="30" t="n">
        <f aca="false">a26_nonop</f>
        <v>4.302</v>
      </c>
      <c r="E3635" s="30" t="n">
        <f aca="false">nonop_f</f>
        <v>-5</v>
      </c>
      <c r="F3635" s="30" t="n">
        <f aca="false">nonop_f</f>
        <v>-5</v>
      </c>
      <c r="G3635" s="30" t="n">
        <f aca="false">nonop_f</f>
        <v>-5</v>
      </c>
    </row>
    <row r="3636" customFormat="false" ht="15" hidden="false" customHeight="false" outlineLevel="0" collapsed="false">
      <c r="A3636" s="4" t="s">
        <v>459</v>
      </c>
      <c r="B3636" s="0" t="s">
        <v>234</v>
      </c>
      <c r="C3636" s="30" t="n">
        <f aca="false">C3633+C3635</f>
        <v>51.301</v>
      </c>
      <c r="D3636" s="30" t="n">
        <f aca="false">D3633+D3635</f>
        <v>115.324245860986</v>
      </c>
      <c r="E3636" s="30" t="n">
        <f aca="false">E3633+E3635</f>
        <v>148.081214648091</v>
      </c>
      <c r="F3636" s="30" t="n">
        <f aca="false">F3633+F3635</f>
        <v>97.6456882564768</v>
      </c>
      <c r="G3636" s="30" t="n">
        <f aca="false">G3633+G3635</f>
        <v>98.7574780844637</v>
      </c>
    </row>
    <row r="3637" customFormat="false" ht="15" hidden="false" customHeight="false" outlineLevel="0" collapsed="false">
      <c r="A3637" s="4" t="s">
        <v>460</v>
      </c>
      <c r="B3637" s="0" t="s">
        <v>234</v>
      </c>
      <c r="C3637" s="30" t="n">
        <f aca="false">a25_tax</f>
        <v>9.461</v>
      </c>
      <c r="D3637" s="30" t="n">
        <f aca="false">a26_tax</f>
        <v>19.2197317963676</v>
      </c>
      <c r="E3637" s="30" t="n">
        <f aca="false">E3636*tax</f>
        <v>25.1738064901755</v>
      </c>
      <c r="F3637" s="30" t="n">
        <f aca="false">F3636*tax</f>
        <v>16.5997670036011</v>
      </c>
      <c r="G3637" s="30" t="n">
        <f aca="false">G3636*tax</f>
        <v>16.7887712743588</v>
      </c>
    </row>
    <row r="3638" customFormat="false" ht="15" hidden="false" customHeight="false" outlineLevel="0" collapsed="false">
      <c r="A3638" s="4" t="s">
        <v>461</v>
      </c>
      <c r="B3638" s="0" t="s">
        <v>234</v>
      </c>
      <c r="C3638" s="30" t="n">
        <f aca="false">a25_nci</f>
        <v>1.182</v>
      </c>
      <c r="D3638" s="30" t="n">
        <f aca="false">a26_nci</f>
        <v>2.543</v>
      </c>
      <c r="E3638" s="30" t="n">
        <f aca="false">nci</f>
        <v>3</v>
      </c>
      <c r="F3638" s="30" t="n">
        <f aca="false">nci</f>
        <v>3</v>
      </c>
      <c r="G3638" s="30" t="n">
        <f aca="false">nci</f>
        <v>3</v>
      </c>
    </row>
    <row r="3639" customFormat="false" ht="15" hidden="false" customHeight="false" outlineLevel="0" collapsed="false">
      <c r="A3639" s="4" t="s">
        <v>462</v>
      </c>
      <c r="B3639" s="0" t="s">
        <v>234</v>
      </c>
      <c r="C3639" s="30" t="n">
        <f aca="false">C3636-C3637-C3638</f>
        <v>40.658</v>
      </c>
      <c r="D3639" s="30" t="n">
        <f aca="false">D3636-D3637-D3638</f>
        <v>93.5615140646185</v>
      </c>
      <c r="E3639" s="30" t="n">
        <f aca="false">E3636-E3637-E3638</f>
        <v>119.907408157916</v>
      </c>
      <c r="F3639" s="30" t="n">
        <f aca="false">F3636-F3637-F3638</f>
        <v>78.0459212528757</v>
      </c>
      <c r="G3639" s="30" t="n">
        <f aca="false">G3636-G3637-G3638</f>
        <v>78.9687068101049</v>
      </c>
      <c r="H3639" s="31" t="n">
        <f aca="false">H3617*H3643</f>
        <v>80.5987330329959</v>
      </c>
      <c r="I3639" s="31" t="n">
        <f aca="false">I3617*I3643</f>
        <v>80.5906359381932</v>
      </c>
      <c r="J3639" s="31" t="n">
        <f aca="false">J3617*J3643</f>
        <v>78.9061153241268</v>
      </c>
    </row>
    <row r="3640" customFormat="false" ht="15" hidden="false" customHeight="false" outlineLevel="0" collapsed="false">
      <c r="A3640" s="4" t="s">
        <v>579</v>
      </c>
      <c r="B3640" s="4" t="s">
        <v>580</v>
      </c>
      <c r="C3640" s="18" t="n">
        <f aca="false">a25_sh</f>
        <v>4339.16755602988</v>
      </c>
      <c r="D3640" s="18" t="n">
        <f aca="false">a26_sh</f>
        <v>4392.90105184664</v>
      </c>
      <c r="E3640" s="18" t="n">
        <f aca="false">D3640*(1+sh_g)</f>
        <v>4414.86555710588</v>
      </c>
      <c r="F3640" s="18" t="n">
        <f aca="false">E3640*(1+sh_g)</f>
        <v>4436.9398848914</v>
      </c>
      <c r="G3640" s="18" t="n">
        <f aca="false">F3640*(1+sh_g)</f>
        <v>4459.12458431586</v>
      </c>
      <c r="H3640" s="25" t="n">
        <f aca="false">G3640*(1+sh_g)</f>
        <v>4481.42020723744</v>
      </c>
      <c r="I3640" s="25" t="n">
        <f aca="false">H3640*(1+sh_g)</f>
        <v>4503.82730827363</v>
      </c>
      <c r="J3640" s="25" t="n">
        <f aca="false">I3640*(1+sh_g)</f>
        <v>4526.34644481499</v>
      </c>
    </row>
    <row r="3641" customFormat="false" ht="17.15" hidden="false" customHeight="false" outlineLevel="0" collapsed="false">
      <c r="A3641" s="0" t="s">
        <v>465</v>
      </c>
      <c r="B3641" s="0" t="s">
        <v>304</v>
      </c>
      <c r="C3641" s="19" t="n">
        <f aca="false">a25_eps</f>
        <v>9.37</v>
      </c>
      <c r="D3641" s="19" t="n">
        <f aca="false">a26_eps</f>
        <v>21.2828697294455</v>
      </c>
      <c r="E3641" s="19" t="n">
        <f aca="false">E3639/E3640*1000</f>
        <v>27.159922902957</v>
      </c>
      <c r="F3641" s="19" t="n">
        <f aca="false">F3639/F3640*1000</f>
        <v>17.590033509049</v>
      </c>
      <c r="G3641" s="19" t="n">
        <f aca="false">G3639/G3640*1000</f>
        <v>17.7094641149661</v>
      </c>
      <c r="H3641" s="28" t="n">
        <f aca="false">H3639/H3640*1000</f>
        <v>17.9850871611705</v>
      </c>
      <c r="I3641" s="28" t="n">
        <f aca="false">I3639/I3640*1000</f>
        <v>17.8938112902656</v>
      </c>
      <c r="J3641" s="28" t="n">
        <f aca="false">J3639/J3640*1000</f>
        <v>17.4326283430017</v>
      </c>
    </row>
    <row r="3642" customFormat="false" ht="17.15" hidden="false" customHeight="false" outlineLevel="0" collapsed="false">
      <c r="A3642" s="0" t="s">
        <v>581</v>
      </c>
      <c r="B3642" s="0" t="s">
        <v>76</v>
      </c>
      <c r="D3642" s="21" t="n">
        <f aca="false">D3641/C3641-1</f>
        <v>1.27138417603474</v>
      </c>
      <c r="E3642" s="21" t="n">
        <f aca="false">E3641/D3641-1</f>
        <v>0.276140071720703</v>
      </c>
      <c r="F3642" s="21" t="n">
        <f aca="false">F3641/E3641-1</f>
        <v>-0.352353334289697</v>
      </c>
      <c r="G3642" s="21" t="n">
        <f aca="false">G3641/F3641-1</f>
        <v>0.00678967472436498</v>
      </c>
      <c r="H3642" s="26" t="n">
        <f aca="false">H3641/G3641-1</f>
        <v>0.0155636017225067</v>
      </c>
      <c r="I3642" s="26" t="n">
        <f aca="false">I3641/H3641-1</f>
        <v>-0.00507508638055987</v>
      </c>
      <c r="J3642" s="26" t="n">
        <f aca="false">J3641/I3641-1</f>
        <v>-0.0257733212775536</v>
      </c>
    </row>
    <row r="3643" customFormat="false" ht="17.15" hidden="false" customHeight="false" outlineLevel="0" collapsed="false">
      <c r="A3643" s="4" t="s">
        <v>582</v>
      </c>
      <c r="B3643" s="0" t="s">
        <v>76</v>
      </c>
      <c r="C3643" s="14" t="n">
        <f aca="false">C3639/C3617</f>
        <v>0.0629977625862272</v>
      </c>
      <c r="D3643" s="14" t="n">
        <f aca="false">D3639/D3617</f>
        <v>0.107397865592237</v>
      </c>
      <c r="E3643" s="14" t="n">
        <f aca="false">E3639/E3617</f>
        <v>0.111959124438218</v>
      </c>
      <c r="F3643" s="14" t="n">
        <f aca="false">F3639/F3617</f>
        <v>0.0740416920654208</v>
      </c>
      <c r="G3643" s="14" t="n">
        <f aca="false">G3639/G3617</f>
        <v>0.0693685456110798</v>
      </c>
      <c r="H3643" s="27" t="n">
        <f aca="false">$G3643+(fade_mC-$G3643)*1/3</f>
        <v>0.0667933831337637</v>
      </c>
      <c r="I3643" s="27" t="n">
        <f aca="false">$G3643+(fade_mC-$G3643)*2/3</f>
        <v>0.0642182206564476</v>
      </c>
      <c r="J3643" s="27" t="n">
        <f aca="false">$G3643+(fade_mC-$G3643)*3/3</f>
        <v>0.0616430581791315</v>
      </c>
    </row>
    <row r="3644" customFormat="false" ht="17.15" hidden="false" customHeight="false" outlineLevel="0" collapsed="false">
      <c r="A3644" s="4" t="s">
        <v>583</v>
      </c>
      <c r="B3644" s="0" t="s">
        <v>234</v>
      </c>
      <c r="C3644" s="30" t="n">
        <f aca="false">C3639+C3625-C3623</f>
        <v>-54.587</v>
      </c>
      <c r="D3644" s="30" t="n">
        <f aca="false">D3639+D3625-D3623</f>
        <v>-176.164485935382</v>
      </c>
      <c r="E3644" s="30" t="n">
        <f aca="false">E3639+E3625-E3623</f>
        <v>-165.252841842084</v>
      </c>
      <c r="F3644" s="30" t="n">
        <f aca="false">F3639+F3625-F3623</f>
        <v>-156.019977104614</v>
      </c>
      <c r="G3644" s="30" t="n">
        <f aca="false">G3639+G3625-G3623</f>
        <v>-157.877834127725</v>
      </c>
      <c r="K3644" s="4" t="s">
        <v>584</v>
      </c>
    </row>
    <row r="3645" customFormat="false" ht="17.15" hidden="false" customHeight="false" outlineLevel="0" collapsed="false">
      <c r="A3645" s="4" t="s">
        <v>585</v>
      </c>
      <c r="B3645" s="0" t="s">
        <v>76</v>
      </c>
      <c r="D3645" s="21" t="n">
        <f aca="false">(D3633-$C3633)/SUM($D3623:D3623)</f>
        <v>0.164280348537512</v>
      </c>
      <c r="E3645" s="21" t="n">
        <f aca="false">(E3633-$C3633)/SUM($D3623:E3623)</f>
        <v>0.130708583570405</v>
      </c>
      <c r="F3645" s="21" t="n">
        <f aca="false">(F3633-$C3633)/SUM($D3623:F3623)</f>
        <v>0.0438479452907595</v>
      </c>
      <c r="G3645" s="21" t="n">
        <f aca="false">(G3633-$C3633)/SUM($D3623:G3623)</f>
        <v>0.0327981424654581</v>
      </c>
      <c r="K3645" s="4" t="s">
        <v>586</v>
      </c>
    </row>
    <row r="3648" customFormat="false" ht="17.15" hidden="false" customHeight="false" outlineLevel="0" collapsed="false">
      <c r="A3648" s="1" t="s">
        <v>988</v>
      </c>
    </row>
    <row r="3649" customFormat="false" ht="17.15" hidden="false" customHeight="false" outlineLevel="0" collapsed="false">
      <c r="A3649" s="5" t="s">
        <v>21</v>
      </c>
      <c r="B3649" s="5" t="s">
        <v>22</v>
      </c>
      <c r="C3649" s="15" t="s">
        <v>424</v>
      </c>
      <c r="D3649" s="15" t="s">
        <v>524</v>
      </c>
      <c r="E3649" s="15" t="s">
        <v>525</v>
      </c>
      <c r="F3649" s="15" t="s">
        <v>526</v>
      </c>
      <c r="G3649" s="15" t="s">
        <v>527</v>
      </c>
      <c r="H3649" s="15" t="s">
        <v>528</v>
      </c>
      <c r="I3649" s="15" t="s">
        <v>529</v>
      </c>
      <c r="J3649" s="15" t="s">
        <v>530</v>
      </c>
      <c r="K3649" s="5" t="s">
        <v>382</v>
      </c>
    </row>
    <row r="3650" customFormat="false" ht="17.15" hidden="false" customHeight="false" outlineLevel="0" collapsed="false">
      <c r="A3650" s="6" t="s">
        <v>548</v>
      </c>
    </row>
    <row r="3651" customFormat="false" ht="17.15" hidden="false" customHeight="false" outlineLevel="0" collapsed="false">
      <c r="A3651" s="0" t="s">
        <v>549</v>
      </c>
      <c r="B3651" s="4" t="s">
        <v>32</v>
      </c>
      <c r="D3651" s="19" t="n">
        <f aca="false">units_26</f>
        <v>15.2</v>
      </c>
      <c r="E3651" s="19" t="n">
        <f aca="false">units_27*1</f>
        <v>23.7</v>
      </c>
      <c r="F3651" s="19" t="n">
        <f aca="false">units_28*um28_A*1</f>
        <v>26.5</v>
      </c>
      <c r="G3651" s="19" t="n">
        <f aca="false">units_29*um29_A*1</f>
        <v>30.15</v>
      </c>
    </row>
    <row r="3652" customFormat="false" ht="17.15" hidden="false" customHeight="false" outlineLevel="0" collapsed="false">
      <c r="A3652" s="4" t="s">
        <v>497</v>
      </c>
      <c r="B3652" s="0" t="s">
        <v>45</v>
      </c>
      <c r="D3652" s="22" t="n">
        <f aca="false">ar_26</f>
        <v>1</v>
      </c>
      <c r="E3652" s="22" t="n">
        <f aca="false">ar_27</f>
        <v>1.278156</v>
      </c>
      <c r="F3652" s="22" t="n">
        <f aca="false">ar_28</f>
        <v>1.428615</v>
      </c>
      <c r="G3652" s="22" t="n">
        <f aca="false">ar_29</f>
        <v>1.431796</v>
      </c>
    </row>
    <row r="3653" customFormat="false" ht="17.15" hidden="false" customHeight="false" outlineLevel="0" collapsed="false">
      <c r="A3653" s="4" t="s">
        <v>550</v>
      </c>
      <c r="B3653" s="0" t="s">
        <v>45</v>
      </c>
      <c r="D3653" s="19" t="n">
        <f aca="false">1</f>
        <v>1</v>
      </c>
      <c r="E3653" s="19" t="n">
        <f aca="false">rel27_A</f>
        <v>1.1</v>
      </c>
      <c r="F3653" s="19" t="n">
        <f aca="false">rel28_A</f>
        <v>1.15</v>
      </c>
      <c r="G3653" s="19" t="n">
        <f aca="false">rel29_A</f>
        <v>1.2</v>
      </c>
    </row>
    <row r="3654" customFormat="false" ht="17.15" hidden="false" customHeight="false" outlineLevel="0" collapsed="false">
      <c r="A3654" s="4" t="s">
        <v>551</v>
      </c>
      <c r="B3654" s="0" t="s">
        <v>502</v>
      </c>
      <c r="D3654" s="23" t="n">
        <f aca="false">D3655*1000/D3651</f>
        <v>236.842105263158</v>
      </c>
      <c r="E3654" s="23" t="n">
        <f aca="false">$D3654*E3652^el</f>
        <v>267.763172119488</v>
      </c>
      <c r="F3654" s="23" t="n">
        <f aca="false">$D3654*F3652^el</f>
        <v>283.084777049615</v>
      </c>
      <c r="G3654" s="23" t="n">
        <f aca="false">$D3654*G3652^el</f>
        <v>283.399764630809</v>
      </c>
      <c r="K3654" s="8" t="s">
        <v>552</v>
      </c>
    </row>
    <row r="3655" customFormat="false" ht="17.15" hidden="false" customHeight="false" outlineLevel="0" collapsed="false">
      <c r="A3655" s="0" t="s">
        <v>553</v>
      </c>
      <c r="B3655" s="0" t="s">
        <v>120</v>
      </c>
      <c r="D3655" s="22" t="n">
        <f aca="false">leap26-D3656-D3657</f>
        <v>3.6</v>
      </c>
      <c r="E3655" s="22" t="n">
        <f aca="false">E3651*E3653*E3654/1000</f>
        <v>6.98058589715504</v>
      </c>
      <c r="F3655" s="22" t="n">
        <f aca="false">F3651*F3653*F3654/1000</f>
        <v>8.627008580587</v>
      </c>
      <c r="G3655" s="22" t="n">
        <f aca="false">G3651*G3653*G3654/1000</f>
        <v>10.2534034843427</v>
      </c>
      <c r="K3655" s="8" t="s">
        <v>554</v>
      </c>
    </row>
    <row r="3656" customFormat="false" ht="17.15" hidden="false" customHeight="false" outlineLevel="0" collapsed="false">
      <c r="A3656" s="4" t="s">
        <v>555</v>
      </c>
      <c r="B3656" s="0" t="s">
        <v>120</v>
      </c>
      <c r="D3656" s="22" t="n">
        <f aca="false">fp26</f>
        <v>0.3</v>
      </c>
      <c r="E3656" s="22" t="n">
        <f aca="false">fp27_A</f>
        <v>1.2</v>
      </c>
      <c r="F3656" s="22" t="n">
        <f aca="false">E3656*F3651/E3651*(1+fp_g)</f>
        <v>1.74430379746835</v>
      </c>
      <c r="G3656" s="22" t="n">
        <f aca="false">F3656*G3651/F3651*(1+fp_g)</f>
        <v>2.57992405063291</v>
      </c>
    </row>
    <row r="3657" customFormat="false" ht="17.15" hidden="false" customHeight="false" outlineLevel="0" collapsed="false">
      <c r="A3657" s="0" t="s">
        <v>556</v>
      </c>
      <c r="B3657" s="0" t="s">
        <v>120</v>
      </c>
      <c r="D3657" s="22" t="n">
        <f aca="false">cpo27*cpo_A_26/cpo_A_27</f>
        <v>0.1</v>
      </c>
      <c r="E3657" s="22" t="n">
        <f aca="false">cpo27*cpo_A_27/cpo_A_27</f>
        <v>0.5</v>
      </c>
      <c r="F3657" s="22" t="n">
        <f aca="false">cpo27*cpo_A_28/cpo_A_27*F3651/E3651</f>
        <v>1.11814345991561</v>
      </c>
      <c r="G3657" s="22" t="n">
        <f aca="false">cpo27*cpo_A_29/cpo_A_27*G3651/E3651</f>
        <v>2.03544303797468</v>
      </c>
      <c r="K3657" s="8" t="s">
        <v>557</v>
      </c>
    </row>
    <row r="3658" customFormat="false" ht="17.15" hidden="false" customHeight="false" outlineLevel="0" collapsed="false">
      <c r="A3658" s="0" t="s">
        <v>510</v>
      </c>
      <c r="B3658" s="0" t="s">
        <v>120</v>
      </c>
      <c r="C3658" s="22" t="n">
        <f aca="false">leap25</f>
        <v>1.6</v>
      </c>
      <c r="D3658" s="22" t="n">
        <f aca="false">D3655+D3656+D3657</f>
        <v>4</v>
      </c>
      <c r="E3658" s="22" t="n">
        <f aca="false">E3655+E3656+E3657</f>
        <v>8.68058589715504</v>
      </c>
      <c r="F3658" s="22" t="n">
        <f aca="false">F3655+F3656+F3657</f>
        <v>11.489455837971</v>
      </c>
      <c r="G3658" s="22" t="n">
        <f aca="false">G3655+G3656+G3657</f>
        <v>14.8687705729503</v>
      </c>
    </row>
    <row r="3659" customFormat="false" ht="17.15" hidden="false" customHeight="false" outlineLevel="0" collapsed="false">
      <c r="A3659" s="4" t="s">
        <v>558</v>
      </c>
      <c r="B3659" s="0" t="s">
        <v>114</v>
      </c>
      <c r="C3659" s="19" t="n">
        <f aca="false">fx25</f>
        <v>31</v>
      </c>
      <c r="D3659" s="19" t="n">
        <f aca="false">a26_leap/D3658</f>
        <v>31.9</v>
      </c>
      <c r="E3659" s="19" t="n">
        <f aca="false">fx</f>
        <v>32</v>
      </c>
      <c r="F3659" s="19" t="n">
        <f aca="false">fx</f>
        <v>32</v>
      </c>
      <c r="G3659" s="19" t="n">
        <f aca="false">fx</f>
        <v>32</v>
      </c>
      <c r="K3659" s="8" t="s">
        <v>559</v>
      </c>
    </row>
    <row r="3660" customFormat="false" ht="17.15" hidden="false" customHeight="false" outlineLevel="0" collapsed="false">
      <c r="A3660" s="6" t="s">
        <v>560</v>
      </c>
    </row>
    <row r="3661" customFormat="false" ht="17.15" hidden="false" customHeight="false" outlineLevel="0" collapsed="false">
      <c r="A3661" s="0" t="s">
        <v>438</v>
      </c>
      <c r="B3661" s="0" t="s">
        <v>234</v>
      </c>
      <c r="C3661" s="30" t="n">
        <f aca="false">a25_leap</f>
        <v>49.6</v>
      </c>
      <c r="D3661" s="30" t="n">
        <f aca="false">a26_leap</f>
        <v>127.6</v>
      </c>
      <c r="E3661" s="30" t="n">
        <f aca="false">E3658*E3659</f>
        <v>277.778748708961</v>
      </c>
      <c r="F3661" s="30" t="n">
        <f aca="false">F3658*F3659</f>
        <v>367.662586815071</v>
      </c>
      <c r="G3661" s="30" t="n">
        <f aca="false">G3658*G3659</f>
        <v>475.800658334408</v>
      </c>
    </row>
    <row r="3662" customFormat="false" ht="15" hidden="false" customHeight="false" outlineLevel="0" collapsed="false">
      <c r="A3662" s="4" t="s">
        <v>561</v>
      </c>
      <c r="B3662" s="0" t="s">
        <v>234</v>
      </c>
      <c r="C3662" s="30" t="n">
        <f aca="false">a25_ms</f>
        <v>339.628</v>
      </c>
      <c r="D3662" s="30" t="n">
        <f aca="false">a26_ms</f>
        <v>432.1302</v>
      </c>
      <c r="E3662" s="30" t="n">
        <f aca="false">D3662*(1+g_ms27)</f>
        <v>496.94973</v>
      </c>
      <c r="F3662" s="30" t="n">
        <f aca="false">E3662*(1+g_msL)</f>
        <v>531.7362111</v>
      </c>
      <c r="G3662" s="30" t="n">
        <f aca="false">F3662*(1+g_msL)</f>
        <v>568.957745877</v>
      </c>
    </row>
    <row r="3663" customFormat="false" ht="17.15" hidden="false" customHeight="false" outlineLevel="0" collapsed="false">
      <c r="A3663" s="4" t="s">
        <v>562</v>
      </c>
      <c r="B3663" s="0" t="s">
        <v>234</v>
      </c>
      <c r="C3663" s="30" t="n">
        <f aca="false">C3661+C3662</f>
        <v>389.228</v>
      </c>
      <c r="D3663" s="30" t="n">
        <f aca="false">D3661+D3662</f>
        <v>559.7302</v>
      </c>
      <c r="E3663" s="30" t="n">
        <f aca="false">E3661+E3662</f>
        <v>774.728478708961</v>
      </c>
      <c r="F3663" s="30" t="n">
        <f aca="false">F3661+F3662</f>
        <v>899.398797915071</v>
      </c>
      <c r="G3663" s="30" t="n">
        <f aca="false">G3661+G3662</f>
        <v>1044.75840421141</v>
      </c>
    </row>
    <row r="3664" customFormat="false" ht="17.15" hidden="false" customHeight="false" outlineLevel="0" collapsed="false">
      <c r="A3664" s="0" t="s">
        <v>563</v>
      </c>
      <c r="B3664" s="0" t="s">
        <v>234</v>
      </c>
      <c r="C3664" s="30" t="n">
        <f aca="false">a25_ems</f>
        <v>259.079</v>
      </c>
      <c r="D3664" s="30" t="n">
        <f aca="false">a26_ems</f>
        <v>314.602</v>
      </c>
      <c r="E3664" s="30" t="n">
        <f aca="false">D3664*(1+g_ems27)</f>
        <v>346.0622</v>
      </c>
      <c r="F3664" s="30" t="n">
        <f aca="false">E3664*(1+g_emsL)</f>
        <v>363.36531</v>
      </c>
      <c r="G3664" s="30" t="n">
        <f aca="false">F3664*(1+g_emsL)</f>
        <v>381.5335755</v>
      </c>
    </row>
    <row r="3665" customFormat="false" ht="17.15" hidden="false" customHeight="false" outlineLevel="0" collapsed="false">
      <c r="A3665" s="4" t="s">
        <v>564</v>
      </c>
      <c r="B3665" s="0" t="s">
        <v>234</v>
      </c>
      <c r="C3665" s="30" t="n">
        <f aca="false">a25_elim</f>
        <v>-2.91899999999998</v>
      </c>
      <c r="D3665" s="30" t="n">
        <f aca="false">a26_elim</f>
        <v>-3.16484905982349</v>
      </c>
      <c r="E3665" s="30" t="n">
        <f aca="false">$D3665/($D3663+$D3664)*(E3663+E3664)</f>
        <v>-4.05696293213379</v>
      </c>
      <c r="F3665" s="30" t="n">
        <f aca="false">$D3665/($D3663+$D3664)*(F3663+F3664)</f>
        <v>-4.57086882962089</v>
      </c>
      <c r="G3665" s="30" t="n">
        <f aca="false">$D3665/($D3663+$D3664)*(G3663+G3664)</f>
        <v>-5.16279605283144</v>
      </c>
      <c r="K3665" s="4" t="s">
        <v>565</v>
      </c>
    </row>
    <row r="3666" customFormat="false" ht="17.15" hidden="false" customHeight="false" outlineLevel="0" collapsed="false">
      <c r="A3666" s="4" t="s">
        <v>431</v>
      </c>
      <c r="B3666" s="0" t="s">
        <v>234</v>
      </c>
      <c r="C3666" s="30" t="n">
        <f aca="false">C3663+C3664+C3665</f>
        <v>645.388</v>
      </c>
      <c r="D3666" s="30" t="n">
        <f aca="false">D3663+D3664+D3665</f>
        <v>871.167350940177</v>
      </c>
      <c r="E3666" s="30" t="n">
        <f aca="false">E3663+E3664+E3665</f>
        <v>1116.73371577683</v>
      </c>
      <c r="F3666" s="30" t="n">
        <f aca="false">F3663+F3664+F3665</f>
        <v>1258.19323908545</v>
      </c>
      <c r="G3666" s="30" t="n">
        <f aca="false">G3663+G3664+G3665</f>
        <v>1421.12918365858</v>
      </c>
      <c r="H3666" s="31" t="n">
        <f aca="false">G3666*(1+H3667)</f>
        <v>1572.24252669828</v>
      </c>
      <c r="I3666" s="31" t="n">
        <f aca="false">H3666*(1+I3667)</f>
        <v>1703.00066355907</v>
      </c>
      <c r="J3666" s="31" t="n">
        <f aca="false">I3666*(1+J3667)</f>
        <v>1805.18070337261</v>
      </c>
      <c r="K3666" s="8" t="s">
        <v>566</v>
      </c>
    </row>
    <row r="3667" customFormat="false" ht="15" hidden="false" customHeight="false" outlineLevel="0" collapsed="false">
      <c r="A3667" s="4" t="s">
        <v>567</v>
      </c>
      <c r="B3667" s="0" t="s">
        <v>76</v>
      </c>
      <c r="D3667" s="21" t="n">
        <f aca="false">D3666/C3666-1</f>
        <v>0.349835061916516</v>
      </c>
      <c r="E3667" s="21" t="n">
        <f aca="false">E3666/D3666-1</f>
        <v>0.281881965126026</v>
      </c>
      <c r="F3667" s="21" t="n">
        <f aca="false">F3666/E3666-1</f>
        <v>0.126672564202309</v>
      </c>
      <c r="G3667" s="21" t="n">
        <f aca="false">G3666/F3666-1</f>
        <v>0.129499936505429</v>
      </c>
      <c r="H3667" s="26" t="n">
        <f aca="false">$G3667+(fade_gA-$G3667)*1/3</f>
        <v>0.10633329100362</v>
      </c>
      <c r="I3667" s="26" t="n">
        <f aca="false">$G3667+(fade_gA-$G3667)*2/3</f>
        <v>0.0831666455018098</v>
      </c>
      <c r="J3667" s="26" t="n">
        <f aca="false">$G3667+(fade_gA-$G3667)*3/3</f>
        <v>0.06</v>
      </c>
    </row>
    <row r="3668" customFormat="false" ht="17.15" hidden="false" customHeight="false" outlineLevel="0" collapsed="false">
      <c r="A3668" s="0" t="s">
        <v>475</v>
      </c>
      <c r="B3668" s="0" t="s">
        <v>76</v>
      </c>
      <c r="C3668" s="21" t="n">
        <f aca="false">C3661/C3663</f>
        <v>0.127431736668482</v>
      </c>
      <c r="D3668" s="21" t="n">
        <f aca="false">D3661/D3663</f>
        <v>0.227966974088588</v>
      </c>
      <c r="E3668" s="21" t="n">
        <f aca="false">E3661/E3663</f>
        <v>0.35854980982739</v>
      </c>
      <c r="F3668" s="21" t="n">
        <f aca="false">F3661/F3663</f>
        <v>0.408787056050512</v>
      </c>
      <c r="G3668" s="21" t="n">
        <f aca="false">G3661/G3663</f>
        <v>0.455416923583923</v>
      </c>
    </row>
    <row r="3669" customFormat="false" ht="15" hidden="false" customHeight="false" outlineLevel="0" collapsed="false">
      <c r="A3669" s="4" t="s">
        <v>568</v>
      </c>
      <c r="B3669" s="0" t="s">
        <v>76</v>
      </c>
      <c r="D3669" s="21" t="n">
        <f aca="false">D3663/C3663-1</f>
        <v>0.438052247012034</v>
      </c>
      <c r="E3669" s="21" t="n">
        <f aca="false">E3663/D3663-1</f>
        <v>0.384110556673485</v>
      </c>
      <c r="F3669" s="21" t="n">
        <f aca="false">F3663/E3663-1</f>
        <v>0.160921306796241</v>
      </c>
      <c r="G3669" s="21" t="n">
        <f aca="false">G3663/F3663-1</f>
        <v>0.161618635285371</v>
      </c>
    </row>
    <row r="3670" customFormat="false" ht="17.15" hidden="false" customHeight="false" outlineLevel="0" collapsed="false">
      <c r="A3670" s="6" t="s">
        <v>569</v>
      </c>
    </row>
    <row r="3671" customFormat="false" ht="17.15" hidden="false" customHeight="false" outlineLevel="0" collapsed="false">
      <c r="A3671" s="4" t="s">
        <v>570</v>
      </c>
      <c r="B3671" s="0" t="s">
        <v>120</v>
      </c>
      <c r="C3671" s="19" t="n">
        <f aca="false">capex25</f>
        <v>5.5</v>
      </c>
      <c r="D3671" s="19" t="n">
        <f aca="false">capex26</f>
        <v>11.5</v>
      </c>
      <c r="E3671" s="19" t="n">
        <f aca="false">capex27</f>
        <v>13</v>
      </c>
      <c r="F3671" s="19" t="n">
        <f aca="false">capi*F3666/F3659</f>
        <v>11.7955616164261</v>
      </c>
      <c r="G3671" s="19" t="n">
        <f aca="false">capi*G3666/G3659</f>
        <v>13.3230860967992</v>
      </c>
      <c r="K3671" s="8" t="s">
        <v>571</v>
      </c>
    </row>
    <row r="3672" customFormat="false" ht="15" hidden="false" customHeight="false" outlineLevel="0" collapsed="false">
      <c r="A3672" s="4" t="s">
        <v>572</v>
      </c>
      <c r="B3672" s="0" t="s">
        <v>234</v>
      </c>
      <c r="C3672" s="30" t="n">
        <f aca="false">C3671*C3659</f>
        <v>170.5</v>
      </c>
      <c r="D3672" s="30" t="n">
        <f aca="false">D3671*31.9</f>
        <v>366.85</v>
      </c>
      <c r="E3672" s="30" t="n">
        <f aca="false">E3671*E3659</f>
        <v>416</v>
      </c>
      <c r="F3672" s="30" t="n">
        <f aca="false">F3671*F3659</f>
        <v>377.457971725635</v>
      </c>
      <c r="G3672" s="30" t="n">
        <f aca="false">G3671*G3659</f>
        <v>426.338755097573</v>
      </c>
    </row>
    <row r="3673" customFormat="false" ht="17.15" hidden="false" customHeight="false" outlineLevel="0" collapsed="false">
      <c r="A3673" s="4" t="s">
        <v>473</v>
      </c>
      <c r="B3673" s="0" t="s">
        <v>76</v>
      </c>
      <c r="C3673" s="21" t="n">
        <f aca="false">C3672/C3666</f>
        <v>0.264182166386732</v>
      </c>
      <c r="D3673" s="21" t="n">
        <f aca="false">D3672/D3666</f>
        <v>0.421101639775745</v>
      </c>
      <c r="E3673" s="21" t="n">
        <f aca="false">E3672/E3666</f>
        <v>0.372514946153139</v>
      </c>
      <c r="F3673" s="21" t="n">
        <f aca="false">F3672/F3666</f>
        <v>0.3</v>
      </c>
      <c r="G3673" s="21" t="n">
        <f aca="false">G3672/G3666</f>
        <v>0.3</v>
      </c>
    </row>
    <row r="3674" customFormat="false" ht="17.15" hidden="false" customHeight="false" outlineLevel="0" collapsed="false">
      <c r="A3674" s="4" t="s">
        <v>573</v>
      </c>
      <c r="B3674" s="0" t="s">
        <v>234</v>
      </c>
      <c r="C3674" s="30" t="n">
        <f aca="false">a25_da</f>
        <v>75.255</v>
      </c>
      <c r="D3674" s="30" t="n">
        <f aca="false">a26_da</f>
        <v>97.124</v>
      </c>
      <c r="E3674" s="30" t="n">
        <f aca="false">D3674*(1-1/life_lo)+D3672/life_lo</f>
        <v>142.078333333333</v>
      </c>
      <c r="F3674" s="30" t="n">
        <f aca="false">E3674*(1-1/life_lo)+E3672/life_lo</f>
        <v>187.731944444444</v>
      </c>
      <c r="G3674" s="30" t="n">
        <f aca="false">F3674*(1-1/life_lo)+F3672/life_lo</f>
        <v>219.35294899131</v>
      </c>
      <c r="K3674" s="4" t="s">
        <v>574</v>
      </c>
    </row>
    <row r="3675" customFormat="false" ht="17.15" hidden="false" customHeight="false" outlineLevel="0" collapsed="false">
      <c r="A3675" s="4" t="s">
        <v>575</v>
      </c>
      <c r="B3675" s="0" t="s">
        <v>234</v>
      </c>
      <c r="C3675" s="30" t="n">
        <f aca="false">a25_agp</f>
        <v>91.38</v>
      </c>
      <c r="D3675" s="30" t="n">
        <f aca="false">a26_agp</f>
        <v>164.623388</v>
      </c>
      <c r="E3675" s="30" t="n">
        <f aca="false">$D3675+ft*(E3663-$D3663)-(E3674-$D3674)</f>
        <v>227.168194021147</v>
      </c>
      <c r="F3675" s="30" t="n">
        <f aca="false">$D3675+ft*(F3663-$D3663)-(F3674-$D3674)</f>
        <v>243.849742513091</v>
      </c>
      <c r="G3675" s="30" t="n">
        <f aca="false">$D3675+ft*(G3663-$D3663)-(G3674-$D3674)</f>
        <v>284.908541114395</v>
      </c>
      <c r="K3675" s="4" t="s">
        <v>576</v>
      </c>
    </row>
    <row r="3676" customFormat="false" ht="15" hidden="false" customHeight="false" outlineLevel="0" collapsed="false">
      <c r="A3676" s="4" t="s">
        <v>447</v>
      </c>
      <c r="B3676" s="0" t="s">
        <v>76</v>
      </c>
      <c r="C3676" s="14" t="n">
        <f aca="false">C3675/C3663</f>
        <v>0.234772421305764</v>
      </c>
      <c r="D3676" s="14" t="n">
        <f aca="false">D3675/D3663</f>
        <v>0.294112034690999</v>
      </c>
      <c r="E3676" s="14" t="n">
        <f aca="false">E3675/E3663</f>
        <v>0.293222981036801</v>
      </c>
      <c r="F3676" s="14" t="n">
        <f aca="false">F3675/F3663</f>
        <v>0.271125270656763</v>
      </c>
      <c r="G3676" s="14" t="n">
        <f aca="false">G3675/G3663</f>
        <v>0.272702799006863</v>
      </c>
    </row>
    <row r="3677" customFormat="false" ht="17.15" hidden="false" customHeight="false" outlineLevel="0" collapsed="false">
      <c r="A3677" s="0" t="s">
        <v>449</v>
      </c>
      <c r="B3677" s="0" t="s">
        <v>234</v>
      </c>
      <c r="C3677" s="30" t="n">
        <f aca="false">a25_egp</f>
        <v>23.695</v>
      </c>
      <c r="D3677" s="30" t="n">
        <f aca="false">a26_egp</f>
        <v>27.00552</v>
      </c>
      <c r="E3677" s="30" t="n">
        <f aca="false">E3664*ems_gm</f>
        <v>29.415287</v>
      </c>
      <c r="F3677" s="30" t="n">
        <f aca="false">F3664*ems_gm</f>
        <v>30.88605135</v>
      </c>
      <c r="G3677" s="30" t="n">
        <f aca="false">G3664*ems_gm</f>
        <v>32.4303539175</v>
      </c>
    </row>
    <row r="3678" customFormat="false" ht="15" hidden="false" customHeight="false" outlineLevel="0" collapsed="false">
      <c r="A3678" s="4" t="s">
        <v>577</v>
      </c>
      <c r="B3678" s="0" t="s">
        <v>234</v>
      </c>
      <c r="C3678" s="30" t="n">
        <f aca="false">a25_lgp</f>
        <v>-0.881999999999998</v>
      </c>
      <c r="D3678" s="30" t="n">
        <f aca="false">a26_lgp</f>
        <v>-0.948662139013863</v>
      </c>
      <c r="E3678" s="30" t="n">
        <f aca="false">$D3678/$D3665*E3665</f>
        <v>-1.21607288699975</v>
      </c>
      <c r="F3678" s="30" t="n">
        <f aca="false">$D3678/$D3665*F3665</f>
        <v>-1.37011595785291</v>
      </c>
      <c r="G3678" s="30" t="n">
        <f aca="false">$D3678/$D3665*G3665</f>
        <v>-1.54754588739994</v>
      </c>
    </row>
    <row r="3679" customFormat="false" ht="15" hidden="false" customHeight="false" outlineLevel="0" collapsed="false">
      <c r="A3679" s="4" t="s">
        <v>451</v>
      </c>
      <c r="B3679" s="0" t="s">
        <v>234</v>
      </c>
      <c r="C3679" s="30" t="n">
        <f aca="false">C3675+C3677+C3678</f>
        <v>114.193</v>
      </c>
      <c r="D3679" s="30" t="n">
        <f aca="false">D3675+D3677+D3678</f>
        <v>190.680245860986</v>
      </c>
      <c r="E3679" s="30" t="n">
        <f aca="false">E3675+E3677+E3678</f>
        <v>255.367408134148</v>
      </c>
      <c r="F3679" s="30" t="n">
        <f aca="false">F3675+F3677+F3678</f>
        <v>273.365677905238</v>
      </c>
      <c r="G3679" s="30" t="n">
        <f aca="false">G3675+G3677+G3678</f>
        <v>315.791349144495</v>
      </c>
    </row>
    <row r="3680" customFormat="false" ht="15" hidden="false" customHeight="false" outlineLevel="0" collapsed="false">
      <c r="A3680" s="4" t="s">
        <v>452</v>
      </c>
      <c r="B3680" s="0" t="s">
        <v>76</v>
      </c>
      <c r="C3680" s="14" t="n">
        <f aca="false">C3679/C3666</f>
        <v>0.176936974347214</v>
      </c>
      <c r="D3680" s="14" t="n">
        <f aca="false">D3679/D3666</f>
        <v>0.218879008327391</v>
      </c>
      <c r="E3680" s="14" t="n">
        <f aca="false">E3679/E3666</f>
        <v>0.228673500697978</v>
      </c>
      <c r="F3680" s="14" t="n">
        <f aca="false">F3679/F3666</f>
        <v>0.217268436527239</v>
      </c>
      <c r="G3680" s="14" t="n">
        <f aca="false">G3679/G3666</f>
        <v>0.222211571457224</v>
      </c>
    </row>
    <row r="3681" customFormat="false" ht="15" hidden="false" customHeight="false" outlineLevel="0" collapsed="false">
      <c r="A3681" s="4" t="s">
        <v>578</v>
      </c>
      <c r="B3681" s="0" t="s">
        <v>234</v>
      </c>
      <c r="C3681" s="30" t="n">
        <f aca="false">a25_opx</f>
        <v>63.437</v>
      </c>
      <c r="D3681" s="30" t="n">
        <f aca="false">a26_opx</f>
        <v>79.658</v>
      </c>
      <c r="E3681" s="30" t="n">
        <f aca="false">D3681*(1+phi*E3667)</f>
        <v>93.1304921468054</v>
      </c>
      <c r="F3681" s="30" t="n">
        <f aca="false">E3681*(1+phi*F3667)</f>
        <v>100.208739094201</v>
      </c>
      <c r="G3681" s="30" t="n">
        <f aca="false">F3681*(1+phi*G3667)</f>
        <v>107.994954304194</v>
      </c>
    </row>
    <row r="3682" customFormat="false" ht="15" hidden="false" customHeight="false" outlineLevel="0" collapsed="false">
      <c r="A3682" s="4" t="s">
        <v>455</v>
      </c>
      <c r="B3682" s="0" t="s">
        <v>234</v>
      </c>
      <c r="C3682" s="30" t="n">
        <f aca="false">C3679-C3681</f>
        <v>50.756</v>
      </c>
      <c r="D3682" s="30" t="n">
        <f aca="false">D3679-D3681</f>
        <v>111.022245860986</v>
      </c>
      <c r="E3682" s="30" t="n">
        <f aca="false">E3679-E3681</f>
        <v>162.236915987342</v>
      </c>
      <c r="F3682" s="30" t="n">
        <f aca="false">F3679-F3681</f>
        <v>173.156938811038</v>
      </c>
      <c r="G3682" s="30" t="n">
        <f aca="false">G3679-G3681</f>
        <v>207.796394840301</v>
      </c>
    </row>
    <row r="3683" customFormat="false" ht="15" hidden="false" customHeight="false" outlineLevel="0" collapsed="false">
      <c r="A3683" s="4" t="s">
        <v>537</v>
      </c>
      <c r="B3683" s="0" t="s">
        <v>76</v>
      </c>
      <c r="C3683" s="14" t="n">
        <f aca="false">C3682/C3666</f>
        <v>0.0786441644406156</v>
      </c>
      <c r="D3683" s="14" t="n">
        <f aca="false">D3682/D3666</f>
        <v>0.127440779020437</v>
      </c>
      <c r="E3683" s="14" t="n">
        <f aca="false">E3682/E3666</f>
        <v>0.145278067363164</v>
      </c>
      <c r="F3683" s="14" t="n">
        <f aca="false">F3682/F3666</f>
        <v>0.137623485353411</v>
      </c>
      <c r="G3683" s="14" t="n">
        <f aca="false">G3682/G3666</f>
        <v>0.146219215838877</v>
      </c>
    </row>
    <row r="3684" customFormat="false" ht="15" hidden="false" customHeight="false" outlineLevel="0" collapsed="false">
      <c r="A3684" s="4" t="s">
        <v>456</v>
      </c>
      <c r="B3684" s="0" t="s">
        <v>234</v>
      </c>
      <c r="C3684" s="30" t="n">
        <f aca="false">a25_nonop</f>
        <v>0.545</v>
      </c>
      <c r="D3684" s="30" t="n">
        <f aca="false">a26_nonop</f>
        <v>4.302</v>
      </c>
      <c r="E3684" s="30" t="n">
        <f aca="false">nonop_f</f>
        <v>-5</v>
      </c>
      <c r="F3684" s="30" t="n">
        <f aca="false">nonop_f</f>
        <v>-5</v>
      </c>
      <c r="G3684" s="30" t="n">
        <f aca="false">nonop_f</f>
        <v>-5</v>
      </c>
    </row>
    <row r="3685" customFormat="false" ht="15" hidden="false" customHeight="false" outlineLevel="0" collapsed="false">
      <c r="A3685" s="4" t="s">
        <v>459</v>
      </c>
      <c r="B3685" s="0" t="s">
        <v>234</v>
      </c>
      <c r="C3685" s="30" t="n">
        <f aca="false">C3682+C3684</f>
        <v>51.301</v>
      </c>
      <c r="D3685" s="30" t="n">
        <f aca="false">D3682+D3684</f>
        <v>115.324245860986</v>
      </c>
      <c r="E3685" s="30" t="n">
        <f aca="false">E3682+E3684</f>
        <v>157.236915987342</v>
      </c>
      <c r="F3685" s="30" t="n">
        <f aca="false">F3682+F3684</f>
        <v>168.156938811038</v>
      </c>
      <c r="G3685" s="30" t="n">
        <f aca="false">G3682+G3684</f>
        <v>202.796394840301</v>
      </c>
    </row>
    <row r="3686" customFormat="false" ht="15" hidden="false" customHeight="false" outlineLevel="0" collapsed="false">
      <c r="A3686" s="4" t="s">
        <v>460</v>
      </c>
      <c r="B3686" s="0" t="s">
        <v>234</v>
      </c>
      <c r="C3686" s="30" t="n">
        <f aca="false">a25_tax</f>
        <v>9.461</v>
      </c>
      <c r="D3686" s="30" t="n">
        <f aca="false">a26_tax</f>
        <v>19.2197317963676</v>
      </c>
      <c r="E3686" s="30" t="n">
        <f aca="false">E3685*tax</f>
        <v>26.7302757178482</v>
      </c>
      <c r="F3686" s="30" t="n">
        <f aca="false">F3685*tax</f>
        <v>28.5866795978764</v>
      </c>
      <c r="G3686" s="30" t="n">
        <f aca="false">G3685*tax</f>
        <v>34.4753871228512</v>
      </c>
    </row>
    <row r="3687" customFormat="false" ht="15" hidden="false" customHeight="false" outlineLevel="0" collapsed="false">
      <c r="A3687" s="4" t="s">
        <v>461</v>
      </c>
      <c r="B3687" s="0" t="s">
        <v>234</v>
      </c>
      <c r="C3687" s="30" t="n">
        <f aca="false">a25_nci</f>
        <v>1.182</v>
      </c>
      <c r="D3687" s="30" t="n">
        <f aca="false">a26_nci</f>
        <v>2.543</v>
      </c>
      <c r="E3687" s="30" t="n">
        <f aca="false">nci</f>
        <v>3</v>
      </c>
      <c r="F3687" s="30" t="n">
        <f aca="false">nci</f>
        <v>3</v>
      </c>
      <c r="G3687" s="30" t="n">
        <f aca="false">nci</f>
        <v>3</v>
      </c>
    </row>
    <row r="3688" customFormat="false" ht="15" hidden="false" customHeight="false" outlineLevel="0" collapsed="false">
      <c r="A3688" s="4" t="s">
        <v>462</v>
      </c>
      <c r="B3688" s="0" t="s">
        <v>234</v>
      </c>
      <c r="C3688" s="30" t="n">
        <f aca="false">C3685-C3686-C3687</f>
        <v>40.658</v>
      </c>
      <c r="D3688" s="30" t="n">
        <f aca="false">D3685-D3686-D3687</f>
        <v>93.5615140646185</v>
      </c>
      <c r="E3688" s="30" t="n">
        <f aca="false">E3685-E3686-E3687</f>
        <v>127.506640269494</v>
      </c>
      <c r="F3688" s="30" t="n">
        <f aca="false">F3685-F3686-F3687</f>
        <v>136.570259213161</v>
      </c>
      <c r="G3688" s="30" t="n">
        <f aca="false">G3685-G3686-G3687</f>
        <v>165.32100771745</v>
      </c>
      <c r="H3688" s="31" t="n">
        <f aca="false">H3666*H3692</f>
        <v>191.01033594732</v>
      </c>
      <c r="I3688" s="31" t="n">
        <f aca="false">I3666*I3692</f>
        <v>215.680724496855</v>
      </c>
      <c r="J3688" s="31" t="n">
        <f aca="false">J3666*J3692</f>
        <v>237.933349598446</v>
      </c>
    </row>
    <row r="3689" customFormat="false" ht="15" hidden="false" customHeight="false" outlineLevel="0" collapsed="false">
      <c r="A3689" s="4" t="s">
        <v>579</v>
      </c>
      <c r="B3689" s="4" t="s">
        <v>580</v>
      </c>
      <c r="C3689" s="18" t="n">
        <f aca="false">a25_sh</f>
        <v>4339.16755602988</v>
      </c>
      <c r="D3689" s="18" t="n">
        <f aca="false">a26_sh</f>
        <v>4392.90105184664</v>
      </c>
      <c r="E3689" s="18" t="n">
        <f aca="false">D3689*(1+sh_g)</f>
        <v>4414.86555710588</v>
      </c>
      <c r="F3689" s="18" t="n">
        <f aca="false">E3689*(1+sh_g)</f>
        <v>4436.9398848914</v>
      </c>
      <c r="G3689" s="18" t="n">
        <f aca="false">F3689*(1+sh_g)</f>
        <v>4459.12458431586</v>
      </c>
      <c r="H3689" s="25" t="n">
        <f aca="false">G3689*(1+sh_g)</f>
        <v>4481.42020723744</v>
      </c>
      <c r="I3689" s="25" t="n">
        <f aca="false">H3689*(1+sh_g)</f>
        <v>4503.82730827363</v>
      </c>
      <c r="J3689" s="25" t="n">
        <f aca="false">I3689*(1+sh_g)</f>
        <v>4526.34644481499</v>
      </c>
    </row>
    <row r="3690" customFormat="false" ht="17.15" hidden="false" customHeight="false" outlineLevel="0" collapsed="false">
      <c r="A3690" s="0" t="s">
        <v>465</v>
      </c>
      <c r="B3690" s="0" t="s">
        <v>304</v>
      </c>
      <c r="C3690" s="19" t="n">
        <f aca="false">a25_eps</f>
        <v>9.37</v>
      </c>
      <c r="D3690" s="19" t="n">
        <f aca="false">a26_eps</f>
        <v>21.2828697294455</v>
      </c>
      <c r="E3690" s="19" t="n">
        <f aca="false">E3688/E3689*1000</f>
        <v>28.8812056947618</v>
      </c>
      <c r="F3690" s="19" t="n">
        <f aca="false">F3688/F3689*1000</f>
        <v>30.7802816256781</v>
      </c>
      <c r="G3690" s="19" t="n">
        <f aca="false">G3688/G3689*1000</f>
        <v>37.0747676122205</v>
      </c>
      <c r="H3690" s="28" t="n">
        <f aca="false">H3688/H3689*1000</f>
        <v>42.6227238496494</v>
      </c>
      <c r="I3690" s="28" t="n">
        <f aca="false">I3688/I3689*1000</f>
        <v>47.8883202516768</v>
      </c>
      <c r="J3690" s="28" t="n">
        <f aca="false">J3688/J3689*1000</f>
        <v>52.5663142446825</v>
      </c>
    </row>
    <row r="3691" customFormat="false" ht="17.15" hidden="false" customHeight="false" outlineLevel="0" collapsed="false">
      <c r="A3691" s="0" t="s">
        <v>581</v>
      </c>
      <c r="B3691" s="0" t="s">
        <v>76</v>
      </c>
      <c r="D3691" s="21" t="n">
        <f aca="false">D3690/C3690-1</f>
        <v>1.27138417603474</v>
      </c>
      <c r="E3691" s="21" t="n">
        <f aca="false">E3690/D3690-1</f>
        <v>0.357016514309805</v>
      </c>
      <c r="F3691" s="21" t="n">
        <f aca="false">F3690/E3690-1</f>
        <v>0.0657547316752325</v>
      </c>
      <c r="G3691" s="21" t="n">
        <f aca="false">G3690/F3690-1</f>
        <v>0.204497348760166</v>
      </c>
      <c r="H3691" s="26" t="n">
        <f aca="false">H3690/G3690-1</f>
        <v>0.14964237390392</v>
      </c>
      <c r="I3691" s="26" t="n">
        <f aca="false">I3690/H3690-1</f>
        <v>0.123539650365887</v>
      </c>
      <c r="J3691" s="26" t="n">
        <f aca="false">J3690/I3690-1</f>
        <v>0.0976854892470755</v>
      </c>
    </row>
    <row r="3692" customFormat="false" ht="17.15" hidden="false" customHeight="false" outlineLevel="0" collapsed="false">
      <c r="A3692" s="4" t="s">
        <v>582</v>
      </c>
      <c r="B3692" s="0" t="s">
        <v>76</v>
      </c>
      <c r="C3692" s="14" t="n">
        <f aca="false">C3688/C3666</f>
        <v>0.0629977625862272</v>
      </c>
      <c r="D3692" s="14" t="n">
        <f aca="false">D3688/D3666</f>
        <v>0.107397865592237</v>
      </c>
      <c r="E3692" s="14" t="n">
        <f aca="false">E3688/E3666</f>
        <v>0.114178195274419</v>
      </c>
      <c r="F3692" s="14" t="n">
        <f aca="false">F3688/F3666</f>
        <v>0.108544740959211</v>
      </c>
      <c r="G3692" s="14" t="n">
        <f aca="false">G3688/G3666</f>
        <v>0.116330738696003</v>
      </c>
      <c r="H3692" s="27" t="n">
        <f aca="false">$G3692+(fade_mA-$G3692)*1/3</f>
        <v>0.121489104068723</v>
      </c>
      <c r="I3692" s="27" t="n">
        <f aca="false">$G3692+(fade_mA-$G3692)*2/3</f>
        <v>0.126647469441443</v>
      </c>
      <c r="J3692" s="27" t="n">
        <f aca="false">$G3692+(fade_mA-$G3692)*3/3</f>
        <v>0.131805834814164</v>
      </c>
    </row>
    <row r="3693" customFormat="false" ht="17.15" hidden="false" customHeight="false" outlineLevel="0" collapsed="false">
      <c r="A3693" s="4" t="s">
        <v>583</v>
      </c>
      <c r="B3693" s="0" t="s">
        <v>234</v>
      </c>
      <c r="C3693" s="30" t="n">
        <f aca="false">C3688+C3674-C3672</f>
        <v>-54.587</v>
      </c>
      <c r="D3693" s="30" t="n">
        <f aca="false">D3688+D3674-D3672</f>
        <v>-176.164485935382</v>
      </c>
      <c r="E3693" s="30" t="n">
        <f aca="false">E3688+E3674-E3672</f>
        <v>-146.415026397173</v>
      </c>
      <c r="F3693" s="30" t="n">
        <f aca="false">F3688+F3674-F3672</f>
        <v>-53.1557680680295</v>
      </c>
      <c r="G3693" s="30" t="n">
        <f aca="false">G3688+G3674-G3672</f>
        <v>-41.6647983888137</v>
      </c>
      <c r="K3693" s="4" t="s">
        <v>584</v>
      </c>
    </row>
    <row r="3694" customFormat="false" ht="17.15" hidden="false" customHeight="false" outlineLevel="0" collapsed="false">
      <c r="A3694" s="4" t="s">
        <v>585</v>
      </c>
      <c r="B3694" s="0" t="s">
        <v>76</v>
      </c>
      <c r="D3694" s="21" t="n">
        <f aca="false">(D3682-$C3682)/SUM($D3672:D3672)</f>
        <v>0.164280348537512</v>
      </c>
      <c r="E3694" s="21" t="n">
        <f aca="false">(E3682-$C3682)/SUM($D3672:E3672)</f>
        <v>0.142403929216762</v>
      </c>
      <c r="F3694" s="21" t="n">
        <f aca="false">(F3682-$C3682)/SUM($D3672:F3672)</f>
        <v>0.105490043844998</v>
      </c>
      <c r="G3694" s="21" t="n">
        <f aca="false">(G3682-$C3682)/SUM($D3672:G3672)</f>
        <v>0.098976282612531</v>
      </c>
      <c r="K3694" s="4" t="s">
        <v>586</v>
      </c>
    </row>
    <row r="3697" customFormat="false" ht="17.15" hidden="false" customHeight="false" outlineLevel="0" collapsed="false">
      <c r="A3697" s="1" t="s">
        <v>989</v>
      </c>
    </row>
    <row r="3698" customFormat="false" ht="17.15" hidden="false" customHeight="false" outlineLevel="0" collapsed="false">
      <c r="A3698" s="5" t="s">
        <v>21</v>
      </c>
      <c r="B3698" s="5" t="s">
        <v>22</v>
      </c>
      <c r="C3698" s="15" t="s">
        <v>424</v>
      </c>
      <c r="D3698" s="15" t="s">
        <v>524</v>
      </c>
      <c r="E3698" s="15" t="s">
        <v>525</v>
      </c>
      <c r="F3698" s="15" t="s">
        <v>526</v>
      </c>
      <c r="G3698" s="15" t="s">
        <v>527</v>
      </c>
      <c r="H3698" s="15" t="s">
        <v>528</v>
      </c>
      <c r="I3698" s="15" t="s">
        <v>529</v>
      </c>
      <c r="J3698" s="15" t="s">
        <v>530</v>
      </c>
      <c r="K3698" s="5" t="s">
        <v>382</v>
      </c>
    </row>
    <row r="3699" customFormat="false" ht="17.15" hidden="false" customHeight="false" outlineLevel="0" collapsed="false">
      <c r="A3699" s="6" t="s">
        <v>548</v>
      </c>
    </row>
    <row r="3700" customFormat="false" ht="17.15" hidden="false" customHeight="false" outlineLevel="0" collapsed="false">
      <c r="A3700" s="0" t="s">
        <v>549</v>
      </c>
      <c r="B3700" s="4" t="s">
        <v>32</v>
      </c>
      <c r="D3700" s="19" t="n">
        <f aca="false">units_26</f>
        <v>15.2</v>
      </c>
      <c r="E3700" s="19" t="n">
        <f aca="false">units_27*1</f>
        <v>23.7</v>
      </c>
      <c r="F3700" s="19" t="n">
        <f aca="false">units_28*um28_B*1</f>
        <v>21.2</v>
      </c>
      <c r="G3700" s="19" t="n">
        <f aca="false">units_29*um29_B*1</f>
        <v>25.6275</v>
      </c>
    </row>
    <row r="3701" customFormat="false" ht="17.15" hidden="false" customHeight="false" outlineLevel="0" collapsed="false">
      <c r="A3701" s="4" t="s">
        <v>497</v>
      </c>
      <c r="B3701" s="0" t="s">
        <v>45</v>
      </c>
      <c r="D3701" s="22" t="n">
        <f aca="false">ar_26</f>
        <v>1</v>
      </c>
      <c r="E3701" s="22" t="n">
        <f aca="false">ar_27</f>
        <v>1.278156</v>
      </c>
      <c r="F3701" s="22" t="n">
        <f aca="false">ar_28</f>
        <v>1.428615</v>
      </c>
      <c r="G3701" s="22" t="n">
        <f aca="false">ar_29</f>
        <v>1.431796</v>
      </c>
    </row>
    <row r="3702" customFormat="false" ht="17.15" hidden="false" customHeight="false" outlineLevel="0" collapsed="false">
      <c r="A3702" s="4" t="s">
        <v>550</v>
      </c>
      <c r="B3702" s="0" t="s">
        <v>45</v>
      </c>
      <c r="D3702" s="19" t="n">
        <f aca="false">1</f>
        <v>1</v>
      </c>
      <c r="E3702" s="19" t="n">
        <f aca="false">rel27_B</f>
        <v>1.05</v>
      </c>
      <c r="F3702" s="19" t="n">
        <f aca="false">rel28_B</f>
        <v>1.08</v>
      </c>
      <c r="G3702" s="19" t="n">
        <f aca="false">rel29_B</f>
        <v>1.1</v>
      </c>
    </row>
    <row r="3703" customFormat="false" ht="17.15" hidden="false" customHeight="false" outlineLevel="0" collapsed="false">
      <c r="A3703" s="4" t="s">
        <v>551</v>
      </c>
      <c r="B3703" s="0" t="s">
        <v>502</v>
      </c>
      <c r="D3703" s="23" t="n">
        <f aca="false">D3704*1000/D3700</f>
        <v>236.842105263158</v>
      </c>
      <c r="E3703" s="23" t="n">
        <f aca="false">$D3703*E3701^el</f>
        <v>267.763172119488</v>
      </c>
      <c r="F3703" s="23" t="n">
        <f aca="false">$D3703*F3701^el</f>
        <v>283.084777049615</v>
      </c>
      <c r="G3703" s="23" t="n">
        <f aca="false">$D3703*G3701^el</f>
        <v>283.399764630809</v>
      </c>
      <c r="K3703" s="8" t="s">
        <v>552</v>
      </c>
    </row>
    <row r="3704" customFormat="false" ht="17.15" hidden="false" customHeight="false" outlineLevel="0" collapsed="false">
      <c r="A3704" s="0" t="s">
        <v>553</v>
      </c>
      <c r="B3704" s="0" t="s">
        <v>120</v>
      </c>
      <c r="D3704" s="22" t="n">
        <f aca="false">leap26-D3705-D3706</f>
        <v>3.6</v>
      </c>
      <c r="E3704" s="22" t="n">
        <f aca="false">E3700*E3702*E3703/1000</f>
        <v>6.66328653819345</v>
      </c>
      <c r="F3704" s="22" t="n">
        <f aca="false">F3700*F3702*F3703/1000</f>
        <v>6.48150905532798</v>
      </c>
      <c r="G3704" s="22" t="n">
        <f aca="false">G3700*G3702*G3703/1000</f>
        <v>7.98911021488366</v>
      </c>
      <c r="K3704" s="8" t="s">
        <v>554</v>
      </c>
    </row>
    <row r="3705" customFormat="false" ht="17.15" hidden="false" customHeight="false" outlineLevel="0" collapsed="false">
      <c r="A3705" s="4" t="s">
        <v>555</v>
      </c>
      <c r="B3705" s="0" t="s">
        <v>120</v>
      </c>
      <c r="D3705" s="22" t="n">
        <f aca="false">fp26</f>
        <v>0.3</v>
      </c>
      <c r="E3705" s="22" t="n">
        <f aca="false">fp27_B</f>
        <v>1</v>
      </c>
      <c r="F3705" s="22" t="n">
        <f aca="false">E3705*F3700/E3700*(1+fp_g)</f>
        <v>1.16286919831224</v>
      </c>
      <c r="G3705" s="22" t="n">
        <f aca="false">F3705*G3700/F3700*(1+fp_g)</f>
        <v>1.82744620253165</v>
      </c>
    </row>
    <row r="3706" customFormat="false" ht="17.15" hidden="false" customHeight="false" outlineLevel="0" collapsed="false">
      <c r="A3706" s="0" t="s">
        <v>556</v>
      </c>
      <c r="B3706" s="0" t="s">
        <v>120</v>
      </c>
      <c r="D3706" s="22" t="n">
        <f aca="false">cpo27*cpo_B_26/cpo_A_27</f>
        <v>0.1</v>
      </c>
      <c r="E3706" s="22" t="n">
        <f aca="false">cpo27*cpo_B_27/cpo_A_27</f>
        <v>0.3</v>
      </c>
      <c r="F3706" s="22" t="n">
        <f aca="false">cpo27*cpo_B_28/cpo_A_27*F3700/E3700</f>
        <v>0.447257383966245</v>
      </c>
      <c r="G3706" s="22" t="n">
        <f aca="false">cpo27*cpo_B_29/cpo_A_27*G3700/E3700</f>
        <v>0.86506329113924</v>
      </c>
      <c r="K3706" s="8" t="s">
        <v>557</v>
      </c>
    </row>
    <row r="3707" customFormat="false" ht="17.15" hidden="false" customHeight="false" outlineLevel="0" collapsed="false">
      <c r="A3707" s="0" t="s">
        <v>510</v>
      </c>
      <c r="B3707" s="0" t="s">
        <v>120</v>
      </c>
      <c r="C3707" s="22" t="n">
        <f aca="false">leap25</f>
        <v>1.6</v>
      </c>
      <c r="D3707" s="22" t="n">
        <f aca="false">D3704+D3705+D3706</f>
        <v>4</v>
      </c>
      <c r="E3707" s="22" t="n">
        <f aca="false">E3704+E3705+E3706</f>
        <v>7.96328653819345</v>
      </c>
      <c r="F3707" s="22" t="n">
        <f aca="false">F3704+F3705+F3706</f>
        <v>8.09163563760646</v>
      </c>
      <c r="G3707" s="22" t="n">
        <f aca="false">G3704+G3705+G3706</f>
        <v>10.6816197085545</v>
      </c>
    </row>
    <row r="3708" customFormat="false" ht="17.15" hidden="false" customHeight="false" outlineLevel="0" collapsed="false">
      <c r="A3708" s="4" t="s">
        <v>558</v>
      </c>
      <c r="B3708" s="0" t="s">
        <v>114</v>
      </c>
      <c r="C3708" s="19" t="n">
        <f aca="false">fx25</f>
        <v>31</v>
      </c>
      <c r="D3708" s="19" t="n">
        <f aca="false">a26_leap/D3707</f>
        <v>31.9</v>
      </c>
      <c r="E3708" s="19" t="n">
        <f aca="false">fx</f>
        <v>32</v>
      </c>
      <c r="F3708" s="19" t="n">
        <f aca="false">fx</f>
        <v>32</v>
      </c>
      <c r="G3708" s="19" t="n">
        <f aca="false">fx</f>
        <v>32</v>
      </c>
      <c r="K3708" s="8" t="s">
        <v>559</v>
      </c>
    </row>
    <row r="3709" customFormat="false" ht="17.15" hidden="false" customHeight="false" outlineLevel="0" collapsed="false">
      <c r="A3709" s="6" t="s">
        <v>560</v>
      </c>
    </row>
    <row r="3710" customFormat="false" ht="17.15" hidden="false" customHeight="false" outlineLevel="0" collapsed="false">
      <c r="A3710" s="0" t="s">
        <v>438</v>
      </c>
      <c r="B3710" s="0" t="s">
        <v>234</v>
      </c>
      <c r="C3710" s="30" t="n">
        <f aca="false">a25_leap</f>
        <v>49.6</v>
      </c>
      <c r="D3710" s="30" t="n">
        <f aca="false">a26_leap</f>
        <v>127.6</v>
      </c>
      <c r="E3710" s="30" t="n">
        <f aca="false">E3707*E3708</f>
        <v>254.82516922219</v>
      </c>
      <c r="F3710" s="30" t="n">
        <f aca="false">F3707*F3708</f>
        <v>258.932340403407</v>
      </c>
      <c r="G3710" s="30" t="n">
        <f aca="false">G3707*G3708</f>
        <v>341.811830673745</v>
      </c>
    </row>
    <row r="3711" customFormat="false" ht="15" hidden="false" customHeight="false" outlineLevel="0" collapsed="false">
      <c r="A3711" s="4" t="s">
        <v>561</v>
      </c>
      <c r="B3711" s="0" t="s">
        <v>234</v>
      </c>
      <c r="C3711" s="30" t="n">
        <f aca="false">a25_ms</f>
        <v>339.628</v>
      </c>
      <c r="D3711" s="30" t="n">
        <f aca="false">a26_ms</f>
        <v>432.1302</v>
      </c>
      <c r="E3711" s="30" t="n">
        <f aca="false">D3711*(1+g_ms27)</f>
        <v>496.94973</v>
      </c>
      <c r="F3711" s="30" t="n">
        <f aca="false">E3711*(1+g_msL)</f>
        <v>531.7362111</v>
      </c>
      <c r="G3711" s="30" t="n">
        <f aca="false">F3711*(1+g_msL)</f>
        <v>568.957745877</v>
      </c>
    </row>
    <row r="3712" customFormat="false" ht="17.15" hidden="false" customHeight="false" outlineLevel="0" collapsed="false">
      <c r="A3712" s="4" t="s">
        <v>562</v>
      </c>
      <c r="B3712" s="0" t="s">
        <v>234</v>
      </c>
      <c r="C3712" s="30" t="n">
        <f aca="false">C3710+C3711</f>
        <v>389.228</v>
      </c>
      <c r="D3712" s="30" t="n">
        <f aca="false">D3710+D3711</f>
        <v>559.7302</v>
      </c>
      <c r="E3712" s="30" t="n">
        <f aca="false">E3710+E3711</f>
        <v>751.77489922219</v>
      </c>
      <c r="F3712" s="30" t="n">
        <f aca="false">F3710+F3711</f>
        <v>790.668551503407</v>
      </c>
      <c r="G3712" s="30" t="n">
        <f aca="false">G3710+G3711</f>
        <v>910.769576550745</v>
      </c>
    </row>
    <row r="3713" customFormat="false" ht="17.15" hidden="false" customHeight="false" outlineLevel="0" collapsed="false">
      <c r="A3713" s="0" t="s">
        <v>563</v>
      </c>
      <c r="B3713" s="0" t="s">
        <v>234</v>
      </c>
      <c r="C3713" s="30" t="n">
        <f aca="false">a25_ems</f>
        <v>259.079</v>
      </c>
      <c r="D3713" s="30" t="n">
        <f aca="false">a26_ems</f>
        <v>314.602</v>
      </c>
      <c r="E3713" s="30" t="n">
        <f aca="false">D3713*(1+g_ems27)</f>
        <v>346.0622</v>
      </c>
      <c r="F3713" s="30" t="n">
        <f aca="false">E3713*(1+g_emsL)</f>
        <v>363.36531</v>
      </c>
      <c r="G3713" s="30" t="n">
        <f aca="false">F3713*(1+g_emsL)</f>
        <v>381.5335755</v>
      </c>
    </row>
    <row r="3714" customFormat="false" ht="17.15" hidden="false" customHeight="false" outlineLevel="0" collapsed="false">
      <c r="A3714" s="4" t="s">
        <v>564</v>
      </c>
      <c r="B3714" s="0" t="s">
        <v>234</v>
      </c>
      <c r="C3714" s="30" t="n">
        <f aca="false">a25_elim</f>
        <v>-2.91899999999998</v>
      </c>
      <c r="D3714" s="30" t="n">
        <f aca="false">a26_elim</f>
        <v>-3.16484905982349</v>
      </c>
      <c r="E3714" s="30" t="n">
        <f aca="false">$D3714/($D3712+$D3713)*(E3712+E3713)</f>
        <v>-3.97387710450638</v>
      </c>
      <c r="F3714" s="30" t="n">
        <f aca="false">$D3714/($D3712+$D3713)*(F3712+F3713)</f>
        <v>-4.17729437573445</v>
      </c>
      <c r="G3714" s="30" t="n">
        <f aca="false">$D3714/($D3712+$D3713)*(G3712+G3713)</f>
        <v>-4.67779228052533</v>
      </c>
      <c r="K3714" s="4" t="s">
        <v>565</v>
      </c>
    </row>
    <row r="3715" customFormat="false" ht="17.15" hidden="false" customHeight="false" outlineLevel="0" collapsed="false">
      <c r="A3715" s="4" t="s">
        <v>431</v>
      </c>
      <c r="B3715" s="0" t="s">
        <v>234</v>
      </c>
      <c r="C3715" s="30" t="n">
        <f aca="false">C3712+C3713+C3714</f>
        <v>645.388</v>
      </c>
      <c r="D3715" s="30" t="n">
        <f aca="false">D3712+D3713+D3714</f>
        <v>871.167350940177</v>
      </c>
      <c r="E3715" s="30" t="n">
        <f aca="false">E3712+E3713+E3714</f>
        <v>1093.86322211768</v>
      </c>
      <c r="F3715" s="30" t="n">
        <f aca="false">F3712+F3713+F3714</f>
        <v>1149.85656712767</v>
      </c>
      <c r="G3715" s="30" t="n">
        <f aca="false">G3712+G3713+G3714</f>
        <v>1287.62535977022</v>
      </c>
      <c r="H3715" s="31" t="n">
        <f aca="false">G3715*(1+H3716)</f>
        <v>1407.64396999115</v>
      </c>
      <c r="I3715" s="31" t="n">
        <f aca="false">H3715*(1+I3716)</f>
        <v>1501.39957757674</v>
      </c>
      <c r="J3715" s="31" t="n">
        <f aca="false">I3715*(1+J3716)</f>
        <v>1561.45556067981</v>
      </c>
      <c r="K3715" s="8" t="s">
        <v>566</v>
      </c>
    </row>
    <row r="3716" customFormat="false" ht="15" hidden="false" customHeight="false" outlineLevel="0" collapsed="false">
      <c r="A3716" s="4" t="s">
        <v>567</v>
      </c>
      <c r="B3716" s="0" t="s">
        <v>76</v>
      </c>
      <c r="D3716" s="21" t="n">
        <f aca="false">D3715/C3715-1</f>
        <v>0.349835061916516</v>
      </c>
      <c r="E3716" s="21" t="n">
        <f aca="false">E3715/D3715-1</f>
        <v>0.255629266796065</v>
      </c>
      <c r="F3716" s="21" t="n">
        <f aca="false">F3715/E3715-1</f>
        <v>0.0511886165270159</v>
      </c>
      <c r="G3716" s="21" t="n">
        <f aca="false">G3715/F3715-1</f>
        <v>0.11981389382042</v>
      </c>
      <c r="H3716" s="26" t="n">
        <f aca="false">$G3716+(fade_gB-$G3716)*1/3</f>
        <v>0.0932092625469469</v>
      </c>
      <c r="I3716" s="26" t="n">
        <f aca="false">$G3716+(fade_gB-$G3716)*2/3</f>
        <v>0.0666046312734734</v>
      </c>
      <c r="J3716" s="26" t="n">
        <f aca="false">$G3716+(fade_gB-$G3716)*3/3</f>
        <v>0.04</v>
      </c>
    </row>
    <row r="3717" customFormat="false" ht="17.15" hidden="false" customHeight="false" outlineLevel="0" collapsed="false">
      <c r="A3717" s="0" t="s">
        <v>475</v>
      </c>
      <c r="B3717" s="0" t="s">
        <v>76</v>
      </c>
      <c r="C3717" s="21" t="n">
        <f aca="false">C3710/C3712</f>
        <v>0.127431736668482</v>
      </c>
      <c r="D3717" s="21" t="n">
        <f aca="false">D3710/D3712</f>
        <v>0.227966974088588</v>
      </c>
      <c r="E3717" s="21" t="n">
        <f aca="false">E3710/E3712</f>
        <v>0.338964721335922</v>
      </c>
      <c r="F3717" s="21" t="n">
        <f aca="false">F3710/F3712</f>
        <v>0.327485315953269</v>
      </c>
      <c r="G3717" s="21" t="n">
        <f aca="false">G3710/G3712</f>
        <v>0.375300009436251</v>
      </c>
    </row>
    <row r="3718" customFormat="false" ht="15" hidden="false" customHeight="false" outlineLevel="0" collapsed="false">
      <c r="A3718" s="4" t="s">
        <v>568</v>
      </c>
      <c r="B3718" s="0" t="s">
        <v>76</v>
      </c>
      <c r="D3718" s="21" t="n">
        <f aca="false">D3712/C3712-1</f>
        <v>0.438052247012034</v>
      </c>
      <c r="E3718" s="21" t="n">
        <f aca="false">E3712/D3712-1</f>
        <v>0.343102264666424</v>
      </c>
      <c r="F3718" s="21" t="n">
        <f aca="false">F3712/E3712-1</f>
        <v>0.0517357686741828</v>
      </c>
      <c r="G3718" s="21" t="n">
        <f aca="false">G3712/F3712-1</f>
        <v>0.151898067551788</v>
      </c>
    </row>
    <row r="3719" customFormat="false" ht="17.15" hidden="false" customHeight="false" outlineLevel="0" collapsed="false">
      <c r="A3719" s="6" t="s">
        <v>569</v>
      </c>
    </row>
    <row r="3720" customFormat="false" ht="17.15" hidden="false" customHeight="false" outlineLevel="0" collapsed="false">
      <c r="A3720" s="4" t="s">
        <v>570</v>
      </c>
      <c r="B3720" s="0" t="s">
        <v>120</v>
      </c>
      <c r="C3720" s="19" t="n">
        <f aca="false">capex25</f>
        <v>5.5</v>
      </c>
      <c r="D3720" s="19" t="n">
        <f aca="false">capex26</f>
        <v>11.5</v>
      </c>
      <c r="E3720" s="19" t="n">
        <f aca="false">capex27</f>
        <v>13</v>
      </c>
      <c r="F3720" s="19" t="n">
        <f aca="false">capi*F3715/F3708</f>
        <v>10.7799053168219</v>
      </c>
      <c r="G3720" s="19" t="n">
        <f aca="false">capi*G3715/G3708</f>
        <v>12.0714877478458</v>
      </c>
      <c r="K3720" s="8" t="s">
        <v>571</v>
      </c>
    </row>
    <row r="3721" customFormat="false" ht="15" hidden="false" customHeight="false" outlineLevel="0" collapsed="false">
      <c r="A3721" s="4" t="s">
        <v>572</v>
      </c>
      <c r="B3721" s="0" t="s">
        <v>234</v>
      </c>
      <c r="C3721" s="30" t="n">
        <f aca="false">C3720*C3708</f>
        <v>170.5</v>
      </c>
      <c r="D3721" s="30" t="n">
        <f aca="false">D3720*31.9</f>
        <v>366.85</v>
      </c>
      <c r="E3721" s="30" t="n">
        <f aca="false">E3720*E3708</f>
        <v>416</v>
      </c>
      <c r="F3721" s="30" t="n">
        <f aca="false">F3720*F3708</f>
        <v>344.956970138302</v>
      </c>
      <c r="G3721" s="30" t="n">
        <f aca="false">G3720*G3708</f>
        <v>386.287607931066</v>
      </c>
    </row>
    <row r="3722" customFormat="false" ht="17.15" hidden="false" customHeight="false" outlineLevel="0" collapsed="false">
      <c r="A3722" s="4" t="s">
        <v>473</v>
      </c>
      <c r="B3722" s="0" t="s">
        <v>76</v>
      </c>
      <c r="C3722" s="21" t="n">
        <f aca="false">C3721/C3715</f>
        <v>0.264182166386732</v>
      </c>
      <c r="D3722" s="21" t="n">
        <f aca="false">D3721/D3715</f>
        <v>0.421101639775745</v>
      </c>
      <c r="E3722" s="21" t="n">
        <f aca="false">E3721/E3715</f>
        <v>0.380303489127861</v>
      </c>
      <c r="F3722" s="21" t="n">
        <f aca="false">F3721/F3715</f>
        <v>0.3</v>
      </c>
      <c r="G3722" s="21" t="n">
        <f aca="false">G3721/G3715</f>
        <v>0.3</v>
      </c>
    </row>
    <row r="3723" customFormat="false" ht="17.15" hidden="false" customHeight="false" outlineLevel="0" collapsed="false">
      <c r="A3723" s="4" t="s">
        <v>573</v>
      </c>
      <c r="B3723" s="0" t="s">
        <v>234</v>
      </c>
      <c r="C3723" s="30" t="n">
        <f aca="false">a25_da</f>
        <v>75.255</v>
      </c>
      <c r="D3723" s="30" t="n">
        <f aca="false">a26_da</f>
        <v>97.124</v>
      </c>
      <c r="E3723" s="30" t="n">
        <f aca="false">D3723*(1-1/life_lo)+D3721/life_lo</f>
        <v>142.078333333333</v>
      </c>
      <c r="F3723" s="30" t="n">
        <f aca="false">E3723*(1-1/life_lo)+E3721/life_lo</f>
        <v>187.731944444444</v>
      </c>
      <c r="G3723" s="30" t="n">
        <f aca="false">F3723*(1-1/life_lo)+F3721/life_lo</f>
        <v>213.936115393421</v>
      </c>
      <c r="K3723" s="4" t="s">
        <v>574</v>
      </c>
    </row>
    <row r="3724" customFormat="false" ht="17.15" hidden="false" customHeight="false" outlineLevel="0" collapsed="false">
      <c r="A3724" s="4" t="s">
        <v>575</v>
      </c>
      <c r="B3724" s="0" t="s">
        <v>234</v>
      </c>
      <c r="C3724" s="30" t="n">
        <f aca="false">a25_agp</f>
        <v>91.38</v>
      </c>
      <c r="D3724" s="30" t="n">
        <f aca="false">a26_agp</f>
        <v>164.623388</v>
      </c>
      <c r="E3724" s="30" t="n">
        <f aca="false">$D3724+ft*(E3712-$D3712)-(E3723-$D3723)</f>
        <v>215.691404277762</v>
      </c>
      <c r="F3724" s="30" t="n">
        <f aca="false">$D3724+ft*(F3712-$D3712)-(F3723-$D3723)</f>
        <v>189.484619307259</v>
      </c>
      <c r="G3724" s="30" t="n">
        <f aca="false">$D3724+ft*(G3712-$D3712)-(G3723-$D3723)</f>
        <v>223.330960881952</v>
      </c>
      <c r="K3724" s="4" t="s">
        <v>576</v>
      </c>
    </row>
    <row r="3725" customFormat="false" ht="15" hidden="false" customHeight="false" outlineLevel="0" collapsed="false">
      <c r="A3725" s="4" t="s">
        <v>447</v>
      </c>
      <c r="B3725" s="0" t="s">
        <v>76</v>
      </c>
      <c r="C3725" s="14" t="n">
        <f aca="false">C3724/C3712</f>
        <v>0.234772421305764</v>
      </c>
      <c r="D3725" s="14" t="n">
        <f aca="false">D3724/D3712</f>
        <v>0.294112034690999</v>
      </c>
      <c r="E3725" s="14" t="n">
        <f aca="false">E3724/E3712</f>
        <v>0.286909558301192</v>
      </c>
      <c r="F3725" s="14" t="n">
        <f aca="false">F3724/F3712</f>
        <v>0.239651139465413</v>
      </c>
      <c r="G3725" s="14" t="n">
        <f aca="false">G3724/G3712</f>
        <v>0.245211265979863</v>
      </c>
    </row>
    <row r="3726" customFormat="false" ht="17.15" hidden="false" customHeight="false" outlineLevel="0" collapsed="false">
      <c r="A3726" s="0" t="s">
        <v>449</v>
      </c>
      <c r="B3726" s="0" t="s">
        <v>234</v>
      </c>
      <c r="C3726" s="30" t="n">
        <f aca="false">a25_egp</f>
        <v>23.695</v>
      </c>
      <c r="D3726" s="30" t="n">
        <f aca="false">a26_egp</f>
        <v>27.00552</v>
      </c>
      <c r="E3726" s="30" t="n">
        <f aca="false">E3713*ems_gm</f>
        <v>29.415287</v>
      </c>
      <c r="F3726" s="30" t="n">
        <f aca="false">F3713*ems_gm</f>
        <v>30.88605135</v>
      </c>
      <c r="G3726" s="30" t="n">
        <f aca="false">G3713*ems_gm</f>
        <v>32.4303539175</v>
      </c>
    </row>
    <row r="3727" customFormat="false" ht="15" hidden="false" customHeight="false" outlineLevel="0" collapsed="false">
      <c r="A3727" s="4" t="s">
        <v>577</v>
      </c>
      <c r="B3727" s="0" t="s">
        <v>234</v>
      </c>
      <c r="C3727" s="30" t="n">
        <f aca="false">a25_lgp</f>
        <v>-0.881999999999998</v>
      </c>
      <c r="D3727" s="30" t="n">
        <f aca="false">a26_lgp</f>
        <v>-0.948662139013863</v>
      </c>
      <c r="E3727" s="30" t="n">
        <f aca="false">$D3727/$D3714*E3714</f>
        <v>-1.19116794604716</v>
      </c>
      <c r="F3727" s="30" t="n">
        <f aca="false">$D3727/$D3714*F3714</f>
        <v>-1.25214218525664</v>
      </c>
      <c r="G3727" s="30" t="n">
        <f aca="false">$D3727/$D3714*G3714</f>
        <v>-1.40216621608905</v>
      </c>
    </row>
    <row r="3728" customFormat="false" ht="15" hidden="false" customHeight="false" outlineLevel="0" collapsed="false">
      <c r="A3728" s="4" t="s">
        <v>451</v>
      </c>
      <c r="B3728" s="0" t="s">
        <v>234</v>
      </c>
      <c r="C3728" s="30" t="n">
        <f aca="false">C3724+C3726+C3727</f>
        <v>114.193</v>
      </c>
      <c r="D3728" s="30" t="n">
        <f aca="false">D3724+D3726+D3727</f>
        <v>190.680245860986</v>
      </c>
      <c r="E3728" s="30" t="n">
        <f aca="false">E3724+E3726+E3727</f>
        <v>243.915523331715</v>
      </c>
      <c r="F3728" s="30" t="n">
        <f aca="false">F3724+F3726+F3727</f>
        <v>219.118528472002</v>
      </c>
      <c r="G3728" s="30" t="n">
        <f aca="false">G3724+G3726+G3727</f>
        <v>254.359148583363</v>
      </c>
    </row>
    <row r="3729" customFormat="false" ht="15" hidden="false" customHeight="false" outlineLevel="0" collapsed="false">
      <c r="A3729" s="4" t="s">
        <v>452</v>
      </c>
      <c r="B3729" s="0" t="s">
        <v>76</v>
      </c>
      <c r="C3729" s="14" t="n">
        <f aca="false">C3728/C3715</f>
        <v>0.176936974347214</v>
      </c>
      <c r="D3729" s="14" t="n">
        <f aca="false">D3728/D3715</f>
        <v>0.218879008327391</v>
      </c>
      <c r="E3729" s="14" t="n">
        <f aca="false">E3728/E3715</f>
        <v>0.222985395614181</v>
      </c>
      <c r="F3729" s="14" t="n">
        <f aca="false">F3728/F3715</f>
        <v>0.190561618497651</v>
      </c>
      <c r="G3729" s="14" t="n">
        <f aca="false">G3728/G3715</f>
        <v>0.197541269790426</v>
      </c>
    </row>
    <row r="3730" customFormat="false" ht="15" hidden="false" customHeight="false" outlineLevel="0" collapsed="false">
      <c r="A3730" s="4" t="s">
        <v>578</v>
      </c>
      <c r="B3730" s="0" t="s">
        <v>234</v>
      </c>
      <c r="C3730" s="30" t="n">
        <f aca="false">a25_opx</f>
        <v>63.437</v>
      </c>
      <c r="D3730" s="30" t="n">
        <f aca="false">a26_opx</f>
        <v>79.658</v>
      </c>
      <c r="E3730" s="30" t="n">
        <f aca="false">D3730*(1+phi*E3716)</f>
        <v>91.8757496806646</v>
      </c>
      <c r="F3730" s="30" t="n">
        <f aca="false">E3730*(1+phi*F3716)</f>
        <v>94.6975451917859</v>
      </c>
      <c r="G3730" s="30" t="n">
        <f aca="false">F3730*(1+phi*G3716)</f>
        <v>101.505194166584</v>
      </c>
    </row>
    <row r="3731" customFormat="false" ht="15" hidden="false" customHeight="false" outlineLevel="0" collapsed="false">
      <c r="A3731" s="4" t="s">
        <v>455</v>
      </c>
      <c r="B3731" s="0" t="s">
        <v>234</v>
      </c>
      <c r="C3731" s="30" t="n">
        <f aca="false">C3728-C3730</f>
        <v>50.756</v>
      </c>
      <c r="D3731" s="30" t="n">
        <f aca="false">D3728-D3730</f>
        <v>111.022245860986</v>
      </c>
      <c r="E3731" s="30" t="n">
        <f aca="false">E3728-E3730</f>
        <v>152.03977365105</v>
      </c>
      <c r="F3731" s="30" t="n">
        <f aca="false">F3728-F3730</f>
        <v>124.420983280216</v>
      </c>
      <c r="G3731" s="30" t="n">
        <f aca="false">G3728-G3730</f>
        <v>152.853954416779</v>
      </c>
    </row>
    <row r="3732" customFormat="false" ht="15" hidden="false" customHeight="false" outlineLevel="0" collapsed="false">
      <c r="A3732" s="4" t="s">
        <v>537</v>
      </c>
      <c r="B3732" s="0" t="s">
        <v>76</v>
      </c>
      <c r="C3732" s="14" t="n">
        <f aca="false">C3731/C3715</f>
        <v>0.0786441644406156</v>
      </c>
      <c r="D3732" s="14" t="n">
        <f aca="false">D3731/D3715</f>
        <v>0.127440779020437</v>
      </c>
      <c r="E3732" s="14" t="n">
        <f aca="false">E3731/E3715</f>
        <v>0.138993404821405</v>
      </c>
      <c r="F3732" s="14" t="n">
        <f aca="false">F3731/F3715</f>
        <v>0.108205655241869</v>
      </c>
      <c r="G3732" s="14" t="n">
        <f aca="false">G3731/G3715</f>
        <v>0.118709959583319</v>
      </c>
    </row>
    <row r="3733" customFormat="false" ht="15" hidden="false" customHeight="false" outlineLevel="0" collapsed="false">
      <c r="A3733" s="4" t="s">
        <v>456</v>
      </c>
      <c r="B3733" s="0" t="s">
        <v>234</v>
      </c>
      <c r="C3733" s="30" t="n">
        <f aca="false">a25_nonop</f>
        <v>0.545</v>
      </c>
      <c r="D3733" s="30" t="n">
        <f aca="false">a26_nonop</f>
        <v>4.302</v>
      </c>
      <c r="E3733" s="30" t="n">
        <f aca="false">nonop_f</f>
        <v>-5</v>
      </c>
      <c r="F3733" s="30" t="n">
        <f aca="false">nonop_f</f>
        <v>-5</v>
      </c>
      <c r="G3733" s="30" t="n">
        <f aca="false">nonop_f</f>
        <v>-5</v>
      </c>
    </row>
    <row r="3734" customFormat="false" ht="15" hidden="false" customHeight="false" outlineLevel="0" collapsed="false">
      <c r="A3734" s="4" t="s">
        <v>459</v>
      </c>
      <c r="B3734" s="0" t="s">
        <v>234</v>
      </c>
      <c r="C3734" s="30" t="n">
        <f aca="false">C3731+C3733</f>
        <v>51.301</v>
      </c>
      <c r="D3734" s="30" t="n">
        <f aca="false">D3731+D3733</f>
        <v>115.324245860986</v>
      </c>
      <c r="E3734" s="30" t="n">
        <f aca="false">E3731+E3733</f>
        <v>147.03977365105</v>
      </c>
      <c r="F3734" s="30" t="n">
        <f aca="false">F3731+F3733</f>
        <v>119.420983280216</v>
      </c>
      <c r="G3734" s="30" t="n">
        <f aca="false">G3731+G3733</f>
        <v>147.853954416779</v>
      </c>
    </row>
    <row r="3735" customFormat="false" ht="15" hidden="false" customHeight="false" outlineLevel="0" collapsed="false">
      <c r="A3735" s="4" t="s">
        <v>460</v>
      </c>
      <c r="B3735" s="0" t="s">
        <v>234</v>
      </c>
      <c r="C3735" s="30" t="n">
        <f aca="false">a25_tax</f>
        <v>9.461</v>
      </c>
      <c r="D3735" s="30" t="n">
        <f aca="false">a26_tax</f>
        <v>19.2197317963676</v>
      </c>
      <c r="E3735" s="30" t="n">
        <f aca="false">E3734*tax</f>
        <v>24.9967615206785</v>
      </c>
      <c r="F3735" s="30" t="n">
        <f aca="false">F3734*tax</f>
        <v>20.3015671576368</v>
      </c>
      <c r="G3735" s="30" t="n">
        <f aca="false">G3734*tax</f>
        <v>25.1351722508525</v>
      </c>
    </row>
    <row r="3736" customFormat="false" ht="15" hidden="false" customHeight="false" outlineLevel="0" collapsed="false">
      <c r="A3736" s="4" t="s">
        <v>461</v>
      </c>
      <c r="B3736" s="0" t="s">
        <v>234</v>
      </c>
      <c r="C3736" s="30" t="n">
        <f aca="false">a25_nci</f>
        <v>1.182</v>
      </c>
      <c r="D3736" s="30" t="n">
        <f aca="false">a26_nci</f>
        <v>2.543</v>
      </c>
      <c r="E3736" s="30" t="n">
        <f aca="false">nci</f>
        <v>3</v>
      </c>
      <c r="F3736" s="30" t="n">
        <f aca="false">nci</f>
        <v>3</v>
      </c>
      <c r="G3736" s="30" t="n">
        <f aca="false">nci</f>
        <v>3</v>
      </c>
    </row>
    <row r="3737" customFormat="false" ht="15" hidden="false" customHeight="false" outlineLevel="0" collapsed="false">
      <c r="A3737" s="4" t="s">
        <v>462</v>
      </c>
      <c r="B3737" s="0" t="s">
        <v>234</v>
      </c>
      <c r="C3737" s="30" t="n">
        <f aca="false">C3734-C3735-C3736</f>
        <v>40.658</v>
      </c>
      <c r="D3737" s="30" t="n">
        <f aca="false">D3734-D3735-D3736</f>
        <v>93.5615140646185</v>
      </c>
      <c r="E3737" s="30" t="n">
        <f aca="false">E3734-E3735-E3736</f>
        <v>119.043012130372</v>
      </c>
      <c r="F3737" s="30" t="n">
        <f aca="false">F3734-F3735-F3736</f>
        <v>96.1194161225795</v>
      </c>
      <c r="G3737" s="30" t="n">
        <f aca="false">G3734-G3735-G3736</f>
        <v>119.718782165927</v>
      </c>
      <c r="H3737" s="31" t="n">
        <f aca="false">H3715*H3741</f>
        <v>133.359058061346</v>
      </c>
      <c r="I3737" s="31" t="n">
        <f aca="false">I3715*I3741</f>
        <v>144.888036613829</v>
      </c>
      <c r="J3737" s="31" t="n">
        <f aca="false">J3715*J3741</f>
        <v>153.436071648244</v>
      </c>
    </row>
    <row r="3738" customFormat="false" ht="15" hidden="false" customHeight="false" outlineLevel="0" collapsed="false">
      <c r="A3738" s="4" t="s">
        <v>579</v>
      </c>
      <c r="B3738" s="4" t="s">
        <v>580</v>
      </c>
      <c r="C3738" s="18" t="n">
        <f aca="false">a25_sh</f>
        <v>4339.16755602988</v>
      </c>
      <c r="D3738" s="18" t="n">
        <f aca="false">a26_sh</f>
        <v>4392.90105184664</v>
      </c>
      <c r="E3738" s="18" t="n">
        <f aca="false">D3738*(1+sh_g)</f>
        <v>4414.86555710588</v>
      </c>
      <c r="F3738" s="18" t="n">
        <f aca="false">E3738*(1+sh_g)</f>
        <v>4436.9398848914</v>
      </c>
      <c r="G3738" s="18" t="n">
        <f aca="false">F3738*(1+sh_g)</f>
        <v>4459.12458431586</v>
      </c>
      <c r="H3738" s="25" t="n">
        <f aca="false">G3738*(1+sh_g)</f>
        <v>4481.42020723744</v>
      </c>
      <c r="I3738" s="25" t="n">
        <f aca="false">H3738*(1+sh_g)</f>
        <v>4503.82730827363</v>
      </c>
      <c r="J3738" s="25" t="n">
        <f aca="false">I3738*(1+sh_g)</f>
        <v>4526.34644481499</v>
      </c>
    </row>
    <row r="3739" customFormat="false" ht="17.15" hidden="false" customHeight="false" outlineLevel="0" collapsed="false">
      <c r="A3739" s="0" t="s">
        <v>465</v>
      </c>
      <c r="B3739" s="0" t="s">
        <v>304</v>
      </c>
      <c r="C3739" s="19" t="n">
        <f aca="false">a25_eps</f>
        <v>9.37</v>
      </c>
      <c r="D3739" s="19" t="n">
        <f aca="false">a26_eps</f>
        <v>21.2828697294455</v>
      </c>
      <c r="E3739" s="19" t="n">
        <f aca="false">E3737/E3738*1000</f>
        <v>26.9641307511092</v>
      </c>
      <c r="F3739" s="19" t="n">
        <f aca="false">F3737/F3738*1000</f>
        <v>21.6634479204651</v>
      </c>
      <c r="G3739" s="19" t="n">
        <f aca="false">G3737/G3738*1000</f>
        <v>26.8480460463059</v>
      </c>
      <c r="H3739" s="28" t="n">
        <f aca="false">H3737/H3738*1000</f>
        <v>29.7582132213294</v>
      </c>
      <c r="I3739" s="28" t="n">
        <f aca="false">I3737/I3738*1000</f>
        <v>32.169980484746</v>
      </c>
      <c r="J3739" s="28" t="n">
        <f aca="false">J3737/J3738*1000</f>
        <v>33.8984374083887</v>
      </c>
    </row>
    <row r="3740" customFormat="false" ht="17.15" hidden="false" customHeight="false" outlineLevel="0" collapsed="false">
      <c r="A3740" s="0" t="s">
        <v>581</v>
      </c>
      <c r="B3740" s="0" t="s">
        <v>76</v>
      </c>
      <c r="D3740" s="21" t="n">
        <f aca="false">D3739/C3739-1</f>
        <v>1.27138417603474</v>
      </c>
      <c r="E3740" s="21" t="n">
        <f aca="false">E3739/D3739-1</f>
        <v>0.266940553312861</v>
      </c>
      <c r="F3740" s="21" t="n">
        <f aca="false">F3739/E3739-1</f>
        <v>-0.196582744668157</v>
      </c>
      <c r="G3740" s="21" t="n">
        <f aca="false">G3739/F3739-1</f>
        <v>0.239324697752425</v>
      </c>
      <c r="H3740" s="26" t="n">
        <f aca="false">H3739/G3739-1</f>
        <v>0.1083940026773</v>
      </c>
      <c r="I3740" s="26" t="n">
        <f aca="false">I3739/H3739-1</f>
        <v>0.0810454325828918</v>
      </c>
      <c r="J3740" s="26" t="n">
        <f aca="false">J3739/I3739-1</f>
        <v>0.0537288769715705</v>
      </c>
    </row>
    <row r="3741" customFormat="false" ht="17.15" hidden="false" customHeight="false" outlineLevel="0" collapsed="false">
      <c r="A3741" s="4" t="s">
        <v>582</v>
      </c>
      <c r="B3741" s="0" t="s">
        <v>76</v>
      </c>
      <c r="C3741" s="14" t="n">
        <f aca="false">C3737/C3715</f>
        <v>0.0629977625862272</v>
      </c>
      <c r="D3741" s="14" t="n">
        <f aca="false">D3737/D3715</f>
        <v>0.107397865592237</v>
      </c>
      <c r="E3741" s="14" t="n">
        <f aca="false">E3737/E3715</f>
        <v>0.108828059782381</v>
      </c>
      <c r="F3741" s="14" t="n">
        <f aca="false">F3737/F3715</f>
        <v>0.0835925269902877</v>
      </c>
      <c r="G3741" s="14" t="n">
        <f aca="false">G3737/G3715</f>
        <v>0.0929764090599232</v>
      </c>
      <c r="H3741" s="27" t="n">
        <f aca="false">$G3741+(fade_mB-$G3741)*1/3</f>
        <v>0.0947391960640335</v>
      </c>
      <c r="I3741" s="27" t="n">
        <f aca="false">$G3741+(fade_mB-$G3741)*2/3</f>
        <v>0.0965019830681438</v>
      </c>
      <c r="J3741" s="27" t="n">
        <f aca="false">$G3741+(fade_mB-$G3741)*3/3</f>
        <v>0.0982647700722541</v>
      </c>
    </row>
    <row r="3742" customFormat="false" ht="17.15" hidden="false" customHeight="false" outlineLevel="0" collapsed="false">
      <c r="A3742" s="4" t="s">
        <v>583</v>
      </c>
      <c r="B3742" s="0" t="s">
        <v>234</v>
      </c>
      <c r="C3742" s="30" t="n">
        <f aca="false">C3737+C3723-C3721</f>
        <v>-54.587</v>
      </c>
      <c r="D3742" s="30" t="n">
        <f aca="false">D3737+D3723-D3721</f>
        <v>-176.164485935382</v>
      </c>
      <c r="E3742" s="30" t="n">
        <f aca="false">E3737+E3723-E3721</f>
        <v>-154.878654536295</v>
      </c>
      <c r="F3742" s="30" t="n">
        <f aca="false">F3737+F3723-F3721</f>
        <v>-61.1056095712777</v>
      </c>
      <c r="G3742" s="30" t="n">
        <f aca="false">G3737+G3723-G3721</f>
        <v>-52.6327103717187</v>
      </c>
      <c r="K3742" s="4" t="s">
        <v>584</v>
      </c>
    </row>
    <row r="3743" customFormat="false" ht="17.15" hidden="false" customHeight="false" outlineLevel="0" collapsed="false">
      <c r="A3743" s="4" t="s">
        <v>585</v>
      </c>
      <c r="B3743" s="0" t="s">
        <v>76</v>
      </c>
      <c r="D3743" s="21" t="n">
        <f aca="false">(D3731-$C3731)/SUM($D3721:D3721)</f>
        <v>0.164280348537512</v>
      </c>
      <c r="E3743" s="21" t="n">
        <f aca="false">(E3731-$C3731)/SUM($D3721:E3721)</f>
        <v>0.129378263589513</v>
      </c>
      <c r="F3743" s="21" t="n">
        <f aca="false">(F3731-$C3731)/SUM($D3721:F3721)</f>
        <v>0.0653170136651868</v>
      </c>
      <c r="G3743" s="21" t="n">
        <f aca="false">(G3731-$C3731)/SUM($D3721:G3721)</f>
        <v>0.067431688809668</v>
      </c>
      <c r="K3743" s="4" t="s">
        <v>586</v>
      </c>
    </row>
    <row r="3746" customFormat="false" ht="17.15" hidden="false" customHeight="false" outlineLevel="0" collapsed="false">
      <c r="A3746" s="1" t="s">
        <v>990</v>
      </c>
    </row>
    <row r="3747" customFormat="false" ht="17.15" hidden="false" customHeight="false" outlineLevel="0" collapsed="false">
      <c r="A3747" s="5" t="s">
        <v>21</v>
      </c>
      <c r="B3747" s="5" t="s">
        <v>22</v>
      </c>
      <c r="C3747" s="15" t="s">
        <v>424</v>
      </c>
      <c r="D3747" s="15" t="s">
        <v>524</v>
      </c>
      <c r="E3747" s="15" t="s">
        <v>525</v>
      </c>
      <c r="F3747" s="15" t="s">
        <v>526</v>
      </c>
      <c r="G3747" s="15" t="s">
        <v>527</v>
      </c>
      <c r="H3747" s="15" t="s">
        <v>528</v>
      </c>
      <c r="I3747" s="15" t="s">
        <v>529</v>
      </c>
      <c r="J3747" s="15" t="s">
        <v>530</v>
      </c>
      <c r="K3747" s="5" t="s">
        <v>382</v>
      </c>
    </row>
    <row r="3748" customFormat="false" ht="17.15" hidden="false" customHeight="false" outlineLevel="0" collapsed="false">
      <c r="A3748" s="6" t="s">
        <v>548</v>
      </c>
    </row>
    <row r="3749" customFormat="false" ht="17.15" hidden="false" customHeight="false" outlineLevel="0" collapsed="false">
      <c r="A3749" s="0" t="s">
        <v>549</v>
      </c>
      <c r="B3749" s="4" t="s">
        <v>32</v>
      </c>
      <c r="D3749" s="19" t="n">
        <f aca="false">units_26</f>
        <v>15.2</v>
      </c>
      <c r="E3749" s="19" t="n">
        <f aca="false">units_27*1</f>
        <v>23.7</v>
      </c>
      <c r="F3749" s="19" t="n">
        <f aca="false">units_28*um28_C*1</f>
        <v>15.9</v>
      </c>
      <c r="G3749" s="19" t="n">
        <f aca="false">units_29*um29_C*1</f>
        <v>18.09</v>
      </c>
    </row>
    <row r="3750" customFormat="false" ht="17.15" hidden="false" customHeight="false" outlineLevel="0" collapsed="false">
      <c r="A3750" s="4" t="s">
        <v>497</v>
      </c>
      <c r="B3750" s="0" t="s">
        <v>45</v>
      </c>
      <c r="D3750" s="22" t="n">
        <f aca="false">ar_26</f>
        <v>1</v>
      </c>
      <c r="E3750" s="22" t="n">
        <f aca="false">ar_27</f>
        <v>1.278156</v>
      </c>
      <c r="F3750" s="22" t="n">
        <f aca="false">ar_28</f>
        <v>1.428615</v>
      </c>
      <c r="G3750" s="22" t="n">
        <f aca="false">ar_29</f>
        <v>1.431796</v>
      </c>
    </row>
    <row r="3751" customFormat="false" ht="17.15" hidden="false" customHeight="false" outlineLevel="0" collapsed="false">
      <c r="A3751" s="4" t="s">
        <v>550</v>
      </c>
      <c r="B3751" s="0" t="s">
        <v>45</v>
      </c>
      <c r="D3751" s="19" t="n">
        <f aca="false">1</f>
        <v>1</v>
      </c>
      <c r="E3751" s="19" t="n">
        <f aca="false">rel27_C</f>
        <v>1</v>
      </c>
      <c r="F3751" s="19" t="n">
        <f aca="false">rel28_C</f>
        <v>0.95</v>
      </c>
      <c r="G3751" s="19" t="n">
        <f aca="false">rel29_C</f>
        <v>0.92</v>
      </c>
    </row>
    <row r="3752" customFormat="false" ht="17.15" hidden="false" customHeight="false" outlineLevel="0" collapsed="false">
      <c r="A3752" s="4" t="s">
        <v>551</v>
      </c>
      <c r="B3752" s="0" t="s">
        <v>502</v>
      </c>
      <c r="D3752" s="23" t="n">
        <f aca="false">D3753*1000/D3749</f>
        <v>236.842105263158</v>
      </c>
      <c r="E3752" s="23" t="n">
        <f aca="false">$D3752*E3750^el</f>
        <v>267.763172119488</v>
      </c>
      <c r="F3752" s="23" t="n">
        <f aca="false">$D3752*F3750^el</f>
        <v>283.084777049615</v>
      </c>
      <c r="G3752" s="23" t="n">
        <f aca="false">$D3752*G3750^el</f>
        <v>283.399764630809</v>
      </c>
      <c r="K3752" s="8" t="s">
        <v>552</v>
      </c>
    </row>
    <row r="3753" customFormat="false" ht="17.15" hidden="false" customHeight="false" outlineLevel="0" collapsed="false">
      <c r="A3753" s="0" t="s">
        <v>553</v>
      </c>
      <c r="B3753" s="0" t="s">
        <v>120</v>
      </c>
      <c r="D3753" s="22" t="n">
        <f aca="false">leap26-D3754-D3755</f>
        <v>3.6</v>
      </c>
      <c r="E3753" s="22" t="n">
        <f aca="false">E3749*E3751*E3752/1000</f>
        <v>6.34598717923185</v>
      </c>
      <c r="F3753" s="22" t="n">
        <f aca="false">F3749*F3751*F3752/1000</f>
        <v>4.27599555733443</v>
      </c>
      <c r="G3753" s="22" t="n">
        <f aca="false">G3749*G3751*G3752/1000</f>
        <v>4.71656560279762</v>
      </c>
      <c r="K3753" s="8" t="s">
        <v>554</v>
      </c>
    </row>
    <row r="3754" customFormat="false" ht="17.15" hidden="false" customHeight="false" outlineLevel="0" collapsed="false">
      <c r="A3754" s="4" t="s">
        <v>555</v>
      </c>
      <c r="B3754" s="0" t="s">
        <v>120</v>
      </c>
      <c r="D3754" s="22" t="n">
        <f aca="false">fp26</f>
        <v>0.3</v>
      </c>
      <c r="E3754" s="22" t="n">
        <f aca="false">fp27_C</f>
        <v>0.7</v>
      </c>
      <c r="F3754" s="22" t="n">
        <f aca="false">E3754*F3749/E3749*(1+fp_g)</f>
        <v>0.610506329113924</v>
      </c>
      <c r="G3754" s="22" t="n">
        <f aca="false">F3754*G3749/F3749*(1+fp_g)</f>
        <v>0.902973417721519</v>
      </c>
    </row>
    <row r="3755" customFormat="false" ht="17.15" hidden="false" customHeight="false" outlineLevel="0" collapsed="false">
      <c r="A3755" s="0" t="s">
        <v>556</v>
      </c>
      <c r="B3755" s="0" t="s">
        <v>120</v>
      </c>
      <c r="D3755" s="22" t="n">
        <f aca="false">cpo27*cpo_C_26/cpo_A_27</f>
        <v>0.1</v>
      </c>
      <c r="E3755" s="22" t="n">
        <f aca="false">cpo27*cpo_C_27/cpo_A_27</f>
        <v>0.2</v>
      </c>
      <c r="F3755" s="22" t="n">
        <f aca="false">cpo27*cpo_C_28/cpo_A_27*F3749/E3749</f>
        <v>0.20126582278481</v>
      </c>
      <c r="G3755" s="22" t="n">
        <f aca="false">cpo27*cpo_C_29/cpo_A_27*G3749/E3749</f>
        <v>0.381645569620253</v>
      </c>
      <c r="K3755" s="8" t="s">
        <v>557</v>
      </c>
    </row>
    <row r="3756" customFormat="false" ht="17.15" hidden="false" customHeight="false" outlineLevel="0" collapsed="false">
      <c r="A3756" s="0" t="s">
        <v>510</v>
      </c>
      <c r="B3756" s="0" t="s">
        <v>120</v>
      </c>
      <c r="C3756" s="22" t="n">
        <f aca="false">leap25</f>
        <v>1.6</v>
      </c>
      <c r="D3756" s="22" t="n">
        <f aca="false">D3753+D3754+D3755</f>
        <v>4</v>
      </c>
      <c r="E3756" s="22" t="n">
        <f aca="false">E3753+E3754+E3755</f>
        <v>7.24598717923186</v>
      </c>
      <c r="F3756" s="22" t="n">
        <f aca="false">F3753+F3754+F3755</f>
        <v>5.08776770923316</v>
      </c>
      <c r="G3756" s="22" t="n">
        <f aca="false">G3753+G3754+G3755</f>
        <v>6.0011845901394</v>
      </c>
    </row>
    <row r="3757" customFormat="false" ht="17.15" hidden="false" customHeight="false" outlineLevel="0" collapsed="false">
      <c r="A3757" s="4" t="s">
        <v>558</v>
      </c>
      <c r="B3757" s="0" t="s">
        <v>114</v>
      </c>
      <c r="C3757" s="19" t="n">
        <f aca="false">fx25</f>
        <v>31</v>
      </c>
      <c r="D3757" s="19" t="n">
        <f aca="false">a26_leap/D3756</f>
        <v>31.9</v>
      </c>
      <c r="E3757" s="19" t="n">
        <f aca="false">fx</f>
        <v>32</v>
      </c>
      <c r="F3757" s="19" t="n">
        <f aca="false">fx</f>
        <v>32</v>
      </c>
      <c r="G3757" s="19" t="n">
        <f aca="false">fx</f>
        <v>32</v>
      </c>
      <c r="K3757" s="8" t="s">
        <v>559</v>
      </c>
    </row>
    <row r="3758" customFormat="false" ht="17.15" hidden="false" customHeight="false" outlineLevel="0" collapsed="false">
      <c r="A3758" s="6" t="s">
        <v>560</v>
      </c>
    </row>
    <row r="3759" customFormat="false" ht="17.15" hidden="false" customHeight="false" outlineLevel="0" collapsed="false">
      <c r="A3759" s="0" t="s">
        <v>438</v>
      </c>
      <c r="B3759" s="0" t="s">
        <v>234</v>
      </c>
      <c r="C3759" s="30" t="n">
        <f aca="false">a25_leap</f>
        <v>49.6</v>
      </c>
      <c r="D3759" s="30" t="n">
        <f aca="false">a26_leap</f>
        <v>127.6</v>
      </c>
      <c r="E3759" s="30" t="n">
        <f aca="false">E3756*E3757</f>
        <v>231.871589735419</v>
      </c>
      <c r="F3759" s="30" t="n">
        <f aca="false">F3756*F3757</f>
        <v>162.808566695461</v>
      </c>
      <c r="G3759" s="30" t="n">
        <f aca="false">G3756*G3757</f>
        <v>192.037906884461</v>
      </c>
    </row>
    <row r="3760" customFormat="false" ht="15" hidden="false" customHeight="false" outlineLevel="0" collapsed="false">
      <c r="A3760" s="4" t="s">
        <v>561</v>
      </c>
      <c r="B3760" s="0" t="s">
        <v>234</v>
      </c>
      <c r="C3760" s="30" t="n">
        <f aca="false">a25_ms</f>
        <v>339.628</v>
      </c>
      <c r="D3760" s="30" t="n">
        <f aca="false">a26_ms</f>
        <v>432.1302</v>
      </c>
      <c r="E3760" s="30" t="n">
        <f aca="false">D3760*(1+g_ms27)</f>
        <v>496.94973</v>
      </c>
      <c r="F3760" s="30" t="n">
        <f aca="false">E3760*(1+g_msL)</f>
        <v>531.7362111</v>
      </c>
      <c r="G3760" s="30" t="n">
        <f aca="false">F3760*(1+g_msL)</f>
        <v>568.957745877</v>
      </c>
    </row>
    <row r="3761" customFormat="false" ht="17.15" hidden="false" customHeight="false" outlineLevel="0" collapsed="false">
      <c r="A3761" s="4" t="s">
        <v>562</v>
      </c>
      <c r="B3761" s="0" t="s">
        <v>234</v>
      </c>
      <c r="C3761" s="30" t="n">
        <f aca="false">C3759+C3760</f>
        <v>389.228</v>
      </c>
      <c r="D3761" s="30" t="n">
        <f aca="false">D3759+D3760</f>
        <v>559.7302</v>
      </c>
      <c r="E3761" s="30" t="n">
        <f aca="false">E3759+E3760</f>
        <v>728.821319735419</v>
      </c>
      <c r="F3761" s="30" t="n">
        <f aca="false">F3759+F3760</f>
        <v>694.544777795461</v>
      </c>
      <c r="G3761" s="30" t="n">
        <f aca="false">G3759+G3760</f>
        <v>760.995652761461</v>
      </c>
    </row>
    <row r="3762" customFormat="false" ht="17.15" hidden="false" customHeight="false" outlineLevel="0" collapsed="false">
      <c r="A3762" s="0" t="s">
        <v>563</v>
      </c>
      <c r="B3762" s="0" t="s">
        <v>234</v>
      </c>
      <c r="C3762" s="30" t="n">
        <f aca="false">a25_ems</f>
        <v>259.079</v>
      </c>
      <c r="D3762" s="30" t="n">
        <f aca="false">a26_ems</f>
        <v>314.602</v>
      </c>
      <c r="E3762" s="30" t="n">
        <f aca="false">D3762*(1+g_ems27)</f>
        <v>346.0622</v>
      </c>
      <c r="F3762" s="30" t="n">
        <f aca="false">E3762*(1+g_emsL)</f>
        <v>363.36531</v>
      </c>
      <c r="G3762" s="30" t="n">
        <f aca="false">F3762*(1+g_emsL)</f>
        <v>381.5335755</v>
      </c>
    </row>
    <row r="3763" customFormat="false" ht="17.15" hidden="false" customHeight="false" outlineLevel="0" collapsed="false">
      <c r="A3763" s="4" t="s">
        <v>564</v>
      </c>
      <c r="B3763" s="0" t="s">
        <v>234</v>
      </c>
      <c r="C3763" s="30" t="n">
        <f aca="false">a25_elim</f>
        <v>-2.91899999999998</v>
      </c>
      <c r="D3763" s="30" t="n">
        <f aca="false">a26_elim</f>
        <v>-3.16484905982349</v>
      </c>
      <c r="E3763" s="30" t="n">
        <f aca="false">$D3763/($D3761+$D3762)*(E3761+E3762)</f>
        <v>-3.89079127687897</v>
      </c>
      <c r="F3763" s="30" t="n">
        <f aca="false">$D3763/($D3761+$D3762)*(F3761+F3762)</f>
        <v>-3.8293519862785</v>
      </c>
      <c r="G3763" s="30" t="n">
        <f aca="false">$D3763/($D3761+$D3762)*(G3761+G3762)</f>
        <v>-4.135650675892</v>
      </c>
      <c r="K3763" s="4" t="s">
        <v>565</v>
      </c>
    </row>
    <row r="3764" customFormat="false" ht="17.15" hidden="false" customHeight="false" outlineLevel="0" collapsed="false">
      <c r="A3764" s="4" t="s">
        <v>431</v>
      </c>
      <c r="B3764" s="0" t="s">
        <v>234</v>
      </c>
      <c r="C3764" s="30" t="n">
        <f aca="false">C3761+C3762+C3763</f>
        <v>645.388</v>
      </c>
      <c r="D3764" s="30" t="n">
        <f aca="false">D3761+D3762+D3763</f>
        <v>871.167350940177</v>
      </c>
      <c r="E3764" s="30" t="n">
        <f aca="false">E3761+E3762+E3763</f>
        <v>1070.99272845854</v>
      </c>
      <c r="F3764" s="30" t="n">
        <f aca="false">F3761+F3762+F3763</f>
        <v>1054.08073580918</v>
      </c>
      <c r="G3764" s="30" t="n">
        <f aca="false">G3761+G3762+G3763</f>
        <v>1138.39357758557</v>
      </c>
      <c r="H3764" s="31" t="n">
        <f aca="false">G3764*(1+H3765)</f>
        <v>1206.68738805437</v>
      </c>
      <c r="I3764" s="31" t="n">
        <f aca="false">H3764*(1+I3765)</f>
        <v>1254.9496874</v>
      </c>
      <c r="J3764" s="31" t="n">
        <f aca="false">I3764*(1+J3765)</f>
        <v>1280.048681148</v>
      </c>
      <c r="K3764" s="8" t="s">
        <v>566</v>
      </c>
    </row>
    <row r="3765" customFormat="false" ht="15" hidden="false" customHeight="false" outlineLevel="0" collapsed="false">
      <c r="A3765" s="4" t="s">
        <v>567</v>
      </c>
      <c r="B3765" s="0" t="s">
        <v>76</v>
      </c>
      <c r="D3765" s="21" t="n">
        <f aca="false">D3764/C3764-1</f>
        <v>0.349835061916516</v>
      </c>
      <c r="E3765" s="21" t="n">
        <f aca="false">E3764/D3764-1</f>
        <v>0.229376568466104</v>
      </c>
      <c r="F3765" s="21" t="n">
        <f aca="false">F3764/E3764-1</f>
        <v>-0.0157909500223209</v>
      </c>
      <c r="G3765" s="21" t="n">
        <f aca="false">G3764/F3764-1</f>
        <v>0.079987081550885</v>
      </c>
      <c r="H3765" s="26" t="n">
        <f aca="false">$G3765+(fade_gC-$G3765)*1/3</f>
        <v>0.05999138770059</v>
      </c>
      <c r="I3765" s="26" t="n">
        <f aca="false">$G3765+(fade_gC-$G3765)*2/3</f>
        <v>0.039995693850295</v>
      </c>
      <c r="J3765" s="26" t="n">
        <f aca="false">$G3765+(fade_gC-$G3765)*3/3</f>
        <v>0.02</v>
      </c>
    </row>
    <row r="3766" customFormat="false" ht="17.15" hidden="false" customHeight="false" outlineLevel="0" collapsed="false">
      <c r="A3766" s="0" t="s">
        <v>475</v>
      </c>
      <c r="B3766" s="0" t="s">
        <v>76</v>
      </c>
      <c r="C3766" s="21" t="n">
        <f aca="false">C3759/C3761</f>
        <v>0.127431736668482</v>
      </c>
      <c r="D3766" s="21" t="n">
        <f aca="false">D3759/D3761</f>
        <v>0.227966974088588</v>
      </c>
      <c r="E3766" s="21" t="n">
        <f aca="false">E3759/E3761</f>
        <v>0.31814600294568</v>
      </c>
      <c r="F3766" s="21" t="n">
        <f aca="false">F3759/F3761</f>
        <v>0.234410468411019</v>
      </c>
      <c r="G3766" s="21" t="n">
        <f aca="false">G3759/G3761</f>
        <v>0.252350859282315</v>
      </c>
    </row>
    <row r="3767" customFormat="false" ht="15" hidden="false" customHeight="false" outlineLevel="0" collapsed="false">
      <c r="A3767" s="4" t="s">
        <v>568</v>
      </c>
      <c r="B3767" s="0" t="s">
        <v>76</v>
      </c>
      <c r="D3767" s="21" t="n">
        <f aca="false">D3761/C3761-1</f>
        <v>0.438052247012034</v>
      </c>
      <c r="E3767" s="21" t="n">
        <f aca="false">E3761/D3761-1</f>
        <v>0.302093972659362</v>
      </c>
      <c r="F3767" s="21" t="n">
        <f aca="false">F3761/E3761-1</f>
        <v>-0.047030103280186</v>
      </c>
      <c r="G3767" s="21" t="n">
        <f aca="false">G3761/F3761-1</f>
        <v>0.0956754367614998</v>
      </c>
    </row>
    <row r="3768" customFormat="false" ht="17.15" hidden="false" customHeight="false" outlineLevel="0" collapsed="false">
      <c r="A3768" s="6" t="s">
        <v>569</v>
      </c>
    </row>
    <row r="3769" customFormat="false" ht="17.15" hidden="false" customHeight="false" outlineLevel="0" collapsed="false">
      <c r="A3769" s="4" t="s">
        <v>570</v>
      </c>
      <c r="B3769" s="0" t="s">
        <v>120</v>
      </c>
      <c r="C3769" s="19" t="n">
        <f aca="false">capex25</f>
        <v>5.5</v>
      </c>
      <c r="D3769" s="19" t="n">
        <f aca="false">capex26</f>
        <v>11.5</v>
      </c>
      <c r="E3769" s="19" t="n">
        <f aca="false">capex27</f>
        <v>13</v>
      </c>
      <c r="F3769" s="19" t="n">
        <f aca="false">capi*F3764/F3757</f>
        <v>9.88200689821109</v>
      </c>
      <c r="G3769" s="19" t="n">
        <f aca="false">capi*G3764/G3757</f>
        <v>10.6724397898647</v>
      </c>
      <c r="K3769" s="8" t="s">
        <v>571</v>
      </c>
    </row>
    <row r="3770" customFormat="false" ht="15" hidden="false" customHeight="false" outlineLevel="0" collapsed="false">
      <c r="A3770" s="4" t="s">
        <v>572</v>
      </c>
      <c r="B3770" s="0" t="s">
        <v>234</v>
      </c>
      <c r="C3770" s="30" t="n">
        <f aca="false">C3769*C3757</f>
        <v>170.5</v>
      </c>
      <c r="D3770" s="30" t="n">
        <f aca="false">D3769*31.9</f>
        <v>366.85</v>
      </c>
      <c r="E3770" s="30" t="n">
        <f aca="false">E3769*E3757</f>
        <v>416</v>
      </c>
      <c r="F3770" s="30" t="n">
        <f aca="false">F3769*F3757</f>
        <v>316.224220742755</v>
      </c>
      <c r="G3770" s="30" t="n">
        <f aca="false">G3769*G3757</f>
        <v>341.518073275671</v>
      </c>
    </row>
    <row r="3771" customFormat="false" ht="17.15" hidden="false" customHeight="false" outlineLevel="0" collapsed="false">
      <c r="A3771" s="4" t="s">
        <v>473</v>
      </c>
      <c r="B3771" s="0" t="s">
        <v>76</v>
      </c>
      <c r="C3771" s="21" t="n">
        <f aca="false">C3770/C3764</f>
        <v>0.264182166386732</v>
      </c>
      <c r="D3771" s="21" t="n">
        <f aca="false">D3770/D3764</f>
        <v>0.421101639775745</v>
      </c>
      <c r="E3771" s="21" t="n">
        <f aca="false">E3770/E3764</f>
        <v>0.388424672685445</v>
      </c>
      <c r="F3771" s="21" t="n">
        <f aca="false">F3770/F3764</f>
        <v>0.3</v>
      </c>
      <c r="G3771" s="21" t="n">
        <f aca="false">G3770/G3764</f>
        <v>0.3</v>
      </c>
    </row>
    <row r="3772" customFormat="false" ht="17.15" hidden="false" customHeight="false" outlineLevel="0" collapsed="false">
      <c r="A3772" s="4" t="s">
        <v>573</v>
      </c>
      <c r="B3772" s="0" t="s">
        <v>234</v>
      </c>
      <c r="C3772" s="30" t="n">
        <f aca="false">a25_da</f>
        <v>75.255</v>
      </c>
      <c r="D3772" s="30" t="n">
        <f aca="false">a26_da</f>
        <v>97.124</v>
      </c>
      <c r="E3772" s="30" t="n">
        <f aca="false">D3772*(1-1/life_lo)+D3770/life_lo</f>
        <v>142.078333333333</v>
      </c>
      <c r="F3772" s="30" t="n">
        <f aca="false">E3772*(1-1/life_lo)+E3770/life_lo</f>
        <v>187.731944444444</v>
      </c>
      <c r="G3772" s="30" t="n">
        <f aca="false">F3772*(1-1/life_lo)+F3770/life_lo</f>
        <v>209.147323827496</v>
      </c>
      <c r="K3772" s="4" t="s">
        <v>574</v>
      </c>
    </row>
    <row r="3773" customFormat="false" ht="17.15" hidden="false" customHeight="false" outlineLevel="0" collapsed="false">
      <c r="A3773" s="4" t="s">
        <v>575</v>
      </c>
      <c r="B3773" s="0" t="s">
        <v>234</v>
      </c>
      <c r="C3773" s="30" t="n">
        <f aca="false">a25_agp</f>
        <v>91.38</v>
      </c>
      <c r="D3773" s="30" t="n">
        <f aca="false">a26_agp</f>
        <v>164.623388</v>
      </c>
      <c r="E3773" s="30" t="n">
        <f aca="false">$D3773+ft*(E3761-$D3761)-(E3772-$D3772)</f>
        <v>204.214614534376</v>
      </c>
      <c r="F3773" s="30" t="n">
        <f aca="false">$D3773+ft*(F3761-$D3761)-(F3772-$D3772)</f>
        <v>141.422732453286</v>
      </c>
      <c r="G3773" s="30" t="n">
        <f aca="false">$D3773+ft*(G3761-$D3761)-(G3772-$D3772)</f>
        <v>153.232790553234</v>
      </c>
      <c r="K3773" s="4" t="s">
        <v>576</v>
      </c>
    </row>
    <row r="3774" customFormat="false" ht="15" hidden="false" customHeight="false" outlineLevel="0" collapsed="false">
      <c r="A3774" s="4" t="s">
        <v>447</v>
      </c>
      <c r="B3774" s="0" t="s">
        <v>76</v>
      </c>
      <c r="C3774" s="14" t="n">
        <f aca="false">C3773/C3761</f>
        <v>0.234772421305764</v>
      </c>
      <c r="D3774" s="14" t="n">
        <f aca="false">D3773/D3761</f>
        <v>0.294112034690999</v>
      </c>
      <c r="E3774" s="14" t="n">
        <f aca="false">E3773/E3761</f>
        <v>0.280198464293706</v>
      </c>
      <c r="F3774" s="14" t="n">
        <f aca="false">F3773/F3761</f>
        <v>0.203619315808799</v>
      </c>
      <c r="G3774" s="14" t="n">
        <f aca="false">G3773/G3761</f>
        <v>0.201358299481989</v>
      </c>
    </row>
    <row r="3775" customFormat="false" ht="17.15" hidden="false" customHeight="false" outlineLevel="0" collapsed="false">
      <c r="A3775" s="0" t="s">
        <v>449</v>
      </c>
      <c r="B3775" s="0" t="s">
        <v>234</v>
      </c>
      <c r="C3775" s="30" t="n">
        <f aca="false">a25_egp</f>
        <v>23.695</v>
      </c>
      <c r="D3775" s="30" t="n">
        <f aca="false">a26_egp</f>
        <v>27.00552</v>
      </c>
      <c r="E3775" s="30" t="n">
        <f aca="false">E3762*ems_gm</f>
        <v>29.415287</v>
      </c>
      <c r="F3775" s="30" t="n">
        <f aca="false">F3762*ems_gm</f>
        <v>30.88605135</v>
      </c>
      <c r="G3775" s="30" t="n">
        <f aca="false">G3762*ems_gm</f>
        <v>32.4303539175</v>
      </c>
    </row>
    <row r="3776" customFormat="false" ht="15" hidden="false" customHeight="false" outlineLevel="0" collapsed="false">
      <c r="A3776" s="4" t="s">
        <v>577</v>
      </c>
      <c r="B3776" s="0" t="s">
        <v>234</v>
      </c>
      <c r="C3776" s="30" t="n">
        <f aca="false">a25_lgp</f>
        <v>-0.881999999999998</v>
      </c>
      <c r="D3776" s="30" t="n">
        <f aca="false">a26_lgp</f>
        <v>-0.948662139013863</v>
      </c>
      <c r="E3776" s="30" t="n">
        <f aca="false">$D3776/$D3763*E3763</f>
        <v>-1.16626300509458</v>
      </c>
      <c r="F3776" s="30" t="n">
        <f aca="false">$D3776/$D3763*F3763</f>
        <v>-1.14784660426825</v>
      </c>
      <c r="G3776" s="30" t="n">
        <f aca="false">$D3776/$D3763*G3763</f>
        <v>-1.23965950421176</v>
      </c>
    </row>
    <row r="3777" customFormat="false" ht="15" hidden="false" customHeight="false" outlineLevel="0" collapsed="false">
      <c r="A3777" s="4" t="s">
        <v>451</v>
      </c>
      <c r="B3777" s="0" t="s">
        <v>234</v>
      </c>
      <c r="C3777" s="30" t="n">
        <f aca="false">C3773+C3775+C3776</f>
        <v>114.193</v>
      </c>
      <c r="D3777" s="30" t="n">
        <f aca="false">D3773+D3775+D3776</f>
        <v>190.680245860986</v>
      </c>
      <c r="E3777" s="30" t="n">
        <f aca="false">E3773+E3775+E3776</f>
        <v>232.463638529282</v>
      </c>
      <c r="F3777" s="30" t="n">
        <f aca="false">F3773+F3775+F3776</f>
        <v>171.160937199018</v>
      </c>
      <c r="G3777" s="30" t="n">
        <f aca="false">G3773+G3775+G3776</f>
        <v>184.423484966522</v>
      </c>
    </row>
    <row r="3778" customFormat="false" ht="15" hidden="false" customHeight="false" outlineLevel="0" collapsed="false">
      <c r="A3778" s="4" t="s">
        <v>452</v>
      </c>
      <c r="B3778" s="0" t="s">
        <v>76</v>
      </c>
      <c r="C3778" s="14" t="n">
        <f aca="false">C3777/C3764</f>
        <v>0.176936974347214</v>
      </c>
      <c r="D3778" s="14" t="n">
        <f aca="false">D3777/D3764</f>
        <v>0.218879008327391</v>
      </c>
      <c r="E3778" s="14" t="n">
        <f aca="false">E3777/E3764</f>
        <v>0.217054357468759</v>
      </c>
      <c r="F3778" s="14" t="n">
        <f aca="false">F3777/F3764</f>
        <v>0.162379342857095</v>
      </c>
      <c r="G3778" s="14" t="n">
        <f aca="false">G3777/G3764</f>
        <v>0.162003272504109</v>
      </c>
    </row>
    <row r="3779" customFormat="false" ht="15" hidden="false" customHeight="false" outlineLevel="0" collapsed="false">
      <c r="A3779" s="4" t="s">
        <v>578</v>
      </c>
      <c r="B3779" s="0" t="s">
        <v>234</v>
      </c>
      <c r="C3779" s="30" t="n">
        <f aca="false">a25_opx</f>
        <v>63.437</v>
      </c>
      <c r="D3779" s="30" t="n">
        <f aca="false">a26_opx</f>
        <v>79.658</v>
      </c>
      <c r="E3779" s="30" t="n">
        <f aca="false">D3779*(1+phi*E3765)</f>
        <v>90.6210072145237</v>
      </c>
      <c r="F3779" s="30" t="n">
        <f aca="false">E3779*(1+phi*F3765)</f>
        <v>89.7624121369856</v>
      </c>
      <c r="G3779" s="30" t="n">
        <f aca="false">F3779*(1+phi*G3765)</f>
        <v>94.0703121648687</v>
      </c>
    </row>
    <row r="3780" customFormat="false" ht="15" hidden="false" customHeight="false" outlineLevel="0" collapsed="false">
      <c r="A3780" s="4" t="s">
        <v>455</v>
      </c>
      <c r="B3780" s="0" t="s">
        <v>234</v>
      </c>
      <c r="C3780" s="30" t="n">
        <f aca="false">C3777-C3779</f>
        <v>50.756</v>
      </c>
      <c r="D3780" s="30" t="n">
        <f aca="false">D3777-D3779</f>
        <v>111.022245860986</v>
      </c>
      <c r="E3780" s="30" t="n">
        <f aca="false">E3777-E3779</f>
        <v>141.842631314758</v>
      </c>
      <c r="F3780" s="30" t="n">
        <f aca="false">F3777-F3779</f>
        <v>81.3985250620323</v>
      </c>
      <c r="G3780" s="30" t="n">
        <f aca="false">G3777-G3779</f>
        <v>90.3531728016537</v>
      </c>
    </row>
    <row r="3781" customFormat="false" ht="15" hidden="false" customHeight="false" outlineLevel="0" collapsed="false">
      <c r="A3781" s="4" t="s">
        <v>537</v>
      </c>
      <c r="B3781" s="0" t="s">
        <v>76</v>
      </c>
      <c r="C3781" s="14" t="n">
        <f aca="false">C3780/C3764</f>
        <v>0.0786441644406156</v>
      </c>
      <c r="D3781" s="14" t="n">
        <f aca="false">D3780/D3764</f>
        <v>0.127440779020437</v>
      </c>
      <c r="E3781" s="14" t="n">
        <f aca="false">E3780/E3764</f>
        <v>0.132440330868455</v>
      </c>
      <c r="F3781" s="14" t="n">
        <f aca="false">F3780/F3764</f>
        <v>0.0772222869622462</v>
      </c>
      <c r="G3781" s="14" t="n">
        <f aca="false">G3780/G3764</f>
        <v>0.0793690113688842</v>
      </c>
    </row>
    <row r="3782" customFormat="false" ht="15" hidden="false" customHeight="false" outlineLevel="0" collapsed="false">
      <c r="A3782" s="4" t="s">
        <v>456</v>
      </c>
      <c r="B3782" s="0" t="s">
        <v>234</v>
      </c>
      <c r="C3782" s="30" t="n">
        <f aca="false">a25_nonop</f>
        <v>0.545</v>
      </c>
      <c r="D3782" s="30" t="n">
        <f aca="false">a26_nonop</f>
        <v>4.302</v>
      </c>
      <c r="E3782" s="30" t="n">
        <f aca="false">nonop_f</f>
        <v>-5</v>
      </c>
      <c r="F3782" s="30" t="n">
        <f aca="false">nonop_f</f>
        <v>-5</v>
      </c>
      <c r="G3782" s="30" t="n">
        <f aca="false">nonop_f</f>
        <v>-5</v>
      </c>
    </row>
    <row r="3783" customFormat="false" ht="15" hidden="false" customHeight="false" outlineLevel="0" collapsed="false">
      <c r="A3783" s="4" t="s">
        <v>459</v>
      </c>
      <c r="B3783" s="0" t="s">
        <v>234</v>
      </c>
      <c r="C3783" s="30" t="n">
        <f aca="false">C3780+C3782</f>
        <v>51.301</v>
      </c>
      <c r="D3783" s="30" t="n">
        <f aca="false">D3780+D3782</f>
        <v>115.324245860986</v>
      </c>
      <c r="E3783" s="30" t="n">
        <f aca="false">E3780+E3782</f>
        <v>136.842631314758</v>
      </c>
      <c r="F3783" s="30" t="n">
        <f aca="false">F3780+F3782</f>
        <v>76.3985250620323</v>
      </c>
      <c r="G3783" s="30" t="n">
        <f aca="false">G3780+G3782</f>
        <v>85.3531728016537</v>
      </c>
    </row>
    <row r="3784" customFormat="false" ht="15" hidden="false" customHeight="false" outlineLevel="0" collapsed="false">
      <c r="A3784" s="4" t="s">
        <v>460</v>
      </c>
      <c r="B3784" s="0" t="s">
        <v>234</v>
      </c>
      <c r="C3784" s="30" t="n">
        <f aca="false">a25_tax</f>
        <v>9.461</v>
      </c>
      <c r="D3784" s="30" t="n">
        <f aca="false">a26_tax</f>
        <v>19.2197317963676</v>
      </c>
      <c r="E3784" s="30" t="n">
        <f aca="false">E3783*tax</f>
        <v>23.2632473235089</v>
      </c>
      <c r="F3784" s="30" t="n">
        <f aca="false">F3783*tax</f>
        <v>12.9877492605455</v>
      </c>
      <c r="G3784" s="30" t="n">
        <f aca="false">G3783*tax</f>
        <v>14.5100393762811</v>
      </c>
    </row>
    <row r="3785" customFormat="false" ht="15" hidden="false" customHeight="false" outlineLevel="0" collapsed="false">
      <c r="A3785" s="4" t="s">
        <v>461</v>
      </c>
      <c r="B3785" s="0" t="s">
        <v>234</v>
      </c>
      <c r="C3785" s="30" t="n">
        <f aca="false">a25_nci</f>
        <v>1.182</v>
      </c>
      <c r="D3785" s="30" t="n">
        <f aca="false">a26_nci</f>
        <v>2.543</v>
      </c>
      <c r="E3785" s="30" t="n">
        <f aca="false">nci</f>
        <v>3</v>
      </c>
      <c r="F3785" s="30" t="n">
        <f aca="false">nci</f>
        <v>3</v>
      </c>
      <c r="G3785" s="30" t="n">
        <f aca="false">nci</f>
        <v>3</v>
      </c>
    </row>
    <row r="3786" customFormat="false" ht="15" hidden="false" customHeight="false" outlineLevel="0" collapsed="false">
      <c r="A3786" s="4" t="s">
        <v>462</v>
      </c>
      <c r="B3786" s="0" t="s">
        <v>234</v>
      </c>
      <c r="C3786" s="30" t="n">
        <f aca="false">C3783-C3784-C3785</f>
        <v>40.658</v>
      </c>
      <c r="D3786" s="30" t="n">
        <f aca="false">D3783-D3784-D3785</f>
        <v>93.5615140646185</v>
      </c>
      <c r="E3786" s="30" t="n">
        <f aca="false">E3783-E3784-E3785</f>
        <v>110.579383991249</v>
      </c>
      <c r="F3786" s="30" t="n">
        <f aca="false">F3783-F3784-F3785</f>
        <v>60.4107758014868</v>
      </c>
      <c r="G3786" s="30" t="n">
        <f aca="false">G3783-G3784-G3785</f>
        <v>67.8431334253726</v>
      </c>
      <c r="H3786" s="31" t="n">
        <f aca="false">H3764*H3790</f>
        <v>72.7367250522978</v>
      </c>
      <c r="I3786" s="31" t="n">
        <f aca="false">I3764*I3790</f>
        <v>76.5024087157219</v>
      </c>
      <c r="J3786" s="31" t="n">
        <f aca="false">J3764*J3790</f>
        <v>78.9061153241268</v>
      </c>
    </row>
    <row r="3787" customFormat="false" ht="15" hidden="false" customHeight="false" outlineLevel="0" collapsed="false">
      <c r="A3787" s="4" t="s">
        <v>579</v>
      </c>
      <c r="B3787" s="4" t="s">
        <v>580</v>
      </c>
      <c r="C3787" s="18" t="n">
        <f aca="false">a25_sh</f>
        <v>4339.16755602988</v>
      </c>
      <c r="D3787" s="18" t="n">
        <f aca="false">a26_sh</f>
        <v>4392.90105184664</v>
      </c>
      <c r="E3787" s="18" t="n">
        <f aca="false">D3787*(1+sh_g)</f>
        <v>4414.86555710588</v>
      </c>
      <c r="F3787" s="18" t="n">
        <f aca="false">E3787*(1+sh_g)</f>
        <v>4436.9398848914</v>
      </c>
      <c r="G3787" s="18" t="n">
        <f aca="false">F3787*(1+sh_g)</f>
        <v>4459.12458431586</v>
      </c>
      <c r="H3787" s="25" t="n">
        <f aca="false">G3787*(1+sh_g)</f>
        <v>4481.42020723744</v>
      </c>
      <c r="I3787" s="25" t="n">
        <f aca="false">H3787*(1+sh_g)</f>
        <v>4503.82730827363</v>
      </c>
      <c r="J3787" s="25" t="n">
        <f aca="false">I3787*(1+sh_g)</f>
        <v>4526.34644481499</v>
      </c>
    </row>
    <row r="3788" customFormat="false" ht="17.15" hidden="false" customHeight="false" outlineLevel="0" collapsed="false">
      <c r="A3788" s="0" t="s">
        <v>465</v>
      </c>
      <c r="B3788" s="0" t="s">
        <v>304</v>
      </c>
      <c r="C3788" s="19" t="n">
        <f aca="false">a25_eps</f>
        <v>9.37</v>
      </c>
      <c r="D3788" s="19" t="n">
        <f aca="false">a26_eps</f>
        <v>21.2828697294455</v>
      </c>
      <c r="E3788" s="19" t="n">
        <f aca="false">E3786/E3787*1000</f>
        <v>25.0470558074567</v>
      </c>
      <c r="F3788" s="19" t="n">
        <f aca="false">F3786/F3787*1000</f>
        <v>13.6154145354091</v>
      </c>
      <c r="G3788" s="19" t="n">
        <f aca="false">G3786/G3787*1000</f>
        <v>15.2144512095486</v>
      </c>
      <c r="H3788" s="28" t="n">
        <f aca="false">H3786/H3787*1000</f>
        <v>16.2307308149387</v>
      </c>
      <c r="I3788" s="28" t="n">
        <f aca="false">I3786/I3787*1000</f>
        <v>16.9860883820268</v>
      </c>
      <c r="J3788" s="28" t="n">
        <f aca="false">J3786/J3787*1000</f>
        <v>17.4326283430017</v>
      </c>
    </row>
    <row r="3789" customFormat="false" ht="17.15" hidden="false" customHeight="false" outlineLevel="0" collapsed="false">
      <c r="A3789" s="0" t="s">
        <v>581</v>
      </c>
      <c r="B3789" s="0" t="s">
        <v>76</v>
      </c>
      <c r="D3789" s="21" t="n">
        <f aca="false">D3788/C3788-1</f>
        <v>1.27138417603474</v>
      </c>
      <c r="E3789" s="21" t="n">
        <f aca="false">E3788/D3788-1</f>
        <v>0.176864592315917</v>
      </c>
      <c r="F3789" s="21" t="n">
        <f aca="false">F3788/E3788-1</f>
        <v>-0.456406587661465</v>
      </c>
      <c r="G3789" s="21" t="n">
        <f aca="false">G3788/F3788-1</f>
        <v>0.117443113463861</v>
      </c>
      <c r="H3789" s="26" t="n">
        <f aca="false">H3788/G3788-1</f>
        <v>0.0667969939495592</v>
      </c>
      <c r="I3789" s="26" t="n">
        <f aca="false">I3788/H3788-1</f>
        <v>0.0465387280277536</v>
      </c>
      <c r="J3789" s="26" t="n">
        <f aca="false">J3788/I3788-1</f>
        <v>0.0262885692651482</v>
      </c>
    </row>
    <row r="3790" customFormat="false" ht="17.15" hidden="false" customHeight="false" outlineLevel="0" collapsed="false">
      <c r="A3790" s="4" t="s">
        <v>582</v>
      </c>
      <c r="B3790" s="0" t="s">
        <v>76</v>
      </c>
      <c r="C3790" s="14" t="n">
        <f aca="false">C3786/C3764</f>
        <v>0.0629977625862272</v>
      </c>
      <c r="D3790" s="14" t="n">
        <f aca="false">D3786/D3764</f>
        <v>0.107397865592237</v>
      </c>
      <c r="E3790" s="14" t="n">
        <f aca="false">E3786/E3764</f>
        <v>0.103249425559036</v>
      </c>
      <c r="F3790" s="14" t="n">
        <f aca="false">F3786/F3764</f>
        <v>0.0573113365506215</v>
      </c>
      <c r="G3790" s="14" t="n">
        <f aca="false">G3786/G3764</f>
        <v>0.0595954990972997</v>
      </c>
      <c r="H3790" s="27" t="n">
        <f aca="false">$G3790+(fade_mC-$G3790)*1/3</f>
        <v>0.0602780187912437</v>
      </c>
      <c r="I3790" s="27" t="n">
        <f aca="false">$G3790+(fade_mC-$G3790)*2/3</f>
        <v>0.0609605384851876</v>
      </c>
      <c r="J3790" s="27" t="n">
        <f aca="false">$G3790+(fade_mC-$G3790)*3/3</f>
        <v>0.0616430581791315</v>
      </c>
    </row>
    <row r="3791" customFormat="false" ht="17.15" hidden="false" customHeight="false" outlineLevel="0" collapsed="false">
      <c r="A3791" s="4" t="s">
        <v>583</v>
      </c>
      <c r="B3791" s="0" t="s">
        <v>234</v>
      </c>
      <c r="C3791" s="30" t="n">
        <f aca="false">C3786+C3772-C3770</f>
        <v>-54.587</v>
      </c>
      <c r="D3791" s="30" t="n">
        <f aca="false">D3786+D3772-D3770</f>
        <v>-176.164485935382</v>
      </c>
      <c r="E3791" s="30" t="n">
        <f aca="false">E3786+E3772-E3770</f>
        <v>-163.342282675418</v>
      </c>
      <c r="F3791" s="30" t="n">
        <f aca="false">F3786+F3772-F3770</f>
        <v>-68.0815004968235</v>
      </c>
      <c r="G3791" s="30" t="n">
        <f aca="false">G3786+G3772-G3770</f>
        <v>-64.5276160228019</v>
      </c>
      <c r="K3791" s="4" t="s">
        <v>584</v>
      </c>
    </row>
    <row r="3792" customFormat="false" ht="17.15" hidden="false" customHeight="false" outlineLevel="0" collapsed="false">
      <c r="A3792" s="4" t="s">
        <v>585</v>
      </c>
      <c r="B3792" s="0" t="s">
        <v>76</v>
      </c>
      <c r="D3792" s="21" t="n">
        <f aca="false">(D3780-$C3780)/SUM($D3770:D3770)</f>
        <v>0.164280348537512</v>
      </c>
      <c r="E3792" s="21" t="n">
        <f aca="false">(E3780-$C3780)/SUM($D3770:E3770)</f>
        <v>0.116352597962264</v>
      </c>
      <c r="F3792" s="21" t="n">
        <f aca="false">(F3780-$C3780)/SUM($D3770:F3770)</f>
        <v>0.0278803055186974</v>
      </c>
      <c r="G3792" s="21" t="n">
        <f aca="false">(G3780-$C3780)/SUM($D3770:G3770)</f>
        <v>0.0274867309550854</v>
      </c>
      <c r="K3792" s="4" t="s">
        <v>586</v>
      </c>
    </row>
    <row r="3795" customFormat="false" ht="17.15" hidden="false" customHeight="false" outlineLevel="0" collapsed="false">
      <c r="A3795" s="1" t="s">
        <v>991</v>
      </c>
    </row>
    <row r="3796" customFormat="false" ht="17.15" hidden="false" customHeight="false" outlineLevel="0" collapsed="false">
      <c r="A3796" s="5" t="s">
        <v>21</v>
      </c>
      <c r="B3796" s="5" t="s">
        <v>22</v>
      </c>
      <c r="C3796" s="15" t="s">
        <v>424</v>
      </c>
      <c r="D3796" s="15" t="s">
        <v>524</v>
      </c>
      <c r="E3796" s="15" t="s">
        <v>525</v>
      </c>
      <c r="F3796" s="15" t="s">
        <v>526</v>
      </c>
      <c r="G3796" s="15" t="s">
        <v>527</v>
      </c>
      <c r="H3796" s="15" t="s">
        <v>528</v>
      </c>
      <c r="I3796" s="15" t="s">
        <v>529</v>
      </c>
      <c r="J3796" s="15" t="s">
        <v>530</v>
      </c>
      <c r="K3796" s="5" t="s">
        <v>382</v>
      </c>
    </row>
    <row r="3797" customFormat="false" ht="17.15" hidden="false" customHeight="false" outlineLevel="0" collapsed="false">
      <c r="A3797" s="6" t="s">
        <v>548</v>
      </c>
    </row>
    <row r="3798" customFormat="false" ht="17.15" hidden="false" customHeight="false" outlineLevel="0" collapsed="false">
      <c r="A3798" s="0" t="s">
        <v>549</v>
      </c>
      <c r="B3798" s="4" t="s">
        <v>32</v>
      </c>
      <c r="D3798" s="19" t="n">
        <f aca="false">units_26</f>
        <v>15.2</v>
      </c>
      <c r="E3798" s="19" t="n">
        <f aca="false">units_27*1</f>
        <v>23.7</v>
      </c>
      <c r="F3798" s="19" t="n">
        <f aca="false">units_28*um28_A*1</f>
        <v>26.5</v>
      </c>
      <c r="G3798" s="19" t="n">
        <f aca="false">units_29*um29_A*1</f>
        <v>30.15</v>
      </c>
    </row>
    <row r="3799" customFormat="false" ht="17.15" hidden="false" customHeight="false" outlineLevel="0" collapsed="false">
      <c r="A3799" s="4" t="s">
        <v>497</v>
      </c>
      <c r="B3799" s="0" t="s">
        <v>45</v>
      </c>
      <c r="D3799" s="22" t="n">
        <f aca="false">ar_26</f>
        <v>1</v>
      </c>
      <c r="E3799" s="22" t="n">
        <f aca="false">ar_27</f>
        <v>1.278156</v>
      </c>
      <c r="F3799" s="22" t="n">
        <f aca="false">ar_28</f>
        <v>1.428615</v>
      </c>
      <c r="G3799" s="22" t="n">
        <f aca="false">ar_29</f>
        <v>1.431796</v>
      </c>
    </row>
    <row r="3800" customFormat="false" ht="17.15" hidden="false" customHeight="false" outlineLevel="0" collapsed="false">
      <c r="A3800" s="4" t="s">
        <v>550</v>
      </c>
      <c r="B3800" s="0" t="s">
        <v>45</v>
      </c>
      <c r="D3800" s="19" t="n">
        <f aca="false">1</f>
        <v>1</v>
      </c>
      <c r="E3800" s="19" t="n">
        <f aca="false">rel27_A</f>
        <v>1.1</v>
      </c>
      <c r="F3800" s="19" t="n">
        <f aca="false">rel28_A</f>
        <v>1.15</v>
      </c>
      <c r="G3800" s="19" t="n">
        <f aca="false">rel29_A</f>
        <v>1.2</v>
      </c>
    </row>
    <row r="3801" customFormat="false" ht="17.15" hidden="false" customHeight="false" outlineLevel="0" collapsed="false">
      <c r="A3801" s="4" t="s">
        <v>551</v>
      </c>
      <c r="B3801" s="0" t="s">
        <v>502</v>
      </c>
      <c r="D3801" s="23" t="n">
        <f aca="false">D3802*1000/D3798</f>
        <v>236.842105263158</v>
      </c>
      <c r="E3801" s="23" t="n">
        <f aca="false">$D3801*E3799^el</f>
        <v>267.763172119488</v>
      </c>
      <c r="F3801" s="23" t="n">
        <f aca="false">$D3801*F3799^el</f>
        <v>283.084777049615</v>
      </c>
      <c r="G3801" s="23" t="n">
        <f aca="false">$D3801*G3799^el</f>
        <v>283.399764630809</v>
      </c>
      <c r="K3801" s="8" t="s">
        <v>552</v>
      </c>
    </row>
    <row r="3802" customFormat="false" ht="17.15" hidden="false" customHeight="false" outlineLevel="0" collapsed="false">
      <c r="A3802" s="0" t="s">
        <v>553</v>
      </c>
      <c r="B3802" s="0" t="s">
        <v>120</v>
      </c>
      <c r="D3802" s="22" t="n">
        <f aca="false">leap26-D3803-D3804</f>
        <v>3.6</v>
      </c>
      <c r="E3802" s="22" t="n">
        <f aca="false">E3798*E3800*E3801/1000</f>
        <v>6.98058589715504</v>
      </c>
      <c r="F3802" s="22" t="n">
        <f aca="false">F3798*F3800*F3801/1000</f>
        <v>8.627008580587</v>
      </c>
      <c r="G3802" s="22" t="n">
        <f aca="false">G3798*G3800*G3801/1000</f>
        <v>10.2534034843427</v>
      </c>
      <c r="K3802" s="8" t="s">
        <v>554</v>
      </c>
    </row>
    <row r="3803" customFormat="false" ht="17.15" hidden="false" customHeight="false" outlineLevel="0" collapsed="false">
      <c r="A3803" s="4" t="s">
        <v>555</v>
      </c>
      <c r="B3803" s="0" t="s">
        <v>120</v>
      </c>
      <c r="D3803" s="22" t="n">
        <f aca="false">fp26</f>
        <v>0.3</v>
      </c>
      <c r="E3803" s="22" t="n">
        <f aca="false">fp27_A</f>
        <v>1.2</v>
      </c>
      <c r="F3803" s="22" t="n">
        <f aca="false">E3803*F3798/E3798*(1+fp_g)</f>
        <v>1.74430379746835</v>
      </c>
      <c r="G3803" s="22" t="n">
        <f aca="false">F3803*G3798/F3798*(1+fp_g)</f>
        <v>2.57992405063291</v>
      </c>
    </row>
    <row r="3804" customFormat="false" ht="17.15" hidden="false" customHeight="false" outlineLevel="0" collapsed="false">
      <c r="A3804" s="0" t="s">
        <v>556</v>
      </c>
      <c r="B3804" s="0" t="s">
        <v>120</v>
      </c>
      <c r="D3804" s="22" t="n">
        <f aca="false">cpo27*cpo_A_26/cpo_A_27</f>
        <v>0.1</v>
      </c>
      <c r="E3804" s="22" t="n">
        <f aca="false">cpo27*cpo_A_27/cpo_A_27</f>
        <v>0.5</v>
      </c>
      <c r="F3804" s="22" t="n">
        <f aca="false">cpo27*cpo_A_28/cpo_A_27*F3798/E3798</f>
        <v>1.11814345991561</v>
      </c>
      <c r="G3804" s="22" t="n">
        <f aca="false">cpo27*cpo_A_29/cpo_A_27*G3798/E3798</f>
        <v>2.03544303797468</v>
      </c>
      <c r="K3804" s="8" t="s">
        <v>557</v>
      </c>
    </row>
    <row r="3805" customFormat="false" ht="17.15" hidden="false" customHeight="false" outlineLevel="0" collapsed="false">
      <c r="A3805" s="0" t="s">
        <v>510</v>
      </c>
      <c r="B3805" s="0" t="s">
        <v>120</v>
      </c>
      <c r="C3805" s="22" t="n">
        <f aca="false">leap25</f>
        <v>1.6</v>
      </c>
      <c r="D3805" s="22" t="n">
        <f aca="false">D3802+D3803+D3804</f>
        <v>4</v>
      </c>
      <c r="E3805" s="22" t="n">
        <f aca="false">E3802+E3803+E3804</f>
        <v>8.68058589715504</v>
      </c>
      <c r="F3805" s="22" t="n">
        <f aca="false">F3802+F3803+F3804</f>
        <v>11.489455837971</v>
      </c>
      <c r="G3805" s="22" t="n">
        <f aca="false">G3802+G3803+G3804</f>
        <v>14.8687705729503</v>
      </c>
    </row>
    <row r="3806" customFormat="false" ht="17.15" hidden="false" customHeight="false" outlineLevel="0" collapsed="false">
      <c r="A3806" s="4" t="s">
        <v>558</v>
      </c>
      <c r="B3806" s="0" t="s">
        <v>114</v>
      </c>
      <c r="C3806" s="19" t="n">
        <f aca="false">fx25</f>
        <v>31</v>
      </c>
      <c r="D3806" s="19" t="n">
        <f aca="false">a26_leap/D3805</f>
        <v>31.9</v>
      </c>
      <c r="E3806" s="19" t="n">
        <f aca="false">fx</f>
        <v>32</v>
      </c>
      <c r="F3806" s="19" t="n">
        <f aca="false">fx</f>
        <v>32</v>
      </c>
      <c r="G3806" s="19" t="n">
        <f aca="false">fx</f>
        <v>32</v>
      </c>
      <c r="K3806" s="8" t="s">
        <v>559</v>
      </c>
    </row>
    <row r="3807" customFormat="false" ht="17.15" hidden="false" customHeight="false" outlineLevel="0" collapsed="false">
      <c r="A3807" s="6" t="s">
        <v>560</v>
      </c>
    </row>
    <row r="3808" customFormat="false" ht="17.15" hidden="false" customHeight="false" outlineLevel="0" collapsed="false">
      <c r="A3808" s="0" t="s">
        <v>438</v>
      </c>
      <c r="B3808" s="0" t="s">
        <v>234</v>
      </c>
      <c r="C3808" s="30" t="n">
        <f aca="false">a25_leap</f>
        <v>49.6</v>
      </c>
      <c r="D3808" s="30" t="n">
        <f aca="false">a26_leap</f>
        <v>127.6</v>
      </c>
      <c r="E3808" s="30" t="n">
        <f aca="false">E3805*E3806</f>
        <v>277.778748708961</v>
      </c>
      <c r="F3808" s="30" t="n">
        <f aca="false">F3805*F3806</f>
        <v>367.662586815071</v>
      </c>
      <c r="G3808" s="30" t="n">
        <f aca="false">G3805*G3806</f>
        <v>475.800658334408</v>
      </c>
    </row>
    <row r="3809" customFormat="false" ht="15" hidden="false" customHeight="false" outlineLevel="0" collapsed="false">
      <c r="A3809" s="4" t="s">
        <v>561</v>
      </c>
      <c r="B3809" s="0" t="s">
        <v>234</v>
      </c>
      <c r="C3809" s="30" t="n">
        <f aca="false">a25_ms</f>
        <v>339.628</v>
      </c>
      <c r="D3809" s="30" t="n">
        <f aca="false">a26_ms</f>
        <v>432.1302</v>
      </c>
      <c r="E3809" s="30" t="n">
        <f aca="false">D3809*(1+g_ms27)</f>
        <v>496.94973</v>
      </c>
      <c r="F3809" s="30" t="n">
        <f aca="false">E3809*(1+g_msL)</f>
        <v>531.7362111</v>
      </c>
      <c r="G3809" s="30" t="n">
        <f aca="false">F3809*(1+g_msL)</f>
        <v>568.957745877</v>
      </c>
    </row>
    <row r="3810" customFormat="false" ht="17.15" hidden="false" customHeight="false" outlineLevel="0" collapsed="false">
      <c r="A3810" s="4" t="s">
        <v>562</v>
      </c>
      <c r="B3810" s="0" t="s">
        <v>234</v>
      </c>
      <c r="C3810" s="30" t="n">
        <f aca="false">C3808+C3809</f>
        <v>389.228</v>
      </c>
      <c r="D3810" s="30" t="n">
        <f aca="false">D3808+D3809</f>
        <v>559.7302</v>
      </c>
      <c r="E3810" s="30" t="n">
        <f aca="false">E3808+E3809</f>
        <v>774.728478708961</v>
      </c>
      <c r="F3810" s="30" t="n">
        <f aca="false">F3808+F3809</f>
        <v>899.398797915071</v>
      </c>
      <c r="G3810" s="30" t="n">
        <f aca="false">G3808+G3809</f>
        <v>1044.75840421141</v>
      </c>
    </row>
    <row r="3811" customFormat="false" ht="17.15" hidden="false" customHeight="false" outlineLevel="0" collapsed="false">
      <c r="A3811" s="0" t="s">
        <v>563</v>
      </c>
      <c r="B3811" s="0" t="s">
        <v>234</v>
      </c>
      <c r="C3811" s="30" t="n">
        <f aca="false">a25_ems</f>
        <v>259.079</v>
      </c>
      <c r="D3811" s="30" t="n">
        <f aca="false">a26_ems</f>
        <v>314.602</v>
      </c>
      <c r="E3811" s="30" t="n">
        <f aca="false">D3811*(1+g_ems27)</f>
        <v>346.0622</v>
      </c>
      <c r="F3811" s="30" t="n">
        <f aca="false">E3811*(1+g_emsL)</f>
        <v>363.36531</v>
      </c>
      <c r="G3811" s="30" t="n">
        <f aca="false">F3811*(1+g_emsL)</f>
        <v>381.5335755</v>
      </c>
    </row>
    <row r="3812" customFormat="false" ht="17.15" hidden="false" customHeight="false" outlineLevel="0" collapsed="false">
      <c r="A3812" s="4" t="s">
        <v>564</v>
      </c>
      <c r="B3812" s="0" t="s">
        <v>234</v>
      </c>
      <c r="C3812" s="30" t="n">
        <f aca="false">a25_elim</f>
        <v>-2.91899999999998</v>
      </c>
      <c r="D3812" s="30" t="n">
        <f aca="false">a26_elim</f>
        <v>-3.16484905982349</v>
      </c>
      <c r="E3812" s="30" t="n">
        <f aca="false">$D3812/($D3810+$D3811)*(E3810+E3811)</f>
        <v>-4.05696293213379</v>
      </c>
      <c r="F3812" s="30" t="n">
        <f aca="false">$D3812/($D3810+$D3811)*(F3810+F3811)</f>
        <v>-4.57086882962089</v>
      </c>
      <c r="G3812" s="30" t="n">
        <f aca="false">$D3812/($D3810+$D3811)*(G3810+G3811)</f>
        <v>-5.16279605283144</v>
      </c>
      <c r="K3812" s="4" t="s">
        <v>565</v>
      </c>
    </row>
    <row r="3813" customFormat="false" ht="17.15" hidden="false" customHeight="false" outlineLevel="0" collapsed="false">
      <c r="A3813" s="4" t="s">
        <v>431</v>
      </c>
      <c r="B3813" s="0" t="s">
        <v>234</v>
      </c>
      <c r="C3813" s="30" t="n">
        <f aca="false">C3810+C3811+C3812</f>
        <v>645.388</v>
      </c>
      <c r="D3813" s="30" t="n">
        <f aca="false">D3810+D3811+D3812</f>
        <v>871.167350940177</v>
      </c>
      <c r="E3813" s="30" t="n">
        <f aca="false">E3810+E3811+E3812</f>
        <v>1116.73371577683</v>
      </c>
      <c r="F3813" s="30" t="n">
        <f aca="false">F3810+F3811+F3812</f>
        <v>1258.19323908545</v>
      </c>
      <c r="G3813" s="30" t="n">
        <f aca="false">G3810+G3811+G3812</f>
        <v>1421.12918365858</v>
      </c>
      <c r="H3813" s="31" t="n">
        <f aca="false">G3813*(1+H3814)</f>
        <v>1572.24252669828</v>
      </c>
      <c r="I3813" s="31" t="n">
        <f aca="false">H3813*(1+I3814)</f>
        <v>1703.00066355907</v>
      </c>
      <c r="J3813" s="31" t="n">
        <f aca="false">I3813*(1+J3814)</f>
        <v>1805.18070337261</v>
      </c>
      <c r="K3813" s="8" t="s">
        <v>566</v>
      </c>
    </row>
    <row r="3814" customFormat="false" ht="15" hidden="false" customHeight="false" outlineLevel="0" collapsed="false">
      <c r="A3814" s="4" t="s">
        <v>567</v>
      </c>
      <c r="B3814" s="0" t="s">
        <v>76</v>
      </c>
      <c r="D3814" s="21" t="n">
        <f aca="false">D3813/C3813-1</f>
        <v>0.349835061916516</v>
      </c>
      <c r="E3814" s="21" t="n">
        <f aca="false">E3813/D3813-1</f>
        <v>0.281881965126026</v>
      </c>
      <c r="F3814" s="21" t="n">
        <f aca="false">F3813/E3813-1</f>
        <v>0.126672564202309</v>
      </c>
      <c r="G3814" s="21" t="n">
        <f aca="false">G3813/F3813-1</f>
        <v>0.129499936505429</v>
      </c>
      <c r="H3814" s="26" t="n">
        <f aca="false">$G3814+(fade_gA-$G3814)*1/3</f>
        <v>0.10633329100362</v>
      </c>
      <c r="I3814" s="26" t="n">
        <f aca="false">$G3814+(fade_gA-$G3814)*2/3</f>
        <v>0.0831666455018098</v>
      </c>
      <c r="J3814" s="26" t="n">
        <f aca="false">$G3814+(fade_gA-$G3814)*3/3</f>
        <v>0.06</v>
      </c>
    </row>
    <row r="3815" customFormat="false" ht="17.15" hidden="false" customHeight="false" outlineLevel="0" collapsed="false">
      <c r="A3815" s="0" t="s">
        <v>475</v>
      </c>
      <c r="B3815" s="0" t="s">
        <v>76</v>
      </c>
      <c r="C3815" s="21" t="n">
        <f aca="false">C3808/C3810</f>
        <v>0.127431736668482</v>
      </c>
      <c r="D3815" s="21" t="n">
        <f aca="false">D3808/D3810</f>
        <v>0.227966974088588</v>
      </c>
      <c r="E3815" s="21" t="n">
        <f aca="false">E3808/E3810</f>
        <v>0.35854980982739</v>
      </c>
      <c r="F3815" s="21" t="n">
        <f aca="false">F3808/F3810</f>
        <v>0.408787056050512</v>
      </c>
      <c r="G3815" s="21" t="n">
        <f aca="false">G3808/G3810</f>
        <v>0.455416923583923</v>
      </c>
    </row>
    <row r="3816" customFormat="false" ht="15" hidden="false" customHeight="false" outlineLevel="0" collapsed="false">
      <c r="A3816" s="4" t="s">
        <v>568</v>
      </c>
      <c r="B3816" s="0" t="s">
        <v>76</v>
      </c>
      <c r="D3816" s="21" t="n">
        <f aca="false">D3810/C3810-1</f>
        <v>0.438052247012034</v>
      </c>
      <c r="E3816" s="21" t="n">
        <f aca="false">E3810/D3810-1</f>
        <v>0.384110556673485</v>
      </c>
      <c r="F3816" s="21" t="n">
        <f aca="false">F3810/E3810-1</f>
        <v>0.160921306796241</v>
      </c>
      <c r="G3816" s="21" t="n">
        <f aca="false">G3810/F3810-1</f>
        <v>0.161618635285371</v>
      </c>
    </row>
    <row r="3817" customFormat="false" ht="17.15" hidden="false" customHeight="false" outlineLevel="0" collapsed="false">
      <c r="A3817" s="6" t="s">
        <v>569</v>
      </c>
    </row>
    <row r="3818" customFormat="false" ht="17.15" hidden="false" customHeight="false" outlineLevel="0" collapsed="false">
      <c r="A3818" s="4" t="s">
        <v>570</v>
      </c>
      <c r="B3818" s="0" t="s">
        <v>120</v>
      </c>
      <c r="C3818" s="19" t="n">
        <f aca="false">capex25</f>
        <v>5.5</v>
      </c>
      <c r="D3818" s="19" t="n">
        <f aca="false">capex26</f>
        <v>11.5</v>
      </c>
      <c r="E3818" s="19" t="n">
        <f aca="false">capex27</f>
        <v>13</v>
      </c>
      <c r="F3818" s="19" t="n">
        <f aca="false">capi*F3813/F3806</f>
        <v>11.7955616164261</v>
      </c>
      <c r="G3818" s="19" t="n">
        <f aca="false">capi*G3813/G3806</f>
        <v>13.3230860967992</v>
      </c>
      <c r="K3818" s="8" t="s">
        <v>571</v>
      </c>
    </row>
    <row r="3819" customFormat="false" ht="15" hidden="false" customHeight="false" outlineLevel="0" collapsed="false">
      <c r="A3819" s="4" t="s">
        <v>572</v>
      </c>
      <c r="B3819" s="0" t="s">
        <v>234</v>
      </c>
      <c r="C3819" s="30" t="n">
        <f aca="false">C3818*C3806</f>
        <v>170.5</v>
      </c>
      <c r="D3819" s="30" t="n">
        <f aca="false">D3818*31.9</f>
        <v>366.85</v>
      </c>
      <c r="E3819" s="30" t="n">
        <f aca="false">E3818*E3806</f>
        <v>416</v>
      </c>
      <c r="F3819" s="30" t="n">
        <f aca="false">F3818*F3806</f>
        <v>377.457971725635</v>
      </c>
      <c r="G3819" s="30" t="n">
        <f aca="false">G3818*G3806</f>
        <v>426.338755097573</v>
      </c>
    </row>
    <row r="3820" customFormat="false" ht="17.15" hidden="false" customHeight="false" outlineLevel="0" collapsed="false">
      <c r="A3820" s="4" t="s">
        <v>473</v>
      </c>
      <c r="B3820" s="0" t="s">
        <v>76</v>
      </c>
      <c r="C3820" s="21" t="n">
        <f aca="false">C3819/C3813</f>
        <v>0.264182166386732</v>
      </c>
      <c r="D3820" s="21" t="n">
        <f aca="false">D3819/D3813</f>
        <v>0.421101639775745</v>
      </c>
      <c r="E3820" s="21" t="n">
        <f aca="false">E3819/E3813</f>
        <v>0.372514946153139</v>
      </c>
      <c r="F3820" s="21" t="n">
        <f aca="false">F3819/F3813</f>
        <v>0.3</v>
      </c>
      <c r="G3820" s="21" t="n">
        <f aca="false">G3819/G3813</f>
        <v>0.3</v>
      </c>
    </row>
    <row r="3821" customFormat="false" ht="17.15" hidden="false" customHeight="false" outlineLevel="0" collapsed="false">
      <c r="A3821" s="4" t="s">
        <v>573</v>
      </c>
      <c r="B3821" s="0" t="s">
        <v>234</v>
      </c>
      <c r="C3821" s="30" t="n">
        <f aca="false">a25_da</f>
        <v>75.255</v>
      </c>
      <c r="D3821" s="30" t="n">
        <f aca="false">a26_da</f>
        <v>97.124</v>
      </c>
      <c r="E3821" s="30" t="n">
        <f aca="false">D3821*(1-1/life_hi)+D3819/life_hi</f>
        <v>119.601166666667</v>
      </c>
      <c r="F3821" s="30" t="n">
        <f aca="false">E3821*(1-1/life_hi)+E3819/life_hi</f>
        <v>144.301069444444</v>
      </c>
      <c r="G3821" s="30" t="n">
        <f aca="false">F3821*(1-1/life_hi)+F3819/life_hi</f>
        <v>163.73081130121</v>
      </c>
      <c r="K3821" s="4" t="s">
        <v>574</v>
      </c>
    </row>
    <row r="3822" customFormat="false" ht="17.15" hidden="false" customHeight="false" outlineLevel="0" collapsed="false">
      <c r="A3822" s="4" t="s">
        <v>575</v>
      </c>
      <c r="B3822" s="0" t="s">
        <v>234</v>
      </c>
      <c r="C3822" s="30" t="n">
        <f aca="false">a25_agp</f>
        <v>91.38</v>
      </c>
      <c r="D3822" s="30" t="n">
        <f aca="false">a26_agp</f>
        <v>164.623388</v>
      </c>
      <c r="E3822" s="30" t="n">
        <f aca="false">$D3822+ft*(E3810-$D3810)-(E3821-$D3821)</f>
        <v>249.645360687814</v>
      </c>
      <c r="F3822" s="30" t="n">
        <f aca="false">$D3822+ft*(F3810-$D3810)-(F3821-$D3821)</f>
        <v>287.280617513091</v>
      </c>
      <c r="G3822" s="30" t="n">
        <f aca="false">$D3822+ft*(G3810-$D3810)-(G3821-$D3821)</f>
        <v>340.530678804494</v>
      </c>
      <c r="K3822" s="4" t="s">
        <v>576</v>
      </c>
    </row>
    <row r="3823" customFormat="false" ht="15" hidden="false" customHeight="false" outlineLevel="0" collapsed="false">
      <c r="A3823" s="4" t="s">
        <v>447</v>
      </c>
      <c r="B3823" s="0" t="s">
        <v>76</v>
      </c>
      <c r="C3823" s="14" t="n">
        <f aca="false">C3822/C3810</f>
        <v>0.234772421305764</v>
      </c>
      <c r="D3823" s="14" t="n">
        <f aca="false">D3822/D3810</f>
        <v>0.294112034690999</v>
      </c>
      <c r="E3823" s="14" t="n">
        <f aca="false">E3822/E3810</f>
        <v>0.322235941427935</v>
      </c>
      <c r="F3823" s="14" t="n">
        <f aca="false">F3822/F3810</f>
        <v>0.319414055454651</v>
      </c>
      <c r="G3823" s="14" t="n">
        <f aca="false">G3822/G3810</f>
        <v>0.325942033518772</v>
      </c>
    </row>
    <row r="3824" customFormat="false" ht="17.15" hidden="false" customHeight="false" outlineLevel="0" collapsed="false">
      <c r="A3824" s="0" t="s">
        <v>449</v>
      </c>
      <c r="B3824" s="0" t="s">
        <v>234</v>
      </c>
      <c r="C3824" s="30" t="n">
        <f aca="false">a25_egp</f>
        <v>23.695</v>
      </c>
      <c r="D3824" s="30" t="n">
        <f aca="false">a26_egp</f>
        <v>27.00552</v>
      </c>
      <c r="E3824" s="30" t="n">
        <f aca="false">E3811*ems_gm</f>
        <v>29.415287</v>
      </c>
      <c r="F3824" s="30" t="n">
        <f aca="false">F3811*ems_gm</f>
        <v>30.88605135</v>
      </c>
      <c r="G3824" s="30" t="n">
        <f aca="false">G3811*ems_gm</f>
        <v>32.4303539175</v>
      </c>
    </row>
    <row r="3825" customFormat="false" ht="15" hidden="false" customHeight="false" outlineLevel="0" collapsed="false">
      <c r="A3825" s="4" t="s">
        <v>577</v>
      </c>
      <c r="B3825" s="0" t="s">
        <v>234</v>
      </c>
      <c r="C3825" s="30" t="n">
        <f aca="false">a25_lgp</f>
        <v>-0.881999999999998</v>
      </c>
      <c r="D3825" s="30" t="n">
        <f aca="false">a26_lgp</f>
        <v>-0.948662139013863</v>
      </c>
      <c r="E3825" s="30" t="n">
        <f aca="false">$D3825/$D3812*E3812</f>
        <v>-1.21607288699975</v>
      </c>
      <c r="F3825" s="30" t="n">
        <f aca="false">$D3825/$D3812*F3812</f>
        <v>-1.37011595785291</v>
      </c>
      <c r="G3825" s="30" t="n">
        <f aca="false">$D3825/$D3812*G3812</f>
        <v>-1.54754588739994</v>
      </c>
    </row>
    <row r="3826" customFormat="false" ht="15" hidden="false" customHeight="false" outlineLevel="0" collapsed="false">
      <c r="A3826" s="4" t="s">
        <v>451</v>
      </c>
      <c r="B3826" s="0" t="s">
        <v>234</v>
      </c>
      <c r="C3826" s="30" t="n">
        <f aca="false">C3822+C3824+C3825</f>
        <v>114.193</v>
      </c>
      <c r="D3826" s="30" t="n">
        <f aca="false">D3822+D3824+D3825</f>
        <v>190.680245860986</v>
      </c>
      <c r="E3826" s="30" t="n">
        <f aca="false">E3822+E3824+E3825</f>
        <v>277.844574800814</v>
      </c>
      <c r="F3826" s="30" t="n">
        <f aca="false">F3822+F3824+F3825</f>
        <v>316.796552905238</v>
      </c>
      <c r="G3826" s="30" t="n">
        <f aca="false">G3822+G3824+G3825</f>
        <v>371.413486834594</v>
      </c>
    </row>
    <row r="3827" customFormat="false" ht="15" hidden="false" customHeight="false" outlineLevel="0" collapsed="false">
      <c r="A3827" s="4" t="s">
        <v>452</v>
      </c>
      <c r="B3827" s="0" t="s">
        <v>76</v>
      </c>
      <c r="C3827" s="14" t="n">
        <f aca="false">C3826/C3813</f>
        <v>0.176936974347214</v>
      </c>
      <c r="D3827" s="14" t="n">
        <f aca="false">D3826/D3813</f>
        <v>0.218879008327391</v>
      </c>
      <c r="E3827" s="14" t="n">
        <f aca="false">E3826/E3813</f>
        <v>0.248801098127085</v>
      </c>
      <c r="F3827" s="14" t="n">
        <f aca="false">F3826/F3813</f>
        <v>0.251786882224474</v>
      </c>
      <c r="G3827" s="14" t="n">
        <f aca="false">G3826/G3813</f>
        <v>0.261350967319115</v>
      </c>
    </row>
    <row r="3828" customFormat="false" ht="15" hidden="false" customHeight="false" outlineLevel="0" collapsed="false">
      <c r="A3828" s="4" t="s">
        <v>578</v>
      </c>
      <c r="B3828" s="0" t="s">
        <v>234</v>
      </c>
      <c r="C3828" s="30" t="n">
        <f aca="false">a25_opx</f>
        <v>63.437</v>
      </c>
      <c r="D3828" s="30" t="n">
        <f aca="false">a26_opx</f>
        <v>79.658</v>
      </c>
      <c r="E3828" s="30" t="n">
        <f aca="false">D3828*(1+phi*E3814)</f>
        <v>93.1304921468054</v>
      </c>
      <c r="F3828" s="30" t="n">
        <f aca="false">E3828*(1+phi*F3814)</f>
        <v>100.208739094201</v>
      </c>
      <c r="G3828" s="30" t="n">
        <f aca="false">F3828*(1+phi*G3814)</f>
        <v>107.994954304194</v>
      </c>
    </row>
    <row r="3829" customFormat="false" ht="15" hidden="false" customHeight="false" outlineLevel="0" collapsed="false">
      <c r="A3829" s="4" t="s">
        <v>455</v>
      </c>
      <c r="B3829" s="0" t="s">
        <v>234</v>
      </c>
      <c r="C3829" s="30" t="n">
        <f aca="false">C3826-C3828</f>
        <v>50.756</v>
      </c>
      <c r="D3829" s="30" t="n">
        <f aca="false">D3826-D3828</f>
        <v>111.022245860986</v>
      </c>
      <c r="E3829" s="30" t="n">
        <f aca="false">E3826-E3828</f>
        <v>184.714082654009</v>
      </c>
      <c r="F3829" s="30" t="n">
        <f aca="false">F3826-F3828</f>
        <v>216.587813811038</v>
      </c>
      <c r="G3829" s="30" t="n">
        <f aca="false">G3826-G3828</f>
        <v>263.4185325304</v>
      </c>
    </row>
    <row r="3830" customFormat="false" ht="15" hidden="false" customHeight="false" outlineLevel="0" collapsed="false">
      <c r="A3830" s="4" t="s">
        <v>537</v>
      </c>
      <c r="B3830" s="0" t="s">
        <v>76</v>
      </c>
      <c r="C3830" s="14" t="n">
        <f aca="false">C3829/C3813</f>
        <v>0.0786441644406156</v>
      </c>
      <c r="D3830" s="14" t="n">
        <f aca="false">D3829/D3813</f>
        <v>0.127440779020437</v>
      </c>
      <c r="E3830" s="14" t="n">
        <f aca="false">E3829/E3813</f>
        <v>0.165405664792271</v>
      </c>
      <c r="F3830" s="14" t="n">
        <f aca="false">F3829/F3813</f>
        <v>0.172141931050647</v>
      </c>
      <c r="G3830" s="14" t="n">
        <f aca="false">G3829/G3813</f>
        <v>0.185358611700769</v>
      </c>
    </row>
    <row r="3831" customFormat="false" ht="15" hidden="false" customHeight="false" outlineLevel="0" collapsed="false">
      <c r="A3831" s="4" t="s">
        <v>456</v>
      </c>
      <c r="B3831" s="0" t="s">
        <v>234</v>
      </c>
      <c r="C3831" s="30" t="n">
        <f aca="false">a25_nonop</f>
        <v>0.545</v>
      </c>
      <c r="D3831" s="30" t="n">
        <f aca="false">a26_nonop</f>
        <v>4.302</v>
      </c>
      <c r="E3831" s="30" t="n">
        <f aca="false">nonop_f</f>
        <v>-5</v>
      </c>
      <c r="F3831" s="30" t="n">
        <f aca="false">nonop_f</f>
        <v>-5</v>
      </c>
      <c r="G3831" s="30" t="n">
        <f aca="false">nonop_f</f>
        <v>-5</v>
      </c>
    </row>
    <row r="3832" customFormat="false" ht="15" hidden="false" customHeight="false" outlineLevel="0" collapsed="false">
      <c r="A3832" s="4" t="s">
        <v>459</v>
      </c>
      <c r="B3832" s="0" t="s">
        <v>234</v>
      </c>
      <c r="C3832" s="30" t="n">
        <f aca="false">C3829+C3831</f>
        <v>51.301</v>
      </c>
      <c r="D3832" s="30" t="n">
        <f aca="false">D3829+D3831</f>
        <v>115.324245860986</v>
      </c>
      <c r="E3832" s="30" t="n">
        <f aca="false">E3829+E3831</f>
        <v>179.714082654009</v>
      </c>
      <c r="F3832" s="30" t="n">
        <f aca="false">F3829+F3831</f>
        <v>211.587813811038</v>
      </c>
      <c r="G3832" s="30" t="n">
        <f aca="false">G3829+G3831</f>
        <v>258.4185325304</v>
      </c>
    </row>
    <row r="3833" customFormat="false" ht="15" hidden="false" customHeight="false" outlineLevel="0" collapsed="false">
      <c r="A3833" s="4" t="s">
        <v>460</v>
      </c>
      <c r="B3833" s="0" t="s">
        <v>234</v>
      </c>
      <c r="C3833" s="30" t="n">
        <f aca="false">a25_tax</f>
        <v>9.461</v>
      </c>
      <c r="D3833" s="30" t="n">
        <f aca="false">a26_tax</f>
        <v>19.2197317963676</v>
      </c>
      <c r="E3833" s="30" t="n">
        <f aca="false">E3832*tax</f>
        <v>30.5513940511815</v>
      </c>
      <c r="F3833" s="30" t="n">
        <f aca="false">F3832*tax</f>
        <v>35.9699283478764</v>
      </c>
      <c r="G3833" s="30" t="n">
        <f aca="false">G3832*tax</f>
        <v>43.9311505301681</v>
      </c>
    </row>
    <row r="3834" customFormat="false" ht="15" hidden="false" customHeight="false" outlineLevel="0" collapsed="false">
      <c r="A3834" s="4" t="s">
        <v>461</v>
      </c>
      <c r="B3834" s="0" t="s">
        <v>234</v>
      </c>
      <c r="C3834" s="30" t="n">
        <f aca="false">a25_nci</f>
        <v>1.182</v>
      </c>
      <c r="D3834" s="30" t="n">
        <f aca="false">a26_nci</f>
        <v>2.543</v>
      </c>
      <c r="E3834" s="30" t="n">
        <f aca="false">nci</f>
        <v>3</v>
      </c>
      <c r="F3834" s="30" t="n">
        <f aca="false">nci</f>
        <v>3</v>
      </c>
      <c r="G3834" s="30" t="n">
        <f aca="false">nci</f>
        <v>3</v>
      </c>
    </row>
    <row r="3835" customFormat="false" ht="15" hidden="false" customHeight="false" outlineLevel="0" collapsed="false">
      <c r="A3835" s="4" t="s">
        <v>462</v>
      </c>
      <c r="B3835" s="0" t="s">
        <v>234</v>
      </c>
      <c r="C3835" s="30" t="n">
        <f aca="false">C3832-C3833-C3834</f>
        <v>40.658</v>
      </c>
      <c r="D3835" s="30" t="n">
        <f aca="false">D3832-D3833-D3834</f>
        <v>93.5615140646185</v>
      </c>
      <c r="E3835" s="30" t="n">
        <f aca="false">E3832-E3833-E3834</f>
        <v>146.162688602827</v>
      </c>
      <c r="F3835" s="30" t="n">
        <f aca="false">F3832-F3833-F3834</f>
        <v>172.617885463161</v>
      </c>
      <c r="G3835" s="30" t="n">
        <f aca="false">G3832-G3833-G3834</f>
        <v>211.487382000232</v>
      </c>
      <c r="H3835" s="31" t="n">
        <f aca="false">H3813*H3839</f>
        <v>225.060600476637</v>
      </c>
      <c r="I3835" s="31" t="n">
        <f aca="false">I3813*I3839</f>
        <v>234.12177990119</v>
      </c>
      <c r="J3835" s="31" t="n">
        <f aca="false">J3813*J3839</f>
        <v>237.933349598446</v>
      </c>
    </row>
    <row r="3836" customFormat="false" ht="15" hidden="false" customHeight="false" outlineLevel="0" collapsed="false">
      <c r="A3836" s="4" t="s">
        <v>579</v>
      </c>
      <c r="B3836" s="4" t="s">
        <v>580</v>
      </c>
      <c r="C3836" s="18" t="n">
        <f aca="false">a25_sh</f>
        <v>4339.16755602988</v>
      </c>
      <c r="D3836" s="18" t="n">
        <f aca="false">a26_sh</f>
        <v>4392.90105184664</v>
      </c>
      <c r="E3836" s="18" t="n">
        <f aca="false">D3836*(1+sh_g)</f>
        <v>4414.86555710588</v>
      </c>
      <c r="F3836" s="18" t="n">
        <f aca="false">E3836*(1+sh_g)</f>
        <v>4436.9398848914</v>
      </c>
      <c r="G3836" s="18" t="n">
        <f aca="false">F3836*(1+sh_g)</f>
        <v>4459.12458431586</v>
      </c>
      <c r="H3836" s="25" t="n">
        <f aca="false">G3836*(1+sh_g)</f>
        <v>4481.42020723744</v>
      </c>
      <c r="I3836" s="25" t="n">
        <f aca="false">H3836*(1+sh_g)</f>
        <v>4503.82730827363</v>
      </c>
      <c r="J3836" s="25" t="n">
        <f aca="false">I3836*(1+sh_g)</f>
        <v>4526.34644481499</v>
      </c>
    </row>
    <row r="3837" customFormat="false" ht="17.15" hidden="false" customHeight="false" outlineLevel="0" collapsed="false">
      <c r="A3837" s="0" t="s">
        <v>465</v>
      </c>
      <c r="B3837" s="0" t="s">
        <v>304</v>
      </c>
      <c r="C3837" s="19" t="n">
        <f aca="false">a25_eps</f>
        <v>9.37</v>
      </c>
      <c r="D3837" s="19" t="n">
        <f aca="false">a26_eps</f>
        <v>21.2828697294455</v>
      </c>
      <c r="E3837" s="19" t="n">
        <f aca="false">E3835/E3836*1000</f>
        <v>33.1069398857624</v>
      </c>
      <c r="F3837" s="19" t="n">
        <f aca="false">F3835/F3836*1000</f>
        <v>38.9047158495333</v>
      </c>
      <c r="G3837" s="19" t="n">
        <f aca="false">G3835/G3836*1000</f>
        <v>47.4280047577275</v>
      </c>
      <c r="H3837" s="28" t="n">
        <f aca="false">H3835/H3836*1000</f>
        <v>50.2208206481433</v>
      </c>
      <c r="I3837" s="28" t="n">
        <f aca="false">I3835/I3836*1000</f>
        <v>51.9828501130811</v>
      </c>
      <c r="J3837" s="28" t="n">
        <f aca="false">J3835/J3836*1000</f>
        <v>52.5663142446825</v>
      </c>
    </row>
    <row r="3838" customFormat="false" ht="17.15" hidden="false" customHeight="false" outlineLevel="0" collapsed="false">
      <c r="A3838" s="0" t="s">
        <v>581</v>
      </c>
      <c r="B3838" s="0" t="s">
        <v>76</v>
      </c>
      <c r="D3838" s="21" t="n">
        <f aca="false">D3837/C3837-1</f>
        <v>1.27138417603474</v>
      </c>
      <c r="E3838" s="21" t="n">
        <f aca="false">E3837/D3837-1</f>
        <v>0.555567473119377</v>
      </c>
      <c r="F3838" s="21" t="n">
        <f aca="false">F3837/E3837-1</f>
        <v>0.175122677715804</v>
      </c>
      <c r="G3838" s="21" t="n">
        <f aca="false">G3837/F3837-1</f>
        <v>0.219081124796248</v>
      </c>
      <c r="H3838" s="26" t="n">
        <f aca="false">H3837/G3837-1</f>
        <v>0.0588853759436467</v>
      </c>
      <c r="I3838" s="26" t="n">
        <f aca="false">I3837/H3837-1</f>
        <v>0.0350856366382963</v>
      </c>
      <c r="J3838" s="26" t="n">
        <f aca="false">J3837/I3837-1</f>
        <v>0.0112241658610881</v>
      </c>
    </row>
    <row r="3839" customFormat="false" ht="17.15" hidden="false" customHeight="false" outlineLevel="0" collapsed="false">
      <c r="A3839" s="4" t="s">
        <v>582</v>
      </c>
      <c r="B3839" s="0" t="s">
        <v>76</v>
      </c>
      <c r="C3839" s="14" t="n">
        <f aca="false">C3835/C3813</f>
        <v>0.0629977625862272</v>
      </c>
      <c r="D3839" s="14" t="n">
        <f aca="false">D3835/D3813</f>
        <v>0.107397865592237</v>
      </c>
      <c r="E3839" s="14" t="n">
        <f aca="false">E3835/E3813</f>
        <v>0.130884101140578</v>
      </c>
      <c r="F3839" s="14" t="n">
        <f aca="false">F3835/F3813</f>
        <v>0.137195050887917</v>
      </c>
      <c r="G3839" s="14" t="n">
        <f aca="false">G3835/G3813</f>
        <v>0.148816437261373</v>
      </c>
      <c r="H3839" s="27" t="n">
        <f aca="false">$G3839+(fade_mA-$G3839)*1/3</f>
        <v>0.143146236445636</v>
      </c>
      <c r="I3839" s="27" t="n">
        <f aca="false">$G3839+(fade_mA-$G3839)*2/3</f>
        <v>0.1374760356299</v>
      </c>
      <c r="J3839" s="27" t="n">
        <f aca="false">$G3839+(fade_mA-$G3839)*3/3</f>
        <v>0.131805834814164</v>
      </c>
    </row>
    <row r="3840" customFormat="false" ht="17.15" hidden="false" customHeight="false" outlineLevel="0" collapsed="false">
      <c r="A3840" s="4" t="s">
        <v>583</v>
      </c>
      <c r="B3840" s="0" t="s">
        <v>234</v>
      </c>
      <c r="C3840" s="30" t="n">
        <f aca="false">C3835+C3821-C3819</f>
        <v>-54.587</v>
      </c>
      <c r="D3840" s="30" t="n">
        <f aca="false">D3835+D3821-D3819</f>
        <v>-176.164485935382</v>
      </c>
      <c r="E3840" s="30" t="n">
        <f aca="false">E3835+E3821-E3819</f>
        <v>-150.236144730506</v>
      </c>
      <c r="F3840" s="30" t="n">
        <f aca="false">F3835+F3821-F3819</f>
        <v>-60.5390168180296</v>
      </c>
      <c r="G3840" s="30" t="n">
        <f aca="false">G3835+G3821-G3819</f>
        <v>-51.1205617961305</v>
      </c>
      <c r="K3840" s="4" t="s">
        <v>584</v>
      </c>
    </row>
    <row r="3841" customFormat="false" ht="17.15" hidden="false" customHeight="false" outlineLevel="0" collapsed="false">
      <c r="A3841" s="4" t="s">
        <v>585</v>
      </c>
      <c r="B3841" s="0" t="s">
        <v>76</v>
      </c>
      <c r="D3841" s="21" t="n">
        <f aca="false">(D3829-$C3829)/SUM($D3819:D3819)</f>
        <v>0.164280348537512</v>
      </c>
      <c r="E3841" s="21" t="n">
        <f aca="false">(E3829-$C3829)/SUM($D3819:E3819)</f>
        <v>0.171115900433045</v>
      </c>
      <c r="F3841" s="21" t="n">
        <f aca="false">(F3829-$C3829)/SUM($D3819:F3819)</f>
        <v>0.142920515804445</v>
      </c>
      <c r="G3841" s="21" t="n">
        <f aca="false">(G3829-$C3829)/SUM($D3819:G3819)</f>
        <v>0.134032692303342</v>
      </c>
      <c r="K3841" s="4" t="s">
        <v>586</v>
      </c>
    </row>
    <row r="3844" customFormat="false" ht="17.15" hidden="false" customHeight="false" outlineLevel="0" collapsed="false">
      <c r="A3844" s="1" t="s">
        <v>992</v>
      </c>
    </row>
    <row r="3845" customFormat="false" ht="17.15" hidden="false" customHeight="false" outlineLevel="0" collapsed="false">
      <c r="A3845" s="5" t="s">
        <v>21</v>
      </c>
      <c r="B3845" s="5" t="s">
        <v>22</v>
      </c>
      <c r="C3845" s="15" t="s">
        <v>424</v>
      </c>
      <c r="D3845" s="15" t="s">
        <v>524</v>
      </c>
      <c r="E3845" s="15" t="s">
        <v>525</v>
      </c>
      <c r="F3845" s="15" t="s">
        <v>526</v>
      </c>
      <c r="G3845" s="15" t="s">
        <v>527</v>
      </c>
      <c r="H3845" s="15" t="s">
        <v>528</v>
      </c>
      <c r="I3845" s="15" t="s">
        <v>529</v>
      </c>
      <c r="J3845" s="15" t="s">
        <v>530</v>
      </c>
      <c r="K3845" s="5" t="s">
        <v>382</v>
      </c>
    </row>
    <row r="3846" customFormat="false" ht="17.15" hidden="false" customHeight="false" outlineLevel="0" collapsed="false">
      <c r="A3846" s="6" t="s">
        <v>548</v>
      </c>
    </row>
    <row r="3847" customFormat="false" ht="17.15" hidden="false" customHeight="false" outlineLevel="0" collapsed="false">
      <c r="A3847" s="0" t="s">
        <v>549</v>
      </c>
      <c r="B3847" s="4" t="s">
        <v>32</v>
      </c>
      <c r="D3847" s="19" t="n">
        <f aca="false">units_26</f>
        <v>15.2</v>
      </c>
      <c r="E3847" s="19" t="n">
        <f aca="false">units_27*1</f>
        <v>23.7</v>
      </c>
      <c r="F3847" s="19" t="n">
        <f aca="false">units_28*um28_B*1</f>
        <v>21.2</v>
      </c>
      <c r="G3847" s="19" t="n">
        <f aca="false">units_29*um29_B*1</f>
        <v>25.6275</v>
      </c>
    </row>
    <row r="3848" customFormat="false" ht="17.15" hidden="false" customHeight="false" outlineLevel="0" collapsed="false">
      <c r="A3848" s="4" t="s">
        <v>497</v>
      </c>
      <c r="B3848" s="0" t="s">
        <v>45</v>
      </c>
      <c r="D3848" s="22" t="n">
        <f aca="false">ar_26</f>
        <v>1</v>
      </c>
      <c r="E3848" s="22" t="n">
        <f aca="false">ar_27</f>
        <v>1.278156</v>
      </c>
      <c r="F3848" s="22" t="n">
        <f aca="false">ar_28</f>
        <v>1.428615</v>
      </c>
      <c r="G3848" s="22" t="n">
        <f aca="false">ar_29</f>
        <v>1.431796</v>
      </c>
    </row>
    <row r="3849" customFormat="false" ht="17.15" hidden="false" customHeight="false" outlineLevel="0" collapsed="false">
      <c r="A3849" s="4" t="s">
        <v>550</v>
      </c>
      <c r="B3849" s="0" t="s">
        <v>45</v>
      </c>
      <c r="D3849" s="19" t="n">
        <f aca="false">1</f>
        <v>1</v>
      </c>
      <c r="E3849" s="19" t="n">
        <f aca="false">rel27_B</f>
        <v>1.05</v>
      </c>
      <c r="F3849" s="19" t="n">
        <f aca="false">rel28_B</f>
        <v>1.08</v>
      </c>
      <c r="G3849" s="19" t="n">
        <f aca="false">rel29_B</f>
        <v>1.1</v>
      </c>
    </row>
    <row r="3850" customFormat="false" ht="17.15" hidden="false" customHeight="false" outlineLevel="0" collapsed="false">
      <c r="A3850" s="4" t="s">
        <v>551</v>
      </c>
      <c r="B3850" s="0" t="s">
        <v>502</v>
      </c>
      <c r="D3850" s="23" t="n">
        <f aca="false">D3851*1000/D3847</f>
        <v>236.842105263158</v>
      </c>
      <c r="E3850" s="23" t="n">
        <f aca="false">$D3850*E3848^el</f>
        <v>267.763172119488</v>
      </c>
      <c r="F3850" s="23" t="n">
        <f aca="false">$D3850*F3848^el</f>
        <v>283.084777049615</v>
      </c>
      <c r="G3850" s="23" t="n">
        <f aca="false">$D3850*G3848^el</f>
        <v>283.399764630809</v>
      </c>
      <c r="K3850" s="8" t="s">
        <v>552</v>
      </c>
    </row>
    <row r="3851" customFormat="false" ht="17.15" hidden="false" customHeight="false" outlineLevel="0" collapsed="false">
      <c r="A3851" s="0" t="s">
        <v>553</v>
      </c>
      <c r="B3851" s="0" t="s">
        <v>120</v>
      </c>
      <c r="D3851" s="22" t="n">
        <f aca="false">leap26-D3852-D3853</f>
        <v>3.6</v>
      </c>
      <c r="E3851" s="22" t="n">
        <f aca="false">E3847*E3849*E3850/1000</f>
        <v>6.66328653819345</v>
      </c>
      <c r="F3851" s="22" t="n">
        <f aca="false">F3847*F3849*F3850/1000</f>
        <v>6.48150905532798</v>
      </c>
      <c r="G3851" s="22" t="n">
        <f aca="false">G3847*G3849*G3850/1000</f>
        <v>7.98911021488366</v>
      </c>
      <c r="K3851" s="8" t="s">
        <v>554</v>
      </c>
    </row>
    <row r="3852" customFormat="false" ht="17.15" hidden="false" customHeight="false" outlineLevel="0" collapsed="false">
      <c r="A3852" s="4" t="s">
        <v>555</v>
      </c>
      <c r="B3852" s="0" t="s">
        <v>120</v>
      </c>
      <c r="D3852" s="22" t="n">
        <f aca="false">fp26</f>
        <v>0.3</v>
      </c>
      <c r="E3852" s="22" t="n">
        <f aca="false">fp27_B</f>
        <v>1</v>
      </c>
      <c r="F3852" s="22" t="n">
        <f aca="false">E3852*F3847/E3847*(1+fp_g)</f>
        <v>1.16286919831224</v>
      </c>
      <c r="G3852" s="22" t="n">
        <f aca="false">F3852*G3847/F3847*(1+fp_g)</f>
        <v>1.82744620253165</v>
      </c>
    </row>
    <row r="3853" customFormat="false" ht="17.15" hidden="false" customHeight="false" outlineLevel="0" collapsed="false">
      <c r="A3853" s="0" t="s">
        <v>556</v>
      </c>
      <c r="B3853" s="0" t="s">
        <v>120</v>
      </c>
      <c r="D3853" s="22" t="n">
        <f aca="false">cpo27*cpo_B_26/cpo_A_27</f>
        <v>0.1</v>
      </c>
      <c r="E3853" s="22" t="n">
        <f aca="false">cpo27*cpo_B_27/cpo_A_27</f>
        <v>0.3</v>
      </c>
      <c r="F3853" s="22" t="n">
        <f aca="false">cpo27*cpo_B_28/cpo_A_27*F3847/E3847</f>
        <v>0.447257383966245</v>
      </c>
      <c r="G3853" s="22" t="n">
        <f aca="false">cpo27*cpo_B_29/cpo_A_27*G3847/E3847</f>
        <v>0.86506329113924</v>
      </c>
      <c r="K3853" s="8" t="s">
        <v>557</v>
      </c>
    </row>
    <row r="3854" customFormat="false" ht="17.15" hidden="false" customHeight="false" outlineLevel="0" collapsed="false">
      <c r="A3854" s="0" t="s">
        <v>510</v>
      </c>
      <c r="B3854" s="0" t="s">
        <v>120</v>
      </c>
      <c r="C3854" s="22" t="n">
        <f aca="false">leap25</f>
        <v>1.6</v>
      </c>
      <c r="D3854" s="22" t="n">
        <f aca="false">D3851+D3852+D3853</f>
        <v>4</v>
      </c>
      <c r="E3854" s="22" t="n">
        <f aca="false">E3851+E3852+E3853</f>
        <v>7.96328653819345</v>
      </c>
      <c r="F3854" s="22" t="n">
        <f aca="false">F3851+F3852+F3853</f>
        <v>8.09163563760646</v>
      </c>
      <c r="G3854" s="22" t="n">
        <f aca="false">G3851+G3852+G3853</f>
        <v>10.6816197085545</v>
      </c>
    </row>
    <row r="3855" customFormat="false" ht="17.15" hidden="false" customHeight="false" outlineLevel="0" collapsed="false">
      <c r="A3855" s="4" t="s">
        <v>558</v>
      </c>
      <c r="B3855" s="0" t="s">
        <v>114</v>
      </c>
      <c r="C3855" s="19" t="n">
        <f aca="false">fx25</f>
        <v>31</v>
      </c>
      <c r="D3855" s="19" t="n">
        <f aca="false">a26_leap/D3854</f>
        <v>31.9</v>
      </c>
      <c r="E3855" s="19" t="n">
        <f aca="false">fx</f>
        <v>32</v>
      </c>
      <c r="F3855" s="19" t="n">
        <f aca="false">fx</f>
        <v>32</v>
      </c>
      <c r="G3855" s="19" t="n">
        <f aca="false">fx</f>
        <v>32</v>
      </c>
      <c r="K3855" s="8" t="s">
        <v>559</v>
      </c>
    </row>
    <row r="3856" customFormat="false" ht="17.15" hidden="false" customHeight="false" outlineLevel="0" collapsed="false">
      <c r="A3856" s="6" t="s">
        <v>560</v>
      </c>
    </row>
    <row r="3857" customFormat="false" ht="17.15" hidden="false" customHeight="false" outlineLevel="0" collapsed="false">
      <c r="A3857" s="0" t="s">
        <v>438</v>
      </c>
      <c r="B3857" s="0" t="s">
        <v>234</v>
      </c>
      <c r="C3857" s="30" t="n">
        <f aca="false">a25_leap</f>
        <v>49.6</v>
      </c>
      <c r="D3857" s="30" t="n">
        <f aca="false">a26_leap</f>
        <v>127.6</v>
      </c>
      <c r="E3857" s="30" t="n">
        <f aca="false">E3854*E3855</f>
        <v>254.82516922219</v>
      </c>
      <c r="F3857" s="30" t="n">
        <f aca="false">F3854*F3855</f>
        <v>258.932340403407</v>
      </c>
      <c r="G3857" s="30" t="n">
        <f aca="false">G3854*G3855</f>
        <v>341.811830673745</v>
      </c>
    </row>
    <row r="3858" customFormat="false" ht="15" hidden="false" customHeight="false" outlineLevel="0" collapsed="false">
      <c r="A3858" s="4" t="s">
        <v>561</v>
      </c>
      <c r="B3858" s="0" t="s">
        <v>234</v>
      </c>
      <c r="C3858" s="30" t="n">
        <f aca="false">a25_ms</f>
        <v>339.628</v>
      </c>
      <c r="D3858" s="30" t="n">
        <f aca="false">a26_ms</f>
        <v>432.1302</v>
      </c>
      <c r="E3858" s="30" t="n">
        <f aca="false">D3858*(1+g_ms27)</f>
        <v>496.94973</v>
      </c>
      <c r="F3858" s="30" t="n">
        <f aca="false">E3858*(1+g_msL)</f>
        <v>531.7362111</v>
      </c>
      <c r="G3858" s="30" t="n">
        <f aca="false">F3858*(1+g_msL)</f>
        <v>568.957745877</v>
      </c>
    </row>
    <row r="3859" customFormat="false" ht="17.15" hidden="false" customHeight="false" outlineLevel="0" collapsed="false">
      <c r="A3859" s="4" t="s">
        <v>562</v>
      </c>
      <c r="B3859" s="0" t="s">
        <v>234</v>
      </c>
      <c r="C3859" s="30" t="n">
        <f aca="false">C3857+C3858</f>
        <v>389.228</v>
      </c>
      <c r="D3859" s="30" t="n">
        <f aca="false">D3857+D3858</f>
        <v>559.7302</v>
      </c>
      <c r="E3859" s="30" t="n">
        <f aca="false">E3857+E3858</f>
        <v>751.77489922219</v>
      </c>
      <c r="F3859" s="30" t="n">
        <f aca="false">F3857+F3858</f>
        <v>790.668551503407</v>
      </c>
      <c r="G3859" s="30" t="n">
        <f aca="false">G3857+G3858</f>
        <v>910.769576550745</v>
      </c>
    </row>
    <row r="3860" customFormat="false" ht="17.15" hidden="false" customHeight="false" outlineLevel="0" collapsed="false">
      <c r="A3860" s="0" t="s">
        <v>563</v>
      </c>
      <c r="B3860" s="0" t="s">
        <v>234</v>
      </c>
      <c r="C3860" s="30" t="n">
        <f aca="false">a25_ems</f>
        <v>259.079</v>
      </c>
      <c r="D3860" s="30" t="n">
        <f aca="false">a26_ems</f>
        <v>314.602</v>
      </c>
      <c r="E3860" s="30" t="n">
        <f aca="false">D3860*(1+g_ems27)</f>
        <v>346.0622</v>
      </c>
      <c r="F3860" s="30" t="n">
        <f aca="false">E3860*(1+g_emsL)</f>
        <v>363.36531</v>
      </c>
      <c r="G3860" s="30" t="n">
        <f aca="false">F3860*(1+g_emsL)</f>
        <v>381.5335755</v>
      </c>
    </row>
    <row r="3861" customFormat="false" ht="17.15" hidden="false" customHeight="false" outlineLevel="0" collapsed="false">
      <c r="A3861" s="4" t="s">
        <v>564</v>
      </c>
      <c r="B3861" s="0" t="s">
        <v>234</v>
      </c>
      <c r="C3861" s="30" t="n">
        <f aca="false">a25_elim</f>
        <v>-2.91899999999998</v>
      </c>
      <c r="D3861" s="30" t="n">
        <f aca="false">a26_elim</f>
        <v>-3.16484905982349</v>
      </c>
      <c r="E3861" s="30" t="n">
        <f aca="false">$D3861/($D3859+$D3860)*(E3859+E3860)</f>
        <v>-3.97387710450638</v>
      </c>
      <c r="F3861" s="30" t="n">
        <f aca="false">$D3861/($D3859+$D3860)*(F3859+F3860)</f>
        <v>-4.17729437573445</v>
      </c>
      <c r="G3861" s="30" t="n">
        <f aca="false">$D3861/($D3859+$D3860)*(G3859+G3860)</f>
        <v>-4.67779228052533</v>
      </c>
      <c r="K3861" s="4" t="s">
        <v>565</v>
      </c>
    </row>
    <row r="3862" customFormat="false" ht="17.15" hidden="false" customHeight="false" outlineLevel="0" collapsed="false">
      <c r="A3862" s="4" t="s">
        <v>431</v>
      </c>
      <c r="B3862" s="0" t="s">
        <v>234</v>
      </c>
      <c r="C3862" s="30" t="n">
        <f aca="false">C3859+C3860+C3861</f>
        <v>645.388</v>
      </c>
      <c r="D3862" s="30" t="n">
        <f aca="false">D3859+D3860+D3861</f>
        <v>871.167350940177</v>
      </c>
      <c r="E3862" s="30" t="n">
        <f aca="false">E3859+E3860+E3861</f>
        <v>1093.86322211768</v>
      </c>
      <c r="F3862" s="30" t="n">
        <f aca="false">F3859+F3860+F3861</f>
        <v>1149.85656712767</v>
      </c>
      <c r="G3862" s="30" t="n">
        <f aca="false">G3859+G3860+G3861</f>
        <v>1287.62535977022</v>
      </c>
      <c r="H3862" s="31" t="n">
        <f aca="false">G3862*(1+H3863)</f>
        <v>1407.64396999115</v>
      </c>
      <c r="I3862" s="31" t="n">
        <f aca="false">H3862*(1+I3863)</f>
        <v>1501.39957757674</v>
      </c>
      <c r="J3862" s="31" t="n">
        <f aca="false">I3862*(1+J3863)</f>
        <v>1561.45556067981</v>
      </c>
      <c r="K3862" s="8" t="s">
        <v>566</v>
      </c>
    </row>
    <row r="3863" customFormat="false" ht="15" hidden="false" customHeight="false" outlineLevel="0" collapsed="false">
      <c r="A3863" s="4" t="s">
        <v>567</v>
      </c>
      <c r="B3863" s="0" t="s">
        <v>76</v>
      </c>
      <c r="D3863" s="21" t="n">
        <f aca="false">D3862/C3862-1</f>
        <v>0.349835061916516</v>
      </c>
      <c r="E3863" s="21" t="n">
        <f aca="false">E3862/D3862-1</f>
        <v>0.255629266796065</v>
      </c>
      <c r="F3863" s="21" t="n">
        <f aca="false">F3862/E3862-1</f>
        <v>0.0511886165270159</v>
      </c>
      <c r="G3863" s="21" t="n">
        <f aca="false">G3862/F3862-1</f>
        <v>0.11981389382042</v>
      </c>
      <c r="H3863" s="26" t="n">
        <f aca="false">$G3863+(fade_gB-$G3863)*1/3</f>
        <v>0.0932092625469469</v>
      </c>
      <c r="I3863" s="26" t="n">
        <f aca="false">$G3863+(fade_gB-$G3863)*2/3</f>
        <v>0.0666046312734734</v>
      </c>
      <c r="J3863" s="26" t="n">
        <f aca="false">$G3863+(fade_gB-$G3863)*3/3</f>
        <v>0.04</v>
      </c>
    </row>
    <row r="3864" customFormat="false" ht="17.15" hidden="false" customHeight="false" outlineLevel="0" collapsed="false">
      <c r="A3864" s="0" t="s">
        <v>475</v>
      </c>
      <c r="B3864" s="0" t="s">
        <v>76</v>
      </c>
      <c r="C3864" s="21" t="n">
        <f aca="false">C3857/C3859</f>
        <v>0.127431736668482</v>
      </c>
      <c r="D3864" s="21" t="n">
        <f aca="false">D3857/D3859</f>
        <v>0.227966974088588</v>
      </c>
      <c r="E3864" s="21" t="n">
        <f aca="false">E3857/E3859</f>
        <v>0.338964721335922</v>
      </c>
      <c r="F3864" s="21" t="n">
        <f aca="false">F3857/F3859</f>
        <v>0.327485315953269</v>
      </c>
      <c r="G3864" s="21" t="n">
        <f aca="false">G3857/G3859</f>
        <v>0.375300009436251</v>
      </c>
    </row>
    <row r="3865" customFormat="false" ht="15" hidden="false" customHeight="false" outlineLevel="0" collapsed="false">
      <c r="A3865" s="4" t="s">
        <v>568</v>
      </c>
      <c r="B3865" s="0" t="s">
        <v>76</v>
      </c>
      <c r="D3865" s="21" t="n">
        <f aca="false">D3859/C3859-1</f>
        <v>0.438052247012034</v>
      </c>
      <c r="E3865" s="21" t="n">
        <f aca="false">E3859/D3859-1</f>
        <v>0.343102264666424</v>
      </c>
      <c r="F3865" s="21" t="n">
        <f aca="false">F3859/E3859-1</f>
        <v>0.0517357686741828</v>
      </c>
      <c r="G3865" s="21" t="n">
        <f aca="false">G3859/F3859-1</f>
        <v>0.151898067551788</v>
      </c>
    </row>
    <row r="3866" customFormat="false" ht="17.15" hidden="false" customHeight="false" outlineLevel="0" collapsed="false">
      <c r="A3866" s="6" t="s">
        <v>569</v>
      </c>
    </row>
    <row r="3867" customFormat="false" ht="17.15" hidden="false" customHeight="false" outlineLevel="0" collapsed="false">
      <c r="A3867" s="4" t="s">
        <v>570</v>
      </c>
      <c r="B3867" s="0" t="s">
        <v>120</v>
      </c>
      <c r="C3867" s="19" t="n">
        <f aca="false">capex25</f>
        <v>5.5</v>
      </c>
      <c r="D3867" s="19" t="n">
        <f aca="false">capex26</f>
        <v>11.5</v>
      </c>
      <c r="E3867" s="19" t="n">
        <f aca="false">capex27</f>
        <v>13</v>
      </c>
      <c r="F3867" s="19" t="n">
        <f aca="false">capi*F3862/F3855</f>
        <v>10.7799053168219</v>
      </c>
      <c r="G3867" s="19" t="n">
        <f aca="false">capi*G3862/G3855</f>
        <v>12.0714877478458</v>
      </c>
      <c r="K3867" s="8" t="s">
        <v>571</v>
      </c>
    </row>
    <row r="3868" customFormat="false" ht="15" hidden="false" customHeight="false" outlineLevel="0" collapsed="false">
      <c r="A3868" s="4" t="s">
        <v>572</v>
      </c>
      <c r="B3868" s="0" t="s">
        <v>234</v>
      </c>
      <c r="C3868" s="30" t="n">
        <f aca="false">C3867*C3855</f>
        <v>170.5</v>
      </c>
      <c r="D3868" s="30" t="n">
        <f aca="false">D3867*31.9</f>
        <v>366.85</v>
      </c>
      <c r="E3868" s="30" t="n">
        <f aca="false">E3867*E3855</f>
        <v>416</v>
      </c>
      <c r="F3868" s="30" t="n">
        <f aca="false">F3867*F3855</f>
        <v>344.956970138302</v>
      </c>
      <c r="G3868" s="30" t="n">
        <f aca="false">G3867*G3855</f>
        <v>386.287607931066</v>
      </c>
    </row>
    <row r="3869" customFormat="false" ht="17.15" hidden="false" customHeight="false" outlineLevel="0" collapsed="false">
      <c r="A3869" s="4" t="s">
        <v>473</v>
      </c>
      <c r="B3869" s="0" t="s">
        <v>76</v>
      </c>
      <c r="C3869" s="21" t="n">
        <f aca="false">C3868/C3862</f>
        <v>0.264182166386732</v>
      </c>
      <c r="D3869" s="21" t="n">
        <f aca="false">D3868/D3862</f>
        <v>0.421101639775745</v>
      </c>
      <c r="E3869" s="21" t="n">
        <f aca="false">E3868/E3862</f>
        <v>0.380303489127861</v>
      </c>
      <c r="F3869" s="21" t="n">
        <f aca="false">F3868/F3862</f>
        <v>0.3</v>
      </c>
      <c r="G3869" s="21" t="n">
        <f aca="false">G3868/G3862</f>
        <v>0.3</v>
      </c>
    </row>
    <row r="3870" customFormat="false" ht="17.15" hidden="false" customHeight="false" outlineLevel="0" collapsed="false">
      <c r="A3870" s="4" t="s">
        <v>573</v>
      </c>
      <c r="B3870" s="0" t="s">
        <v>234</v>
      </c>
      <c r="C3870" s="30" t="n">
        <f aca="false">a25_da</f>
        <v>75.255</v>
      </c>
      <c r="D3870" s="30" t="n">
        <f aca="false">a26_da</f>
        <v>97.124</v>
      </c>
      <c r="E3870" s="30" t="n">
        <f aca="false">D3870*(1-1/life_hi)+D3868/life_hi</f>
        <v>119.601166666667</v>
      </c>
      <c r="F3870" s="30" t="n">
        <f aca="false">E3870*(1-1/life_hi)+E3868/life_hi</f>
        <v>144.301069444444</v>
      </c>
      <c r="G3870" s="30" t="n">
        <f aca="false">F3870*(1-1/life_hi)+F3868/life_hi</f>
        <v>161.022394502266</v>
      </c>
      <c r="K3870" s="4" t="s">
        <v>574</v>
      </c>
    </row>
    <row r="3871" customFormat="false" ht="17.15" hidden="false" customHeight="false" outlineLevel="0" collapsed="false">
      <c r="A3871" s="4" t="s">
        <v>575</v>
      </c>
      <c r="B3871" s="0" t="s">
        <v>234</v>
      </c>
      <c r="C3871" s="30" t="n">
        <f aca="false">a25_agp</f>
        <v>91.38</v>
      </c>
      <c r="D3871" s="30" t="n">
        <f aca="false">a26_agp</f>
        <v>164.623388</v>
      </c>
      <c r="E3871" s="30" t="n">
        <f aca="false">$D3871+ft*(E3859-$D3859)-(E3870-$D3870)</f>
        <v>238.168570944428</v>
      </c>
      <c r="F3871" s="30" t="n">
        <f aca="false">$D3871+ft*(F3859-$D3859)-(F3870-$D3870)</f>
        <v>232.915494307259</v>
      </c>
      <c r="G3871" s="30" t="n">
        <f aca="false">$D3871+ft*(G3859-$D3859)-(G3870-$D3870)</f>
        <v>276.244681773107</v>
      </c>
      <c r="K3871" s="4" t="s">
        <v>576</v>
      </c>
    </row>
    <row r="3872" customFormat="false" ht="15" hidden="false" customHeight="false" outlineLevel="0" collapsed="false">
      <c r="A3872" s="4" t="s">
        <v>447</v>
      </c>
      <c r="B3872" s="0" t="s">
        <v>76</v>
      </c>
      <c r="C3872" s="14" t="n">
        <f aca="false">C3871/C3859</f>
        <v>0.234772421305764</v>
      </c>
      <c r="D3872" s="14" t="n">
        <f aca="false">D3871/D3859</f>
        <v>0.294112034690999</v>
      </c>
      <c r="E3872" s="14" t="n">
        <f aca="false">E3871/E3859</f>
        <v>0.316808357383101</v>
      </c>
      <c r="F3872" s="14" t="n">
        <f aca="false">F3871/F3859</f>
        <v>0.29458044570558</v>
      </c>
      <c r="G3872" s="14" t="n">
        <f aca="false">G3871/G3859</f>
        <v>0.303309079360443</v>
      </c>
    </row>
    <row r="3873" customFormat="false" ht="17.15" hidden="false" customHeight="false" outlineLevel="0" collapsed="false">
      <c r="A3873" s="0" t="s">
        <v>449</v>
      </c>
      <c r="B3873" s="0" t="s">
        <v>234</v>
      </c>
      <c r="C3873" s="30" t="n">
        <f aca="false">a25_egp</f>
        <v>23.695</v>
      </c>
      <c r="D3873" s="30" t="n">
        <f aca="false">a26_egp</f>
        <v>27.00552</v>
      </c>
      <c r="E3873" s="30" t="n">
        <f aca="false">E3860*ems_gm</f>
        <v>29.415287</v>
      </c>
      <c r="F3873" s="30" t="n">
        <f aca="false">F3860*ems_gm</f>
        <v>30.88605135</v>
      </c>
      <c r="G3873" s="30" t="n">
        <f aca="false">G3860*ems_gm</f>
        <v>32.4303539175</v>
      </c>
    </row>
    <row r="3874" customFormat="false" ht="15" hidden="false" customHeight="false" outlineLevel="0" collapsed="false">
      <c r="A3874" s="4" t="s">
        <v>577</v>
      </c>
      <c r="B3874" s="0" t="s">
        <v>234</v>
      </c>
      <c r="C3874" s="30" t="n">
        <f aca="false">a25_lgp</f>
        <v>-0.881999999999998</v>
      </c>
      <c r="D3874" s="30" t="n">
        <f aca="false">a26_lgp</f>
        <v>-0.948662139013863</v>
      </c>
      <c r="E3874" s="30" t="n">
        <f aca="false">$D3874/$D3861*E3861</f>
        <v>-1.19116794604716</v>
      </c>
      <c r="F3874" s="30" t="n">
        <f aca="false">$D3874/$D3861*F3861</f>
        <v>-1.25214218525664</v>
      </c>
      <c r="G3874" s="30" t="n">
        <f aca="false">$D3874/$D3861*G3861</f>
        <v>-1.40216621608905</v>
      </c>
    </row>
    <row r="3875" customFormat="false" ht="15" hidden="false" customHeight="false" outlineLevel="0" collapsed="false">
      <c r="A3875" s="4" t="s">
        <v>451</v>
      </c>
      <c r="B3875" s="0" t="s">
        <v>234</v>
      </c>
      <c r="C3875" s="30" t="n">
        <f aca="false">C3871+C3873+C3874</f>
        <v>114.193</v>
      </c>
      <c r="D3875" s="30" t="n">
        <f aca="false">D3871+D3873+D3874</f>
        <v>190.680245860986</v>
      </c>
      <c r="E3875" s="30" t="n">
        <f aca="false">E3871+E3873+E3874</f>
        <v>266.392689998381</v>
      </c>
      <c r="F3875" s="30" t="n">
        <f aca="false">F3871+F3873+F3874</f>
        <v>262.549403472002</v>
      </c>
      <c r="G3875" s="30" t="n">
        <f aca="false">G3871+G3873+G3874</f>
        <v>307.272869474518</v>
      </c>
    </row>
    <row r="3876" customFormat="false" ht="15" hidden="false" customHeight="false" outlineLevel="0" collapsed="false">
      <c r="A3876" s="4" t="s">
        <v>452</v>
      </c>
      <c r="B3876" s="0" t="s">
        <v>76</v>
      </c>
      <c r="C3876" s="14" t="n">
        <f aca="false">C3875/C3862</f>
        <v>0.176936974347214</v>
      </c>
      <c r="D3876" s="14" t="n">
        <f aca="false">D3875/D3862</f>
        <v>0.218879008327391</v>
      </c>
      <c r="E3876" s="14" t="n">
        <f aca="false">E3875/E3862</f>
        <v>0.243533820876301</v>
      </c>
      <c r="F3876" s="14" t="n">
        <f aca="false">F3875/F3862</f>
        <v>0.228332307678903</v>
      </c>
      <c r="G3876" s="14" t="n">
        <f aca="false">G3875/G3862</f>
        <v>0.238635304238922</v>
      </c>
    </row>
    <row r="3877" customFormat="false" ht="15" hidden="false" customHeight="false" outlineLevel="0" collapsed="false">
      <c r="A3877" s="4" t="s">
        <v>578</v>
      </c>
      <c r="B3877" s="0" t="s">
        <v>234</v>
      </c>
      <c r="C3877" s="30" t="n">
        <f aca="false">a25_opx</f>
        <v>63.437</v>
      </c>
      <c r="D3877" s="30" t="n">
        <f aca="false">a26_opx</f>
        <v>79.658</v>
      </c>
      <c r="E3877" s="30" t="n">
        <f aca="false">D3877*(1+phi*E3863)</f>
        <v>91.8757496806646</v>
      </c>
      <c r="F3877" s="30" t="n">
        <f aca="false">E3877*(1+phi*F3863)</f>
        <v>94.6975451917859</v>
      </c>
      <c r="G3877" s="30" t="n">
        <f aca="false">F3877*(1+phi*G3863)</f>
        <v>101.505194166584</v>
      </c>
    </row>
    <row r="3878" customFormat="false" ht="15" hidden="false" customHeight="false" outlineLevel="0" collapsed="false">
      <c r="A3878" s="4" t="s">
        <v>455</v>
      </c>
      <c r="B3878" s="0" t="s">
        <v>234</v>
      </c>
      <c r="C3878" s="30" t="n">
        <f aca="false">C3875-C3877</f>
        <v>50.756</v>
      </c>
      <c r="D3878" s="30" t="n">
        <f aca="false">D3875-D3877</f>
        <v>111.022245860986</v>
      </c>
      <c r="E3878" s="30" t="n">
        <f aca="false">E3875-E3877</f>
        <v>174.516940317717</v>
      </c>
      <c r="F3878" s="30" t="n">
        <f aca="false">F3875-F3877</f>
        <v>167.851858280216</v>
      </c>
      <c r="G3878" s="30" t="n">
        <f aca="false">G3875-G3877</f>
        <v>205.767675307934</v>
      </c>
    </row>
    <row r="3879" customFormat="false" ht="15" hidden="false" customHeight="false" outlineLevel="0" collapsed="false">
      <c r="A3879" s="4" t="s">
        <v>537</v>
      </c>
      <c r="B3879" s="0" t="s">
        <v>76</v>
      </c>
      <c r="C3879" s="14" t="n">
        <f aca="false">C3878/C3862</f>
        <v>0.0786441644406156</v>
      </c>
      <c r="D3879" s="14" t="n">
        <f aca="false">D3878/D3862</f>
        <v>0.127440779020437</v>
      </c>
      <c r="E3879" s="14" t="n">
        <f aca="false">E3878/E3862</f>
        <v>0.159541830083525</v>
      </c>
      <c r="F3879" s="14" t="n">
        <f aca="false">F3878/F3862</f>
        <v>0.145976344423121</v>
      </c>
      <c r="G3879" s="14" t="n">
        <f aca="false">G3878/G3862</f>
        <v>0.159803994031815</v>
      </c>
    </row>
    <row r="3880" customFormat="false" ht="15" hidden="false" customHeight="false" outlineLevel="0" collapsed="false">
      <c r="A3880" s="4" t="s">
        <v>456</v>
      </c>
      <c r="B3880" s="0" t="s">
        <v>234</v>
      </c>
      <c r="C3880" s="30" t="n">
        <f aca="false">a25_nonop</f>
        <v>0.545</v>
      </c>
      <c r="D3880" s="30" t="n">
        <f aca="false">a26_nonop</f>
        <v>4.302</v>
      </c>
      <c r="E3880" s="30" t="n">
        <f aca="false">nonop_f</f>
        <v>-5</v>
      </c>
      <c r="F3880" s="30" t="n">
        <f aca="false">nonop_f</f>
        <v>-5</v>
      </c>
      <c r="G3880" s="30" t="n">
        <f aca="false">nonop_f</f>
        <v>-5</v>
      </c>
    </row>
    <row r="3881" customFormat="false" ht="15" hidden="false" customHeight="false" outlineLevel="0" collapsed="false">
      <c r="A3881" s="4" t="s">
        <v>459</v>
      </c>
      <c r="B3881" s="0" t="s">
        <v>234</v>
      </c>
      <c r="C3881" s="30" t="n">
        <f aca="false">C3878+C3880</f>
        <v>51.301</v>
      </c>
      <c r="D3881" s="30" t="n">
        <f aca="false">D3878+D3880</f>
        <v>115.324245860986</v>
      </c>
      <c r="E3881" s="30" t="n">
        <f aca="false">E3878+E3880</f>
        <v>169.516940317717</v>
      </c>
      <c r="F3881" s="30" t="n">
        <f aca="false">F3878+F3880</f>
        <v>162.851858280216</v>
      </c>
      <c r="G3881" s="30" t="n">
        <f aca="false">G3878+G3880</f>
        <v>200.767675307934</v>
      </c>
    </row>
    <row r="3882" customFormat="false" ht="15" hidden="false" customHeight="false" outlineLevel="0" collapsed="false">
      <c r="A3882" s="4" t="s">
        <v>460</v>
      </c>
      <c r="B3882" s="0" t="s">
        <v>234</v>
      </c>
      <c r="C3882" s="30" t="n">
        <f aca="false">a25_tax</f>
        <v>9.461</v>
      </c>
      <c r="D3882" s="30" t="n">
        <f aca="false">a26_tax</f>
        <v>19.2197317963676</v>
      </c>
      <c r="E3882" s="30" t="n">
        <f aca="false">E3881*tax</f>
        <v>28.8178798540118</v>
      </c>
      <c r="F3882" s="30" t="n">
        <f aca="false">F3881*tax</f>
        <v>27.6848159076368</v>
      </c>
      <c r="G3882" s="30" t="n">
        <f aca="false">G3881*tax</f>
        <v>34.1305048023488</v>
      </c>
    </row>
    <row r="3883" customFormat="false" ht="15" hidden="false" customHeight="false" outlineLevel="0" collapsed="false">
      <c r="A3883" s="4" t="s">
        <v>461</v>
      </c>
      <c r="B3883" s="0" t="s">
        <v>234</v>
      </c>
      <c r="C3883" s="30" t="n">
        <f aca="false">a25_nci</f>
        <v>1.182</v>
      </c>
      <c r="D3883" s="30" t="n">
        <f aca="false">a26_nci</f>
        <v>2.543</v>
      </c>
      <c r="E3883" s="30" t="n">
        <f aca="false">nci</f>
        <v>3</v>
      </c>
      <c r="F3883" s="30" t="n">
        <f aca="false">nci</f>
        <v>3</v>
      </c>
      <c r="G3883" s="30" t="n">
        <f aca="false">nci</f>
        <v>3</v>
      </c>
    </row>
    <row r="3884" customFormat="false" ht="15" hidden="false" customHeight="false" outlineLevel="0" collapsed="false">
      <c r="A3884" s="4" t="s">
        <v>462</v>
      </c>
      <c r="B3884" s="0" t="s">
        <v>234</v>
      </c>
      <c r="C3884" s="30" t="n">
        <f aca="false">C3881-C3882-C3883</f>
        <v>40.658</v>
      </c>
      <c r="D3884" s="30" t="n">
        <f aca="false">D3881-D3882-D3883</f>
        <v>93.5615140646185</v>
      </c>
      <c r="E3884" s="30" t="n">
        <f aca="false">E3881-E3882-E3883</f>
        <v>137.699060463705</v>
      </c>
      <c r="F3884" s="30" t="n">
        <f aca="false">F3881-F3882-F3883</f>
        <v>132.16704237258</v>
      </c>
      <c r="G3884" s="30" t="n">
        <f aca="false">G3881-G3882-G3883</f>
        <v>163.637170505585</v>
      </c>
      <c r="H3884" s="31" t="n">
        <f aca="false">H3862*H3888</f>
        <v>165.367050680712</v>
      </c>
      <c r="I3884" s="31" t="n">
        <f aca="false">I3862*I3888</f>
        <v>161.95797319662</v>
      </c>
      <c r="J3884" s="31" t="n">
        <f aca="false">J3862*J3888</f>
        <v>153.436071648244</v>
      </c>
    </row>
    <row r="3885" customFormat="false" ht="15" hidden="false" customHeight="false" outlineLevel="0" collapsed="false">
      <c r="A3885" s="4" t="s">
        <v>579</v>
      </c>
      <c r="B3885" s="4" t="s">
        <v>580</v>
      </c>
      <c r="C3885" s="18" t="n">
        <f aca="false">a25_sh</f>
        <v>4339.16755602988</v>
      </c>
      <c r="D3885" s="18" t="n">
        <f aca="false">a26_sh</f>
        <v>4392.90105184664</v>
      </c>
      <c r="E3885" s="18" t="n">
        <f aca="false">D3885*(1+sh_g)</f>
        <v>4414.86555710588</v>
      </c>
      <c r="F3885" s="18" t="n">
        <f aca="false">E3885*(1+sh_g)</f>
        <v>4436.9398848914</v>
      </c>
      <c r="G3885" s="18" t="n">
        <f aca="false">F3885*(1+sh_g)</f>
        <v>4459.12458431586</v>
      </c>
      <c r="H3885" s="25" t="n">
        <f aca="false">G3885*(1+sh_g)</f>
        <v>4481.42020723744</v>
      </c>
      <c r="I3885" s="25" t="n">
        <f aca="false">H3885*(1+sh_g)</f>
        <v>4503.82730827363</v>
      </c>
      <c r="J3885" s="25" t="n">
        <f aca="false">I3885*(1+sh_g)</f>
        <v>4526.34644481499</v>
      </c>
    </row>
    <row r="3886" customFormat="false" ht="17.15" hidden="false" customHeight="false" outlineLevel="0" collapsed="false">
      <c r="A3886" s="0" t="s">
        <v>465</v>
      </c>
      <c r="B3886" s="0" t="s">
        <v>304</v>
      </c>
      <c r="C3886" s="19" t="n">
        <f aca="false">a25_eps</f>
        <v>9.37</v>
      </c>
      <c r="D3886" s="19" t="n">
        <f aca="false">a26_eps</f>
        <v>21.2828697294455</v>
      </c>
      <c r="E3886" s="19" t="n">
        <f aca="false">E3884/E3885*1000</f>
        <v>31.1898649421099</v>
      </c>
      <c r="F3886" s="19" t="n">
        <f aca="false">F3884/F3885*1000</f>
        <v>29.7878821443204</v>
      </c>
      <c r="G3886" s="19" t="n">
        <f aca="false">G3884/G3885*1000</f>
        <v>36.6971515173961</v>
      </c>
      <c r="H3886" s="28" t="n">
        <f aca="false">H3884/H3885*1000</f>
        <v>36.9005902221902</v>
      </c>
      <c r="I3886" s="28" t="n">
        <f aca="false">I3884/I3885*1000</f>
        <v>35.96007619988</v>
      </c>
      <c r="J3886" s="28" t="n">
        <f aca="false">J3884/J3885*1000</f>
        <v>33.8984374083887</v>
      </c>
    </row>
    <row r="3887" customFormat="false" ht="17.15" hidden="false" customHeight="false" outlineLevel="0" collapsed="false">
      <c r="A3887" s="0" t="s">
        <v>581</v>
      </c>
      <c r="B3887" s="0" t="s">
        <v>76</v>
      </c>
      <c r="D3887" s="21" t="n">
        <f aca="false">D3886/C3886-1</f>
        <v>1.27138417603474</v>
      </c>
      <c r="E3887" s="21" t="n">
        <f aca="false">E3886/D3886-1</f>
        <v>0.465491512122432</v>
      </c>
      <c r="F3887" s="21" t="n">
        <f aca="false">F3886/E3886-1</f>
        <v>-0.0449499476958827</v>
      </c>
      <c r="G3887" s="21" t="n">
        <f aca="false">G3886/F3886-1</f>
        <v>0.231948996561783</v>
      </c>
      <c r="H3887" s="26" t="n">
        <f aca="false">H3886/G3886-1</f>
        <v>0.00554371923656438</v>
      </c>
      <c r="I3887" s="26" t="n">
        <f aca="false">I3886/H3886-1</f>
        <v>-0.0254877772048399</v>
      </c>
      <c r="J3887" s="26" t="n">
        <f aca="false">J3886/I3886-1</f>
        <v>-0.0573313243284541</v>
      </c>
    </row>
    <row r="3888" customFormat="false" ht="17.15" hidden="false" customHeight="false" outlineLevel="0" collapsed="false">
      <c r="A3888" s="4" t="s">
        <v>582</v>
      </c>
      <c r="B3888" s="0" t="s">
        <v>76</v>
      </c>
      <c r="C3888" s="14" t="n">
        <f aca="false">C3884/C3862</f>
        <v>0.0629977625862272</v>
      </c>
      <c r="D3888" s="14" t="n">
        <f aca="false">D3884/D3862</f>
        <v>0.107397865592237</v>
      </c>
      <c r="E3888" s="14" t="n">
        <f aca="false">E3884/E3862</f>
        <v>0.125883252749941</v>
      </c>
      <c r="F3888" s="14" t="n">
        <f aca="false">F3884/F3862</f>
        <v>0.114942199010726</v>
      </c>
      <c r="G3888" s="14" t="n">
        <f aca="false">G3884/G3862</f>
        <v>0.127084457652175</v>
      </c>
      <c r="H3888" s="27" t="n">
        <f aca="false">$G3888+(fade_mB-$G3888)*1/3</f>
        <v>0.117477895125535</v>
      </c>
      <c r="I3888" s="27" t="n">
        <f aca="false">$G3888+(fade_mB-$G3888)*2/3</f>
        <v>0.107871332598894</v>
      </c>
      <c r="J3888" s="27" t="n">
        <f aca="false">$G3888+(fade_mB-$G3888)*3/3</f>
        <v>0.0982647700722541</v>
      </c>
    </row>
    <row r="3889" customFormat="false" ht="17.15" hidden="false" customHeight="false" outlineLevel="0" collapsed="false">
      <c r="A3889" s="4" t="s">
        <v>583</v>
      </c>
      <c r="B3889" s="0" t="s">
        <v>234</v>
      </c>
      <c r="C3889" s="30" t="n">
        <f aca="false">C3884+C3870-C3868</f>
        <v>-54.587</v>
      </c>
      <c r="D3889" s="30" t="n">
        <f aca="false">D3884+D3870-D3868</f>
        <v>-176.164485935382</v>
      </c>
      <c r="E3889" s="30" t="n">
        <f aca="false">E3884+E3870-E3868</f>
        <v>-158.699772869629</v>
      </c>
      <c r="F3889" s="30" t="n">
        <f aca="false">F3884+F3870-F3868</f>
        <v>-68.4888583212776</v>
      </c>
      <c r="G3889" s="30" t="n">
        <f aca="false">G3884+G3870-G3868</f>
        <v>-61.628042923215</v>
      </c>
      <c r="K3889" s="4" t="s">
        <v>584</v>
      </c>
    </row>
    <row r="3890" customFormat="false" ht="17.15" hidden="false" customHeight="false" outlineLevel="0" collapsed="false">
      <c r="A3890" s="4" t="s">
        <v>585</v>
      </c>
      <c r="B3890" s="0" t="s">
        <v>76</v>
      </c>
      <c r="D3890" s="21" t="n">
        <f aca="false">(D3878-$C3878)/SUM($D3868:D3868)</f>
        <v>0.164280348537512</v>
      </c>
      <c r="E3890" s="21" t="n">
        <f aca="false">(E3878-$C3878)/SUM($D3868:E3868)</f>
        <v>0.158090234805795</v>
      </c>
      <c r="F3890" s="21" t="n">
        <f aca="false">(F3878-$C3878)/SUM($D3868:F3868)</f>
        <v>0.103826152329824</v>
      </c>
      <c r="G3890" s="21" t="n">
        <f aca="false">(G3878-$C3878)/SUM($D3868:G3868)</f>
        <v>0.102379123175773</v>
      </c>
      <c r="K3890" s="4" t="s">
        <v>586</v>
      </c>
    </row>
    <row r="3893" customFormat="false" ht="17.15" hidden="false" customHeight="false" outlineLevel="0" collapsed="false">
      <c r="A3893" s="1" t="s">
        <v>993</v>
      </c>
    </row>
    <row r="3894" customFormat="false" ht="17.15" hidden="false" customHeight="false" outlineLevel="0" collapsed="false">
      <c r="A3894" s="5" t="s">
        <v>21</v>
      </c>
      <c r="B3894" s="5" t="s">
        <v>22</v>
      </c>
      <c r="C3894" s="15" t="s">
        <v>424</v>
      </c>
      <c r="D3894" s="15" t="s">
        <v>524</v>
      </c>
      <c r="E3894" s="15" t="s">
        <v>525</v>
      </c>
      <c r="F3894" s="15" t="s">
        <v>526</v>
      </c>
      <c r="G3894" s="15" t="s">
        <v>527</v>
      </c>
      <c r="H3894" s="15" t="s">
        <v>528</v>
      </c>
      <c r="I3894" s="15" t="s">
        <v>529</v>
      </c>
      <c r="J3894" s="15" t="s">
        <v>530</v>
      </c>
      <c r="K3894" s="5" t="s">
        <v>382</v>
      </c>
    </row>
    <row r="3895" customFormat="false" ht="17.15" hidden="false" customHeight="false" outlineLevel="0" collapsed="false">
      <c r="A3895" s="6" t="s">
        <v>548</v>
      </c>
    </row>
    <row r="3896" customFormat="false" ht="17.15" hidden="false" customHeight="false" outlineLevel="0" collapsed="false">
      <c r="A3896" s="0" t="s">
        <v>549</v>
      </c>
      <c r="B3896" s="4" t="s">
        <v>32</v>
      </c>
      <c r="D3896" s="19" t="n">
        <f aca="false">units_26</f>
        <v>15.2</v>
      </c>
      <c r="E3896" s="19" t="n">
        <f aca="false">units_27*1</f>
        <v>23.7</v>
      </c>
      <c r="F3896" s="19" t="n">
        <f aca="false">units_28*um28_C*1</f>
        <v>15.9</v>
      </c>
      <c r="G3896" s="19" t="n">
        <f aca="false">units_29*um29_C*1</f>
        <v>18.09</v>
      </c>
    </row>
    <row r="3897" customFormat="false" ht="17.15" hidden="false" customHeight="false" outlineLevel="0" collapsed="false">
      <c r="A3897" s="4" t="s">
        <v>497</v>
      </c>
      <c r="B3897" s="0" t="s">
        <v>45</v>
      </c>
      <c r="D3897" s="22" t="n">
        <f aca="false">ar_26</f>
        <v>1</v>
      </c>
      <c r="E3897" s="22" t="n">
        <f aca="false">ar_27</f>
        <v>1.278156</v>
      </c>
      <c r="F3897" s="22" t="n">
        <f aca="false">ar_28</f>
        <v>1.428615</v>
      </c>
      <c r="G3897" s="22" t="n">
        <f aca="false">ar_29</f>
        <v>1.431796</v>
      </c>
    </row>
    <row r="3898" customFormat="false" ht="17.15" hidden="false" customHeight="false" outlineLevel="0" collapsed="false">
      <c r="A3898" s="4" t="s">
        <v>550</v>
      </c>
      <c r="B3898" s="0" t="s">
        <v>45</v>
      </c>
      <c r="D3898" s="19" t="n">
        <f aca="false">1</f>
        <v>1</v>
      </c>
      <c r="E3898" s="19" t="n">
        <f aca="false">rel27_C</f>
        <v>1</v>
      </c>
      <c r="F3898" s="19" t="n">
        <f aca="false">rel28_C</f>
        <v>0.95</v>
      </c>
      <c r="G3898" s="19" t="n">
        <f aca="false">rel29_C</f>
        <v>0.92</v>
      </c>
    </row>
    <row r="3899" customFormat="false" ht="17.15" hidden="false" customHeight="false" outlineLevel="0" collapsed="false">
      <c r="A3899" s="4" t="s">
        <v>551</v>
      </c>
      <c r="B3899" s="0" t="s">
        <v>502</v>
      </c>
      <c r="D3899" s="23" t="n">
        <f aca="false">D3900*1000/D3896</f>
        <v>236.842105263158</v>
      </c>
      <c r="E3899" s="23" t="n">
        <f aca="false">$D3899*E3897^el</f>
        <v>267.763172119488</v>
      </c>
      <c r="F3899" s="23" t="n">
        <f aca="false">$D3899*F3897^el</f>
        <v>283.084777049615</v>
      </c>
      <c r="G3899" s="23" t="n">
        <f aca="false">$D3899*G3897^el</f>
        <v>283.399764630809</v>
      </c>
      <c r="K3899" s="8" t="s">
        <v>552</v>
      </c>
    </row>
    <row r="3900" customFormat="false" ht="17.15" hidden="false" customHeight="false" outlineLevel="0" collapsed="false">
      <c r="A3900" s="0" t="s">
        <v>553</v>
      </c>
      <c r="B3900" s="0" t="s">
        <v>120</v>
      </c>
      <c r="D3900" s="22" t="n">
        <f aca="false">leap26-D3901-D3902</f>
        <v>3.6</v>
      </c>
      <c r="E3900" s="22" t="n">
        <f aca="false">E3896*E3898*E3899/1000</f>
        <v>6.34598717923185</v>
      </c>
      <c r="F3900" s="22" t="n">
        <f aca="false">F3896*F3898*F3899/1000</f>
        <v>4.27599555733443</v>
      </c>
      <c r="G3900" s="22" t="n">
        <f aca="false">G3896*G3898*G3899/1000</f>
        <v>4.71656560279762</v>
      </c>
      <c r="K3900" s="8" t="s">
        <v>554</v>
      </c>
    </row>
    <row r="3901" customFormat="false" ht="17.15" hidden="false" customHeight="false" outlineLevel="0" collapsed="false">
      <c r="A3901" s="4" t="s">
        <v>555</v>
      </c>
      <c r="B3901" s="0" t="s">
        <v>120</v>
      </c>
      <c r="D3901" s="22" t="n">
        <f aca="false">fp26</f>
        <v>0.3</v>
      </c>
      <c r="E3901" s="22" t="n">
        <f aca="false">fp27_C</f>
        <v>0.7</v>
      </c>
      <c r="F3901" s="22" t="n">
        <f aca="false">E3901*F3896/E3896*(1+fp_g)</f>
        <v>0.610506329113924</v>
      </c>
      <c r="G3901" s="22" t="n">
        <f aca="false">F3901*G3896/F3896*(1+fp_g)</f>
        <v>0.902973417721519</v>
      </c>
    </row>
    <row r="3902" customFormat="false" ht="17.15" hidden="false" customHeight="false" outlineLevel="0" collapsed="false">
      <c r="A3902" s="0" t="s">
        <v>556</v>
      </c>
      <c r="B3902" s="0" t="s">
        <v>120</v>
      </c>
      <c r="D3902" s="22" t="n">
        <f aca="false">cpo27*cpo_C_26/cpo_A_27</f>
        <v>0.1</v>
      </c>
      <c r="E3902" s="22" t="n">
        <f aca="false">cpo27*cpo_C_27/cpo_A_27</f>
        <v>0.2</v>
      </c>
      <c r="F3902" s="22" t="n">
        <f aca="false">cpo27*cpo_C_28/cpo_A_27*F3896/E3896</f>
        <v>0.20126582278481</v>
      </c>
      <c r="G3902" s="22" t="n">
        <f aca="false">cpo27*cpo_C_29/cpo_A_27*G3896/E3896</f>
        <v>0.381645569620253</v>
      </c>
      <c r="K3902" s="8" t="s">
        <v>557</v>
      </c>
    </row>
    <row r="3903" customFormat="false" ht="17.15" hidden="false" customHeight="false" outlineLevel="0" collapsed="false">
      <c r="A3903" s="0" t="s">
        <v>510</v>
      </c>
      <c r="B3903" s="0" t="s">
        <v>120</v>
      </c>
      <c r="C3903" s="22" t="n">
        <f aca="false">leap25</f>
        <v>1.6</v>
      </c>
      <c r="D3903" s="22" t="n">
        <f aca="false">D3900+D3901+D3902</f>
        <v>4</v>
      </c>
      <c r="E3903" s="22" t="n">
        <f aca="false">E3900+E3901+E3902</f>
        <v>7.24598717923186</v>
      </c>
      <c r="F3903" s="22" t="n">
        <f aca="false">F3900+F3901+F3902</f>
        <v>5.08776770923316</v>
      </c>
      <c r="G3903" s="22" t="n">
        <f aca="false">G3900+G3901+G3902</f>
        <v>6.0011845901394</v>
      </c>
    </row>
    <row r="3904" customFormat="false" ht="17.15" hidden="false" customHeight="false" outlineLevel="0" collapsed="false">
      <c r="A3904" s="4" t="s">
        <v>558</v>
      </c>
      <c r="B3904" s="0" t="s">
        <v>114</v>
      </c>
      <c r="C3904" s="19" t="n">
        <f aca="false">fx25</f>
        <v>31</v>
      </c>
      <c r="D3904" s="19" t="n">
        <f aca="false">a26_leap/D3903</f>
        <v>31.9</v>
      </c>
      <c r="E3904" s="19" t="n">
        <f aca="false">fx</f>
        <v>32</v>
      </c>
      <c r="F3904" s="19" t="n">
        <f aca="false">fx</f>
        <v>32</v>
      </c>
      <c r="G3904" s="19" t="n">
        <f aca="false">fx</f>
        <v>32</v>
      </c>
      <c r="K3904" s="8" t="s">
        <v>559</v>
      </c>
    </row>
    <row r="3905" customFormat="false" ht="17.15" hidden="false" customHeight="false" outlineLevel="0" collapsed="false">
      <c r="A3905" s="6" t="s">
        <v>560</v>
      </c>
    </row>
    <row r="3906" customFormat="false" ht="17.15" hidden="false" customHeight="false" outlineLevel="0" collapsed="false">
      <c r="A3906" s="0" t="s">
        <v>438</v>
      </c>
      <c r="B3906" s="0" t="s">
        <v>234</v>
      </c>
      <c r="C3906" s="30" t="n">
        <f aca="false">a25_leap</f>
        <v>49.6</v>
      </c>
      <c r="D3906" s="30" t="n">
        <f aca="false">a26_leap</f>
        <v>127.6</v>
      </c>
      <c r="E3906" s="30" t="n">
        <f aca="false">E3903*E3904</f>
        <v>231.871589735419</v>
      </c>
      <c r="F3906" s="30" t="n">
        <f aca="false">F3903*F3904</f>
        <v>162.808566695461</v>
      </c>
      <c r="G3906" s="30" t="n">
        <f aca="false">G3903*G3904</f>
        <v>192.037906884461</v>
      </c>
    </row>
    <row r="3907" customFormat="false" ht="15" hidden="false" customHeight="false" outlineLevel="0" collapsed="false">
      <c r="A3907" s="4" t="s">
        <v>561</v>
      </c>
      <c r="B3907" s="0" t="s">
        <v>234</v>
      </c>
      <c r="C3907" s="30" t="n">
        <f aca="false">a25_ms</f>
        <v>339.628</v>
      </c>
      <c r="D3907" s="30" t="n">
        <f aca="false">a26_ms</f>
        <v>432.1302</v>
      </c>
      <c r="E3907" s="30" t="n">
        <f aca="false">D3907*(1+g_ms27)</f>
        <v>496.94973</v>
      </c>
      <c r="F3907" s="30" t="n">
        <f aca="false">E3907*(1+g_msL)</f>
        <v>531.7362111</v>
      </c>
      <c r="G3907" s="30" t="n">
        <f aca="false">F3907*(1+g_msL)</f>
        <v>568.957745877</v>
      </c>
    </row>
    <row r="3908" customFormat="false" ht="17.15" hidden="false" customHeight="false" outlineLevel="0" collapsed="false">
      <c r="A3908" s="4" t="s">
        <v>562</v>
      </c>
      <c r="B3908" s="0" t="s">
        <v>234</v>
      </c>
      <c r="C3908" s="30" t="n">
        <f aca="false">C3906+C3907</f>
        <v>389.228</v>
      </c>
      <c r="D3908" s="30" t="n">
        <f aca="false">D3906+D3907</f>
        <v>559.7302</v>
      </c>
      <c r="E3908" s="30" t="n">
        <f aca="false">E3906+E3907</f>
        <v>728.821319735419</v>
      </c>
      <c r="F3908" s="30" t="n">
        <f aca="false">F3906+F3907</f>
        <v>694.544777795461</v>
      </c>
      <c r="G3908" s="30" t="n">
        <f aca="false">G3906+G3907</f>
        <v>760.995652761461</v>
      </c>
    </row>
    <row r="3909" customFormat="false" ht="17.15" hidden="false" customHeight="false" outlineLevel="0" collapsed="false">
      <c r="A3909" s="0" t="s">
        <v>563</v>
      </c>
      <c r="B3909" s="0" t="s">
        <v>234</v>
      </c>
      <c r="C3909" s="30" t="n">
        <f aca="false">a25_ems</f>
        <v>259.079</v>
      </c>
      <c r="D3909" s="30" t="n">
        <f aca="false">a26_ems</f>
        <v>314.602</v>
      </c>
      <c r="E3909" s="30" t="n">
        <f aca="false">D3909*(1+g_ems27)</f>
        <v>346.0622</v>
      </c>
      <c r="F3909" s="30" t="n">
        <f aca="false">E3909*(1+g_emsL)</f>
        <v>363.36531</v>
      </c>
      <c r="G3909" s="30" t="n">
        <f aca="false">F3909*(1+g_emsL)</f>
        <v>381.5335755</v>
      </c>
    </row>
    <row r="3910" customFormat="false" ht="17.15" hidden="false" customHeight="false" outlineLevel="0" collapsed="false">
      <c r="A3910" s="4" t="s">
        <v>564</v>
      </c>
      <c r="B3910" s="0" t="s">
        <v>234</v>
      </c>
      <c r="C3910" s="30" t="n">
        <f aca="false">a25_elim</f>
        <v>-2.91899999999998</v>
      </c>
      <c r="D3910" s="30" t="n">
        <f aca="false">a26_elim</f>
        <v>-3.16484905982349</v>
      </c>
      <c r="E3910" s="30" t="n">
        <f aca="false">$D3910/($D3908+$D3909)*(E3908+E3909)</f>
        <v>-3.89079127687897</v>
      </c>
      <c r="F3910" s="30" t="n">
        <f aca="false">$D3910/($D3908+$D3909)*(F3908+F3909)</f>
        <v>-3.8293519862785</v>
      </c>
      <c r="G3910" s="30" t="n">
        <f aca="false">$D3910/($D3908+$D3909)*(G3908+G3909)</f>
        <v>-4.135650675892</v>
      </c>
      <c r="K3910" s="4" t="s">
        <v>565</v>
      </c>
    </row>
    <row r="3911" customFormat="false" ht="17.15" hidden="false" customHeight="false" outlineLevel="0" collapsed="false">
      <c r="A3911" s="4" t="s">
        <v>431</v>
      </c>
      <c r="B3911" s="0" t="s">
        <v>234</v>
      </c>
      <c r="C3911" s="30" t="n">
        <f aca="false">C3908+C3909+C3910</f>
        <v>645.388</v>
      </c>
      <c r="D3911" s="30" t="n">
        <f aca="false">D3908+D3909+D3910</f>
        <v>871.167350940177</v>
      </c>
      <c r="E3911" s="30" t="n">
        <f aca="false">E3908+E3909+E3910</f>
        <v>1070.99272845854</v>
      </c>
      <c r="F3911" s="30" t="n">
        <f aca="false">F3908+F3909+F3910</f>
        <v>1054.08073580918</v>
      </c>
      <c r="G3911" s="30" t="n">
        <f aca="false">G3908+G3909+G3910</f>
        <v>1138.39357758557</v>
      </c>
      <c r="H3911" s="31" t="n">
        <f aca="false">G3911*(1+H3912)</f>
        <v>1206.68738805437</v>
      </c>
      <c r="I3911" s="31" t="n">
        <f aca="false">H3911*(1+I3912)</f>
        <v>1254.9496874</v>
      </c>
      <c r="J3911" s="31" t="n">
        <f aca="false">I3911*(1+J3912)</f>
        <v>1280.048681148</v>
      </c>
      <c r="K3911" s="8" t="s">
        <v>566</v>
      </c>
    </row>
    <row r="3912" customFormat="false" ht="15" hidden="false" customHeight="false" outlineLevel="0" collapsed="false">
      <c r="A3912" s="4" t="s">
        <v>567</v>
      </c>
      <c r="B3912" s="0" t="s">
        <v>76</v>
      </c>
      <c r="D3912" s="21" t="n">
        <f aca="false">D3911/C3911-1</f>
        <v>0.349835061916516</v>
      </c>
      <c r="E3912" s="21" t="n">
        <f aca="false">E3911/D3911-1</f>
        <v>0.229376568466104</v>
      </c>
      <c r="F3912" s="21" t="n">
        <f aca="false">F3911/E3911-1</f>
        <v>-0.0157909500223209</v>
      </c>
      <c r="G3912" s="21" t="n">
        <f aca="false">G3911/F3911-1</f>
        <v>0.079987081550885</v>
      </c>
      <c r="H3912" s="26" t="n">
        <f aca="false">$G3912+(fade_gC-$G3912)*1/3</f>
        <v>0.05999138770059</v>
      </c>
      <c r="I3912" s="26" t="n">
        <f aca="false">$G3912+(fade_gC-$G3912)*2/3</f>
        <v>0.039995693850295</v>
      </c>
      <c r="J3912" s="26" t="n">
        <f aca="false">$G3912+(fade_gC-$G3912)*3/3</f>
        <v>0.02</v>
      </c>
    </row>
    <row r="3913" customFormat="false" ht="17.15" hidden="false" customHeight="false" outlineLevel="0" collapsed="false">
      <c r="A3913" s="0" t="s">
        <v>475</v>
      </c>
      <c r="B3913" s="0" t="s">
        <v>76</v>
      </c>
      <c r="C3913" s="21" t="n">
        <f aca="false">C3906/C3908</f>
        <v>0.127431736668482</v>
      </c>
      <c r="D3913" s="21" t="n">
        <f aca="false">D3906/D3908</f>
        <v>0.227966974088588</v>
      </c>
      <c r="E3913" s="21" t="n">
        <f aca="false">E3906/E3908</f>
        <v>0.31814600294568</v>
      </c>
      <c r="F3913" s="21" t="n">
        <f aca="false">F3906/F3908</f>
        <v>0.234410468411019</v>
      </c>
      <c r="G3913" s="21" t="n">
        <f aca="false">G3906/G3908</f>
        <v>0.252350859282315</v>
      </c>
    </row>
    <row r="3914" customFormat="false" ht="15" hidden="false" customHeight="false" outlineLevel="0" collapsed="false">
      <c r="A3914" s="4" t="s">
        <v>568</v>
      </c>
      <c r="B3914" s="0" t="s">
        <v>76</v>
      </c>
      <c r="D3914" s="21" t="n">
        <f aca="false">D3908/C3908-1</f>
        <v>0.438052247012034</v>
      </c>
      <c r="E3914" s="21" t="n">
        <f aca="false">E3908/D3908-1</f>
        <v>0.302093972659362</v>
      </c>
      <c r="F3914" s="21" t="n">
        <f aca="false">F3908/E3908-1</f>
        <v>-0.047030103280186</v>
      </c>
      <c r="G3914" s="21" t="n">
        <f aca="false">G3908/F3908-1</f>
        <v>0.0956754367614998</v>
      </c>
    </row>
    <row r="3915" customFormat="false" ht="17.15" hidden="false" customHeight="false" outlineLevel="0" collapsed="false">
      <c r="A3915" s="6" t="s">
        <v>569</v>
      </c>
    </row>
    <row r="3916" customFormat="false" ht="17.15" hidden="false" customHeight="false" outlineLevel="0" collapsed="false">
      <c r="A3916" s="4" t="s">
        <v>570</v>
      </c>
      <c r="B3916" s="0" t="s">
        <v>120</v>
      </c>
      <c r="C3916" s="19" t="n">
        <f aca="false">capex25</f>
        <v>5.5</v>
      </c>
      <c r="D3916" s="19" t="n">
        <f aca="false">capex26</f>
        <v>11.5</v>
      </c>
      <c r="E3916" s="19" t="n">
        <f aca="false">capex27</f>
        <v>13</v>
      </c>
      <c r="F3916" s="19" t="n">
        <f aca="false">capi*F3911/F3904</f>
        <v>9.88200689821109</v>
      </c>
      <c r="G3916" s="19" t="n">
        <f aca="false">capi*G3911/G3904</f>
        <v>10.6724397898647</v>
      </c>
      <c r="K3916" s="8" t="s">
        <v>571</v>
      </c>
    </row>
    <row r="3917" customFormat="false" ht="15" hidden="false" customHeight="false" outlineLevel="0" collapsed="false">
      <c r="A3917" s="4" t="s">
        <v>572</v>
      </c>
      <c r="B3917" s="0" t="s">
        <v>234</v>
      </c>
      <c r="C3917" s="30" t="n">
        <f aca="false">C3916*C3904</f>
        <v>170.5</v>
      </c>
      <c r="D3917" s="30" t="n">
        <f aca="false">D3916*31.9</f>
        <v>366.85</v>
      </c>
      <c r="E3917" s="30" t="n">
        <f aca="false">E3916*E3904</f>
        <v>416</v>
      </c>
      <c r="F3917" s="30" t="n">
        <f aca="false">F3916*F3904</f>
        <v>316.224220742755</v>
      </c>
      <c r="G3917" s="30" t="n">
        <f aca="false">G3916*G3904</f>
        <v>341.518073275671</v>
      </c>
    </row>
    <row r="3918" customFormat="false" ht="17.15" hidden="false" customHeight="false" outlineLevel="0" collapsed="false">
      <c r="A3918" s="4" t="s">
        <v>473</v>
      </c>
      <c r="B3918" s="0" t="s">
        <v>76</v>
      </c>
      <c r="C3918" s="21" t="n">
        <f aca="false">C3917/C3911</f>
        <v>0.264182166386732</v>
      </c>
      <c r="D3918" s="21" t="n">
        <f aca="false">D3917/D3911</f>
        <v>0.421101639775745</v>
      </c>
      <c r="E3918" s="21" t="n">
        <f aca="false">E3917/E3911</f>
        <v>0.388424672685445</v>
      </c>
      <c r="F3918" s="21" t="n">
        <f aca="false">F3917/F3911</f>
        <v>0.3</v>
      </c>
      <c r="G3918" s="21" t="n">
        <f aca="false">G3917/G3911</f>
        <v>0.3</v>
      </c>
    </row>
    <row r="3919" customFormat="false" ht="17.15" hidden="false" customHeight="false" outlineLevel="0" collapsed="false">
      <c r="A3919" s="4" t="s">
        <v>573</v>
      </c>
      <c r="B3919" s="0" t="s">
        <v>234</v>
      </c>
      <c r="C3919" s="30" t="n">
        <f aca="false">a25_da</f>
        <v>75.255</v>
      </c>
      <c r="D3919" s="30" t="n">
        <f aca="false">a26_da</f>
        <v>97.124</v>
      </c>
      <c r="E3919" s="30" t="n">
        <f aca="false">D3919*(1-1/life_hi)+D3917/life_hi</f>
        <v>119.601166666667</v>
      </c>
      <c r="F3919" s="30" t="n">
        <f aca="false">E3919*(1-1/life_hi)+E3917/life_hi</f>
        <v>144.301069444444</v>
      </c>
      <c r="G3919" s="30" t="n">
        <f aca="false">F3919*(1-1/life_hi)+F3917/life_hi</f>
        <v>158.627998719304</v>
      </c>
      <c r="K3919" s="4" t="s">
        <v>574</v>
      </c>
    </row>
    <row r="3920" customFormat="false" ht="17.15" hidden="false" customHeight="false" outlineLevel="0" collapsed="false">
      <c r="A3920" s="4" t="s">
        <v>575</v>
      </c>
      <c r="B3920" s="0" t="s">
        <v>234</v>
      </c>
      <c r="C3920" s="30" t="n">
        <f aca="false">a25_agp</f>
        <v>91.38</v>
      </c>
      <c r="D3920" s="30" t="n">
        <f aca="false">a26_agp</f>
        <v>164.623388</v>
      </c>
      <c r="E3920" s="30" t="n">
        <f aca="false">$D3920+ft*(E3908-$D3908)-(E3919-$D3919)</f>
        <v>226.691781201043</v>
      </c>
      <c r="F3920" s="30" t="n">
        <f aca="false">$D3920+ft*(F3908-$D3908)-(F3919-$D3919)</f>
        <v>184.853607453286</v>
      </c>
      <c r="G3920" s="30" t="n">
        <f aca="false">$D3920+ft*(G3908-$D3908)-(G3919-$D3919)</f>
        <v>203.752115661427</v>
      </c>
      <c r="K3920" s="4" t="s">
        <v>576</v>
      </c>
    </row>
    <row r="3921" customFormat="false" ht="15" hidden="false" customHeight="false" outlineLevel="0" collapsed="false">
      <c r="A3921" s="4" t="s">
        <v>447</v>
      </c>
      <c r="B3921" s="0" t="s">
        <v>76</v>
      </c>
      <c r="C3921" s="14" t="n">
        <f aca="false">C3920/C3908</f>
        <v>0.234772421305764</v>
      </c>
      <c r="D3921" s="14" t="n">
        <f aca="false">D3920/D3908</f>
        <v>0.294112034690999</v>
      </c>
      <c r="E3921" s="14" t="n">
        <f aca="false">E3920/E3908</f>
        <v>0.311038899470364</v>
      </c>
      <c r="F3921" s="14" t="n">
        <f aca="false">F3920/F3908</f>
        <v>0.266150741266857</v>
      </c>
      <c r="G3921" s="14" t="n">
        <f aca="false">G3920/G3908</f>
        <v>0.267744125636016</v>
      </c>
    </row>
    <row r="3922" customFormat="false" ht="17.15" hidden="false" customHeight="false" outlineLevel="0" collapsed="false">
      <c r="A3922" s="0" t="s">
        <v>449</v>
      </c>
      <c r="B3922" s="0" t="s">
        <v>234</v>
      </c>
      <c r="C3922" s="30" t="n">
        <f aca="false">a25_egp</f>
        <v>23.695</v>
      </c>
      <c r="D3922" s="30" t="n">
        <f aca="false">a26_egp</f>
        <v>27.00552</v>
      </c>
      <c r="E3922" s="30" t="n">
        <f aca="false">E3909*ems_gm</f>
        <v>29.415287</v>
      </c>
      <c r="F3922" s="30" t="n">
        <f aca="false">F3909*ems_gm</f>
        <v>30.88605135</v>
      </c>
      <c r="G3922" s="30" t="n">
        <f aca="false">G3909*ems_gm</f>
        <v>32.4303539175</v>
      </c>
    </row>
    <row r="3923" customFormat="false" ht="15" hidden="false" customHeight="false" outlineLevel="0" collapsed="false">
      <c r="A3923" s="4" t="s">
        <v>577</v>
      </c>
      <c r="B3923" s="0" t="s">
        <v>234</v>
      </c>
      <c r="C3923" s="30" t="n">
        <f aca="false">a25_lgp</f>
        <v>-0.881999999999998</v>
      </c>
      <c r="D3923" s="30" t="n">
        <f aca="false">a26_lgp</f>
        <v>-0.948662139013863</v>
      </c>
      <c r="E3923" s="30" t="n">
        <f aca="false">$D3923/$D3910*E3910</f>
        <v>-1.16626300509458</v>
      </c>
      <c r="F3923" s="30" t="n">
        <f aca="false">$D3923/$D3910*F3910</f>
        <v>-1.14784660426825</v>
      </c>
      <c r="G3923" s="30" t="n">
        <f aca="false">$D3923/$D3910*G3910</f>
        <v>-1.23965950421176</v>
      </c>
    </row>
    <row r="3924" customFormat="false" ht="15" hidden="false" customHeight="false" outlineLevel="0" collapsed="false">
      <c r="A3924" s="4" t="s">
        <v>451</v>
      </c>
      <c r="B3924" s="0" t="s">
        <v>234</v>
      </c>
      <c r="C3924" s="30" t="n">
        <f aca="false">C3920+C3922+C3923</f>
        <v>114.193</v>
      </c>
      <c r="D3924" s="30" t="n">
        <f aca="false">D3920+D3922+D3923</f>
        <v>190.680245860986</v>
      </c>
      <c r="E3924" s="30" t="n">
        <f aca="false">E3920+E3922+E3923</f>
        <v>254.940805195948</v>
      </c>
      <c r="F3924" s="30" t="n">
        <f aca="false">F3920+F3922+F3923</f>
        <v>214.591812199018</v>
      </c>
      <c r="G3924" s="30" t="n">
        <f aca="false">G3920+G3922+G3923</f>
        <v>234.942810074715</v>
      </c>
    </row>
    <row r="3925" customFormat="false" ht="15" hidden="false" customHeight="false" outlineLevel="0" collapsed="false">
      <c r="A3925" s="4" t="s">
        <v>452</v>
      </c>
      <c r="B3925" s="0" t="s">
        <v>76</v>
      </c>
      <c r="C3925" s="14" t="n">
        <f aca="false">C3924/C3911</f>
        <v>0.176936974347214</v>
      </c>
      <c r="D3925" s="14" t="n">
        <f aca="false">D3924/D3911</f>
        <v>0.218879008327391</v>
      </c>
      <c r="E3925" s="14" t="n">
        <f aca="false">E3924/E3911</f>
        <v>0.238041583683654</v>
      </c>
      <c r="F3925" s="14" t="n">
        <f aca="false">F3924/F3911</f>
        <v>0.20358195051756</v>
      </c>
      <c r="G3925" s="14" t="n">
        <f aca="false">G3924/G3911</f>
        <v>0.20638100451428</v>
      </c>
    </row>
    <row r="3926" customFormat="false" ht="15" hidden="false" customHeight="false" outlineLevel="0" collapsed="false">
      <c r="A3926" s="4" t="s">
        <v>578</v>
      </c>
      <c r="B3926" s="0" t="s">
        <v>234</v>
      </c>
      <c r="C3926" s="30" t="n">
        <f aca="false">a25_opx</f>
        <v>63.437</v>
      </c>
      <c r="D3926" s="30" t="n">
        <f aca="false">a26_opx</f>
        <v>79.658</v>
      </c>
      <c r="E3926" s="30" t="n">
        <f aca="false">D3926*(1+phi*E3912)</f>
        <v>90.6210072145237</v>
      </c>
      <c r="F3926" s="30" t="n">
        <f aca="false">E3926*(1+phi*F3912)</f>
        <v>89.7624121369856</v>
      </c>
      <c r="G3926" s="30" t="n">
        <f aca="false">F3926*(1+phi*G3912)</f>
        <v>94.0703121648687</v>
      </c>
    </row>
    <row r="3927" customFormat="false" ht="15" hidden="false" customHeight="false" outlineLevel="0" collapsed="false">
      <c r="A3927" s="4" t="s">
        <v>455</v>
      </c>
      <c r="B3927" s="0" t="s">
        <v>234</v>
      </c>
      <c r="C3927" s="30" t="n">
        <f aca="false">C3924-C3926</f>
        <v>50.756</v>
      </c>
      <c r="D3927" s="30" t="n">
        <f aca="false">D3924-D3926</f>
        <v>111.022245860986</v>
      </c>
      <c r="E3927" s="30" t="n">
        <f aca="false">E3924-E3926</f>
        <v>164.319797981425</v>
      </c>
      <c r="F3927" s="30" t="n">
        <f aca="false">F3924-F3926</f>
        <v>124.829400062032</v>
      </c>
      <c r="G3927" s="30" t="n">
        <f aca="false">G3924-G3926</f>
        <v>140.872497909846</v>
      </c>
    </row>
    <row r="3928" customFormat="false" ht="15" hidden="false" customHeight="false" outlineLevel="0" collapsed="false">
      <c r="A3928" s="4" t="s">
        <v>537</v>
      </c>
      <c r="B3928" s="0" t="s">
        <v>76</v>
      </c>
      <c r="C3928" s="14" t="n">
        <f aca="false">C3927/C3911</f>
        <v>0.0786441644406156</v>
      </c>
      <c r="D3928" s="14" t="n">
        <f aca="false">D3927/D3911</f>
        <v>0.127440779020437</v>
      </c>
      <c r="E3928" s="14" t="n">
        <f aca="false">E3927/E3911</f>
        <v>0.153427557083349</v>
      </c>
      <c r="F3928" s="14" t="n">
        <f aca="false">F3927/F3911</f>
        <v>0.118424894622711</v>
      </c>
      <c r="G3928" s="14" t="n">
        <f aca="false">G3927/G3911</f>
        <v>0.123746743379055</v>
      </c>
    </row>
    <row r="3929" customFormat="false" ht="15" hidden="false" customHeight="false" outlineLevel="0" collapsed="false">
      <c r="A3929" s="4" t="s">
        <v>456</v>
      </c>
      <c r="B3929" s="0" t="s">
        <v>234</v>
      </c>
      <c r="C3929" s="30" t="n">
        <f aca="false">a25_nonop</f>
        <v>0.545</v>
      </c>
      <c r="D3929" s="30" t="n">
        <f aca="false">a26_nonop</f>
        <v>4.302</v>
      </c>
      <c r="E3929" s="30" t="n">
        <f aca="false">nonop_f</f>
        <v>-5</v>
      </c>
      <c r="F3929" s="30" t="n">
        <f aca="false">nonop_f</f>
        <v>-5</v>
      </c>
      <c r="G3929" s="30" t="n">
        <f aca="false">nonop_f</f>
        <v>-5</v>
      </c>
    </row>
    <row r="3930" customFormat="false" ht="15" hidden="false" customHeight="false" outlineLevel="0" collapsed="false">
      <c r="A3930" s="4" t="s">
        <v>459</v>
      </c>
      <c r="B3930" s="0" t="s">
        <v>234</v>
      </c>
      <c r="C3930" s="30" t="n">
        <f aca="false">C3927+C3929</f>
        <v>51.301</v>
      </c>
      <c r="D3930" s="30" t="n">
        <f aca="false">D3927+D3929</f>
        <v>115.324245860986</v>
      </c>
      <c r="E3930" s="30" t="n">
        <f aca="false">E3927+E3929</f>
        <v>159.319797981425</v>
      </c>
      <c r="F3930" s="30" t="n">
        <f aca="false">F3927+F3929</f>
        <v>119.829400062032</v>
      </c>
      <c r="G3930" s="30" t="n">
        <f aca="false">G3927+G3929</f>
        <v>135.872497909846</v>
      </c>
    </row>
    <row r="3931" customFormat="false" ht="15" hidden="false" customHeight="false" outlineLevel="0" collapsed="false">
      <c r="A3931" s="4" t="s">
        <v>460</v>
      </c>
      <c r="B3931" s="0" t="s">
        <v>234</v>
      </c>
      <c r="C3931" s="30" t="n">
        <f aca="false">a25_tax</f>
        <v>9.461</v>
      </c>
      <c r="D3931" s="30" t="n">
        <f aca="false">a26_tax</f>
        <v>19.2197317963676</v>
      </c>
      <c r="E3931" s="30" t="n">
        <f aca="false">E3930*tax</f>
        <v>27.0843656568422</v>
      </c>
      <c r="F3931" s="30" t="n">
        <f aca="false">F3930*tax</f>
        <v>20.3709980105455</v>
      </c>
      <c r="G3931" s="30" t="n">
        <f aca="false">G3930*tax</f>
        <v>23.0983246446739</v>
      </c>
    </row>
    <row r="3932" customFormat="false" ht="15" hidden="false" customHeight="false" outlineLevel="0" collapsed="false">
      <c r="A3932" s="4" t="s">
        <v>461</v>
      </c>
      <c r="B3932" s="0" t="s">
        <v>234</v>
      </c>
      <c r="C3932" s="30" t="n">
        <f aca="false">a25_nci</f>
        <v>1.182</v>
      </c>
      <c r="D3932" s="30" t="n">
        <f aca="false">a26_nci</f>
        <v>2.543</v>
      </c>
      <c r="E3932" s="30" t="n">
        <f aca="false">nci</f>
        <v>3</v>
      </c>
      <c r="F3932" s="30" t="n">
        <f aca="false">nci</f>
        <v>3</v>
      </c>
      <c r="G3932" s="30" t="n">
        <f aca="false">nci</f>
        <v>3</v>
      </c>
    </row>
    <row r="3933" customFormat="false" ht="15" hidden="false" customHeight="false" outlineLevel="0" collapsed="false">
      <c r="A3933" s="4" t="s">
        <v>462</v>
      </c>
      <c r="B3933" s="0" t="s">
        <v>234</v>
      </c>
      <c r="C3933" s="30" t="n">
        <f aca="false">C3930-C3931-C3932</f>
        <v>40.658</v>
      </c>
      <c r="D3933" s="30" t="n">
        <f aca="false">D3930-D3931-D3932</f>
        <v>93.5615140646185</v>
      </c>
      <c r="E3933" s="30" t="n">
        <f aca="false">E3930-E3931-E3932</f>
        <v>129.235432324582</v>
      </c>
      <c r="F3933" s="30" t="n">
        <f aca="false">F3930-F3931-F3932</f>
        <v>96.4584020514868</v>
      </c>
      <c r="G3933" s="30" t="n">
        <f aca="false">G3930-G3931-G3932</f>
        <v>109.774173265172</v>
      </c>
      <c r="H3933" s="31" t="n">
        <f aca="false">H3911*H3937</f>
        <v>102.36775245731</v>
      </c>
      <c r="I3933" s="31" t="n">
        <f aca="false">I3911*I3937</f>
        <v>91.9104791685082</v>
      </c>
      <c r="J3933" s="31" t="n">
        <f aca="false">J3911*J3937</f>
        <v>78.9061153241268</v>
      </c>
    </row>
    <row r="3934" customFormat="false" ht="15" hidden="false" customHeight="false" outlineLevel="0" collapsed="false">
      <c r="A3934" s="4" t="s">
        <v>579</v>
      </c>
      <c r="B3934" s="4" t="s">
        <v>580</v>
      </c>
      <c r="C3934" s="18" t="n">
        <f aca="false">a25_sh</f>
        <v>4339.16755602988</v>
      </c>
      <c r="D3934" s="18" t="n">
        <f aca="false">a26_sh</f>
        <v>4392.90105184664</v>
      </c>
      <c r="E3934" s="18" t="n">
        <f aca="false">D3934*(1+sh_g)</f>
        <v>4414.86555710588</v>
      </c>
      <c r="F3934" s="18" t="n">
        <f aca="false">E3934*(1+sh_g)</f>
        <v>4436.9398848914</v>
      </c>
      <c r="G3934" s="18" t="n">
        <f aca="false">F3934*(1+sh_g)</f>
        <v>4459.12458431586</v>
      </c>
      <c r="H3934" s="25" t="n">
        <f aca="false">G3934*(1+sh_g)</f>
        <v>4481.42020723744</v>
      </c>
      <c r="I3934" s="25" t="n">
        <f aca="false">H3934*(1+sh_g)</f>
        <v>4503.82730827363</v>
      </c>
      <c r="J3934" s="25" t="n">
        <f aca="false">I3934*(1+sh_g)</f>
        <v>4526.34644481499</v>
      </c>
    </row>
    <row r="3935" customFormat="false" ht="17.15" hidden="false" customHeight="false" outlineLevel="0" collapsed="false">
      <c r="A3935" s="0" t="s">
        <v>465</v>
      </c>
      <c r="B3935" s="0" t="s">
        <v>304</v>
      </c>
      <c r="C3935" s="19" t="n">
        <f aca="false">a25_eps</f>
        <v>9.37</v>
      </c>
      <c r="D3935" s="19" t="n">
        <f aca="false">a26_eps</f>
        <v>21.2828697294455</v>
      </c>
      <c r="E3935" s="19" t="n">
        <f aca="false">E3933/E3934*1000</f>
        <v>29.2727899984573</v>
      </c>
      <c r="F3935" s="19" t="n">
        <f aca="false">F3933/F3934*1000</f>
        <v>21.7398487592643</v>
      </c>
      <c r="G3935" s="19" t="n">
        <f aca="false">G3933/G3934*1000</f>
        <v>24.6178753675738</v>
      </c>
      <c r="H3935" s="28" t="n">
        <f aca="false">H3933/H3934*1000</f>
        <v>22.8427033671128</v>
      </c>
      <c r="I3935" s="28" t="n">
        <f aca="false">I3933/I3934*1000</f>
        <v>20.4071943432793</v>
      </c>
      <c r="J3935" s="28" t="n">
        <f aca="false">J3933/J3934*1000</f>
        <v>17.4326283430017</v>
      </c>
    </row>
    <row r="3936" customFormat="false" ht="17.15" hidden="false" customHeight="false" outlineLevel="0" collapsed="false">
      <c r="A3936" s="0" t="s">
        <v>581</v>
      </c>
      <c r="B3936" s="0" t="s">
        <v>76</v>
      </c>
      <c r="D3936" s="21" t="n">
        <f aca="false">D3935/C3935-1</f>
        <v>1.27138417603474</v>
      </c>
      <c r="E3936" s="21" t="n">
        <f aca="false">E3935/D3935-1</f>
        <v>0.375415551125489</v>
      </c>
      <c r="F3936" s="21" t="n">
        <f aca="false">F3935/E3935-1</f>
        <v>-0.25733595053939</v>
      </c>
      <c r="G3936" s="21" t="n">
        <f aca="false">G3935/F3935-1</f>
        <v>0.132384849599428</v>
      </c>
      <c r="H3936" s="26" t="n">
        <f aca="false">H3935/G3935-1</f>
        <v>-0.0721090660325338</v>
      </c>
      <c r="I3936" s="26" t="n">
        <f aca="false">I3935/H3935-1</f>
        <v>-0.106620875151756</v>
      </c>
      <c r="J3936" s="26" t="n">
        <f aca="false">J3935/I3935-1</f>
        <v>-0.145760654318323</v>
      </c>
    </row>
    <row r="3937" customFormat="false" ht="17.15" hidden="false" customHeight="false" outlineLevel="0" collapsed="false">
      <c r="A3937" s="4" t="s">
        <v>582</v>
      </c>
      <c r="B3937" s="0" t="s">
        <v>76</v>
      </c>
      <c r="C3937" s="14" t="n">
        <f aca="false">C3933/C3911</f>
        <v>0.0629977625862272</v>
      </c>
      <c r="D3937" s="14" t="n">
        <f aca="false">D3933/D3911</f>
        <v>0.107397865592237</v>
      </c>
      <c r="E3937" s="14" t="n">
        <f aca="false">E3933/E3911</f>
        <v>0.120668823317399</v>
      </c>
      <c r="F3937" s="14" t="n">
        <f aca="false">F3933/F3911</f>
        <v>0.0915095009088074</v>
      </c>
      <c r="G3937" s="14" t="n">
        <f aca="false">G3933/G3911</f>
        <v>0.0964290166657419</v>
      </c>
      <c r="H3937" s="27" t="n">
        <f aca="false">$G3937+(fade_mC-$G3937)*1/3</f>
        <v>0.0848336971702051</v>
      </c>
      <c r="I3937" s="27" t="n">
        <f aca="false">$G3937+(fade_mC-$G3937)*2/3</f>
        <v>0.0732383776746683</v>
      </c>
      <c r="J3937" s="27" t="n">
        <f aca="false">$G3937+(fade_mC-$G3937)*3/3</f>
        <v>0.0616430581791315</v>
      </c>
    </row>
    <row r="3938" customFormat="false" ht="17.15" hidden="false" customHeight="false" outlineLevel="0" collapsed="false">
      <c r="A3938" s="4" t="s">
        <v>583</v>
      </c>
      <c r="B3938" s="0" t="s">
        <v>234</v>
      </c>
      <c r="C3938" s="30" t="n">
        <f aca="false">C3933+C3919-C3917</f>
        <v>-54.587</v>
      </c>
      <c r="D3938" s="30" t="n">
        <f aca="false">D3933+D3919-D3917</f>
        <v>-176.164485935382</v>
      </c>
      <c r="E3938" s="30" t="n">
        <f aca="false">E3933+E3919-E3917</f>
        <v>-167.163401008751</v>
      </c>
      <c r="F3938" s="30" t="n">
        <f aca="false">F3933+F3919-F3917</f>
        <v>-75.4647492468235</v>
      </c>
      <c r="G3938" s="30" t="n">
        <f aca="false">G3933+G3919-G3917</f>
        <v>-73.1159012911946</v>
      </c>
      <c r="K3938" s="4" t="s">
        <v>584</v>
      </c>
    </row>
    <row r="3939" customFormat="false" ht="17.15" hidden="false" customHeight="false" outlineLevel="0" collapsed="false">
      <c r="A3939" s="4" t="s">
        <v>585</v>
      </c>
      <c r="B3939" s="0" t="s">
        <v>76</v>
      </c>
      <c r="D3939" s="21" t="n">
        <f aca="false">(D3927-$C3927)/SUM($D3917:D3917)</f>
        <v>0.164280348537512</v>
      </c>
      <c r="E3939" s="21" t="n">
        <f aca="false">(E3927-$C3927)/SUM($D3917:E3917)</f>
        <v>0.145064569178546</v>
      </c>
      <c r="F3939" s="21" t="n">
        <f aca="false">(F3927-$C3927)/SUM($D3917:F3917)</f>
        <v>0.067396176403786</v>
      </c>
      <c r="G3939" s="21" t="n">
        <f aca="false">(G3927-$C3927)/SUM($D3917:G3917)</f>
        <v>0.0625551714277695</v>
      </c>
      <c r="K3939" s="4" t="s">
        <v>586</v>
      </c>
    </row>
    <row r="3942" customFormat="false" ht="17.15" hidden="false" customHeight="false" outlineLevel="0" collapsed="false">
      <c r="A3942" s="1" t="s">
        <v>994</v>
      </c>
    </row>
    <row r="3943" customFormat="false" ht="17.15" hidden="false" customHeight="false" outlineLevel="0" collapsed="false">
      <c r="A3943" s="5" t="s">
        <v>21</v>
      </c>
      <c r="B3943" s="5" t="s">
        <v>22</v>
      </c>
      <c r="C3943" s="15" t="s">
        <v>424</v>
      </c>
      <c r="D3943" s="15" t="s">
        <v>524</v>
      </c>
      <c r="E3943" s="15" t="s">
        <v>525</v>
      </c>
      <c r="F3943" s="15" t="s">
        <v>526</v>
      </c>
      <c r="G3943" s="15" t="s">
        <v>527</v>
      </c>
      <c r="H3943" s="15" t="s">
        <v>528</v>
      </c>
      <c r="I3943" s="15" t="s">
        <v>529</v>
      </c>
      <c r="J3943" s="15" t="s">
        <v>530</v>
      </c>
      <c r="K3943" s="5" t="s">
        <v>382</v>
      </c>
    </row>
    <row r="3944" customFormat="false" ht="17.15" hidden="false" customHeight="false" outlineLevel="0" collapsed="false">
      <c r="A3944" s="6" t="s">
        <v>548</v>
      </c>
    </row>
    <row r="3945" customFormat="false" ht="17.15" hidden="false" customHeight="false" outlineLevel="0" collapsed="false">
      <c r="A3945" s="0" t="s">
        <v>549</v>
      </c>
      <c r="B3945" s="4" t="s">
        <v>32</v>
      </c>
      <c r="D3945" s="19" t="n">
        <f aca="false">units_26</f>
        <v>15.2</v>
      </c>
      <c r="E3945" s="19" t="n">
        <f aca="false">units_27*1</f>
        <v>23.7</v>
      </c>
      <c r="F3945" s="19" t="n">
        <f aca="false">units_28*um28_A*1</f>
        <v>26.5</v>
      </c>
      <c r="G3945" s="19" t="n">
        <f aca="false">units_29*um29_A*1</f>
        <v>30.15</v>
      </c>
    </row>
    <row r="3946" customFormat="false" ht="17.15" hidden="false" customHeight="false" outlineLevel="0" collapsed="false">
      <c r="A3946" s="4" t="s">
        <v>497</v>
      </c>
      <c r="B3946" s="0" t="s">
        <v>45</v>
      </c>
      <c r="D3946" s="22" t="n">
        <f aca="false">ar_26</f>
        <v>1</v>
      </c>
      <c r="E3946" s="22" t="n">
        <f aca="false">ar_27</f>
        <v>1.278156</v>
      </c>
      <c r="F3946" s="22" t="n">
        <f aca="false">ar_28</f>
        <v>1.428615</v>
      </c>
      <c r="G3946" s="22" t="n">
        <f aca="false">ar_29</f>
        <v>1.431796</v>
      </c>
    </row>
    <row r="3947" customFormat="false" ht="17.15" hidden="false" customHeight="false" outlineLevel="0" collapsed="false">
      <c r="A3947" s="4" t="s">
        <v>550</v>
      </c>
      <c r="B3947" s="0" t="s">
        <v>45</v>
      </c>
      <c r="D3947" s="19" t="n">
        <f aca="false">1</f>
        <v>1</v>
      </c>
      <c r="E3947" s="19" t="n">
        <f aca="false">rel27_A</f>
        <v>1.1</v>
      </c>
      <c r="F3947" s="19" t="n">
        <f aca="false">rel28_A</f>
        <v>1.15</v>
      </c>
      <c r="G3947" s="19" t="n">
        <f aca="false">rel29_A</f>
        <v>1.2</v>
      </c>
    </row>
    <row r="3948" customFormat="false" ht="17.15" hidden="false" customHeight="false" outlineLevel="0" collapsed="false">
      <c r="A3948" s="4" t="s">
        <v>551</v>
      </c>
      <c r="B3948" s="0" t="s">
        <v>502</v>
      </c>
      <c r="D3948" s="23" t="n">
        <f aca="false">D3949*1000/D3945</f>
        <v>236.842105263158</v>
      </c>
      <c r="E3948" s="23" t="n">
        <f aca="false">$D3948*E3946^el</f>
        <v>267.763172119488</v>
      </c>
      <c r="F3948" s="23" t="n">
        <f aca="false">$D3948*F3946^el</f>
        <v>283.084777049615</v>
      </c>
      <c r="G3948" s="23" t="n">
        <f aca="false">$D3948*G3946^el</f>
        <v>283.399764630809</v>
      </c>
      <c r="K3948" s="8" t="s">
        <v>552</v>
      </c>
    </row>
    <row r="3949" customFormat="false" ht="17.15" hidden="false" customHeight="false" outlineLevel="0" collapsed="false">
      <c r="A3949" s="0" t="s">
        <v>553</v>
      </c>
      <c r="B3949" s="0" t="s">
        <v>120</v>
      </c>
      <c r="D3949" s="22" t="n">
        <f aca="false">leap26-D3950-D3951</f>
        <v>3.6</v>
      </c>
      <c r="E3949" s="22" t="n">
        <f aca="false">E3945*E3947*E3948/1000</f>
        <v>6.98058589715504</v>
      </c>
      <c r="F3949" s="22" t="n">
        <f aca="false">F3945*F3947*F3948/1000</f>
        <v>8.627008580587</v>
      </c>
      <c r="G3949" s="22" t="n">
        <f aca="false">G3945*G3947*G3948/1000</f>
        <v>10.2534034843427</v>
      </c>
      <c r="K3949" s="8" t="s">
        <v>554</v>
      </c>
    </row>
    <row r="3950" customFormat="false" ht="17.15" hidden="false" customHeight="false" outlineLevel="0" collapsed="false">
      <c r="A3950" s="4" t="s">
        <v>555</v>
      </c>
      <c r="B3950" s="0" t="s">
        <v>120</v>
      </c>
      <c r="D3950" s="22" t="n">
        <f aca="false">fp26</f>
        <v>0.3</v>
      </c>
      <c r="E3950" s="22" t="n">
        <f aca="false">fp27_A</f>
        <v>1.2</v>
      </c>
      <c r="F3950" s="22" t="n">
        <f aca="false">E3950*F3945/E3945*(1+fp_g)</f>
        <v>1.74430379746835</v>
      </c>
      <c r="G3950" s="22" t="n">
        <f aca="false">F3950*G3945/F3945*(1+fp_g)</f>
        <v>2.57992405063291</v>
      </c>
    </row>
    <row r="3951" customFormat="false" ht="17.15" hidden="false" customHeight="false" outlineLevel="0" collapsed="false">
      <c r="A3951" s="0" t="s">
        <v>556</v>
      </c>
      <c r="B3951" s="0" t="s">
        <v>120</v>
      </c>
      <c r="D3951" s="22" t="n">
        <f aca="false">cpo27*cpo_A_26/cpo_A_27</f>
        <v>0.1</v>
      </c>
      <c r="E3951" s="22" t="n">
        <f aca="false">cpo27*cpo_A_27/cpo_A_27</f>
        <v>0.5</v>
      </c>
      <c r="F3951" s="22" t="n">
        <f aca="false">cpo27*cpo_A_28/cpo_A_27*F3945/E3945</f>
        <v>1.11814345991561</v>
      </c>
      <c r="G3951" s="22" t="n">
        <f aca="false">cpo27*cpo_A_29/cpo_A_27*G3945/E3945</f>
        <v>2.03544303797468</v>
      </c>
      <c r="K3951" s="8" t="s">
        <v>557</v>
      </c>
    </row>
    <row r="3952" customFormat="false" ht="17.15" hidden="false" customHeight="false" outlineLevel="0" collapsed="false">
      <c r="A3952" s="0" t="s">
        <v>510</v>
      </c>
      <c r="B3952" s="0" t="s">
        <v>120</v>
      </c>
      <c r="C3952" s="22" t="n">
        <f aca="false">leap25</f>
        <v>1.6</v>
      </c>
      <c r="D3952" s="22" t="n">
        <f aca="false">D3949+D3950+D3951</f>
        <v>4</v>
      </c>
      <c r="E3952" s="22" t="n">
        <f aca="false">E3949+E3950+E3951</f>
        <v>8.68058589715504</v>
      </c>
      <c r="F3952" s="22" t="n">
        <f aca="false">F3949+F3950+F3951</f>
        <v>11.489455837971</v>
      </c>
      <c r="G3952" s="22" t="n">
        <f aca="false">G3949+G3950+G3951</f>
        <v>14.8687705729503</v>
      </c>
    </row>
    <row r="3953" customFormat="false" ht="17.15" hidden="false" customHeight="false" outlineLevel="0" collapsed="false">
      <c r="A3953" s="4" t="s">
        <v>558</v>
      </c>
      <c r="B3953" s="0" t="s">
        <v>114</v>
      </c>
      <c r="C3953" s="19" t="n">
        <f aca="false">fx25</f>
        <v>31</v>
      </c>
      <c r="D3953" s="19" t="n">
        <f aca="false">a26_leap/D3952</f>
        <v>31.9</v>
      </c>
      <c r="E3953" s="19" t="n">
        <f aca="false">fx</f>
        <v>32</v>
      </c>
      <c r="F3953" s="19" t="n">
        <f aca="false">fx</f>
        <v>32</v>
      </c>
      <c r="G3953" s="19" t="n">
        <f aca="false">fx</f>
        <v>32</v>
      </c>
      <c r="K3953" s="8" t="s">
        <v>559</v>
      </c>
    </row>
    <row r="3954" customFormat="false" ht="17.15" hidden="false" customHeight="false" outlineLevel="0" collapsed="false">
      <c r="A3954" s="6" t="s">
        <v>560</v>
      </c>
    </row>
    <row r="3955" customFormat="false" ht="17.15" hidden="false" customHeight="false" outlineLevel="0" collapsed="false">
      <c r="A3955" s="0" t="s">
        <v>438</v>
      </c>
      <c r="B3955" s="0" t="s">
        <v>234</v>
      </c>
      <c r="C3955" s="30" t="n">
        <f aca="false">a25_leap</f>
        <v>49.6</v>
      </c>
      <c r="D3955" s="30" t="n">
        <f aca="false">a26_leap</f>
        <v>127.6</v>
      </c>
      <c r="E3955" s="30" t="n">
        <f aca="false">E3952*E3953</f>
        <v>277.778748708961</v>
      </c>
      <c r="F3955" s="30" t="n">
        <f aca="false">F3952*F3953</f>
        <v>367.662586815071</v>
      </c>
      <c r="G3955" s="30" t="n">
        <f aca="false">G3952*G3953</f>
        <v>475.800658334408</v>
      </c>
    </row>
    <row r="3956" customFormat="false" ht="15" hidden="false" customHeight="false" outlineLevel="0" collapsed="false">
      <c r="A3956" s="4" t="s">
        <v>561</v>
      </c>
      <c r="B3956" s="0" t="s">
        <v>234</v>
      </c>
      <c r="C3956" s="30" t="n">
        <f aca="false">a25_ms</f>
        <v>339.628</v>
      </c>
      <c r="D3956" s="30" t="n">
        <f aca="false">a26_ms</f>
        <v>432.1302</v>
      </c>
      <c r="E3956" s="30" t="n">
        <f aca="false">D3956*(1+g_ms27)</f>
        <v>496.94973</v>
      </c>
      <c r="F3956" s="30" t="n">
        <f aca="false">E3956*(1+g_msL)</f>
        <v>531.7362111</v>
      </c>
      <c r="G3956" s="30" t="n">
        <f aca="false">F3956*(1+g_msL)</f>
        <v>568.957745877</v>
      </c>
    </row>
    <row r="3957" customFormat="false" ht="17.15" hidden="false" customHeight="false" outlineLevel="0" collapsed="false">
      <c r="A3957" s="4" t="s">
        <v>562</v>
      </c>
      <c r="B3957" s="0" t="s">
        <v>234</v>
      </c>
      <c r="C3957" s="30" t="n">
        <f aca="false">C3955+C3956</f>
        <v>389.228</v>
      </c>
      <c r="D3957" s="30" t="n">
        <f aca="false">D3955+D3956</f>
        <v>559.7302</v>
      </c>
      <c r="E3957" s="30" t="n">
        <f aca="false">E3955+E3956</f>
        <v>774.728478708961</v>
      </c>
      <c r="F3957" s="30" t="n">
        <f aca="false">F3955+F3956</f>
        <v>899.398797915071</v>
      </c>
      <c r="G3957" s="30" t="n">
        <f aca="false">G3955+G3956</f>
        <v>1044.75840421141</v>
      </c>
    </row>
    <row r="3958" customFormat="false" ht="17.15" hidden="false" customHeight="false" outlineLevel="0" collapsed="false">
      <c r="A3958" s="0" t="s">
        <v>563</v>
      </c>
      <c r="B3958" s="0" t="s">
        <v>234</v>
      </c>
      <c r="C3958" s="30" t="n">
        <f aca="false">a25_ems</f>
        <v>259.079</v>
      </c>
      <c r="D3958" s="30" t="n">
        <f aca="false">a26_ems</f>
        <v>314.602</v>
      </c>
      <c r="E3958" s="30" t="n">
        <f aca="false">D3958*(1+g_ems27)</f>
        <v>346.0622</v>
      </c>
      <c r="F3958" s="30" t="n">
        <f aca="false">E3958*(1+g_emsL)</f>
        <v>363.36531</v>
      </c>
      <c r="G3958" s="30" t="n">
        <f aca="false">F3958*(1+g_emsL)</f>
        <v>381.5335755</v>
      </c>
    </row>
    <row r="3959" customFormat="false" ht="17.15" hidden="false" customHeight="false" outlineLevel="0" collapsed="false">
      <c r="A3959" s="4" t="s">
        <v>564</v>
      </c>
      <c r="B3959" s="0" t="s">
        <v>234</v>
      </c>
      <c r="C3959" s="30" t="n">
        <f aca="false">a25_elim</f>
        <v>-2.91899999999998</v>
      </c>
      <c r="D3959" s="30" t="n">
        <f aca="false">a26_elim</f>
        <v>-3.16484905982349</v>
      </c>
      <c r="E3959" s="30" t="n">
        <f aca="false">$D3959/($D3957+$D3958)*(E3957+E3958)</f>
        <v>-4.05696293213379</v>
      </c>
      <c r="F3959" s="30" t="n">
        <f aca="false">$D3959/($D3957+$D3958)*(F3957+F3958)</f>
        <v>-4.57086882962089</v>
      </c>
      <c r="G3959" s="30" t="n">
        <f aca="false">$D3959/($D3957+$D3958)*(G3957+G3958)</f>
        <v>-5.16279605283144</v>
      </c>
      <c r="K3959" s="4" t="s">
        <v>565</v>
      </c>
    </row>
    <row r="3960" customFormat="false" ht="17.15" hidden="false" customHeight="false" outlineLevel="0" collapsed="false">
      <c r="A3960" s="4" t="s">
        <v>431</v>
      </c>
      <c r="B3960" s="0" t="s">
        <v>234</v>
      </c>
      <c r="C3960" s="30" t="n">
        <f aca="false">C3957+C3958+C3959</f>
        <v>645.388</v>
      </c>
      <c r="D3960" s="30" t="n">
        <f aca="false">D3957+D3958+D3959</f>
        <v>871.167350940177</v>
      </c>
      <c r="E3960" s="30" t="n">
        <f aca="false">E3957+E3958+E3959</f>
        <v>1116.73371577683</v>
      </c>
      <c r="F3960" s="30" t="n">
        <f aca="false">F3957+F3958+F3959</f>
        <v>1258.19323908545</v>
      </c>
      <c r="G3960" s="30" t="n">
        <f aca="false">G3957+G3958+G3959</f>
        <v>1421.12918365858</v>
      </c>
      <c r="H3960" s="31" t="n">
        <f aca="false">G3960*(1+H3961)</f>
        <v>1572.24252669828</v>
      </c>
      <c r="I3960" s="31" t="n">
        <f aca="false">H3960*(1+I3961)</f>
        <v>1703.00066355907</v>
      </c>
      <c r="J3960" s="31" t="n">
        <f aca="false">I3960*(1+J3961)</f>
        <v>1805.18070337261</v>
      </c>
      <c r="K3960" s="8" t="s">
        <v>566</v>
      </c>
    </row>
    <row r="3961" customFormat="false" ht="15" hidden="false" customHeight="false" outlineLevel="0" collapsed="false">
      <c r="A3961" s="4" t="s">
        <v>567</v>
      </c>
      <c r="B3961" s="0" t="s">
        <v>76</v>
      </c>
      <c r="D3961" s="21" t="n">
        <f aca="false">D3960/C3960-1</f>
        <v>0.349835061916516</v>
      </c>
      <c r="E3961" s="21" t="n">
        <f aca="false">E3960/D3960-1</f>
        <v>0.281881965126026</v>
      </c>
      <c r="F3961" s="21" t="n">
        <f aca="false">F3960/E3960-1</f>
        <v>0.126672564202309</v>
      </c>
      <c r="G3961" s="21" t="n">
        <f aca="false">G3960/F3960-1</f>
        <v>0.129499936505429</v>
      </c>
      <c r="H3961" s="26" t="n">
        <f aca="false">$G3961+(fade_gA-$G3961)*1/3</f>
        <v>0.10633329100362</v>
      </c>
      <c r="I3961" s="26" t="n">
        <f aca="false">$G3961+(fade_gA-$G3961)*2/3</f>
        <v>0.0831666455018098</v>
      </c>
      <c r="J3961" s="26" t="n">
        <f aca="false">$G3961+(fade_gA-$G3961)*3/3</f>
        <v>0.06</v>
      </c>
    </row>
    <row r="3962" customFormat="false" ht="17.15" hidden="false" customHeight="false" outlineLevel="0" collapsed="false">
      <c r="A3962" s="0" t="s">
        <v>475</v>
      </c>
      <c r="B3962" s="0" t="s">
        <v>76</v>
      </c>
      <c r="C3962" s="21" t="n">
        <f aca="false">C3955/C3957</f>
        <v>0.127431736668482</v>
      </c>
      <c r="D3962" s="21" t="n">
        <f aca="false">D3955/D3957</f>
        <v>0.227966974088588</v>
      </c>
      <c r="E3962" s="21" t="n">
        <f aca="false">E3955/E3957</f>
        <v>0.35854980982739</v>
      </c>
      <c r="F3962" s="21" t="n">
        <f aca="false">F3955/F3957</f>
        <v>0.408787056050512</v>
      </c>
      <c r="G3962" s="21" t="n">
        <f aca="false">G3955/G3957</f>
        <v>0.455416923583923</v>
      </c>
    </row>
    <row r="3963" customFormat="false" ht="15" hidden="false" customHeight="false" outlineLevel="0" collapsed="false">
      <c r="A3963" s="4" t="s">
        <v>568</v>
      </c>
      <c r="B3963" s="0" t="s">
        <v>76</v>
      </c>
      <c r="D3963" s="21" t="n">
        <f aca="false">D3957/C3957-1</f>
        <v>0.438052247012034</v>
      </c>
      <c r="E3963" s="21" t="n">
        <f aca="false">E3957/D3957-1</f>
        <v>0.384110556673485</v>
      </c>
      <c r="F3963" s="21" t="n">
        <f aca="false">F3957/E3957-1</f>
        <v>0.160921306796241</v>
      </c>
      <c r="G3963" s="21" t="n">
        <f aca="false">G3957/F3957-1</f>
        <v>0.161618635285371</v>
      </c>
    </row>
    <row r="3964" customFormat="false" ht="17.15" hidden="false" customHeight="false" outlineLevel="0" collapsed="false">
      <c r="A3964" s="6" t="s">
        <v>569</v>
      </c>
    </row>
    <row r="3965" customFormat="false" ht="17.15" hidden="false" customHeight="false" outlineLevel="0" collapsed="false">
      <c r="A3965" s="4" t="s">
        <v>570</v>
      </c>
      <c r="B3965" s="0" t="s">
        <v>120</v>
      </c>
      <c r="C3965" s="19" t="n">
        <f aca="false">capex25</f>
        <v>5.5</v>
      </c>
      <c r="D3965" s="19" t="n">
        <f aca="false">capex26</f>
        <v>11.5</v>
      </c>
      <c r="E3965" s="19" t="n">
        <f aca="false">capex27</f>
        <v>13</v>
      </c>
      <c r="F3965" s="19" t="n">
        <f aca="false">capi*F3960/F3953</f>
        <v>11.7955616164261</v>
      </c>
      <c r="G3965" s="19" t="n">
        <f aca="false">capi*G3960/G3953</f>
        <v>13.3230860967992</v>
      </c>
      <c r="K3965" s="8" t="s">
        <v>571</v>
      </c>
    </row>
    <row r="3966" customFormat="false" ht="15" hidden="false" customHeight="false" outlineLevel="0" collapsed="false">
      <c r="A3966" s="4" t="s">
        <v>572</v>
      </c>
      <c r="B3966" s="0" t="s">
        <v>234</v>
      </c>
      <c r="C3966" s="30" t="n">
        <f aca="false">C3965*C3953</f>
        <v>170.5</v>
      </c>
      <c r="D3966" s="30" t="n">
        <f aca="false">D3965*31.9</f>
        <v>366.85</v>
      </c>
      <c r="E3966" s="30" t="n">
        <f aca="false">E3965*E3953</f>
        <v>416</v>
      </c>
      <c r="F3966" s="30" t="n">
        <f aca="false">F3965*F3953</f>
        <v>377.457971725635</v>
      </c>
      <c r="G3966" s="30" t="n">
        <f aca="false">G3965*G3953</f>
        <v>426.338755097573</v>
      </c>
    </row>
    <row r="3967" customFormat="false" ht="17.15" hidden="false" customHeight="false" outlineLevel="0" collapsed="false">
      <c r="A3967" s="4" t="s">
        <v>473</v>
      </c>
      <c r="B3967" s="0" t="s">
        <v>76</v>
      </c>
      <c r="C3967" s="21" t="n">
        <f aca="false">C3966/C3960</f>
        <v>0.264182166386732</v>
      </c>
      <c r="D3967" s="21" t="n">
        <f aca="false">D3966/D3960</f>
        <v>0.421101639775745</v>
      </c>
      <c r="E3967" s="21" t="n">
        <f aca="false">E3966/E3960</f>
        <v>0.372514946153139</v>
      </c>
      <c r="F3967" s="21" t="n">
        <f aca="false">F3966/F3960</f>
        <v>0.3</v>
      </c>
      <c r="G3967" s="21" t="n">
        <f aca="false">G3966/G3960</f>
        <v>0.3</v>
      </c>
    </row>
    <row r="3968" customFormat="false" ht="17.15" hidden="false" customHeight="false" outlineLevel="0" collapsed="false">
      <c r="A3968" s="4" t="s">
        <v>573</v>
      </c>
      <c r="B3968" s="0" t="s">
        <v>234</v>
      </c>
      <c r="C3968" s="30" t="n">
        <f aca="false">a25_da</f>
        <v>75.255</v>
      </c>
      <c r="D3968" s="30" t="n">
        <f aca="false">a26_da</f>
        <v>97.124</v>
      </c>
      <c r="E3968" s="30" t="n">
        <f aca="false">D3968*(1-1/life)+D3966/life</f>
        <v>130.83975</v>
      </c>
      <c r="F3968" s="30" t="n">
        <f aca="false">E3968*(1-1/life)+E3966/life</f>
        <v>166.48478125</v>
      </c>
      <c r="G3968" s="30" t="n">
        <f aca="false">F3968*(1-1/life)+F3966/life</f>
        <v>192.856430059454</v>
      </c>
      <c r="K3968" s="4" t="s">
        <v>574</v>
      </c>
    </row>
    <row r="3969" customFormat="false" ht="17.15" hidden="false" customHeight="false" outlineLevel="0" collapsed="false">
      <c r="A3969" s="4" t="s">
        <v>575</v>
      </c>
      <c r="B3969" s="0" t="s">
        <v>234</v>
      </c>
      <c r="C3969" s="30" t="n">
        <f aca="false">a25_agp</f>
        <v>91.38</v>
      </c>
      <c r="D3969" s="30" t="n">
        <f aca="false">a26_agp</f>
        <v>164.623388</v>
      </c>
      <c r="E3969" s="30" t="n">
        <f aca="false">$D3969+ft_lo*(E3957-$D3957)-(E3968-$D3968)</f>
        <v>216.906949483585</v>
      </c>
      <c r="F3969" s="30" t="n">
        <f aca="false">$D3969+ft_lo*(F3957-$D3957)-(F3968-$D3968)</f>
        <v>231.130045916028</v>
      </c>
      <c r="G3969" s="30" t="n">
        <f aca="false">$D3969+ft_lo*(G3957-$D3957)-(G3968-$D3968)</f>
        <v>262.902239625109</v>
      </c>
      <c r="K3969" s="4" t="s">
        <v>576</v>
      </c>
    </row>
    <row r="3970" customFormat="false" ht="15" hidden="false" customHeight="false" outlineLevel="0" collapsed="false">
      <c r="A3970" s="4" t="s">
        <v>447</v>
      </c>
      <c r="B3970" s="0" t="s">
        <v>76</v>
      </c>
      <c r="C3970" s="14" t="n">
        <f aca="false">C3969/C3957</f>
        <v>0.234772421305764</v>
      </c>
      <c r="D3970" s="14" t="n">
        <f aca="false">D3969/D3957</f>
        <v>0.294112034690999</v>
      </c>
      <c r="E3970" s="14" t="n">
        <f aca="false">E3969/E3957</f>
        <v>0.27997802513346</v>
      </c>
      <c r="F3970" s="14" t="n">
        <f aca="false">F3969/F3957</f>
        <v>0.256982827252849</v>
      </c>
      <c r="G3970" s="14" t="n">
        <f aca="false">G3969/G3957</f>
        <v>0.251639267571673</v>
      </c>
    </row>
    <row r="3971" customFormat="false" ht="17.15" hidden="false" customHeight="false" outlineLevel="0" collapsed="false">
      <c r="A3971" s="0" t="s">
        <v>449</v>
      </c>
      <c r="B3971" s="0" t="s">
        <v>234</v>
      </c>
      <c r="C3971" s="30" t="n">
        <f aca="false">a25_egp</f>
        <v>23.695</v>
      </c>
      <c r="D3971" s="30" t="n">
        <f aca="false">a26_egp</f>
        <v>27.00552</v>
      </c>
      <c r="E3971" s="30" t="n">
        <f aca="false">E3958*ems_gm</f>
        <v>29.415287</v>
      </c>
      <c r="F3971" s="30" t="n">
        <f aca="false">F3958*ems_gm</f>
        <v>30.88605135</v>
      </c>
      <c r="G3971" s="30" t="n">
        <f aca="false">G3958*ems_gm</f>
        <v>32.4303539175</v>
      </c>
    </row>
    <row r="3972" customFormat="false" ht="15" hidden="false" customHeight="false" outlineLevel="0" collapsed="false">
      <c r="A3972" s="4" t="s">
        <v>577</v>
      </c>
      <c r="B3972" s="0" t="s">
        <v>234</v>
      </c>
      <c r="C3972" s="30" t="n">
        <f aca="false">a25_lgp</f>
        <v>-0.881999999999998</v>
      </c>
      <c r="D3972" s="30" t="n">
        <f aca="false">a26_lgp</f>
        <v>-0.948662139013863</v>
      </c>
      <c r="E3972" s="30" t="n">
        <f aca="false">$D3972/$D3959*E3959</f>
        <v>-1.21607288699975</v>
      </c>
      <c r="F3972" s="30" t="n">
        <f aca="false">$D3972/$D3959*F3959</f>
        <v>-1.37011595785291</v>
      </c>
      <c r="G3972" s="30" t="n">
        <f aca="false">$D3972/$D3959*G3959</f>
        <v>-1.54754588739994</v>
      </c>
    </row>
    <row r="3973" customFormat="false" ht="15" hidden="false" customHeight="false" outlineLevel="0" collapsed="false">
      <c r="A3973" s="4" t="s">
        <v>451</v>
      </c>
      <c r="B3973" s="0" t="s">
        <v>234</v>
      </c>
      <c r="C3973" s="30" t="n">
        <f aca="false">C3969+C3971+C3972</f>
        <v>114.193</v>
      </c>
      <c r="D3973" s="30" t="n">
        <f aca="false">D3969+D3971+D3972</f>
        <v>190.680245860986</v>
      </c>
      <c r="E3973" s="30" t="n">
        <f aca="false">E3969+E3971+E3972</f>
        <v>245.106163596585</v>
      </c>
      <c r="F3973" s="30" t="n">
        <f aca="false">F3969+F3971+F3972</f>
        <v>260.645981308176</v>
      </c>
      <c r="G3973" s="30" t="n">
        <f aca="false">G3969+G3971+G3972</f>
        <v>293.785047655209</v>
      </c>
    </row>
    <row r="3974" customFormat="false" ht="15" hidden="false" customHeight="false" outlineLevel="0" collapsed="false">
      <c r="A3974" s="4" t="s">
        <v>452</v>
      </c>
      <c r="B3974" s="0" t="s">
        <v>76</v>
      </c>
      <c r="C3974" s="14" t="n">
        <f aca="false">C3973/C3960</f>
        <v>0.176936974347214</v>
      </c>
      <c r="D3974" s="14" t="n">
        <f aca="false">D3973/D3960</f>
        <v>0.218879008327391</v>
      </c>
      <c r="E3974" s="14" t="n">
        <f aca="false">E3973/E3960</f>
        <v>0.219484878206693</v>
      </c>
      <c r="F3974" s="14" t="n">
        <f aca="false">F3973/F3960</f>
        <v>0.207158942848582</v>
      </c>
      <c r="G3974" s="14" t="n">
        <f aca="false">G3973/G3960</f>
        <v>0.206726489775464</v>
      </c>
    </row>
    <row r="3975" customFormat="false" ht="15" hidden="false" customHeight="false" outlineLevel="0" collapsed="false">
      <c r="A3975" s="4" t="s">
        <v>578</v>
      </c>
      <c r="B3975" s="0" t="s">
        <v>234</v>
      </c>
      <c r="C3975" s="30" t="n">
        <f aca="false">a25_opx</f>
        <v>63.437</v>
      </c>
      <c r="D3975" s="30" t="n">
        <f aca="false">a26_opx</f>
        <v>79.658</v>
      </c>
      <c r="E3975" s="30" t="n">
        <f aca="false">D3975*(1+phi*E3961)</f>
        <v>93.1304921468054</v>
      </c>
      <c r="F3975" s="30" t="n">
        <f aca="false">E3975*(1+phi*F3961)</f>
        <v>100.208739094201</v>
      </c>
      <c r="G3975" s="30" t="n">
        <f aca="false">F3975*(1+phi*G3961)</f>
        <v>107.994954304194</v>
      </c>
    </row>
    <row r="3976" customFormat="false" ht="15" hidden="false" customHeight="false" outlineLevel="0" collapsed="false">
      <c r="A3976" s="4" t="s">
        <v>455</v>
      </c>
      <c r="B3976" s="0" t="s">
        <v>234</v>
      </c>
      <c r="C3976" s="30" t="n">
        <f aca="false">C3973-C3975</f>
        <v>50.756</v>
      </c>
      <c r="D3976" s="30" t="n">
        <f aca="false">D3973-D3975</f>
        <v>111.022245860986</v>
      </c>
      <c r="E3976" s="30" t="n">
        <f aca="false">E3973-E3975</f>
        <v>151.975671449779</v>
      </c>
      <c r="F3976" s="30" t="n">
        <f aca="false">F3973-F3975</f>
        <v>160.437242213975</v>
      </c>
      <c r="G3976" s="30" t="n">
        <f aca="false">G3973-G3975</f>
        <v>185.790093351015</v>
      </c>
    </row>
    <row r="3977" customFormat="false" ht="15" hidden="false" customHeight="false" outlineLevel="0" collapsed="false">
      <c r="A3977" s="4" t="s">
        <v>537</v>
      </c>
      <c r="B3977" s="0" t="s">
        <v>76</v>
      </c>
      <c r="C3977" s="14" t="n">
        <f aca="false">C3976/C3960</f>
        <v>0.0786441644406156</v>
      </c>
      <c r="D3977" s="14" t="n">
        <f aca="false">D3976/D3960</f>
        <v>0.127440779020437</v>
      </c>
      <c r="E3977" s="14" t="n">
        <f aca="false">E3976/E3960</f>
        <v>0.136089444871879</v>
      </c>
      <c r="F3977" s="14" t="n">
        <f aca="false">F3976/F3960</f>
        <v>0.127513991674755</v>
      </c>
      <c r="G3977" s="14" t="n">
        <f aca="false">G3976/G3960</f>
        <v>0.130734134157118</v>
      </c>
    </row>
    <row r="3978" customFormat="false" ht="15" hidden="false" customHeight="false" outlineLevel="0" collapsed="false">
      <c r="A3978" s="4" t="s">
        <v>456</v>
      </c>
      <c r="B3978" s="0" t="s">
        <v>234</v>
      </c>
      <c r="C3978" s="30" t="n">
        <f aca="false">a25_nonop</f>
        <v>0.545</v>
      </c>
      <c r="D3978" s="30" t="n">
        <f aca="false">a26_nonop</f>
        <v>4.302</v>
      </c>
      <c r="E3978" s="30" t="n">
        <f aca="false">nonop_f</f>
        <v>-5</v>
      </c>
      <c r="F3978" s="30" t="n">
        <f aca="false">nonop_f</f>
        <v>-5</v>
      </c>
      <c r="G3978" s="30" t="n">
        <f aca="false">nonop_f</f>
        <v>-5</v>
      </c>
    </row>
    <row r="3979" customFormat="false" ht="15" hidden="false" customHeight="false" outlineLevel="0" collapsed="false">
      <c r="A3979" s="4" t="s">
        <v>459</v>
      </c>
      <c r="B3979" s="0" t="s">
        <v>234</v>
      </c>
      <c r="C3979" s="30" t="n">
        <f aca="false">C3976+C3978</f>
        <v>51.301</v>
      </c>
      <c r="D3979" s="30" t="n">
        <f aca="false">D3976+D3978</f>
        <v>115.324245860986</v>
      </c>
      <c r="E3979" s="30" t="n">
        <f aca="false">E3976+E3978</f>
        <v>146.975671449779</v>
      </c>
      <c r="F3979" s="30" t="n">
        <f aca="false">F3976+F3978</f>
        <v>155.437242213975</v>
      </c>
      <c r="G3979" s="30" t="n">
        <f aca="false">G3976+G3978</f>
        <v>180.790093351015</v>
      </c>
    </row>
    <row r="3980" customFormat="false" ht="15" hidden="false" customHeight="false" outlineLevel="0" collapsed="false">
      <c r="A3980" s="4" t="s">
        <v>460</v>
      </c>
      <c r="B3980" s="0" t="s">
        <v>234</v>
      </c>
      <c r="C3980" s="30" t="n">
        <f aca="false">a25_tax</f>
        <v>9.461</v>
      </c>
      <c r="D3980" s="30" t="n">
        <f aca="false">a26_tax</f>
        <v>19.2197317963676</v>
      </c>
      <c r="E3980" s="30" t="n">
        <f aca="false">E3979*tax</f>
        <v>24.9858641464625</v>
      </c>
      <c r="F3980" s="30" t="n">
        <f aca="false">F3979*tax</f>
        <v>26.4243311763757</v>
      </c>
      <c r="G3980" s="30" t="n">
        <f aca="false">G3979*tax</f>
        <v>30.7343158696726</v>
      </c>
    </row>
    <row r="3981" customFormat="false" ht="15" hidden="false" customHeight="false" outlineLevel="0" collapsed="false">
      <c r="A3981" s="4" t="s">
        <v>461</v>
      </c>
      <c r="B3981" s="0" t="s">
        <v>234</v>
      </c>
      <c r="C3981" s="30" t="n">
        <f aca="false">a25_nci</f>
        <v>1.182</v>
      </c>
      <c r="D3981" s="30" t="n">
        <f aca="false">a26_nci</f>
        <v>2.543</v>
      </c>
      <c r="E3981" s="30" t="n">
        <f aca="false">nci</f>
        <v>3</v>
      </c>
      <c r="F3981" s="30" t="n">
        <f aca="false">nci</f>
        <v>3</v>
      </c>
      <c r="G3981" s="30" t="n">
        <f aca="false">nci</f>
        <v>3</v>
      </c>
    </row>
    <row r="3982" customFormat="false" ht="15" hidden="false" customHeight="false" outlineLevel="0" collapsed="false">
      <c r="A3982" s="4" t="s">
        <v>462</v>
      </c>
      <c r="B3982" s="0" t="s">
        <v>234</v>
      </c>
      <c r="C3982" s="30" t="n">
        <f aca="false">C3979-C3980-C3981</f>
        <v>40.658</v>
      </c>
      <c r="D3982" s="30" t="n">
        <f aca="false">D3979-D3980-D3981</f>
        <v>93.5615140646185</v>
      </c>
      <c r="E3982" s="30" t="n">
        <f aca="false">E3979-E3980-E3981</f>
        <v>118.989807303317</v>
      </c>
      <c r="F3982" s="30" t="n">
        <f aca="false">F3979-F3980-F3981</f>
        <v>126.012911037599</v>
      </c>
      <c r="G3982" s="30" t="n">
        <f aca="false">G3979-G3980-G3981</f>
        <v>147.055777481343</v>
      </c>
      <c r="H3982" s="31" t="n">
        <f aca="false">H3960*H3986</f>
        <v>177.538714428619</v>
      </c>
      <c r="I3982" s="31" t="n">
        <f aca="false">I3960*I3986</f>
        <v>208.384718951914</v>
      </c>
      <c r="J3982" s="31" t="n">
        <f aca="false">J3960*J3986</f>
        <v>237.933349598446</v>
      </c>
    </row>
    <row r="3983" customFormat="false" ht="15" hidden="false" customHeight="false" outlineLevel="0" collapsed="false">
      <c r="A3983" s="4" t="s">
        <v>579</v>
      </c>
      <c r="B3983" s="4" t="s">
        <v>580</v>
      </c>
      <c r="C3983" s="18" t="n">
        <f aca="false">a25_sh</f>
        <v>4339.16755602988</v>
      </c>
      <c r="D3983" s="18" t="n">
        <f aca="false">a26_sh</f>
        <v>4392.90105184664</v>
      </c>
      <c r="E3983" s="18" t="n">
        <f aca="false">D3983*(1+sh_g)</f>
        <v>4414.86555710588</v>
      </c>
      <c r="F3983" s="18" t="n">
        <f aca="false">E3983*(1+sh_g)</f>
        <v>4436.9398848914</v>
      </c>
      <c r="G3983" s="18" t="n">
        <f aca="false">F3983*(1+sh_g)</f>
        <v>4459.12458431586</v>
      </c>
      <c r="H3983" s="25" t="n">
        <f aca="false">G3983*(1+sh_g)</f>
        <v>4481.42020723744</v>
      </c>
      <c r="I3983" s="25" t="n">
        <f aca="false">H3983*(1+sh_g)</f>
        <v>4503.82730827363</v>
      </c>
      <c r="J3983" s="25" t="n">
        <f aca="false">I3983*(1+sh_g)</f>
        <v>4526.34644481499</v>
      </c>
    </row>
    <row r="3984" customFormat="false" ht="17.15" hidden="false" customHeight="false" outlineLevel="0" collapsed="false">
      <c r="A3984" s="0" t="s">
        <v>465</v>
      </c>
      <c r="B3984" s="0" t="s">
        <v>304</v>
      </c>
      <c r="C3984" s="19" t="n">
        <f aca="false">a25_eps</f>
        <v>9.37</v>
      </c>
      <c r="D3984" s="19" t="n">
        <f aca="false">a26_eps</f>
        <v>21.2828697294455</v>
      </c>
      <c r="E3984" s="19" t="n">
        <f aca="false">E3982/E3983*1000</f>
        <v>26.9520794606755</v>
      </c>
      <c r="F3984" s="19" t="n">
        <f aca="false">F3982/F3983*1000</f>
        <v>28.400860572102</v>
      </c>
      <c r="G3984" s="19" t="n">
        <f aca="false">G3982/G3983*1000</f>
        <v>32.978620511879</v>
      </c>
      <c r="H3984" s="28" t="n">
        <f aca="false">H3982/H3983*1000</f>
        <v>39.6166184420502</v>
      </c>
      <c r="I3984" s="28" t="n">
        <f aca="false">I3982/I3983*1000</f>
        <v>46.2683634803464</v>
      </c>
      <c r="J3984" s="28" t="n">
        <f aca="false">J3982/J3983*1000</f>
        <v>52.5663142446825</v>
      </c>
    </row>
    <row r="3985" customFormat="false" ht="17.15" hidden="false" customHeight="false" outlineLevel="0" collapsed="false">
      <c r="A3985" s="0" t="s">
        <v>581</v>
      </c>
      <c r="B3985" s="0" t="s">
        <v>76</v>
      </c>
      <c r="D3985" s="21" t="n">
        <f aca="false">D3984/C3984-1</f>
        <v>1.27138417603474</v>
      </c>
      <c r="E3985" s="21" t="n">
        <f aca="false">E3984/D3984-1</f>
        <v>0.266374309634872</v>
      </c>
      <c r="F3985" s="21" t="n">
        <f aca="false">F3984/E3984-1</f>
        <v>0.0537539640880171</v>
      </c>
      <c r="G3985" s="21" t="n">
        <f aca="false">G3984/F3984-1</f>
        <v>0.161183846107594</v>
      </c>
      <c r="H3985" s="26" t="n">
        <f aca="false">H3984/G3984-1</f>
        <v>0.201281855551847</v>
      </c>
      <c r="I3985" s="26" t="n">
        <f aca="false">I3984/H3984-1</f>
        <v>0.167902897821181</v>
      </c>
      <c r="J3985" s="26" t="n">
        <f aca="false">J3984/I3984-1</f>
        <v>0.136117863062333</v>
      </c>
    </row>
    <row r="3986" customFormat="false" ht="17.15" hidden="false" customHeight="false" outlineLevel="0" collapsed="false">
      <c r="A3986" s="4" t="s">
        <v>582</v>
      </c>
      <c r="B3986" s="0" t="s">
        <v>76</v>
      </c>
      <c r="C3986" s="14" t="n">
        <f aca="false">C3982/C3960</f>
        <v>0.0629977625862272</v>
      </c>
      <c r="D3986" s="14" t="n">
        <f aca="false">D3982/D3960</f>
        <v>0.107397865592237</v>
      </c>
      <c r="E3986" s="14" t="n">
        <f aca="false">E3982/E3960</f>
        <v>0.106551638606653</v>
      </c>
      <c r="F3986" s="14" t="n">
        <f aca="false">F3982/F3960</f>
        <v>0.100153861205926</v>
      </c>
      <c r="G3986" s="14" t="n">
        <f aca="false">G3982/G3960</f>
        <v>0.103478120900142</v>
      </c>
      <c r="H3986" s="27" t="n">
        <f aca="false">$G3986+(fade_mA-$G3986)*1/3</f>
        <v>0.112920692204816</v>
      </c>
      <c r="I3986" s="27" t="n">
        <f aca="false">$G3986+(fade_mA-$G3986)*2/3</f>
        <v>0.12236326350949</v>
      </c>
      <c r="J3986" s="27" t="n">
        <f aca="false">$G3986+(fade_mA-$G3986)*3/3</f>
        <v>0.131805834814164</v>
      </c>
    </row>
    <row r="3987" customFormat="false" ht="17.15" hidden="false" customHeight="false" outlineLevel="0" collapsed="false">
      <c r="A3987" s="4" t="s">
        <v>583</v>
      </c>
      <c r="B3987" s="0" t="s">
        <v>234</v>
      </c>
      <c r="C3987" s="30" t="n">
        <f aca="false">C3982+C3968-C3966</f>
        <v>-54.587</v>
      </c>
      <c r="D3987" s="30" t="n">
        <f aca="false">D3982+D3968-D3966</f>
        <v>-176.164485935382</v>
      </c>
      <c r="E3987" s="30" t="n">
        <f aca="false">E3982+E3968-E3966</f>
        <v>-166.170442696683</v>
      </c>
      <c r="F3987" s="30" t="n">
        <f aca="false">F3982+F3968-F3966</f>
        <v>-84.9602794380359</v>
      </c>
      <c r="G3987" s="30" t="n">
        <f aca="false">G3982+G3968-G3966</f>
        <v>-86.426547556776</v>
      </c>
      <c r="K3987" s="4" t="s">
        <v>584</v>
      </c>
    </row>
    <row r="3988" customFormat="false" ht="17.15" hidden="false" customHeight="false" outlineLevel="0" collapsed="false">
      <c r="A3988" s="4" t="s">
        <v>585</v>
      </c>
      <c r="B3988" s="0" t="s">
        <v>76</v>
      </c>
      <c r="D3988" s="21" t="n">
        <f aca="false">(D3976-$C3976)/SUM($D3966:D3966)</f>
        <v>0.164280348537512</v>
      </c>
      <c r="E3988" s="21" t="n">
        <f aca="false">(E3976-$C3976)/SUM($D3966:E3966)</f>
        <v>0.129296380468518</v>
      </c>
      <c r="F3988" s="21" t="n">
        <f aca="false">(F3976-$C3976)/SUM($D3966:F3966)</f>
        <v>0.0945276985823468</v>
      </c>
      <c r="G3988" s="21" t="n">
        <f aca="false">(G3976-$C3976)/SUM($D3966:G3966)</f>
        <v>0.0851065905649844</v>
      </c>
      <c r="K3988" s="4" t="s">
        <v>586</v>
      </c>
    </row>
    <row r="3991" customFormat="false" ht="17.15" hidden="false" customHeight="false" outlineLevel="0" collapsed="false">
      <c r="A3991" s="1" t="s">
        <v>995</v>
      </c>
    </row>
    <row r="3992" customFormat="false" ht="17.15" hidden="false" customHeight="false" outlineLevel="0" collapsed="false">
      <c r="A3992" s="5" t="s">
        <v>21</v>
      </c>
      <c r="B3992" s="5" t="s">
        <v>22</v>
      </c>
      <c r="C3992" s="15" t="s">
        <v>424</v>
      </c>
      <c r="D3992" s="15" t="s">
        <v>524</v>
      </c>
      <c r="E3992" s="15" t="s">
        <v>525</v>
      </c>
      <c r="F3992" s="15" t="s">
        <v>526</v>
      </c>
      <c r="G3992" s="15" t="s">
        <v>527</v>
      </c>
      <c r="H3992" s="15" t="s">
        <v>528</v>
      </c>
      <c r="I3992" s="15" t="s">
        <v>529</v>
      </c>
      <c r="J3992" s="15" t="s">
        <v>530</v>
      </c>
      <c r="K3992" s="5" t="s">
        <v>382</v>
      </c>
    </row>
    <row r="3993" customFormat="false" ht="17.15" hidden="false" customHeight="false" outlineLevel="0" collapsed="false">
      <c r="A3993" s="6" t="s">
        <v>548</v>
      </c>
    </row>
    <row r="3994" customFormat="false" ht="17.15" hidden="false" customHeight="false" outlineLevel="0" collapsed="false">
      <c r="A3994" s="0" t="s">
        <v>549</v>
      </c>
      <c r="B3994" s="4" t="s">
        <v>32</v>
      </c>
      <c r="D3994" s="19" t="n">
        <f aca="false">units_26</f>
        <v>15.2</v>
      </c>
      <c r="E3994" s="19" t="n">
        <f aca="false">units_27*1</f>
        <v>23.7</v>
      </c>
      <c r="F3994" s="19" t="n">
        <f aca="false">units_28*um28_B*1</f>
        <v>21.2</v>
      </c>
      <c r="G3994" s="19" t="n">
        <f aca="false">units_29*um29_B*1</f>
        <v>25.6275</v>
      </c>
    </row>
    <row r="3995" customFormat="false" ht="17.15" hidden="false" customHeight="false" outlineLevel="0" collapsed="false">
      <c r="A3995" s="4" t="s">
        <v>497</v>
      </c>
      <c r="B3995" s="0" t="s">
        <v>45</v>
      </c>
      <c r="D3995" s="22" t="n">
        <f aca="false">ar_26</f>
        <v>1</v>
      </c>
      <c r="E3995" s="22" t="n">
        <f aca="false">ar_27</f>
        <v>1.278156</v>
      </c>
      <c r="F3995" s="22" t="n">
        <f aca="false">ar_28</f>
        <v>1.428615</v>
      </c>
      <c r="G3995" s="22" t="n">
        <f aca="false">ar_29</f>
        <v>1.431796</v>
      </c>
    </row>
    <row r="3996" customFormat="false" ht="17.15" hidden="false" customHeight="false" outlineLevel="0" collapsed="false">
      <c r="A3996" s="4" t="s">
        <v>550</v>
      </c>
      <c r="B3996" s="0" t="s">
        <v>45</v>
      </c>
      <c r="D3996" s="19" t="n">
        <f aca="false">1</f>
        <v>1</v>
      </c>
      <c r="E3996" s="19" t="n">
        <f aca="false">rel27_B</f>
        <v>1.05</v>
      </c>
      <c r="F3996" s="19" t="n">
        <f aca="false">rel28_B</f>
        <v>1.08</v>
      </c>
      <c r="G3996" s="19" t="n">
        <f aca="false">rel29_B</f>
        <v>1.1</v>
      </c>
    </row>
    <row r="3997" customFormat="false" ht="17.15" hidden="false" customHeight="false" outlineLevel="0" collapsed="false">
      <c r="A3997" s="4" t="s">
        <v>551</v>
      </c>
      <c r="B3997" s="0" t="s">
        <v>502</v>
      </c>
      <c r="D3997" s="23" t="n">
        <f aca="false">D3998*1000/D3994</f>
        <v>236.842105263158</v>
      </c>
      <c r="E3997" s="23" t="n">
        <f aca="false">$D3997*E3995^el</f>
        <v>267.763172119488</v>
      </c>
      <c r="F3997" s="23" t="n">
        <f aca="false">$D3997*F3995^el</f>
        <v>283.084777049615</v>
      </c>
      <c r="G3997" s="23" t="n">
        <f aca="false">$D3997*G3995^el</f>
        <v>283.399764630809</v>
      </c>
      <c r="K3997" s="8" t="s">
        <v>552</v>
      </c>
    </row>
    <row r="3998" customFormat="false" ht="17.15" hidden="false" customHeight="false" outlineLevel="0" collapsed="false">
      <c r="A3998" s="0" t="s">
        <v>553</v>
      </c>
      <c r="B3998" s="0" t="s">
        <v>120</v>
      </c>
      <c r="D3998" s="22" t="n">
        <f aca="false">leap26-D3999-D4000</f>
        <v>3.6</v>
      </c>
      <c r="E3998" s="22" t="n">
        <f aca="false">E3994*E3996*E3997/1000</f>
        <v>6.66328653819345</v>
      </c>
      <c r="F3998" s="22" t="n">
        <f aca="false">F3994*F3996*F3997/1000</f>
        <v>6.48150905532798</v>
      </c>
      <c r="G3998" s="22" t="n">
        <f aca="false">G3994*G3996*G3997/1000</f>
        <v>7.98911021488366</v>
      </c>
      <c r="K3998" s="8" t="s">
        <v>554</v>
      </c>
    </row>
    <row r="3999" customFormat="false" ht="17.15" hidden="false" customHeight="false" outlineLevel="0" collapsed="false">
      <c r="A3999" s="4" t="s">
        <v>555</v>
      </c>
      <c r="B3999" s="0" t="s">
        <v>120</v>
      </c>
      <c r="D3999" s="22" t="n">
        <f aca="false">fp26</f>
        <v>0.3</v>
      </c>
      <c r="E3999" s="22" t="n">
        <f aca="false">fp27_B</f>
        <v>1</v>
      </c>
      <c r="F3999" s="22" t="n">
        <f aca="false">E3999*F3994/E3994*(1+fp_g)</f>
        <v>1.16286919831224</v>
      </c>
      <c r="G3999" s="22" t="n">
        <f aca="false">F3999*G3994/F3994*(1+fp_g)</f>
        <v>1.82744620253165</v>
      </c>
    </row>
    <row r="4000" customFormat="false" ht="17.15" hidden="false" customHeight="false" outlineLevel="0" collapsed="false">
      <c r="A4000" s="0" t="s">
        <v>556</v>
      </c>
      <c r="B4000" s="0" t="s">
        <v>120</v>
      </c>
      <c r="D4000" s="22" t="n">
        <f aca="false">cpo27*cpo_B_26/cpo_A_27</f>
        <v>0.1</v>
      </c>
      <c r="E4000" s="22" t="n">
        <f aca="false">cpo27*cpo_B_27/cpo_A_27</f>
        <v>0.3</v>
      </c>
      <c r="F4000" s="22" t="n">
        <f aca="false">cpo27*cpo_B_28/cpo_A_27*F3994/E3994</f>
        <v>0.447257383966245</v>
      </c>
      <c r="G4000" s="22" t="n">
        <f aca="false">cpo27*cpo_B_29/cpo_A_27*G3994/E3994</f>
        <v>0.86506329113924</v>
      </c>
      <c r="K4000" s="8" t="s">
        <v>557</v>
      </c>
    </row>
    <row r="4001" customFormat="false" ht="17.15" hidden="false" customHeight="false" outlineLevel="0" collapsed="false">
      <c r="A4001" s="0" t="s">
        <v>510</v>
      </c>
      <c r="B4001" s="0" t="s">
        <v>120</v>
      </c>
      <c r="C4001" s="22" t="n">
        <f aca="false">leap25</f>
        <v>1.6</v>
      </c>
      <c r="D4001" s="22" t="n">
        <f aca="false">D3998+D3999+D4000</f>
        <v>4</v>
      </c>
      <c r="E4001" s="22" t="n">
        <f aca="false">E3998+E3999+E4000</f>
        <v>7.96328653819345</v>
      </c>
      <c r="F4001" s="22" t="n">
        <f aca="false">F3998+F3999+F4000</f>
        <v>8.09163563760646</v>
      </c>
      <c r="G4001" s="22" t="n">
        <f aca="false">G3998+G3999+G4000</f>
        <v>10.6816197085545</v>
      </c>
    </row>
    <row r="4002" customFormat="false" ht="17.15" hidden="false" customHeight="false" outlineLevel="0" collapsed="false">
      <c r="A4002" s="4" t="s">
        <v>558</v>
      </c>
      <c r="B4002" s="0" t="s">
        <v>114</v>
      </c>
      <c r="C4002" s="19" t="n">
        <f aca="false">fx25</f>
        <v>31</v>
      </c>
      <c r="D4002" s="19" t="n">
        <f aca="false">a26_leap/D4001</f>
        <v>31.9</v>
      </c>
      <c r="E4002" s="19" t="n">
        <f aca="false">fx</f>
        <v>32</v>
      </c>
      <c r="F4002" s="19" t="n">
        <f aca="false">fx</f>
        <v>32</v>
      </c>
      <c r="G4002" s="19" t="n">
        <f aca="false">fx</f>
        <v>32</v>
      </c>
      <c r="K4002" s="8" t="s">
        <v>559</v>
      </c>
    </row>
    <row r="4003" customFormat="false" ht="17.15" hidden="false" customHeight="false" outlineLevel="0" collapsed="false">
      <c r="A4003" s="6" t="s">
        <v>560</v>
      </c>
    </row>
    <row r="4004" customFormat="false" ht="17.15" hidden="false" customHeight="false" outlineLevel="0" collapsed="false">
      <c r="A4004" s="0" t="s">
        <v>438</v>
      </c>
      <c r="B4004" s="0" t="s">
        <v>234</v>
      </c>
      <c r="C4004" s="30" t="n">
        <f aca="false">a25_leap</f>
        <v>49.6</v>
      </c>
      <c r="D4004" s="30" t="n">
        <f aca="false">a26_leap</f>
        <v>127.6</v>
      </c>
      <c r="E4004" s="30" t="n">
        <f aca="false">E4001*E4002</f>
        <v>254.82516922219</v>
      </c>
      <c r="F4004" s="30" t="n">
        <f aca="false">F4001*F4002</f>
        <v>258.932340403407</v>
      </c>
      <c r="G4004" s="30" t="n">
        <f aca="false">G4001*G4002</f>
        <v>341.811830673745</v>
      </c>
    </row>
    <row r="4005" customFormat="false" ht="15" hidden="false" customHeight="false" outlineLevel="0" collapsed="false">
      <c r="A4005" s="4" t="s">
        <v>561</v>
      </c>
      <c r="B4005" s="0" t="s">
        <v>234</v>
      </c>
      <c r="C4005" s="30" t="n">
        <f aca="false">a25_ms</f>
        <v>339.628</v>
      </c>
      <c r="D4005" s="30" t="n">
        <f aca="false">a26_ms</f>
        <v>432.1302</v>
      </c>
      <c r="E4005" s="30" t="n">
        <f aca="false">D4005*(1+g_ms27)</f>
        <v>496.94973</v>
      </c>
      <c r="F4005" s="30" t="n">
        <f aca="false">E4005*(1+g_msL)</f>
        <v>531.7362111</v>
      </c>
      <c r="G4005" s="30" t="n">
        <f aca="false">F4005*(1+g_msL)</f>
        <v>568.957745877</v>
      </c>
    </row>
    <row r="4006" customFormat="false" ht="17.15" hidden="false" customHeight="false" outlineLevel="0" collapsed="false">
      <c r="A4006" s="4" t="s">
        <v>562</v>
      </c>
      <c r="B4006" s="0" t="s">
        <v>234</v>
      </c>
      <c r="C4006" s="30" t="n">
        <f aca="false">C4004+C4005</f>
        <v>389.228</v>
      </c>
      <c r="D4006" s="30" t="n">
        <f aca="false">D4004+D4005</f>
        <v>559.7302</v>
      </c>
      <c r="E4006" s="30" t="n">
        <f aca="false">E4004+E4005</f>
        <v>751.77489922219</v>
      </c>
      <c r="F4006" s="30" t="n">
        <f aca="false">F4004+F4005</f>
        <v>790.668551503407</v>
      </c>
      <c r="G4006" s="30" t="n">
        <f aca="false">G4004+G4005</f>
        <v>910.769576550745</v>
      </c>
    </row>
    <row r="4007" customFormat="false" ht="17.15" hidden="false" customHeight="false" outlineLevel="0" collapsed="false">
      <c r="A4007" s="0" t="s">
        <v>563</v>
      </c>
      <c r="B4007" s="0" t="s">
        <v>234</v>
      </c>
      <c r="C4007" s="30" t="n">
        <f aca="false">a25_ems</f>
        <v>259.079</v>
      </c>
      <c r="D4007" s="30" t="n">
        <f aca="false">a26_ems</f>
        <v>314.602</v>
      </c>
      <c r="E4007" s="30" t="n">
        <f aca="false">D4007*(1+g_ems27)</f>
        <v>346.0622</v>
      </c>
      <c r="F4007" s="30" t="n">
        <f aca="false">E4007*(1+g_emsL)</f>
        <v>363.36531</v>
      </c>
      <c r="G4007" s="30" t="n">
        <f aca="false">F4007*(1+g_emsL)</f>
        <v>381.5335755</v>
      </c>
    </row>
    <row r="4008" customFormat="false" ht="17.15" hidden="false" customHeight="false" outlineLevel="0" collapsed="false">
      <c r="A4008" s="4" t="s">
        <v>564</v>
      </c>
      <c r="B4008" s="0" t="s">
        <v>234</v>
      </c>
      <c r="C4008" s="30" t="n">
        <f aca="false">a25_elim</f>
        <v>-2.91899999999998</v>
      </c>
      <c r="D4008" s="30" t="n">
        <f aca="false">a26_elim</f>
        <v>-3.16484905982349</v>
      </c>
      <c r="E4008" s="30" t="n">
        <f aca="false">$D4008/($D4006+$D4007)*(E4006+E4007)</f>
        <v>-3.97387710450638</v>
      </c>
      <c r="F4008" s="30" t="n">
        <f aca="false">$D4008/($D4006+$D4007)*(F4006+F4007)</f>
        <v>-4.17729437573445</v>
      </c>
      <c r="G4008" s="30" t="n">
        <f aca="false">$D4008/($D4006+$D4007)*(G4006+G4007)</f>
        <v>-4.67779228052533</v>
      </c>
      <c r="K4008" s="4" t="s">
        <v>565</v>
      </c>
    </row>
    <row r="4009" customFormat="false" ht="17.15" hidden="false" customHeight="false" outlineLevel="0" collapsed="false">
      <c r="A4009" s="4" t="s">
        <v>431</v>
      </c>
      <c r="B4009" s="0" t="s">
        <v>234</v>
      </c>
      <c r="C4009" s="30" t="n">
        <f aca="false">C4006+C4007+C4008</f>
        <v>645.388</v>
      </c>
      <c r="D4009" s="30" t="n">
        <f aca="false">D4006+D4007+D4008</f>
        <v>871.167350940177</v>
      </c>
      <c r="E4009" s="30" t="n">
        <f aca="false">E4006+E4007+E4008</f>
        <v>1093.86322211768</v>
      </c>
      <c r="F4009" s="30" t="n">
        <f aca="false">F4006+F4007+F4008</f>
        <v>1149.85656712767</v>
      </c>
      <c r="G4009" s="30" t="n">
        <f aca="false">G4006+G4007+G4008</f>
        <v>1287.62535977022</v>
      </c>
      <c r="H4009" s="31" t="n">
        <f aca="false">G4009*(1+H4010)</f>
        <v>1407.64396999115</v>
      </c>
      <c r="I4009" s="31" t="n">
        <f aca="false">H4009*(1+I4010)</f>
        <v>1501.39957757674</v>
      </c>
      <c r="J4009" s="31" t="n">
        <f aca="false">I4009*(1+J4010)</f>
        <v>1561.45556067981</v>
      </c>
      <c r="K4009" s="8" t="s">
        <v>566</v>
      </c>
    </row>
    <row r="4010" customFormat="false" ht="15" hidden="false" customHeight="false" outlineLevel="0" collapsed="false">
      <c r="A4010" s="4" t="s">
        <v>567</v>
      </c>
      <c r="B4010" s="0" t="s">
        <v>76</v>
      </c>
      <c r="D4010" s="21" t="n">
        <f aca="false">D4009/C4009-1</f>
        <v>0.349835061916516</v>
      </c>
      <c r="E4010" s="21" t="n">
        <f aca="false">E4009/D4009-1</f>
        <v>0.255629266796065</v>
      </c>
      <c r="F4010" s="21" t="n">
        <f aca="false">F4009/E4009-1</f>
        <v>0.0511886165270159</v>
      </c>
      <c r="G4010" s="21" t="n">
        <f aca="false">G4009/F4009-1</f>
        <v>0.11981389382042</v>
      </c>
      <c r="H4010" s="26" t="n">
        <f aca="false">$G4010+(fade_gB-$G4010)*1/3</f>
        <v>0.0932092625469469</v>
      </c>
      <c r="I4010" s="26" t="n">
        <f aca="false">$G4010+(fade_gB-$G4010)*2/3</f>
        <v>0.0666046312734734</v>
      </c>
      <c r="J4010" s="26" t="n">
        <f aca="false">$G4010+(fade_gB-$G4010)*3/3</f>
        <v>0.04</v>
      </c>
    </row>
    <row r="4011" customFormat="false" ht="17.15" hidden="false" customHeight="false" outlineLevel="0" collapsed="false">
      <c r="A4011" s="0" t="s">
        <v>475</v>
      </c>
      <c r="B4011" s="0" t="s">
        <v>76</v>
      </c>
      <c r="C4011" s="21" t="n">
        <f aca="false">C4004/C4006</f>
        <v>0.127431736668482</v>
      </c>
      <c r="D4011" s="21" t="n">
        <f aca="false">D4004/D4006</f>
        <v>0.227966974088588</v>
      </c>
      <c r="E4011" s="21" t="n">
        <f aca="false">E4004/E4006</f>
        <v>0.338964721335922</v>
      </c>
      <c r="F4011" s="21" t="n">
        <f aca="false">F4004/F4006</f>
        <v>0.327485315953269</v>
      </c>
      <c r="G4011" s="21" t="n">
        <f aca="false">G4004/G4006</f>
        <v>0.375300009436251</v>
      </c>
    </row>
    <row r="4012" customFormat="false" ht="15" hidden="false" customHeight="false" outlineLevel="0" collapsed="false">
      <c r="A4012" s="4" t="s">
        <v>568</v>
      </c>
      <c r="B4012" s="0" t="s">
        <v>76</v>
      </c>
      <c r="D4012" s="21" t="n">
        <f aca="false">D4006/C4006-1</f>
        <v>0.438052247012034</v>
      </c>
      <c r="E4012" s="21" t="n">
        <f aca="false">E4006/D4006-1</f>
        <v>0.343102264666424</v>
      </c>
      <c r="F4012" s="21" t="n">
        <f aca="false">F4006/E4006-1</f>
        <v>0.0517357686741828</v>
      </c>
      <c r="G4012" s="21" t="n">
        <f aca="false">G4006/F4006-1</f>
        <v>0.151898067551788</v>
      </c>
    </row>
    <row r="4013" customFormat="false" ht="17.15" hidden="false" customHeight="false" outlineLevel="0" collapsed="false">
      <c r="A4013" s="6" t="s">
        <v>569</v>
      </c>
    </row>
    <row r="4014" customFormat="false" ht="17.15" hidden="false" customHeight="false" outlineLevel="0" collapsed="false">
      <c r="A4014" s="4" t="s">
        <v>570</v>
      </c>
      <c r="B4014" s="0" t="s">
        <v>120</v>
      </c>
      <c r="C4014" s="19" t="n">
        <f aca="false">capex25</f>
        <v>5.5</v>
      </c>
      <c r="D4014" s="19" t="n">
        <f aca="false">capex26</f>
        <v>11.5</v>
      </c>
      <c r="E4014" s="19" t="n">
        <f aca="false">capex27</f>
        <v>13</v>
      </c>
      <c r="F4014" s="19" t="n">
        <f aca="false">capi*F4009/F4002</f>
        <v>10.7799053168219</v>
      </c>
      <c r="G4014" s="19" t="n">
        <f aca="false">capi*G4009/G4002</f>
        <v>12.0714877478458</v>
      </c>
      <c r="K4014" s="8" t="s">
        <v>571</v>
      </c>
    </row>
    <row r="4015" customFormat="false" ht="15" hidden="false" customHeight="false" outlineLevel="0" collapsed="false">
      <c r="A4015" s="4" t="s">
        <v>572</v>
      </c>
      <c r="B4015" s="0" t="s">
        <v>234</v>
      </c>
      <c r="C4015" s="30" t="n">
        <f aca="false">C4014*C4002</f>
        <v>170.5</v>
      </c>
      <c r="D4015" s="30" t="n">
        <f aca="false">D4014*31.9</f>
        <v>366.85</v>
      </c>
      <c r="E4015" s="30" t="n">
        <f aca="false">E4014*E4002</f>
        <v>416</v>
      </c>
      <c r="F4015" s="30" t="n">
        <f aca="false">F4014*F4002</f>
        <v>344.956970138302</v>
      </c>
      <c r="G4015" s="30" t="n">
        <f aca="false">G4014*G4002</f>
        <v>386.287607931066</v>
      </c>
    </row>
    <row r="4016" customFormat="false" ht="17.15" hidden="false" customHeight="false" outlineLevel="0" collapsed="false">
      <c r="A4016" s="4" t="s">
        <v>473</v>
      </c>
      <c r="B4016" s="0" t="s">
        <v>76</v>
      </c>
      <c r="C4016" s="21" t="n">
        <f aca="false">C4015/C4009</f>
        <v>0.264182166386732</v>
      </c>
      <c r="D4016" s="21" t="n">
        <f aca="false">D4015/D4009</f>
        <v>0.421101639775745</v>
      </c>
      <c r="E4016" s="21" t="n">
        <f aca="false">E4015/E4009</f>
        <v>0.380303489127861</v>
      </c>
      <c r="F4016" s="21" t="n">
        <f aca="false">F4015/F4009</f>
        <v>0.3</v>
      </c>
      <c r="G4016" s="21" t="n">
        <f aca="false">G4015/G4009</f>
        <v>0.3</v>
      </c>
    </row>
    <row r="4017" customFormat="false" ht="17.15" hidden="false" customHeight="false" outlineLevel="0" collapsed="false">
      <c r="A4017" s="4" t="s">
        <v>573</v>
      </c>
      <c r="B4017" s="0" t="s">
        <v>234</v>
      </c>
      <c r="C4017" s="30" t="n">
        <f aca="false">a25_da</f>
        <v>75.255</v>
      </c>
      <c r="D4017" s="30" t="n">
        <f aca="false">a26_da</f>
        <v>97.124</v>
      </c>
      <c r="E4017" s="30" t="n">
        <f aca="false">D4017*(1-1/life)+D4015/life</f>
        <v>130.83975</v>
      </c>
      <c r="F4017" s="30" t="n">
        <f aca="false">E4017*(1-1/life)+E4015/life</f>
        <v>166.48478125</v>
      </c>
      <c r="G4017" s="30" t="n">
        <f aca="false">F4017*(1-1/life)+F4015/life</f>
        <v>188.793804861038</v>
      </c>
      <c r="K4017" s="4" t="s">
        <v>574</v>
      </c>
    </row>
    <row r="4018" customFormat="false" ht="17.15" hidden="false" customHeight="false" outlineLevel="0" collapsed="false">
      <c r="A4018" s="4" t="s">
        <v>575</v>
      </c>
      <c r="B4018" s="0" t="s">
        <v>234</v>
      </c>
      <c r="C4018" s="30" t="n">
        <f aca="false">a25_agp</f>
        <v>91.38</v>
      </c>
      <c r="D4018" s="30" t="n">
        <f aca="false">a26_agp</f>
        <v>164.623388</v>
      </c>
      <c r="E4018" s="30" t="n">
        <f aca="false">$D4018+ft_lo*(E4006-$D4006)-(E4017-$D4017)</f>
        <v>207.725517688876</v>
      </c>
      <c r="F4018" s="30" t="n">
        <f aca="false">$D4018+ft_lo*(F4006-$D4006)-(F4017-$D4017)</f>
        <v>187.637947351363</v>
      </c>
      <c r="G4018" s="30" t="n">
        <f aca="false">$D4018+ft_lo*(G4006-$D4006)-(G4017-$D4017)</f>
        <v>213.36933375926</v>
      </c>
      <c r="K4018" s="4" t="s">
        <v>576</v>
      </c>
    </row>
    <row r="4019" customFormat="false" ht="15" hidden="false" customHeight="false" outlineLevel="0" collapsed="false">
      <c r="A4019" s="4" t="s">
        <v>447</v>
      </c>
      <c r="B4019" s="0" t="s">
        <v>76</v>
      </c>
      <c r="C4019" s="14" t="n">
        <f aca="false">C4018/C4006</f>
        <v>0.234772421305764</v>
      </c>
      <c r="D4019" s="14" t="n">
        <f aca="false">D4018/D4006</f>
        <v>0.294112034690999</v>
      </c>
      <c r="E4019" s="14" t="n">
        <f aca="false">E4018/E4006</f>
        <v>0.276313452209957</v>
      </c>
      <c r="F4019" s="14" t="n">
        <f aca="false">F4018/F4006</f>
        <v>0.237315556556007</v>
      </c>
      <c r="G4019" s="14" t="n">
        <f aca="false">G4018/G4006</f>
        <v>0.234273672784866</v>
      </c>
    </row>
    <row r="4020" customFormat="false" ht="17.15" hidden="false" customHeight="false" outlineLevel="0" collapsed="false">
      <c r="A4020" s="0" t="s">
        <v>449</v>
      </c>
      <c r="B4020" s="0" t="s">
        <v>234</v>
      </c>
      <c r="C4020" s="30" t="n">
        <f aca="false">a25_egp</f>
        <v>23.695</v>
      </c>
      <c r="D4020" s="30" t="n">
        <f aca="false">a26_egp</f>
        <v>27.00552</v>
      </c>
      <c r="E4020" s="30" t="n">
        <f aca="false">E4007*ems_gm</f>
        <v>29.415287</v>
      </c>
      <c r="F4020" s="30" t="n">
        <f aca="false">F4007*ems_gm</f>
        <v>30.88605135</v>
      </c>
      <c r="G4020" s="30" t="n">
        <f aca="false">G4007*ems_gm</f>
        <v>32.4303539175</v>
      </c>
    </row>
    <row r="4021" customFormat="false" ht="15" hidden="false" customHeight="false" outlineLevel="0" collapsed="false">
      <c r="A4021" s="4" t="s">
        <v>577</v>
      </c>
      <c r="B4021" s="0" t="s">
        <v>234</v>
      </c>
      <c r="C4021" s="30" t="n">
        <f aca="false">a25_lgp</f>
        <v>-0.881999999999998</v>
      </c>
      <c r="D4021" s="30" t="n">
        <f aca="false">a26_lgp</f>
        <v>-0.948662139013863</v>
      </c>
      <c r="E4021" s="30" t="n">
        <f aca="false">$D4021/$D4008*E4008</f>
        <v>-1.19116794604716</v>
      </c>
      <c r="F4021" s="30" t="n">
        <f aca="false">$D4021/$D4008*F4008</f>
        <v>-1.25214218525664</v>
      </c>
      <c r="G4021" s="30" t="n">
        <f aca="false">$D4021/$D4008*G4008</f>
        <v>-1.40216621608905</v>
      </c>
    </row>
    <row r="4022" customFormat="false" ht="15" hidden="false" customHeight="false" outlineLevel="0" collapsed="false">
      <c r="A4022" s="4" t="s">
        <v>451</v>
      </c>
      <c r="B4022" s="0" t="s">
        <v>234</v>
      </c>
      <c r="C4022" s="30" t="n">
        <f aca="false">C4018+C4020+C4021</f>
        <v>114.193</v>
      </c>
      <c r="D4022" s="30" t="n">
        <f aca="false">D4018+D4020+D4021</f>
        <v>190.680245860986</v>
      </c>
      <c r="E4022" s="30" t="n">
        <f aca="false">E4018+E4020+E4021</f>
        <v>235.949636742829</v>
      </c>
      <c r="F4022" s="30" t="n">
        <f aca="false">F4018+F4020+F4021</f>
        <v>217.271856516106</v>
      </c>
      <c r="G4022" s="30" t="n">
        <f aca="false">G4018+G4020+G4021</f>
        <v>244.397521460671</v>
      </c>
    </row>
    <row r="4023" customFormat="false" ht="15" hidden="false" customHeight="false" outlineLevel="0" collapsed="false">
      <c r="A4023" s="4" t="s">
        <v>452</v>
      </c>
      <c r="B4023" s="0" t="s">
        <v>76</v>
      </c>
      <c r="C4023" s="14" t="n">
        <f aca="false">C4022/C4009</f>
        <v>0.176936974347214</v>
      </c>
      <c r="D4023" s="14" t="n">
        <f aca="false">D4022/D4009</f>
        <v>0.218879008327391</v>
      </c>
      <c r="E4023" s="14" t="n">
        <f aca="false">E4022/E4009</f>
        <v>0.215703053153243</v>
      </c>
      <c r="F4023" s="14" t="n">
        <f aca="false">F4022/F4009</f>
        <v>0.188955616489497</v>
      </c>
      <c r="G4023" s="14" t="n">
        <f aca="false">G4022/G4009</f>
        <v>0.189804836947515</v>
      </c>
    </row>
    <row r="4024" customFormat="false" ht="15" hidden="false" customHeight="false" outlineLevel="0" collapsed="false">
      <c r="A4024" s="4" t="s">
        <v>578</v>
      </c>
      <c r="B4024" s="0" t="s">
        <v>234</v>
      </c>
      <c r="C4024" s="30" t="n">
        <f aca="false">a25_opx</f>
        <v>63.437</v>
      </c>
      <c r="D4024" s="30" t="n">
        <f aca="false">a26_opx</f>
        <v>79.658</v>
      </c>
      <c r="E4024" s="30" t="n">
        <f aca="false">D4024*(1+phi*E4010)</f>
        <v>91.8757496806646</v>
      </c>
      <c r="F4024" s="30" t="n">
        <f aca="false">E4024*(1+phi*F4010)</f>
        <v>94.6975451917859</v>
      </c>
      <c r="G4024" s="30" t="n">
        <f aca="false">F4024*(1+phi*G4010)</f>
        <v>101.505194166584</v>
      </c>
    </row>
    <row r="4025" customFormat="false" ht="15" hidden="false" customHeight="false" outlineLevel="0" collapsed="false">
      <c r="A4025" s="4" t="s">
        <v>455</v>
      </c>
      <c r="B4025" s="0" t="s">
        <v>234</v>
      </c>
      <c r="C4025" s="30" t="n">
        <f aca="false">C4022-C4024</f>
        <v>50.756</v>
      </c>
      <c r="D4025" s="30" t="n">
        <f aca="false">D4022-D4024</f>
        <v>111.022245860986</v>
      </c>
      <c r="E4025" s="30" t="n">
        <f aca="false">E4022-E4024</f>
        <v>144.073887062164</v>
      </c>
      <c r="F4025" s="30" t="n">
        <f aca="false">F4022-F4024</f>
        <v>122.57431132432</v>
      </c>
      <c r="G4025" s="30" t="n">
        <f aca="false">G4022-G4024</f>
        <v>142.892327294088</v>
      </c>
    </row>
    <row r="4026" customFormat="false" ht="15" hidden="false" customHeight="false" outlineLevel="0" collapsed="false">
      <c r="A4026" s="4" t="s">
        <v>537</v>
      </c>
      <c r="B4026" s="0" t="s">
        <v>76</v>
      </c>
      <c r="C4026" s="14" t="n">
        <f aca="false">C4025/C4009</f>
        <v>0.0786441644406156</v>
      </c>
      <c r="D4026" s="14" t="n">
        <f aca="false">D4025/D4009</f>
        <v>0.127440779020437</v>
      </c>
      <c r="E4026" s="14" t="n">
        <f aca="false">E4025/E4009</f>
        <v>0.131711062360468</v>
      </c>
      <c r="F4026" s="14" t="n">
        <f aca="false">F4025/F4009</f>
        <v>0.106599653233715</v>
      </c>
      <c r="G4026" s="14" t="n">
        <f aca="false">G4025/G4009</f>
        <v>0.110973526740408</v>
      </c>
    </row>
    <row r="4027" customFormat="false" ht="15" hidden="false" customHeight="false" outlineLevel="0" collapsed="false">
      <c r="A4027" s="4" t="s">
        <v>456</v>
      </c>
      <c r="B4027" s="0" t="s">
        <v>234</v>
      </c>
      <c r="C4027" s="30" t="n">
        <f aca="false">a25_nonop</f>
        <v>0.545</v>
      </c>
      <c r="D4027" s="30" t="n">
        <f aca="false">a26_nonop</f>
        <v>4.302</v>
      </c>
      <c r="E4027" s="30" t="n">
        <f aca="false">nonop_f</f>
        <v>-5</v>
      </c>
      <c r="F4027" s="30" t="n">
        <f aca="false">nonop_f</f>
        <v>-5</v>
      </c>
      <c r="G4027" s="30" t="n">
        <f aca="false">nonop_f</f>
        <v>-5</v>
      </c>
    </row>
    <row r="4028" customFormat="false" ht="15" hidden="false" customHeight="false" outlineLevel="0" collapsed="false">
      <c r="A4028" s="4" t="s">
        <v>459</v>
      </c>
      <c r="B4028" s="0" t="s">
        <v>234</v>
      </c>
      <c r="C4028" s="30" t="n">
        <f aca="false">C4025+C4027</f>
        <v>51.301</v>
      </c>
      <c r="D4028" s="30" t="n">
        <f aca="false">D4025+D4027</f>
        <v>115.324245860986</v>
      </c>
      <c r="E4028" s="30" t="n">
        <f aca="false">E4025+E4027</f>
        <v>139.073887062164</v>
      </c>
      <c r="F4028" s="30" t="n">
        <f aca="false">F4025+F4027</f>
        <v>117.57431132432</v>
      </c>
      <c r="G4028" s="30" t="n">
        <f aca="false">G4025+G4027</f>
        <v>137.892327294088</v>
      </c>
    </row>
    <row r="4029" customFormat="false" ht="15" hidden="false" customHeight="false" outlineLevel="0" collapsed="false">
      <c r="A4029" s="4" t="s">
        <v>460</v>
      </c>
      <c r="B4029" s="0" t="s">
        <v>234</v>
      </c>
      <c r="C4029" s="30" t="n">
        <f aca="false">a25_tax</f>
        <v>9.461</v>
      </c>
      <c r="D4029" s="30" t="n">
        <f aca="false">a26_tax</f>
        <v>19.2197317963676</v>
      </c>
      <c r="E4029" s="30" t="n">
        <f aca="false">E4028*tax</f>
        <v>23.642560800568</v>
      </c>
      <c r="F4029" s="30" t="n">
        <f aca="false">F4028*tax</f>
        <v>19.9876329251344</v>
      </c>
      <c r="G4029" s="30" t="n">
        <f aca="false">G4028*tax</f>
        <v>23.4416956399949</v>
      </c>
    </row>
    <row r="4030" customFormat="false" ht="15" hidden="false" customHeight="false" outlineLevel="0" collapsed="false">
      <c r="A4030" s="4" t="s">
        <v>461</v>
      </c>
      <c r="B4030" s="0" t="s">
        <v>234</v>
      </c>
      <c r="C4030" s="30" t="n">
        <f aca="false">a25_nci</f>
        <v>1.182</v>
      </c>
      <c r="D4030" s="30" t="n">
        <f aca="false">a26_nci</f>
        <v>2.543</v>
      </c>
      <c r="E4030" s="30" t="n">
        <f aca="false">nci</f>
        <v>3</v>
      </c>
      <c r="F4030" s="30" t="n">
        <f aca="false">nci</f>
        <v>3</v>
      </c>
      <c r="G4030" s="30" t="n">
        <f aca="false">nci</f>
        <v>3</v>
      </c>
    </row>
    <row r="4031" customFormat="false" ht="15" hidden="false" customHeight="false" outlineLevel="0" collapsed="false">
      <c r="A4031" s="4" t="s">
        <v>462</v>
      </c>
      <c r="B4031" s="0" t="s">
        <v>234</v>
      </c>
      <c r="C4031" s="30" t="n">
        <f aca="false">C4028-C4029-C4030</f>
        <v>40.658</v>
      </c>
      <c r="D4031" s="30" t="n">
        <f aca="false">D4028-D4029-D4030</f>
        <v>93.5615140646185</v>
      </c>
      <c r="E4031" s="30" t="n">
        <f aca="false">E4028-E4029-E4030</f>
        <v>112.431326261596</v>
      </c>
      <c r="F4031" s="30" t="n">
        <f aca="false">F4028-F4029-F4030</f>
        <v>94.5866783991857</v>
      </c>
      <c r="G4031" s="30" t="n">
        <f aca="false">G4028-G4029-G4030</f>
        <v>111.450631654093</v>
      </c>
      <c r="H4031" s="31" t="n">
        <f aca="false">H4009*H4035</f>
        <v>127.333178912233</v>
      </c>
      <c r="I4031" s="31" t="n">
        <f aca="false">I4009*I4035</f>
        <v>141.67442130986</v>
      </c>
      <c r="J4031" s="31" t="n">
        <f aca="false">J4009*J4035</f>
        <v>153.436071648244</v>
      </c>
    </row>
    <row r="4032" customFormat="false" ht="15" hidden="false" customHeight="false" outlineLevel="0" collapsed="false">
      <c r="A4032" s="4" t="s">
        <v>579</v>
      </c>
      <c r="B4032" s="4" t="s">
        <v>580</v>
      </c>
      <c r="C4032" s="18" t="n">
        <f aca="false">a25_sh</f>
        <v>4339.16755602988</v>
      </c>
      <c r="D4032" s="18" t="n">
        <f aca="false">a26_sh</f>
        <v>4392.90105184664</v>
      </c>
      <c r="E4032" s="18" t="n">
        <f aca="false">D4032*(1+sh_g)</f>
        <v>4414.86555710588</v>
      </c>
      <c r="F4032" s="18" t="n">
        <f aca="false">E4032*(1+sh_g)</f>
        <v>4436.9398848914</v>
      </c>
      <c r="G4032" s="18" t="n">
        <f aca="false">F4032*(1+sh_g)</f>
        <v>4459.12458431586</v>
      </c>
      <c r="H4032" s="25" t="n">
        <f aca="false">G4032*(1+sh_g)</f>
        <v>4481.42020723744</v>
      </c>
      <c r="I4032" s="25" t="n">
        <f aca="false">H4032*(1+sh_g)</f>
        <v>4503.82730827363</v>
      </c>
      <c r="J4032" s="25" t="n">
        <f aca="false">I4032*(1+sh_g)</f>
        <v>4526.34644481499</v>
      </c>
    </row>
    <row r="4033" customFormat="false" ht="17.15" hidden="false" customHeight="false" outlineLevel="0" collapsed="false">
      <c r="A4033" s="0" t="s">
        <v>465</v>
      </c>
      <c r="B4033" s="0" t="s">
        <v>304</v>
      </c>
      <c r="C4033" s="19" t="n">
        <f aca="false">a25_eps</f>
        <v>9.37</v>
      </c>
      <c r="D4033" s="19" t="n">
        <f aca="false">a26_eps</f>
        <v>21.2828697294455</v>
      </c>
      <c r="E4033" s="19" t="n">
        <f aca="false">E4031/E4032*1000</f>
        <v>25.4665345540669</v>
      </c>
      <c r="F4033" s="19" t="n">
        <f aca="false">F4031/F4032*1000</f>
        <v>21.3179986326321</v>
      </c>
      <c r="G4033" s="19" t="n">
        <f aca="false">G4031/G4032*1000</f>
        <v>24.9938366929912</v>
      </c>
      <c r="H4033" s="28" t="n">
        <f aca="false">H4031/H4032*1000</f>
        <v>28.4135771750642</v>
      </c>
      <c r="I4033" s="28" t="n">
        <f aca="false">I4031/I4032*1000</f>
        <v>31.4564506169232</v>
      </c>
      <c r="J4033" s="28" t="n">
        <f aca="false">J4031/J4032*1000</f>
        <v>33.8984374083887</v>
      </c>
    </row>
    <row r="4034" customFormat="false" ht="17.15" hidden="false" customHeight="false" outlineLevel="0" collapsed="false">
      <c r="A4034" s="0" t="s">
        <v>581</v>
      </c>
      <c r="B4034" s="0" t="s">
        <v>76</v>
      </c>
      <c r="D4034" s="21" t="n">
        <f aca="false">D4033/C4033-1</f>
        <v>1.27138417603474</v>
      </c>
      <c r="E4034" s="21" t="n">
        <f aca="false">E4033/D4033-1</f>
        <v>0.196574281466992</v>
      </c>
      <c r="F4034" s="21" t="n">
        <f aca="false">F4033/E4033-1</f>
        <v>-0.162901470265898</v>
      </c>
      <c r="G4034" s="21" t="n">
        <f aca="false">G4033/F4033-1</f>
        <v>0.172428853369583</v>
      </c>
      <c r="H4034" s="26" t="n">
        <f aca="false">H4033/G4033-1</f>
        <v>0.136823350655564</v>
      </c>
      <c r="I4034" s="26" t="n">
        <f aca="false">I4033/H4033-1</f>
        <v>0.107092233516077</v>
      </c>
      <c r="J4034" s="26" t="n">
        <f aca="false">J4033/I4033-1</f>
        <v>0.0776307162306396</v>
      </c>
    </row>
    <row r="4035" customFormat="false" ht="17.15" hidden="false" customHeight="false" outlineLevel="0" collapsed="false">
      <c r="A4035" s="4" t="s">
        <v>582</v>
      </c>
      <c r="B4035" s="0" t="s">
        <v>76</v>
      </c>
      <c r="C4035" s="14" t="n">
        <f aca="false">C4031/C4009</f>
        <v>0.0629977625862272</v>
      </c>
      <c r="D4035" s="14" t="n">
        <f aca="false">D4031/D4009</f>
        <v>0.107397865592237</v>
      </c>
      <c r="E4035" s="14" t="n">
        <f aca="false">E4031/E4009</f>
        <v>0.102783715539803</v>
      </c>
      <c r="F4035" s="14" t="n">
        <f aca="false">F4031/F4009</f>
        <v>0.0822595453235198</v>
      </c>
      <c r="G4035" s="14" t="n">
        <f aca="false">G4031/G4009</f>
        <v>0.0865551698003069</v>
      </c>
      <c r="H4035" s="27" t="n">
        <f aca="false">$G4035+(fade_mB-$G4035)*1/3</f>
        <v>0.090458369890956</v>
      </c>
      <c r="I4035" s="27" t="n">
        <f aca="false">$G4035+(fade_mB-$G4035)*2/3</f>
        <v>0.094361569981605</v>
      </c>
      <c r="J4035" s="27" t="n">
        <f aca="false">$G4035+(fade_mB-$G4035)*3/3</f>
        <v>0.0982647700722541</v>
      </c>
    </row>
    <row r="4036" customFormat="false" ht="17.15" hidden="false" customHeight="false" outlineLevel="0" collapsed="false">
      <c r="A4036" s="4" t="s">
        <v>583</v>
      </c>
      <c r="B4036" s="0" t="s">
        <v>234</v>
      </c>
      <c r="C4036" s="30" t="n">
        <f aca="false">C4031+C4017-C4015</f>
        <v>-54.587</v>
      </c>
      <c r="D4036" s="30" t="n">
        <f aca="false">D4031+D4017-D4015</f>
        <v>-176.164485935382</v>
      </c>
      <c r="E4036" s="30" t="n">
        <f aca="false">E4031+E4017-E4015</f>
        <v>-172.728923738404</v>
      </c>
      <c r="F4036" s="30" t="n">
        <f aca="false">F4031+F4017-F4015</f>
        <v>-83.885510489116</v>
      </c>
      <c r="G4036" s="30" t="n">
        <f aca="false">G4031+G4017-G4015</f>
        <v>-86.0431714159357</v>
      </c>
      <c r="K4036" s="4" t="s">
        <v>584</v>
      </c>
    </row>
    <row r="4037" customFormat="false" ht="17.15" hidden="false" customHeight="false" outlineLevel="0" collapsed="false">
      <c r="A4037" s="4" t="s">
        <v>585</v>
      </c>
      <c r="B4037" s="0" t="s">
        <v>76</v>
      </c>
      <c r="D4037" s="21" t="n">
        <f aca="false">(D4025-$C4025)/SUM($D4015:D4015)</f>
        <v>0.164280348537512</v>
      </c>
      <c r="E4037" s="21" t="n">
        <f aca="false">(E4025-$C4025)/SUM($D4015:E4015)</f>
        <v>0.119202768170358</v>
      </c>
      <c r="F4037" s="21" t="n">
        <f aca="false">(F4025-$C4025)/SUM($D4015:F4015)</f>
        <v>0.0636796129354593</v>
      </c>
      <c r="G4037" s="21" t="n">
        <f aca="false">(G4025-$C4025)/SUM($D4015:G4015)</f>
        <v>0.0608524253561302</v>
      </c>
      <c r="K4037" s="4" t="s">
        <v>586</v>
      </c>
    </row>
    <row r="4040" customFormat="false" ht="17.15" hidden="false" customHeight="false" outlineLevel="0" collapsed="false">
      <c r="A4040" s="1" t="s">
        <v>996</v>
      </c>
    </row>
    <row r="4041" customFormat="false" ht="17.15" hidden="false" customHeight="false" outlineLevel="0" collapsed="false">
      <c r="A4041" s="5" t="s">
        <v>21</v>
      </c>
      <c r="B4041" s="5" t="s">
        <v>22</v>
      </c>
      <c r="C4041" s="15" t="s">
        <v>424</v>
      </c>
      <c r="D4041" s="15" t="s">
        <v>524</v>
      </c>
      <c r="E4041" s="15" t="s">
        <v>525</v>
      </c>
      <c r="F4041" s="15" t="s">
        <v>526</v>
      </c>
      <c r="G4041" s="15" t="s">
        <v>527</v>
      </c>
      <c r="H4041" s="15" t="s">
        <v>528</v>
      </c>
      <c r="I4041" s="15" t="s">
        <v>529</v>
      </c>
      <c r="J4041" s="15" t="s">
        <v>530</v>
      </c>
      <c r="K4041" s="5" t="s">
        <v>382</v>
      </c>
    </row>
    <row r="4042" customFormat="false" ht="17.15" hidden="false" customHeight="false" outlineLevel="0" collapsed="false">
      <c r="A4042" s="6" t="s">
        <v>548</v>
      </c>
    </row>
    <row r="4043" customFormat="false" ht="17.15" hidden="false" customHeight="false" outlineLevel="0" collapsed="false">
      <c r="A4043" s="0" t="s">
        <v>549</v>
      </c>
      <c r="B4043" s="4" t="s">
        <v>32</v>
      </c>
      <c r="D4043" s="19" t="n">
        <f aca="false">units_26</f>
        <v>15.2</v>
      </c>
      <c r="E4043" s="19" t="n">
        <f aca="false">units_27*1</f>
        <v>23.7</v>
      </c>
      <c r="F4043" s="19" t="n">
        <f aca="false">units_28*um28_C*1</f>
        <v>15.9</v>
      </c>
      <c r="G4043" s="19" t="n">
        <f aca="false">units_29*um29_C*1</f>
        <v>18.09</v>
      </c>
    </row>
    <row r="4044" customFormat="false" ht="17.15" hidden="false" customHeight="false" outlineLevel="0" collapsed="false">
      <c r="A4044" s="4" t="s">
        <v>497</v>
      </c>
      <c r="B4044" s="0" t="s">
        <v>45</v>
      </c>
      <c r="D4044" s="22" t="n">
        <f aca="false">ar_26</f>
        <v>1</v>
      </c>
      <c r="E4044" s="22" t="n">
        <f aca="false">ar_27</f>
        <v>1.278156</v>
      </c>
      <c r="F4044" s="22" t="n">
        <f aca="false">ar_28</f>
        <v>1.428615</v>
      </c>
      <c r="G4044" s="22" t="n">
        <f aca="false">ar_29</f>
        <v>1.431796</v>
      </c>
    </row>
    <row r="4045" customFormat="false" ht="17.15" hidden="false" customHeight="false" outlineLevel="0" collapsed="false">
      <c r="A4045" s="4" t="s">
        <v>550</v>
      </c>
      <c r="B4045" s="0" t="s">
        <v>45</v>
      </c>
      <c r="D4045" s="19" t="n">
        <f aca="false">1</f>
        <v>1</v>
      </c>
      <c r="E4045" s="19" t="n">
        <f aca="false">rel27_C</f>
        <v>1</v>
      </c>
      <c r="F4045" s="19" t="n">
        <f aca="false">rel28_C</f>
        <v>0.95</v>
      </c>
      <c r="G4045" s="19" t="n">
        <f aca="false">rel29_C</f>
        <v>0.92</v>
      </c>
    </row>
    <row r="4046" customFormat="false" ht="17.15" hidden="false" customHeight="false" outlineLevel="0" collapsed="false">
      <c r="A4046" s="4" t="s">
        <v>551</v>
      </c>
      <c r="B4046" s="0" t="s">
        <v>502</v>
      </c>
      <c r="D4046" s="23" t="n">
        <f aca="false">D4047*1000/D4043</f>
        <v>236.842105263158</v>
      </c>
      <c r="E4046" s="23" t="n">
        <f aca="false">$D4046*E4044^el</f>
        <v>267.763172119488</v>
      </c>
      <c r="F4046" s="23" t="n">
        <f aca="false">$D4046*F4044^el</f>
        <v>283.084777049615</v>
      </c>
      <c r="G4046" s="23" t="n">
        <f aca="false">$D4046*G4044^el</f>
        <v>283.399764630809</v>
      </c>
      <c r="K4046" s="8" t="s">
        <v>552</v>
      </c>
    </row>
    <row r="4047" customFormat="false" ht="17.15" hidden="false" customHeight="false" outlineLevel="0" collapsed="false">
      <c r="A4047" s="0" t="s">
        <v>553</v>
      </c>
      <c r="B4047" s="0" t="s">
        <v>120</v>
      </c>
      <c r="D4047" s="22" t="n">
        <f aca="false">leap26-D4048-D4049</f>
        <v>3.6</v>
      </c>
      <c r="E4047" s="22" t="n">
        <f aca="false">E4043*E4045*E4046/1000</f>
        <v>6.34598717923185</v>
      </c>
      <c r="F4047" s="22" t="n">
        <f aca="false">F4043*F4045*F4046/1000</f>
        <v>4.27599555733443</v>
      </c>
      <c r="G4047" s="22" t="n">
        <f aca="false">G4043*G4045*G4046/1000</f>
        <v>4.71656560279762</v>
      </c>
      <c r="K4047" s="8" t="s">
        <v>554</v>
      </c>
    </row>
    <row r="4048" customFormat="false" ht="17.15" hidden="false" customHeight="false" outlineLevel="0" collapsed="false">
      <c r="A4048" s="4" t="s">
        <v>555</v>
      </c>
      <c r="B4048" s="0" t="s">
        <v>120</v>
      </c>
      <c r="D4048" s="22" t="n">
        <f aca="false">fp26</f>
        <v>0.3</v>
      </c>
      <c r="E4048" s="22" t="n">
        <f aca="false">fp27_C</f>
        <v>0.7</v>
      </c>
      <c r="F4048" s="22" t="n">
        <f aca="false">E4048*F4043/E4043*(1+fp_g)</f>
        <v>0.610506329113924</v>
      </c>
      <c r="G4048" s="22" t="n">
        <f aca="false">F4048*G4043/F4043*(1+fp_g)</f>
        <v>0.902973417721519</v>
      </c>
    </row>
    <row r="4049" customFormat="false" ht="17.15" hidden="false" customHeight="false" outlineLevel="0" collapsed="false">
      <c r="A4049" s="0" t="s">
        <v>556</v>
      </c>
      <c r="B4049" s="0" t="s">
        <v>120</v>
      </c>
      <c r="D4049" s="22" t="n">
        <f aca="false">cpo27*cpo_C_26/cpo_A_27</f>
        <v>0.1</v>
      </c>
      <c r="E4049" s="22" t="n">
        <f aca="false">cpo27*cpo_C_27/cpo_A_27</f>
        <v>0.2</v>
      </c>
      <c r="F4049" s="22" t="n">
        <f aca="false">cpo27*cpo_C_28/cpo_A_27*F4043/E4043</f>
        <v>0.20126582278481</v>
      </c>
      <c r="G4049" s="22" t="n">
        <f aca="false">cpo27*cpo_C_29/cpo_A_27*G4043/E4043</f>
        <v>0.381645569620253</v>
      </c>
      <c r="K4049" s="8" t="s">
        <v>557</v>
      </c>
    </row>
    <row r="4050" customFormat="false" ht="17.15" hidden="false" customHeight="false" outlineLevel="0" collapsed="false">
      <c r="A4050" s="0" t="s">
        <v>510</v>
      </c>
      <c r="B4050" s="0" t="s">
        <v>120</v>
      </c>
      <c r="C4050" s="22" t="n">
        <f aca="false">leap25</f>
        <v>1.6</v>
      </c>
      <c r="D4050" s="22" t="n">
        <f aca="false">D4047+D4048+D4049</f>
        <v>4</v>
      </c>
      <c r="E4050" s="22" t="n">
        <f aca="false">E4047+E4048+E4049</f>
        <v>7.24598717923186</v>
      </c>
      <c r="F4050" s="22" t="n">
        <f aca="false">F4047+F4048+F4049</f>
        <v>5.08776770923316</v>
      </c>
      <c r="G4050" s="22" t="n">
        <f aca="false">G4047+G4048+G4049</f>
        <v>6.0011845901394</v>
      </c>
    </row>
    <row r="4051" customFormat="false" ht="17.15" hidden="false" customHeight="false" outlineLevel="0" collapsed="false">
      <c r="A4051" s="4" t="s">
        <v>558</v>
      </c>
      <c r="B4051" s="0" t="s">
        <v>114</v>
      </c>
      <c r="C4051" s="19" t="n">
        <f aca="false">fx25</f>
        <v>31</v>
      </c>
      <c r="D4051" s="19" t="n">
        <f aca="false">a26_leap/D4050</f>
        <v>31.9</v>
      </c>
      <c r="E4051" s="19" t="n">
        <f aca="false">fx</f>
        <v>32</v>
      </c>
      <c r="F4051" s="19" t="n">
        <f aca="false">fx</f>
        <v>32</v>
      </c>
      <c r="G4051" s="19" t="n">
        <f aca="false">fx</f>
        <v>32</v>
      </c>
      <c r="K4051" s="8" t="s">
        <v>559</v>
      </c>
    </row>
    <row r="4052" customFormat="false" ht="17.15" hidden="false" customHeight="false" outlineLevel="0" collapsed="false">
      <c r="A4052" s="6" t="s">
        <v>560</v>
      </c>
    </row>
    <row r="4053" customFormat="false" ht="17.15" hidden="false" customHeight="false" outlineLevel="0" collapsed="false">
      <c r="A4053" s="0" t="s">
        <v>438</v>
      </c>
      <c r="B4053" s="0" t="s">
        <v>234</v>
      </c>
      <c r="C4053" s="30" t="n">
        <f aca="false">a25_leap</f>
        <v>49.6</v>
      </c>
      <c r="D4053" s="30" t="n">
        <f aca="false">a26_leap</f>
        <v>127.6</v>
      </c>
      <c r="E4053" s="30" t="n">
        <f aca="false">E4050*E4051</f>
        <v>231.871589735419</v>
      </c>
      <c r="F4053" s="30" t="n">
        <f aca="false">F4050*F4051</f>
        <v>162.808566695461</v>
      </c>
      <c r="G4053" s="30" t="n">
        <f aca="false">G4050*G4051</f>
        <v>192.037906884461</v>
      </c>
    </row>
    <row r="4054" customFormat="false" ht="15" hidden="false" customHeight="false" outlineLevel="0" collapsed="false">
      <c r="A4054" s="4" t="s">
        <v>561</v>
      </c>
      <c r="B4054" s="0" t="s">
        <v>234</v>
      </c>
      <c r="C4054" s="30" t="n">
        <f aca="false">a25_ms</f>
        <v>339.628</v>
      </c>
      <c r="D4054" s="30" t="n">
        <f aca="false">a26_ms</f>
        <v>432.1302</v>
      </c>
      <c r="E4054" s="30" t="n">
        <f aca="false">D4054*(1+g_ms27)</f>
        <v>496.94973</v>
      </c>
      <c r="F4054" s="30" t="n">
        <f aca="false">E4054*(1+g_msL)</f>
        <v>531.7362111</v>
      </c>
      <c r="G4054" s="30" t="n">
        <f aca="false">F4054*(1+g_msL)</f>
        <v>568.957745877</v>
      </c>
    </row>
    <row r="4055" customFormat="false" ht="17.15" hidden="false" customHeight="false" outlineLevel="0" collapsed="false">
      <c r="A4055" s="4" t="s">
        <v>562</v>
      </c>
      <c r="B4055" s="0" t="s">
        <v>234</v>
      </c>
      <c r="C4055" s="30" t="n">
        <f aca="false">C4053+C4054</f>
        <v>389.228</v>
      </c>
      <c r="D4055" s="30" t="n">
        <f aca="false">D4053+D4054</f>
        <v>559.7302</v>
      </c>
      <c r="E4055" s="30" t="n">
        <f aca="false">E4053+E4054</f>
        <v>728.821319735419</v>
      </c>
      <c r="F4055" s="30" t="n">
        <f aca="false">F4053+F4054</f>
        <v>694.544777795461</v>
      </c>
      <c r="G4055" s="30" t="n">
        <f aca="false">G4053+G4054</f>
        <v>760.995652761461</v>
      </c>
    </row>
    <row r="4056" customFormat="false" ht="17.15" hidden="false" customHeight="false" outlineLevel="0" collapsed="false">
      <c r="A4056" s="0" t="s">
        <v>563</v>
      </c>
      <c r="B4056" s="0" t="s">
        <v>234</v>
      </c>
      <c r="C4056" s="30" t="n">
        <f aca="false">a25_ems</f>
        <v>259.079</v>
      </c>
      <c r="D4056" s="30" t="n">
        <f aca="false">a26_ems</f>
        <v>314.602</v>
      </c>
      <c r="E4056" s="30" t="n">
        <f aca="false">D4056*(1+g_ems27)</f>
        <v>346.0622</v>
      </c>
      <c r="F4056" s="30" t="n">
        <f aca="false">E4056*(1+g_emsL)</f>
        <v>363.36531</v>
      </c>
      <c r="G4056" s="30" t="n">
        <f aca="false">F4056*(1+g_emsL)</f>
        <v>381.5335755</v>
      </c>
    </row>
    <row r="4057" customFormat="false" ht="17.15" hidden="false" customHeight="false" outlineLevel="0" collapsed="false">
      <c r="A4057" s="4" t="s">
        <v>564</v>
      </c>
      <c r="B4057" s="0" t="s">
        <v>234</v>
      </c>
      <c r="C4057" s="30" t="n">
        <f aca="false">a25_elim</f>
        <v>-2.91899999999998</v>
      </c>
      <c r="D4057" s="30" t="n">
        <f aca="false">a26_elim</f>
        <v>-3.16484905982349</v>
      </c>
      <c r="E4057" s="30" t="n">
        <f aca="false">$D4057/($D4055+$D4056)*(E4055+E4056)</f>
        <v>-3.89079127687897</v>
      </c>
      <c r="F4057" s="30" t="n">
        <f aca="false">$D4057/($D4055+$D4056)*(F4055+F4056)</f>
        <v>-3.8293519862785</v>
      </c>
      <c r="G4057" s="30" t="n">
        <f aca="false">$D4057/($D4055+$D4056)*(G4055+G4056)</f>
        <v>-4.135650675892</v>
      </c>
      <c r="K4057" s="4" t="s">
        <v>565</v>
      </c>
    </row>
    <row r="4058" customFormat="false" ht="17.15" hidden="false" customHeight="false" outlineLevel="0" collapsed="false">
      <c r="A4058" s="4" t="s">
        <v>431</v>
      </c>
      <c r="B4058" s="0" t="s">
        <v>234</v>
      </c>
      <c r="C4058" s="30" t="n">
        <f aca="false">C4055+C4056+C4057</f>
        <v>645.388</v>
      </c>
      <c r="D4058" s="30" t="n">
        <f aca="false">D4055+D4056+D4057</f>
        <v>871.167350940177</v>
      </c>
      <c r="E4058" s="30" t="n">
        <f aca="false">E4055+E4056+E4057</f>
        <v>1070.99272845854</v>
      </c>
      <c r="F4058" s="30" t="n">
        <f aca="false">F4055+F4056+F4057</f>
        <v>1054.08073580918</v>
      </c>
      <c r="G4058" s="30" t="n">
        <f aca="false">G4055+G4056+G4057</f>
        <v>1138.39357758557</v>
      </c>
      <c r="H4058" s="31" t="n">
        <f aca="false">G4058*(1+H4059)</f>
        <v>1206.68738805437</v>
      </c>
      <c r="I4058" s="31" t="n">
        <f aca="false">H4058*(1+I4059)</f>
        <v>1254.9496874</v>
      </c>
      <c r="J4058" s="31" t="n">
        <f aca="false">I4058*(1+J4059)</f>
        <v>1280.048681148</v>
      </c>
      <c r="K4058" s="8" t="s">
        <v>566</v>
      </c>
    </row>
    <row r="4059" customFormat="false" ht="15" hidden="false" customHeight="false" outlineLevel="0" collapsed="false">
      <c r="A4059" s="4" t="s">
        <v>567</v>
      </c>
      <c r="B4059" s="0" t="s">
        <v>76</v>
      </c>
      <c r="D4059" s="21" t="n">
        <f aca="false">D4058/C4058-1</f>
        <v>0.349835061916516</v>
      </c>
      <c r="E4059" s="21" t="n">
        <f aca="false">E4058/D4058-1</f>
        <v>0.229376568466104</v>
      </c>
      <c r="F4059" s="21" t="n">
        <f aca="false">F4058/E4058-1</f>
        <v>-0.0157909500223209</v>
      </c>
      <c r="G4059" s="21" t="n">
        <f aca="false">G4058/F4058-1</f>
        <v>0.079987081550885</v>
      </c>
      <c r="H4059" s="26" t="n">
        <f aca="false">$G4059+(fade_gC-$G4059)*1/3</f>
        <v>0.05999138770059</v>
      </c>
      <c r="I4059" s="26" t="n">
        <f aca="false">$G4059+(fade_gC-$G4059)*2/3</f>
        <v>0.039995693850295</v>
      </c>
      <c r="J4059" s="26" t="n">
        <f aca="false">$G4059+(fade_gC-$G4059)*3/3</f>
        <v>0.02</v>
      </c>
    </row>
    <row r="4060" customFormat="false" ht="17.15" hidden="false" customHeight="false" outlineLevel="0" collapsed="false">
      <c r="A4060" s="0" t="s">
        <v>475</v>
      </c>
      <c r="B4060" s="0" t="s">
        <v>76</v>
      </c>
      <c r="C4060" s="21" t="n">
        <f aca="false">C4053/C4055</f>
        <v>0.127431736668482</v>
      </c>
      <c r="D4060" s="21" t="n">
        <f aca="false">D4053/D4055</f>
        <v>0.227966974088588</v>
      </c>
      <c r="E4060" s="21" t="n">
        <f aca="false">E4053/E4055</f>
        <v>0.31814600294568</v>
      </c>
      <c r="F4060" s="21" t="n">
        <f aca="false">F4053/F4055</f>
        <v>0.234410468411019</v>
      </c>
      <c r="G4060" s="21" t="n">
        <f aca="false">G4053/G4055</f>
        <v>0.252350859282315</v>
      </c>
    </row>
    <row r="4061" customFormat="false" ht="15" hidden="false" customHeight="false" outlineLevel="0" collapsed="false">
      <c r="A4061" s="4" t="s">
        <v>568</v>
      </c>
      <c r="B4061" s="0" t="s">
        <v>76</v>
      </c>
      <c r="D4061" s="21" t="n">
        <f aca="false">D4055/C4055-1</f>
        <v>0.438052247012034</v>
      </c>
      <c r="E4061" s="21" t="n">
        <f aca="false">E4055/D4055-1</f>
        <v>0.302093972659362</v>
      </c>
      <c r="F4061" s="21" t="n">
        <f aca="false">F4055/E4055-1</f>
        <v>-0.047030103280186</v>
      </c>
      <c r="G4061" s="21" t="n">
        <f aca="false">G4055/F4055-1</f>
        <v>0.0956754367614998</v>
      </c>
    </row>
    <row r="4062" customFormat="false" ht="17.15" hidden="false" customHeight="false" outlineLevel="0" collapsed="false">
      <c r="A4062" s="6" t="s">
        <v>569</v>
      </c>
    </row>
    <row r="4063" customFormat="false" ht="17.15" hidden="false" customHeight="false" outlineLevel="0" collapsed="false">
      <c r="A4063" s="4" t="s">
        <v>570</v>
      </c>
      <c r="B4063" s="0" t="s">
        <v>120</v>
      </c>
      <c r="C4063" s="19" t="n">
        <f aca="false">capex25</f>
        <v>5.5</v>
      </c>
      <c r="D4063" s="19" t="n">
        <f aca="false">capex26</f>
        <v>11.5</v>
      </c>
      <c r="E4063" s="19" t="n">
        <f aca="false">capex27</f>
        <v>13</v>
      </c>
      <c r="F4063" s="19" t="n">
        <f aca="false">capi*F4058/F4051</f>
        <v>9.88200689821109</v>
      </c>
      <c r="G4063" s="19" t="n">
        <f aca="false">capi*G4058/G4051</f>
        <v>10.6724397898647</v>
      </c>
      <c r="K4063" s="8" t="s">
        <v>571</v>
      </c>
    </row>
    <row r="4064" customFormat="false" ht="15" hidden="false" customHeight="false" outlineLevel="0" collapsed="false">
      <c r="A4064" s="4" t="s">
        <v>572</v>
      </c>
      <c r="B4064" s="0" t="s">
        <v>234</v>
      </c>
      <c r="C4064" s="30" t="n">
        <f aca="false">C4063*C4051</f>
        <v>170.5</v>
      </c>
      <c r="D4064" s="30" t="n">
        <f aca="false">D4063*31.9</f>
        <v>366.85</v>
      </c>
      <c r="E4064" s="30" t="n">
        <f aca="false">E4063*E4051</f>
        <v>416</v>
      </c>
      <c r="F4064" s="30" t="n">
        <f aca="false">F4063*F4051</f>
        <v>316.224220742755</v>
      </c>
      <c r="G4064" s="30" t="n">
        <f aca="false">G4063*G4051</f>
        <v>341.518073275671</v>
      </c>
    </row>
    <row r="4065" customFormat="false" ht="17.15" hidden="false" customHeight="false" outlineLevel="0" collapsed="false">
      <c r="A4065" s="4" t="s">
        <v>473</v>
      </c>
      <c r="B4065" s="0" t="s">
        <v>76</v>
      </c>
      <c r="C4065" s="21" t="n">
        <f aca="false">C4064/C4058</f>
        <v>0.264182166386732</v>
      </c>
      <c r="D4065" s="21" t="n">
        <f aca="false">D4064/D4058</f>
        <v>0.421101639775745</v>
      </c>
      <c r="E4065" s="21" t="n">
        <f aca="false">E4064/E4058</f>
        <v>0.388424672685445</v>
      </c>
      <c r="F4065" s="21" t="n">
        <f aca="false">F4064/F4058</f>
        <v>0.3</v>
      </c>
      <c r="G4065" s="21" t="n">
        <f aca="false">G4064/G4058</f>
        <v>0.3</v>
      </c>
    </row>
    <row r="4066" customFormat="false" ht="17.15" hidden="false" customHeight="false" outlineLevel="0" collapsed="false">
      <c r="A4066" s="4" t="s">
        <v>573</v>
      </c>
      <c r="B4066" s="0" t="s">
        <v>234</v>
      </c>
      <c r="C4066" s="30" t="n">
        <f aca="false">a25_da</f>
        <v>75.255</v>
      </c>
      <c r="D4066" s="30" t="n">
        <f aca="false">a26_da</f>
        <v>97.124</v>
      </c>
      <c r="E4066" s="30" t="n">
        <f aca="false">D4066*(1-1/life)+D4064/life</f>
        <v>130.83975</v>
      </c>
      <c r="F4066" s="30" t="n">
        <f aca="false">E4066*(1-1/life)+E4064/life</f>
        <v>166.48478125</v>
      </c>
      <c r="G4066" s="30" t="n">
        <f aca="false">F4066*(1-1/life)+F4064/life</f>
        <v>185.202211186594</v>
      </c>
      <c r="K4066" s="4" t="s">
        <v>574</v>
      </c>
    </row>
    <row r="4067" customFormat="false" ht="17.15" hidden="false" customHeight="false" outlineLevel="0" collapsed="false">
      <c r="A4067" s="4" t="s">
        <v>575</v>
      </c>
      <c r="B4067" s="0" t="s">
        <v>234</v>
      </c>
      <c r="C4067" s="30" t="n">
        <f aca="false">a25_agp</f>
        <v>91.38</v>
      </c>
      <c r="D4067" s="30" t="n">
        <f aca="false">a26_agp</f>
        <v>164.623388</v>
      </c>
      <c r="E4067" s="30" t="n">
        <f aca="false">$D4067+ft_lo*(E4055-$D4055)-(E4066-$D4066)</f>
        <v>198.544085894168</v>
      </c>
      <c r="F4067" s="30" t="n">
        <f aca="false">$D4067+ft_lo*(F4055-$D4055)-(F4066-$D4066)</f>
        <v>149.188437868184</v>
      </c>
      <c r="G4067" s="30" t="n">
        <f aca="false">$D4067+ft_lo*(G4055-$D4055)-(G4066-$D4066)</f>
        <v>157.05135791799</v>
      </c>
      <c r="K4067" s="4" t="s">
        <v>576</v>
      </c>
    </row>
    <row r="4068" customFormat="false" ht="15" hidden="false" customHeight="false" outlineLevel="0" collapsed="false">
      <c r="A4068" s="4" t="s">
        <v>447</v>
      </c>
      <c r="B4068" s="0" t="s">
        <v>76</v>
      </c>
      <c r="C4068" s="14" t="n">
        <f aca="false">C4067/C4055</f>
        <v>0.234772421305764</v>
      </c>
      <c r="D4068" s="14" t="n">
        <f aca="false">D4067/D4055</f>
        <v>0.294112034690999</v>
      </c>
      <c r="E4068" s="14" t="n">
        <f aca="false">E4067/E4055</f>
        <v>0.272418054354179</v>
      </c>
      <c r="F4068" s="14" t="n">
        <f aca="false">F4067/F4055</f>
        <v>0.214800316175035</v>
      </c>
      <c r="G4068" s="14" t="n">
        <f aca="false">G4067/G4055</f>
        <v>0.206376156484062</v>
      </c>
    </row>
    <row r="4069" customFormat="false" ht="17.15" hidden="false" customHeight="false" outlineLevel="0" collapsed="false">
      <c r="A4069" s="0" t="s">
        <v>449</v>
      </c>
      <c r="B4069" s="0" t="s">
        <v>234</v>
      </c>
      <c r="C4069" s="30" t="n">
        <f aca="false">a25_egp</f>
        <v>23.695</v>
      </c>
      <c r="D4069" s="30" t="n">
        <f aca="false">a26_egp</f>
        <v>27.00552</v>
      </c>
      <c r="E4069" s="30" t="n">
        <f aca="false">E4056*ems_gm</f>
        <v>29.415287</v>
      </c>
      <c r="F4069" s="30" t="n">
        <f aca="false">F4056*ems_gm</f>
        <v>30.88605135</v>
      </c>
      <c r="G4069" s="30" t="n">
        <f aca="false">G4056*ems_gm</f>
        <v>32.4303539175</v>
      </c>
    </row>
    <row r="4070" customFormat="false" ht="15" hidden="false" customHeight="false" outlineLevel="0" collapsed="false">
      <c r="A4070" s="4" t="s">
        <v>577</v>
      </c>
      <c r="B4070" s="0" t="s">
        <v>234</v>
      </c>
      <c r="C4070" s="30" t="n">
        <f aca="false">a25_lgp</f>
        <v>-0.881999999999998</v>
      </c>
      <c r="D4070" s="30" t="n">
        <f aca="false">a26_lgp</f>
        <v>-0.948662139013863</v>
      </c>
      <c r="E4070" s="30" t="n">
        <f aca="false">$D4070/$D4057*E4057</f>
        <v>-1.16626300509458</v>
      </c>
      <c r="F4070" s="30" t="n">
        <f aca="false">$D4070/$D4057*F4057</f>
        <v>-1.14784660426825</v>
      </c>
      <c r="G4070" s="30" t="n">
        <f aca="false">$D4070/$D4057*G4057</f>
        <v>-1.23965950421176</v>
      </c>
    </row>
    <row r="4071" customFormat="false" ht="15" hidden="false" customHeight="false" outlineLevel="0" collapsed="false">
      <c r="A4071" s="4" t="s">
        <v>451</v>
      </c>
      <c r="B4071" s="0" t="s">
        <v>234</v>
      </c>
      <c r="C4071" s="30" t="n">
        <f aca="false">C4067+C4069+C4070</f>
        <v>114.193</v>
      </c>
      <c r="D4071" s="30" t="n">
        <f aca="false">D4067+D4069+D4070</f>
        <v>190.680245860986</v>
      </c>
      <c r="E4071" s="30" t="n">
        <f aca="false">E4067+E4069+E4070</f>
        <v>226.793109889073</v>
      </c>
      <c r="F4071" s="30" t="n">
        <f aca="false">F4067+F4069+F4070</f>
        <v>178.926642613916</v>
      </c>
      <c r="G4071" s="30" t="n">
        <f aca="false">G4067+G4069+G4070</f>
        <v>188.242052331278</v>
      </c>
    </row>
    <row r="4072" customFormat="false" ht="15" hidden="false" customHeight="false" outlineLevel="0" collapsed="false">
      <c r="A4072" s="4" t="s">
        <v>452</v>
      </c>
      <c r="B4072" s="0" t="s">
        <v>76</v>
      </c>
      <c r="C4072" s="14" t="n">
        <f aca="false">C4071/C4058</f>
        <v>0.176936974347214</v>
      </c>
      <c r="D4072" s="14" t="n">
        <f aca="false">D4071/D4058</f>
        <v>0.218879008327391</v>
      </c>
      <c r="E4072" s="14" t="n">
        <f aca="false">E4071/E4058</f>
        <v>0.211759710278792</v>
      </c>
      <c r="F4072" s="14" t="n">
        <f aca="false">F4071/F4058</f>
        <v>0.169746620477378</v>
      </c>
      <c r="G4072" s="14" t="n">
        <f aca="false">G4071/G4058</f>
        <v>0.165357619752672</v>
      </c>
    </row>
    <row r="4073" customFormat="false" ht="15" hidden="false" customHeight="false" outlineLevel="0" collapsed="false">
      <c r="A4073" s="4" t="s">
        <v>578</v>
      </c>
      <c r="B4073" s="0" t="s">
        <v>234</v>
      </c>
      <c r="C4073" s="30" t="n">
        <f aca="false">a25_opx</f>
        <v>63.437</v>
      </c>
      <c r="D4073" s="30" t="n">
        <f aca="false">a26_opx</f>
        <v>79.658</v>
      </c>
      <c r="E4073" s="30" t="n">
        <f aca="false">D4073*(1+phi*E4059)</f>
        <v>90.6210072145237</v>
      </c>
      <c r="F4073" s="30" t="n">
        <f aca="false">E4073*(1+phi*F4059)</f>
        <v>89.7624121369856</v>
      </c>
      <c r="G4073" s="30" t="n">
        <f aca="false">F4073*(1+phi*G4059)</f>
        <v>94.0703121648687</v>
      </c>
    </row>
    <row r="4074" customFormat="false" ht="15" hidden="false" customHeight="false" outlineLevel="0" collapsed="false">
      <c r="A4074" s="4" t="s">
        <v>455</v>
      </c>
      <c r="B4074" s="0" t="s">
        <v>234</v>
      </c>
      <c r="C4074" s="30" t="n">
        <f aca="false">C4071-C4073</f>
        <v>50.756</v>
      </c>
      <c r="D4074" s="30" t="n">
        <f aca="false">D4071-D4073</f>
        <v>111.022245860986</v>
      </c>
      <c r="E4074" s="30" t="n">
        <f aca="false">E4071-E4073</f>
        <v>136.172102674549</v>
      </c>
      <c r="F4074" s="30" t="n">
        <f aca="false">F4071-F4073</f>
        <v>89.1642304769307</v>
      </c>
      <c r="G4074" s="30" t="n">
        <f aca="false">G4071-G4073</f>
        <v>94.1717401664095</v>
      </c>
    </row>
    <row r="4075" customFormat="false" ht="15" hidden="false" customHeight="false" outlineLevel="0" collapsed="false">
      <c r="A4075" s="4" t="s">
        <v>537</v>
      </c>
      <c r="B4075" s="0" t="s">
        <v>76</v>
      </c>
      <c r="C4075" s="14" t="n">
        <f aca="false">C4074/C4058</f>
        <v>0.0786441644406156</v>
      </c>
      <c r="D4075" s="14" t="n">
        <f aca="false">D4074/D4058</f>
        <v>0.127440779020437</v>
      </c>
      <c r="E4075" s="14" t="n">
        <f aca="false">E4074/E4058</f>
        <v>0.127145683678487</v>
      </c>
      <c r="F4075" s="14" t="n">
        <f aca="false">F4074/F4058</f>
        <v>0.0845895645825291</v>
      </c>
      <c r="G4075" s="14" t="n">
        <f aca="false">G4074/G4058</f>
        <v>0.082723358617447</v>
      </c>
    </row>
    <row r="4076" customFormat="false" ht="15" hidden="false" customHeight="false" outlineLevel="0" collapsed="false">
      <c r="A4076" s="4" t="s">
        <v>456</v>
      </c>
      <c r="B4076" s="0" t="s">
        <v>234</v>
      </c>
      <c r="C4076" s="30" t="n">
        <f aca="false">a25_nonop</f>
        <v>0.545</v>
      </c>
      <c r="D4076" s="30" t="n">
        <f aca="false">a26_nonop</f>
        <v>4.302</v>
      </c>
      <c r="E4076" s="30" t="n">
        <f aca="false">nonop_f</f>
        <v>-5</v>
      </c>
      <c r="F4076" s="30" t="n">
        <f aca="false">nonop_f</f>
        <v>-5</v>
      </c>
      <c r="G4076" s="30" t="n">
        <f aca="false">nonop_f</f>
        <v>-5</v>
      </c>
    </row>
    <row r="4077" customFormat="false" ht="15" hidden="false" customHeight="false" outlineLevel="0" collapsed="false">
      <c r="A4077" s="4" t="s">
        <v>459</v>
      </c>
      <c r="B4077" s="0" t="s">
        <v>234</v>
      </c>
      <c r="C4077" s="30" t="n">
        <f aca="false">C4074+C4076</f>
        <v>51.301</v>
      </c>
      <c r="D4077" s="30" t="n">
        <f aca="false">D4074+D4076</f>
        <v>115.324245860986</v>
      </c>
      <c r="E4077" s="30" t="n">
        <f aca="false">E4074+E4076</f>
        <v>131.172102674549</v>
      </c>
      <c r="F4077" s="30" t="n">
        <f aca="false">F4074+F4076</f>
        <v>84.1642304769307</v>
      </c>
      <c r="G4077" s="30" t="n">
        <f aca="false">G4074+G4076</f>
        <v>89.1717401664095</v>
      </c>
    </row>
    <row r="4078" customFormat="false" ht="15" hidden="false" customHeight="false" outlineLevel="0" collapsed="false">
      <c r="A4078" s="4" t="s">
        <v>460</v>
      </c>
      <c r="B4078" s="0" t="s">
        <v>234</v>
      </c>
      <c r="C4078" s="30" t="n">
        <f aca="false">a25_tax</f>
        <v>9.461</v>
      </c>
      <c r="D4078" s="30" t="n">
        <f aca="false">a26_tax</f>
        <v>19.2197317963676</v>
      </c>
      <c r="E4078" s="30" t="n">
        <f aca="false">E4077*tax</f>
        <v>22.2992574546734</v>
      </c>
      <c r="F4078" s="30" t="n">
        <f aca="false">F4077*tax</f>
        <v>14.3079191810782</v>
      </c>
      <c r="G4078" s="30" t="n">
        <f aca="false">G4077*tax</f>
        <v>15.1591958282896</v>
      </c>
    </row>
    <row r="4079" customFormat="false" ht="15" hidden="false" customHeight="false" outlineLevel="0" collapsed="false">
      <c r="A4079" s="4" t="s">
        <v>461</v>
      </c>
      <c r="B4079" s="0" t="s">
        <v>234</v>
      </c>
      <c r="C4079" s="30" t="n">
        <f aca="false">a25_nci</f>
        <v>1.182</v>
      </c>
      <c r="D4079" s="30" t="n">
        <f aca="false">a26_nci</f>
        <v>2.543</v>
      </c>
      <c r="E4079" s="30" t="n">
        <f aca="false">nci</f>
        <v>3</v>
      </c>
      <c r="F4079" s="30" t="n">
        <f aca="false">nci</f>
        <v>3</v>
      </c>
      <c r="G4079" s="30" t="n">
        <f aca="false">nci</f>
        <v>3</v>
      </c>
    </row>
    <row r="4080" customFormat="false" ht="15" hidden="false" customHeight="false" outlineLevel="0" collapsed="false">
      <c r="A4080" s="4" t="s">
        <v>462</v>
      </c>
      <c r="B4080" s="0" t="s">
        <v>234</v>
      </c>
      <c r="C4080" s="30" t="n">
        <f aca="false">C4077-C4078-C4079</f>
        <v>40.658</v>
      </c>
      <c r="D4080" s="30" t="n">
        <f aca="false">D4077-D4078-D4079</f>
        <v>93.5615140646185</v>
      </c>
      <c r="E4080" s="30" t="n">
        <f aca="false">E4077-E4078-E4079</f>
        <v>105.872845219876</v>
      </c>
      <c r="F4080" s="30" t="n">
        <f aca="false">F4077-F4078-F4079</f>
        <v>66.8563112958524</v>
      </c>
      <c r="G4080" s="30" t="n">
        <f aca="false">G4077-G4078-G4079</f>
        <v>71.0125443381199</v>
      </c>
      <c r="H4080" s="31" t="n">
        <f aca="false">H4058*H4084</f>
        <v>74.9764239000288</v>
      </c>
      <c r="I4080" s="31" t="n">
        <f aca="false">I4058*I4084</f>
        <v>77.6670472943027</v>
      </c>
      <c r="J4080" s="31" t="n">
        <f aca="false">J4058*J4084</f>
        <v>78.9061153241268</v>
      </c>
    </row>
    <row r="4081" customFormat="false" ht="15" hidden="false" customHeight="false" outlineLevel="0" collapsed="false">
      <c r="A4081" s="4" t="s">
        <v>579</v>
      </c>
      <c r="B4081" s="4" t="s">
        <v>580</v>
      </c>
      <c r="C4081" s="18" t="n">
        <f aca="false">a25_sh</f>
        <v>4339.16755602988</v>
      </c>
      <c r="D4081" s="18" t="n">
        <f aca="false">a26_sh</f>
        <v>4392.90105184664</v>
      </c>
      <c r="E4081" s="18" t="n">
        <f aca="false">D4081*(1+sh_g)</f>
        <v>4414.86555710588</v>
      </c>
      <c r="F4081" s="18" t="n">
        <f aca="false">E4081*(1+sh_g)</f>
        <v>4436.9398848914</v>
      </c>
      <c r="G4081" s="18" t="n">
        <f aca="false">F4081*(1+sh_g)</f>
        <v>4459.12458431586</v>
      </c>
      <c r="H4081" s="25" t="n">
        <f aca="false">G4081*(1+sh_g)</f>
        <v>4481.42020723744</v>
      </c>
      <c r="I4081" s="25" t="n">
        <f aca="false">H4081*(1+sh_g)</f>
        <v>4503.82730827363</v>
      </c>
      <c r="J4081" s="25" t="n">
        <f aca="false">I4081*(1+sh_g)</f>
        <v>4526.34644481499</v>
      </c>
    </row>
    <row r="4082" customFormat="false" ht="17.15" hidden="false" customHeight="false" outlineLevel="0" collapsed="false">
      <c r="A4082" s="0" t="s">
        <v>465</v>
      </c>
      <c r="B4082" s="0" t="s">
        <v>304</v>
      </c>
      <c r="C4082" s="19" t="n">
        <f aca="false">a25_eps</f>
        <v>9.37</v>
      </c>
      <c r="D4082" s="19" t="n">
        <f aca="false">a26_eps</f>
        <v>21.2828697294455</v>
      </c>
      <c r="E4082" s="19" t="n">
        <f aca="false">E4080/E4081*1000</f>
        <v>23.9809896474583</v>
      </c>
      <c r="F4082" s="19" t="n">
        <f aca="false">F4080/F4081*1000</f>
        <v>15.0681129405225</v>
      </c>
      <c r="G4082" s="19" t="n">
        <f aca="false">G4080/G4081*1000</f>
        <v>15.9252209700292</v>
      </c>
      <c r="H4082" s="28" t="n">
        <f aca="false">H4080/H4081*1000</f>
        <v>16.7305051597132</v>
      </c>
      <c r="I4082" s="28" t="n">
        <f aca="false">I4080/I4081*1000</f>
        <v>17.2446770220578</v>
      </c>
      <c r="J4082" s="28" t="n">
        <f aca="false">J4080/J4081*1000</f>
        <v>17.4326283430017</v>
      </c>
    </row>
    <row r="4083" customFormat="false" ht="17.15" hidden="false" customHeight="false" outlineLevel="0" collapsed="false">
      <c r="A4083" s="0" t="s">
        <v>581</v>
      </c>
      <c r="B4083" s="0" t="s">
        <v>76</v>
      </c>
      <c r="D4083" s="21" t="n">
        <f aca="false">D4082/C4082-1</f>
        <v>1.27138417603474</v>
      </c>
      <c r="E4083" s="21" t="n">
        <f aca="false">E4082/D4082-1</f>
        <v>0.126774253299112</v>
      </c>
      <c r="F4083" s="21" t="n">
        <f aca="false">F4082/E4082-1</f>
        <v>-0.371664257312269</v>
      </c>
      <c r="G4083" s="21" t="n">
        <f aca="false">G4082/F4082-1</f>
        <v>0.0568822408545777</v>
      </c>
      <c r="H4083" s="26" t="n">
        <f aca="false">H4082/G4082-1</f>
        <v>0.0505665944101767</v>
      </c>
      <c r="I4083" s="26" t="n">
        <f aca="false">I4082/H4082-1</f>
        <v>0.0307325963822529</v>
      </c>
      <c r="J4083" s="26" t="n">
        <f aca="false">J4082/I4082-1</f>
        <v>0.0108990919750749</v>
      </c>
    </row>
    <row r="4084" customFormat="false" ht="17.15" hidden="false" customHeight="false" outlineLevel="0" collapsed="false">
      <c r="A4084" s="4" t="s">
        <v>582</v>
      </c>
      <c r="B4084" s="0" t="s">
        <v>76</v>
      </c>
      <c r="C4084" s="14" t="n">
        <f aca="false">C4080/C4058</f>
        <v>0.0629977625862272</v>
      </c>
      <c r="D4084" s="14" t="n">
        <f aca="false">D4080/D4058</f>
        <v>0.107397865592237</v>
      </c>
      <c r="E4084" s="14" t="n">
        <f aca="false">E4080/E4058</f>
        <v>0.0988548683913632</v>
      </c>
      <c r="F4084" s="14" t="n">
        <f aca="false">F4080/F4058</f>
        <v>0.0634261769754563</v>
      </c>
      <c r="G4084" s="14" t="n">
        <f aca="false">G4080/G4058</f>
        <v>0.0623796073136069</v>
      </c>
      <c r="H4084" s="27" t="n">
        <f aca="false">$G4084+(fade_mC-$G4084)*1/3</f>
        <v>0.0621340909354485</v>
      </c>
      <c r="I4084" s="27" t="n">
        <f aca="false">$G4084+(fade_mC-$G4084)*2/3</f>
        <v>0.06188857455729</v>
      </c>
      <c r="J4084" s="27" t="n">
        <f aca="false">$G4084+(fade_mC-$G4084)*3/3</f>
        <v>0.0616430581791315</v>
      </c>
    </row>
    <row r="4085" customFormat="false" ht="17.15" hidden="false" customHeight="false" outlineLevel="0" collapsed="false">
      <c r="A4085" s="4" t="s">
        <v>583</v>
      </c>
      <c r="B4085" s="0" t="s">
        <v>234</v>
      </c>
      <c r="C4085" s="30" t="n">
        <f aca="false">C4080+C4066-C4064</f>
        <v>-54.587</v>
      </c>
      <c r="D4085" s="30" t="n">
        <f aca="false">D4080+D4066-D4064</f>
        <v>-176.164485935382</v>
      </c>
      <c r="E4085" s="30" t="n">
        <f aca="false">E4080+E4066-E4064</f>
        <v>-179.287404780124</v>
      </c>
      <c r="F4085" s="30" t="n">
        <f aca="false">F4080+F4066-F4064</f>
        <v>-82.8831281969024</v>
      </c>
      <c r="G4085" s="30" t="n">
        <f aca="false">G4080+G4066-G4064</f>
        <v>-85.3033177509564</v>
      </c>
      <c r="K4085" s="4" t="s">
        <v>584</v>
      </c>
    </row>
    <row r="4086" customFormat="false" ht="17.15" hidden="false" customHeight="false" outlineLevel="0" collapsed="false">
      <c r="A4086" s="4" t="s">
        <v>585</v>
      </c>
      <c r="B4086" s="0" t="s">
        <v>76</v>
      </c>
      <c r="D4086" s="21" t="n">
        <f aca="false">(D4074-$C4074)/SUM($D4064:D4064)</f>
        <v>0.164280348537512</v>
      </c>
      <c r="E4086" s="21" t="n">
        <f aca="false">(E4074-$C4074)/SUM($D4064:E4064)</f>
        <v>0.109109155872197</v>
      </c>
      <c r="F4086" s="21" t="n">
        <f aca="false">(F4074-$C4074)/SUM($D4064:F4064)</f>
        <v>0.0349459843130288</v>
      </c>
      <c r="G4086" s="21" t="n">
        <f aca="false">(G4074-$C4074)/SUM($D4064:G4064)</f>
        <v>0.030137423576871</v>
      </c>
      <c r="K4086" s="4" t="s">
        <v>586</v>
      </c>
    </row>
    <row r="4089" customFormat="false" ht="17.15" hidden="false" customHeight="false" outlineLevel="0" collapsed="false">
      <c r="A4089" s="1" t="s">
        <v>997</v>
      </c>
    </row>
    <row r="4090" customFormat="false" ht="17.15" hidden="false" customHeight="false" outlineLevel="0" collapsed="false">
      <c r="A4090" s="5" t="s">
        <v>21</v>
      </c>
      <c r="B4090" s="5" t="s">
        <v>22</v>
      </c>
      <c r="C4090" s="15" t="s">
        <v>424</v>
      </c>
      <c r="D4090" s="15" t="s">
        <v>524</v>
      </c>
      <c r="E4090" s="15" t="s">
        <v>525</v>
      </c>
      <c r="F4090" s="15" t="s">
        <v>526</v>
      </c>
      <c r="G4090" s="15" t="s">
        <v>527</v>
      </c>
      <c r="H4090" s="15" t="s">
        <v>528</v>
      </c>
      <c r="I4090" s="15" t="s">
        <v>529</v>
      </c>
      <c r="J4090" s="15" t="s">
        <v>530</v>
      </c>
      <c r="K4090" s="5" t="s">
        <v>382</v>
      </c>
    </row>
    <row r="4091" customFormat="false" ht="17.15" hidden="false" customHeight="false" outlineLevel="0" collapsed="false">
      <c r="A4091" s="6" t="s">
        <v>548</v>
      </c>
    </row>
    <row r="4092" customFormat="false" ht="17.15" hidden="false" customHeight="false" outlineLevel="0" collapsed="false">
      <c r="A4092" s="0" t="s">
        <v>549</v>
      </c>
      <c r="B4092" s="4" t="s">
        <v>32</v>
      </c>
      <c r="D4092" s="19" t="n">
        <f aca="false">units_26</f>
        <v>15.2</v>
      </c>
      <c r="E4092" s="19" t="n">
        <f aca="false">units_27*1</f>
        <v>23.7</v>
      </c>
      <c r="F4092" s="19" t="n">
        <f aca="false">units_28*um28_A*1</f>
        <v>26.5</v>
      </c>
      <c r="G4092" s="19" t="n">
        <f aca="false">units_29*um29_A*1</f>
        <v>30.15</v>
      </c>
    </row>
    <row r="4093" customFormat="false" ht="17.15" hidden="false" customHeight="false" outlineLevel="0" collapsed="false">
      <c r="A4093" s="4" t="s">
        <v>497</v>
      </c>
      <c r="B4093" s="0" t="s">
        <v>45</v>
      </c>
      <c r="D4093" s="22" t="n">
        <f aca="false">ar_26</f>
        <v>1</v>
      </c>
      <c r="E4093" s="22" t="n">
        <f aca="false">ar_27</f>
        <v>1.278156</v>
      </c>
      <c r="F4093" s="22" t="n">
        <f aca="false">ar_28</f>
        <v>1.428615</v>
      </c>
      <c r="G4093" s="22" t="n">
        <f aca="false">ar_29</f>
        <v>1.431796</v>
      </c>
    </row>
    <row r="4094" customFormat="false" ht="17.15" hidden="false" customHeight="false" outlineLevel="0" collapsed="false">
      <c r="A4094" s="4" t="s">
        <v>550</v>
      </c>
      <c r="B4094" s="0" t="s">
        <v>45</v>
      </c>
      <c r="D4094" s="19" t="n">
        <f aca="false">1</f>
        <v>1</v>
      </c>
      <c r="E4094" s="19" t="n">
        <f aca="false">rel27_A</f>
        <v>1.1</v>
      </c>
      <c r="F4094" s="19" t="n">
        <f aca="false">rel28_A</f>
        <v>1.15</v>
      </c>
      <c r="G4094" s="19" t="n">
        <f aca="false">rel29_A</f>
        <v>1.2</v>
      </c>
    </row>
    <row r="4095" customFormat="false" ht="17.15" hidden="false" customHeight="false" outlineLevel="0" collapsed="false">
      <c r="A4095" s="4" t="s">
        <v>551</v>
      </c>
      <c r="B4095" s="0" t="s">
        <v>502</v>
      </c>
      <c r="D4095" s="23" t="n">
        <f aca="false">D4096*1000/D4092</f>
        <v>236.842105263158</v>
      </c>
      <c r="E4095" s="23" t="n">
        <f aca="false">$D4095*E4093^el</f>
        <v>267.763172119488</v>
      </c>
      <c r="F4095" s="23" t="n">
        <f aca="false">$D4095*F4093^el</f>
        <v>283.084777049615</v>
      </c>
      <c r="G4095" s="23" t="n">
        <f aca="false">$D4095*G4093^el</f>
        <v>283.399764630809</v>
      </c>
      <c r="K4095" s="8" t="s">
        <v>552</v>
      </c>
    </row>
    <row r="4096" customFormat="false" ht="17.15" hidden="false" customHeight="false" outlineLevel="0" collapsed="false">
      <c r="A4096" s="0" t="s">
        <v>553</v>
      </c>
      <c r="B4096" s="0" t="s">
        <v>120</v>
      </c>
      <c r="D4096" s="22" t="n">
        <f aca="false">leap26-D4097-D4098</f>
        <v>3.6</v>
      </c>
      <c r="E4096" s="22" t="n">
        <f aca="false">E4092*E4094*E4095/1000</f>
        <v>6.98058589715504</v>
      </c>
      <c r="F4096" s="22" t="n">
        <f aca="false">F4092*F4094*F4095/1000</f>
        <v>8.627008580587</v>
      </c>
      <c r="G4096" s="22" t="n">
        <f aca="false">G4092*G4094*G4095/1000</f>
        <v>10.2534034843427</v>
      </c>
      <c r="K4096" s="8" t="s">
        <v>554</v>
      </c>
    </row>
    <row r="4097" customFormat="false" ht="17.15" hidden="false" customHeight="false" outlineLevel="0" collapsed="false">
      <c r="A4097" s="4" t="s">
        <v>555</v>
      </c>
      <c r="B4097" s="0" t="s">
        <v>120</v>
      </c>
      <c r="D4097" s="22" t="n">
        <f aca="false">fp26</f>
        <v>0.3</v>
      </c>
      <c r="E4097" s="22" t="n">
        <f aca="false">fp27_A</f>
        <v>1.2</v>
      </c>
      <c r="F4097" s="22" t="n">
        <f aca="false">E4097*F4092/E4092*(1+fp_g)</f>
        <v>1.74430379746835</v>
      </c>
      <c r="G4097" s="22" t="n">
        <f aca="false">F4097*G4092/F4092*(1+fp_g)</f>
        <v>2.57992405063291</v>
      </c>
    </row>
    <row r="4098" customFormat="false" ht="17.15" hidden="false" customHeight="false" outlineLevel="0" collapsed="false">
      <c r="A4098" s="0" t="s">
        <v>556</v>
      </c>
      <c r="B4098" s="0" t="s">
        <v>120</v>
      </c>
      <c r="D4098" s="22" t="n">
        <f aca="false">cpo27*cpo_A_26/cpo_A_27</f>
        <v>0.1</v>
      </c>
      <c r="E4098" s="22" t="n">
        <f aca="false">cpo27*cpo_A_27/cpo_A_27</f>
        <v>0.5</v>
      </c>
      <c r="F4098" s="22" t="n">
        <f aca="false">cpo27*cpo_A_28/cpo_A_27*F4092/E4092</f>
        <v>1.11814345991561</v>
      </c>
      <c r="G4098" s="22" t="n">
        <f aca="false">cpo27*cpo_A_29/cpo_A_27*G4092/E4092</f>
        <v>2.03544303797468</v>
      </c>
      <c r="K4098" s="8" t="s">
        <v>557</v>
      </c>
    </row>
    <row r="4099" customFormat="false" ht="17.15" hidden="false" customHeight="false" outlineLevel="0" collapsed="false">
      <c r="A4099" s="0" t="s">
        <v>510</v>
      </c>
      <c r="B4099" s="0" t="s">
        <v>120</v>
      </c>
      <c r="C4099" s="22" t="n">
        <f aca="false">leap25</f>
        <v>1.6</v>
      </c>
      <c r="D4099" s="22" t="n">
        <f aca="false">D4096+D4097+D4098</f>
        <v>4</v>
      </c>
      <c r="E4099" s="22" t="n">
        <f aca="false">E4096+E4097+E4098</f>
        <v>8.68058589715504</v>
      </c>
      <c r="F4099" s="22" t="n">
        <f aca="false">F4096+F4097+F4098</f>
        <v>11.489455837971</v>
      </c>
      <c r="G4099" s="22" t="n">
        <f aca="false">G4096+G4097+G4098</f>
        <v>14.8687705729503</v>
      </c>
    </row>
    <row r="4100" customFormat="false" ht="17.15" hidden="false" customHeight="false" outlineLevel="0" collapsed="false">
      <c r="A4100" s="4" t="s">
        <v>558</v>
      </c>
      <c r="B4100" s="0" t="s">
        <v>114</v>
      </c>
      <c r="C4100" s="19" t="n">
        <f aca="false">fx25</f>
        <v>31</v>
      </c>
      <c r="D4100" s="19" t="n">
        <f aca="false">a26_leap/D4099</f>
        <v>31.9</v>
      </c>
      <c r="E4100" s="19" t="n">
        <f aca="false">fx</f>
        <v>32</v>
      </c>
      <c r="F4100" s="19" t="n">
        <f aca="false">fx</f>
        <v>32</v>
      </c>
      <c r="G4100" s="19" t="n">
        <f aca="false">fx</f>
        <v>32</v>
      </c>
      <c r="K4100" s="8" t="s">
        <v>559</v>
      </c>
    </row>
    <row r="4101" customFormat="false" ht="17.15" hidden="false" customHeight="false" outlineLevel="0" collapsed="false">
      <c r="A4101" s="6" t="s">
        <v>560</v>
      </c>
    </row>
    <row r="4102" customFormat="false" ht="17.15" hidden="false" customHeight="false" outlineLevel="0" collapsed="false">
      <c r="A4102" s="0" t="s">
        <v>438</v>
      </c>
      <c r="B4102" s="0" t="s">
        <v>234</v>
      </c>
      <c r="C4102" s="30" t="n">
        <f aca="false">a25_leap</f>
        <v>49.6</v>
      </c>
      <c r="D4102" s="30" t="n">
        <f aca="false">a26_leap</f>
        <v>127.6</v>
      </c>
      <c r="E4102" s="30" t="n">
        <f aca="false">E4099*E4100</f>
        <v>277.778748708961</v>
      </c>
      <c r="F4102" s="30" t="n">
        <f aca="false">F4099*F4100</f>
        <v>367.662586815071</v>
      </c>
      <c r="G4102" s="30" t="n">
        <f aca="false">G4099*G4100</f>
        <v>475.800658334408</v>
      </c>
    </row>
    <row r="4103" customFormat="false" ht="15" hidden="false" customHeight="false" outlineLevel="0" collapsed="false">
      <c r="A4103" s="4" t="s">
        <v>561</v>
      </c>
      <c r="B4103" s="0" t="s">
        <v>234</v>
      </c>
      <c r="C4103" s="30" t="n">
        <f aca="false">a25_ms</f>
        <v>339.628</v>
      </c>
      <c r="D4103" s="30" t="n">
        <f aca="false">a26_ms</f>
        <v>432.1302</v>
      </c>
      <c r="E4103" s="30" t="n">
        <f aca="false">D4103*(1+g_ms27)</f>
        <v>496.94973</v>
      </c>
      <c r="F4103" s="30" t="n">
        <f aca="false">E4103*(1+g_msL)</f>
        <v>531.7362111</v>
      </c>
      <c r="G4103" s="30" t="n">
        <f aca="false">F4103*(1+g_msL)</f>
        <v>568.957745877</v>
      </c>
    </row>
    <row r="4104" customFormat="false" ht="17.15" hidden="false" customHeight="false" outlineLevel="0" collapsed="false">
      <c r="A4104" s="4" t="s">
        <v>562</v>
      </c>
      <c r="B4104" s="0" t="s">
        <v>234</v>
      </c>
      <c r="C4104" s="30" t="n">
        <f aca="false">C4102+C4103</f>
        <v>389.228</v>
      </c>
      <c r="D4104" s="30" t="n">
        <f aca="false">D4102+D4103</f>
        <v>559.7302</v>
      </c>
      <c r="E4104" s="30" t="n">
        <f aca="false">E4102+E4103</f>
        <v>774.728478708961</v>
      </c>
      <c r="F4104" s="30" t="n">
        <f aca="false">F4102+F4103</f>
        <v>899.398797915071</v>
      </c>
      <c r="G4104" s="30" t="n">
        <f aca="false">G4102+G4103</f>
        <v>1044.75840421141</v>
      </c>
    </row>
    <row r="4105" customFormat="false" ht="17.15" hidden="false" customHeight="false" outlineLevel="0" collapsed="false">
      <c r="A4105" s="0" t="s">
        <v>563</v>
      </c>
      <c r="B4105" s="0" t="s">
        <v>234</v>
      </c>
      <c r="C4105" s="30" t="n">
        <f aca="false">a25_ems</f>
        <v>259.079</v>
      </c>
      <c r="D4105" s="30" t="n">
        <f aca="false">a26_ems</f>
        <v>314.602</v>
      </c>
      <c r="E4105" s="30" t="n">
        <f aca="false">D4105*(1+g_ems27)</f>
        <v>346.0622</v>
      </c>
      <c r="F4105" s="30" t="n">
        <f aca="false">E4105*(1+g_emsL)</f>
        <v>363.36531</v>
      </c>
      <c r="G4105" s="30" t="n">
        <f aca="false">F4105*(1+g_emsL)</f>
        <v>381.5335755</v>
      </c>
    </row>
    <row r="4106" customFormat="false" ht="17.15" hidden="false" customHeight="false" outlineLevel="0" collapsed="false">
      <c r="A4106" s="4" t="s">
        <v>564</v>
      </c>
      <c r="B4106" s="0" t="s">
        <v>234</v>
      </c>
      <c r="C4106" s="30" t="n">
        <f aca="false">a25_elim</f>
        <v>-2.91899999999998</v>
      </c>
      <c r="D4106" s="30" t="n">
        <f aca="false">a26_elim</f>
        <v>-3.16484905982349</v>
      </c>
      <c r="E4106" s="30" t="n">
        <f aca="false">$D4106/($D4104+$D4105)*(E4104+E4105)</f>
        <v>-4.05696293213379</v>
      </c>
      <c r="F4106" s="30" t="n">
        <f aca="false">$D4106/($D4104+$D4105)*(F4104+F4105)</f>
        <v>-4.57086882962089</v>
      </c>
      <c r="G4106" s="30" t="n">
        <f aca="false">$D4106/($D4104+$D4105)*(G4104+G4105)</f>
        <v>-5.16279605283144</v>
      </c>
      <c r="K4106" s="4" t="s">
        <v>565</v>
      </c>
    </row>
    <row r="4107" customFormat="false" ht="17.15" hidden="false" customHeight="false" outlineLevel="0" collapsed="false">
      <c r="A4107" s="4" t="s">
        <v>431</v>
      </c>
      <c r="B4107" s="0" t="s">
        <v>234</v>
      </c>
      <c r="C4107" s="30" t="n">
        <f aca="false">C4104+C4105+C4106</f>
        <v>645.388</v>
      </c>
      <c r="D4107" s="30" t="n">
        <f aca="false">D4104+D4105+D4106</f>
        <v>871.167350940177</v>
      </c>
      <c r="E4107" s="30" t="n">
        <f aca="false">E4104+E4105+E4106</f>
        <v>1116.73371577683</v>
      </c>
      <c r="F4107" s="30" t="n">
        <f aca="false">F4104+F4105+F4106</f>
        <v>1258.19323908545</v>
      </c>
      <c r="G4107" s="30" t="n">
        <f aca="false">G4104+G4105+G4106</f>
        <v>1421.12918365858</v>
      </c>
      <c r="H4107" s="31" t="n">
        <f aca="false">G4107*(1+H4108)</f>
        <v>1572.24252669828</v>
      </c>
      <c r="I4107" s="31" t="n">
        <f aca="false">H4107*(1+I4108)</f>
        <v>1703.00066355907</v>
      </c>
      <c r="J4107" s="31" t="n">
        <f aca="false">I4107*(1+J4108)</f>
        <v>1805.18070337261</v>
      </c>
      <c r="K4107" s="8" t="s">
        <v>566</v>
      </c>
    </row>
    <row r="4108" customFormat="false" ht="15" hidden="false" customHeight="false" outlineLevel="0" collapsed="false">
      <c r="A4108" s="4" t="s">
        <v>567</v>
      </c>
      <c r="B4108" s="0" t="s">
        <v>76</v>
      </c>
      <c r="D4108" s="21" t="n">
        <f aca="false">D4107/C4107-1</f>
        <v>0.349835061916516</v>
      </c>
      <c r="E4108" s="21" t="n">
        <f aca="false">E4107/D4107-1</f>
        <v>0.281881965126026</v>
      </c>
      <c r="F4108" s="21" t="n">
        <f aca="false">F4107/E4107-1</f>
        <v>0.126672564202309</v>
      </c>
      <c r="G4108" s="21" t="n">
        <f aca="false">G4107/F4107-1</f>
        <v>0.129499936505429</v>
      </c>
      <c r="H4108" s="26" t="n">
        <f aca="false">$G4108+(fade_gA-$G4108)*1/3</f>
        <v>0.10633329100362</v>
      </c>
      <c r="I4108" s="26" t="n">
        <f aca="false">$G4108+(fade_gA-$G4108)*2/3</f>
        <v>0.0831666455018098</v>
      </c>
      <c r="J4108" s="26" t="n">
        <f aca="false">$G4108+(fade_gA-$G4108)*3/3</f>
        <v>0.06</v>
      </c>
    </row>
    <row r="4109" customFormat="false" ht="17.15" hidden="false" customHeight="false" outlineLevel="0" collapsed="false">
      <c r="A4109" s="0" t="s">
        <v>475</v>
      </c>
      <c r="B4109" s="0" t="s">
        <v>76</v>
      </c>
      <c r="C4109" s="21" t="n">
        <f aca="false">C4102/C4104</f>
        <v>0.127431736668482</v>
      </c>
      <c r="D4109" s="21" t="n">
        <f aca="false">D4102/D4104</f>
        <v>0.227966974088588</v>
      </c>
      <c r="E4109" s="21" t="n">
        <f aca="false">E4102/E4104</f>
        <v>0.35854980982739</v>
      </c>
      <c r="F4109" s="21" t="n">
        <f aca="false">F4102/F4104</f>
        <v>0.408787056050512</v>
      </c>
      <c r="G4109" s="21" t="n">
        <f aca="false">G4102/G4104</f>
        <v>0.455416923583923</v>
      </c>
    </row>
    <row r="4110" customFormat="false" ht="15" hidden="false" customHeight="false" outlineLevel="0" collapsed="false">
      <c r="A4110" s="4" t="s">
        <v>568</v>
      </c>
      <c r="B4110" s="0" t="s">
        <v>76</v>
      </c>
      <c r="D4110" s="21" t="n">
        <f aca="false">D4104/C4104-1</f>
        <v>0.438052247012034</v>
      </c>
      <c r="E4110" s="21" t="n">
        <f aca="false">E4104/D4104-1</f>
        <v>0.384110556673485</v>
      </c>
      <c r="F4110" s="21" t="n">
        <f aca="false">F4104/E4104-1</f>
        <v>0.160921306796241</v>
      </c>
      <c r="G4110" s="21" t="n">
        <f aca="false">G4104/F4104-1</f>
        <v>0.161618635285371</v>
      </c>
    </row>
    <row r="4111" customFormat="false" ht="17.15" hidden="false" customHeight="false" outlineLevel="0" collapsed="false">
      <c r="A4111" s="6" t="s">
        <v>569</v>
      </c>
    </row>
    <row r="4112" customFormat="false" ht="17.15" hidden="false" customHeight="false" outlineLevel="0" collapsed="false">
      <c r="A4112" s="4" t="s">
        <v>570</v>
      </c>
      <c r="B4112" s="0" t="s">
        <v>120</v>
      </c>
      <c r="C4112" s="19" t="n">
        <f aca="false">capex25</f>
        <v>5.5</v>
      </c>
      <c r="D4112" s="19" t="n">
        <f aca="false">capex26</f>
        <v>11.5</v>
      </c>
      <c r="E4112" s="19" t="n">
        <f aca="false">capex27</f>
        <v>13</v>
      </c>
      <c r="F4112" s="19" t="n">
        <f aca="false">capi*F4107/F4100</f>
        <v>11.7955616164261</v>
      </c>
      <c r="G4112" s="19" t="n">
        <f aca="false">capi*G4107/G4100</f>
        <v>13.3230860967992</v>
      </c>
      <c r="K4112" s="8" t="s">
        <v>571</v>
      </c>
    </row>
    <row r="4113" customFormat="false" ht="15" hidden="false" customHeight="false" outlineLevel="0" collapsed="false">
      <c r="A4113" s="4" t="s">
        <v>572</v>
      </c>
      <c r="B4113" s="0" t="s">
        <v>234</v>
      </c>
      <c r="C4113" s="30" t="n">
        <f aca="false">C4112*C4100</f>
        <v>170.5</v>
      </c>
      <c r="D4113" s="30" t="n">
        <f aca="false">D4112*31.9</f>
        <v>366.85</v>
      </c>
      <c r="E4113" s="30" t="n">
        <f aca="false">E4112*E4100</f>
        <v>416</v>
      </c>
      <c r="F4113" s="30" t="n">
        <f aca="false">F4112*F4100</f>
        <v>377.457971725635</v>
      </c>
      <c r="G4113" s="30" t="n">
        <f aca="false">G4112*G4100</f>
        <v>426.338755097573</v>
      </c>
    </row>
    <row r="4114" customFormat="false" ht="17.15" hidden="false" customHeight="false" outlineLevel="0" collapsed="false">
      <c r="A4114" s="4" t="s">
        <v>473</v>
      </c>
      <c r="B4114" s="0" t="s">
        <v>76</v>
      </c>
      <c r="C4114" s="21" t="n">
        <f aca="false">C4113/C4107</f>
        <v>0.264182166386732</v>
      </c>
      <c r="D4114" s="21" t="n">
        <f aca="false">D4113/D4107</f>
        <v>0.421101639775745</v>
      </c>
      <c r="E4114" s="21" t="n">
        <f aca="false">E4113/E4107</f>
        <v>0.372514946153139</v>
      </c>
      <c r="F4114" s="21" t="n">
        <f aca="false">F4113/F4107</f>
        <v>0.3</v>
      </c>
      <c r="G4114" s="21" t="n">
        <f aca="false">G4113/G4107</f>
        <v>0.3</v>
      </c>
    </row>
    <row r="4115" customFormat="false" ht="17.15" hidden="false" customHeight="false" outlineLevel="0" collapsed="false">
      <c r="A4115" s="4" t="s">
        <v>573</v>
      </c>
      <c r="B4115" s="0" t="s">
        <v>234</v>
      </c>
      <c r="C4115" s="30" t="n">
        <f aca="false">a25_da</f>
        <v>75.255</v>
      </c>
      <c r="D4115" s="30" t="n">
        <f aca="false">a26_da</f>
        <v>97.124</v>
      </c>
      <c r="E4115" s="30" t="n">
        <f aca="false">D4115*(1-1/life)+D4113/life</f>
        <v>130.83975</v>
      </c>
      <c r="F4115" s="30" t="n">
        <f aca="false">E4115*(1-1/life)+E4113/life</f>
        <v>166.48478125</v>
      </c>
      <c r="G4115" s="30" t="n">
        <f aca="false">F4115*(1-1/life)+F4113/life</f>
        <v>192.856430059454</v>
      </c>
      <c r="K4115" s="4" t="s">
        <v>574</v>
      </c>
    </row>
    <row r="4116" customFormat="false" ht="17.15" hidden="false" customHeight="false" outlineLevel="0" collapsed="false">
      <c r="A4116" s="4" t="s">
        <v>575</v>
      </c>
      <c r="B4116" s="0" t="s">
        <v>234</v>
      </c>
      <c r="C4116" s="30" t="n">
        <f aca="false">a25_agp</f>
        <v>91.38</v>
      </c>
      <c r="D4116" s="30" t="n">
        <f aca="false">a26_agp</f>
        <v>164.623388</v>
      </c>
      <c r="E4116" s="30" t="n">
        <f aca="false">$D4116+ft_hi*(E4104-$D4104)-(E4115-$D4115)</f>
        <v>259.906605225377</v>
      </c>
      <c r="F4116" s="30" t="n">
        <f aca="false">$D4116+ft_hi*(F4104-$D4104)-(F4115-$D4115)</f>
        <v>299.063765499043</v>
      </c>
      <c r="G4116" s="30" t="n">
        <f aca="false">$D4116+ft_hi*(G4104-$D4104)-(G4115-$D4115)</f>
        <v>359.907880467391</v>
      </c>
      <c r="K4116" s="4" t="s">
        <v>576</v>
      </c>
    </row>
    <row r="4117" customFormat="false" ht="15" hidden="false" customHeight="false" outlineLevel="0" collapsed="false">
      <c r="A4117" s="4" t="s">
        <v>447</v>
      </c>
      <c r="B4117" s="0" t="s">
        <v>76</v>
      </c>
      <c r="C4117" s="14" t="n">
        <f aca="false">C4116/C4104</f>
        <v>0.234772421305764</v>
      </c>
      <c r="D4117" s="14" t="n">
        <f aca="false">D4116/D4104</f>
        <v>0.294112034690999</v>
      </c>
      <c r="E4117" s="14" t="n">
        <f aca="false">E4116/E4104</f>
        <v>0.335480897331276</v>
      </c>
      <c r="F4117" s="14" t="n">
        <f aca="false">F4116/F4104</f>
        <v>0.332515193696404</v>
      </c>
      <c r="G4117" s="14" t="n">
        <f aca="false">G4116/G4104</f>
        <v>0.344489098165285</v>
      </c>
    </row>
    <row r="4118" customFormat="false" ht="17.15" hidden="false" customHeight="false" outlineLevel="0" collapsed="false">
      <c r="A4118" s="0" t="s">
        <v>449</v>
      </c>
      <c r="B4118" s="0" t="s">
        <v>234</v>
      </c>
      <c r="C4118" s="30" t="n">
        <f aca="false">a25_egp</f>
        <v>23.695</v>
      </c>
      <c r="D4118" s="30" t="n">
        <f aca="false">a26_egp</f>
        <v>27.00552</v>
      </c>
      <c r="E4118" s="30" t="n">
        <f aca="false">E4105*ems_gm</f>
        <v>29.415287</v>
      </c>
      <c r="F4118" s="30" t="n">
        <f aca="false">F4105*ems_gm</f>
        <v>30.88605135</v>
      </c>
      <c r="G4118" s="30" t="n">
        <f aca="false">G4105*ems_gm</f>
        <v>32.4303539175</v>
      </c>
    </row>
    <row r="4119" customFormat="false" ht="15" hidden="false" customHeight="false" outlineLevel="0" collapsed="false">
      <c r="A4119" s="4" t="s">
        <v>577</v>
      </c>
      <c r="B4119" s="0" t="s">
        <v>234</v>
      </c>
      <c r="C4119" s="30" t="n">
        <f aca="false">a25_lgp</f>
        <v>-0.881999999999998</v>
      </c>
      <c r="D4119" s="30" t="n">
        <f aca="false">a26_lgp</f>
        <v>-0.948662139013863</v>
      </c>
      <c r="E4119" s="30" t="n">
        <f aca="false">$D4119/$D4106*E4106</f>
        <v>-1.21607288699975</v>
      </c>
      <c r="F4119" s="30" t="n">
        <f aca="false">$D4119/$D4106*F4106</f>
        <v>-1.37011595785291</v>
      </c>
      <c r="G4119" s="30" t="n">
        <f aca="false">$D4119/$D4106*G4106</f>
        <v>-1.54754588739994</v>
      </c>
    </row>
    <row r="4120" customFormat="false" ht="15" hidden="false" customHeight="false" outlineLevel="0" collapsed="false">
      <c r="A4120" s="4" t="s">
        <v>451</v>
      </c>
      <c r="B4120" s="0" t="s">
        <v>234</v>
      </c>
      <c r="C4120" s="30" t="n">
        <f aca="false">C4116+C4118+C4119</f>
        <v>114.193</v>
      </c>
      <c r="D4120" s="30" t="n">
        <f aca="false">D4116+D4118+D4119</f>
        <v>190.680245860986</v>
      </c>
      <c r="E4120" s="30" t="n">
        <f aca="false">E4116+E4118+E4119</f>
        <v>288.105819338377</v>
      </c>
      <c r="F4120" s="30" t="n">
        <f aca="false">F4116+F4118+F4119</f>
        <v>328.57970089119</v>
      </c>
      <c r="G4120" s="30" t="n">
        <f aca="false">G4116+G4118+G4119</f>
        <v>390.790688497491</v>
      </c>
    </row>
    <row r="4121" customFormat="false" ht="15" hidden="false" customHeight="false" outlineLevel="0" collapsed="false">
      <c r="A4121" s="4" t="s">
        <v>452</v>
      </c>
      <c r="B4121" s="0" t="s">
        <v>76</v>
      </c>
      <c r="C4121" s="14" t="n">
        <f aca="false">C4120/C4107</f>
        <v>0.176936974347214</v>
      </c>
      <c r="D4121" s="14" t="n">
        <f aca="false">D4120/D4107</f>
        <v>0.218879008327391</v>
      </c>
      <c r="E4121" s="14" t="n">
        <f aca="false">E4120/E4107</f>
        <v>0.257989720618369</v>
      </c>
      <c r="F4121" s="14" t="n">
        <f aca="false">F4120/F4107</f>
        <v>0.261152015989234</v>
      </c>
      <c r="G4121" s="14" t="n">
        <f aca="false">G4120/G4107</f>
        <v>0.274986041375516</v>
      </c>
    </row>
    <row r="4122" customFormat="false" ht="15" hidden="false" customHeight="false" outlineLevel="0" collapsed="false">
      <c r="A4122" s="4" t="s">
        <v>578</v>
      </c>
      <c r="B4122" s="0" t="s">
        <v>234</v>
      </c>
      <c r="C4122" s="30" t="n">
        <f aca="false">a25_opx</f>
        <v>63.437</v>
      </c>
      <c r="D4122" s="30" t="n">
        <f aca="false">a26_opx</f>
        <v>79.658</v>
      </c>
      <c r="E4122" s="30" t="n">
        <f aca="false">D4122*(1+phi*E4108)</f>
        <v>93.1304921468054</v>
      </c>
      <c r="F4122" s="30" t="n">
        <f aca="false">E4122*(1+phi*F4108)</f>
        <v>100.208739094201</v>
      </c>
      <c r="G4122" s="30" t="n">
        <f aca="false">F4122*(1+phi*G4108)</f>
        <v>107.994954304194</v>
      </c>
    </row>
    <row r="4123" customFormat="false" ht="15" hidden="false" customHeight="false" outlineLevel="0" collapsed="false">
      <c r="A4123" s="4" t="s">
        <v>455</v>
      </c>
      <c r="B4123" s="0" t="s">
        <v>234</v>
      </c>
      <c r="C4123" s="30" t="n">
        <f aca="false">C4120-C4122</f>
        <v>50.756</v>
      </c>
      <c r="D4123" s="30" t="n">
        <f aca="false">D4120-D4122</f>
        <v>111.022245860986</v>
      </c>
      <c r="E4123" s="30" t="n">
        <f aca="false">E4120-E4122</f>
        <v>194.975327191572</v>
      </c>
      <c r="F4123" s="30" t="n">
        <f aca="false">F4120-F4122</f>
        <v>228.370961796989</v>
      </c>
      <c r="G4123" s="30" t="n">
        <f aca="false">G4120-G4122</f>
        <v>282.795734193297</v>
      </c>
    </row>
    <row r="4124" customFormat="false" ht="15" hidden="false" customHeight="false" outlineLevel="0" collapsed="false">
      <c r="A4124" s="4" t="s">
        <v>537</v>
      </c>
      <c r="B4124" s="0" t="s">
        <v>76</v>
      </c>
      <c r="C4124" s="14" t="n">
        <f aca="false">C4123/C4107</f>
        <v>0.0786441644406156</v>
      </c>
      <c r="D4124" s="14" t="n">
        <f aca="false">D4123/D4107</f>
        <v>0.127440779020437</v>
      </c>
      <c r="E4124" s="14" t="n">
        <f aca="false">E4123/E4107</f>
        <v>0.174594287283555</v>
      </c>
      <c r="F4124" s="14" t="n">
        <f aca="false">F4123/F4107</f>
        <v>0.181507064815407</v>
      </c>
      <c r="G4124" s="14" t="n">
        <f aca="false">G4123/G4107</f>
        <v>0.198993685757169</v>
      </c>
    </row>
    <row r="4125" customFormat="false" ht="15" hidden="false" customHeight="false" outlineLevel="0" collapsed="false">
      <c r="A4125" s="4" t="s">
        <v>456</v>
      </c>
      <c r="B4125" s="0" t="s">
        <v>234</v>
      </c>
      <c r="C4125" s="30" t="n">
        <f aca="false">a25_nonop</f>
        <v>0.545</v>
      </c>
      <c r="D4125" s="30" t="n">
        <f aca="false">a26_nonop</f>
        <v>4.302</v>
      </c>
      <c r="E4125" s="30" t="n">
        <f aca="false">nonop_f</f>
        <v>-5</v>
      </c>
      <c r="F4125" s="30" t="n">
        <f aca="false">nonop_f</f>
        <v>-5</v>
      </c>
      <c r="G4125" s="30" t="n">
        <f aca="false">nonop_f</f>
        <v>-5</v>
      </c>
    </row>
    <row r="4126" customFormat="false" ht="15" hidden="false" customHeight="false" outlineLevel="0" collapsed="false">
      <c r="A4126" s="4" t="s">
        <v>459</v>
      </c>
      <c r="B4126" s="0" t="s">
        <v>234</v>
      </c>
      <c r="C4126" s="30" t="n">
        <f aca="false">C4123+C4125</f>
        <v>51.301</v>
      </c>
      <c r="D4126" s="30" t="n">
        <f aca="false">D4123+D4125</f>
        <v>115.324245860986</v>
      </c>
      <c r="E4126" s="30" t="n">
        <f aca="false">E4123+E4125</f>
        <v>189.975327191572</v>
      </c>
      <c r="F4126" s="30" t="n">
        <f aca="false">F4123+F4125</f>
        <v>223.370961796989</v>
      </c>
      <c r="G4126" s="30" t="n">
        <f aca="false">G4123+G4125</f>
        <v>277.795734193297</v>
      </c>
    </row>
    <row r="4127" customFormat="false" ht="15" hidden="false" customHeight="false" outlineLevel="0" collapsed="false">
      <c r="A4127" s="4" t="s">
        <v>460</v>
      </c>
      <c r="B4127" s="0" t="s">
        <v>234</v>
      </c>
      <c r="C4127" s="30" t="n">
        <f aca="false">a25_tax</f>
        <v>9.461</v>
      </c>
      <c r="D4127" s="30" t="n">
        <f aca="false">a26_tax</f>
        <v>19.2197317963676</v>
      </c>
      <c r="E4127" s="30" t="n">
        <f aca="false">E4126*tax</f>
        <v>32.2958056225672</v>
      </c>
      <c r="F4127" s="30" t="n">
        <f aca="false">F4126*tax</f>
        <v>37.9730635054882</v>
      </c>
      <c r="G4127" s="30" t="n">
        <f aca="false">G4126*tax</f>
        <v>47.2252748128605</v>
      </c>
    </row>
    <row r="4128" customFormat="false" ht="15" hidden="false" customHeight="false" outlineLevel="0" collapsed="false">
      <c r="A4128" s="4" t="s">
        <v>461</v>
      </c>
      <c r="B4128" s="0" t="s">
        <v>234</v>
      </c>
      <c r="C4128" s="30" t="n">
        <f aca="false">a25_nci</f>
        <v>1.182</v>
      </c>
      <c r="D4128" s="30" t="n">
        <f aca="false">a26_nci</f>
        <v>2.543</v>
      </c>
      <c r="E4128" s="30" t="n">
        <f aca="false">nci</f>
        <v>3</v>
      </c>
      <c r="F4128" s="30" t="n">
        <f aca="false">nci</f>
        <v>3</v>
      </c>
      <c r="G4128" s="30" t="n">
        <f aca="false">nci</f>
        <v>3</v>
      </c>
    </row>
    <row r="4129" customFormat="false" ht="15" hidden="false" customHeight="false" outlineLevel="0" collapsed="false">
      <c r="A4129" s="4" t="s">
        <v>462</v>
      </c>
      <c r="B4129" s="0" t="s">
        <v>234</v>
      </c>
      <c r="C4129" s="30" t="n">
        <f aca="false">C4126-C4127-C4128</f>
        <v>40.658</v>
      </c>
      <c r="D4129" s="30" t="n">
        <f aca="false">D4126-D4127-D4128</f>
        <v>93.5615140646185</v>
      </c>
      <c r="E4129" s="30" t="n">
        <f aca="false">E4126-E4127-E4128</f>
        <v>154.679521569004</v>
      </c>
      <c r="F4129" s="30" t="n">
        <f aca="false">F4126-F4127-F4128</f>
        <v>182.397898291501</v>
      </c>
      <c r="G4129" s="30" t="n">
        <f aca="false">G4126-G4127-G4128</f>
        <v>227.570459380437</v>
      </c>
      <c r="H4129" s="31" t="n">
        <f aca="false">H4107*H4133</f>
        <v>236.922763094975</v>
      </c>
      <c r="I4129" s="31" t="n">
        <f aca="false">I4107*I4133</f>
        <v>240.546129347041</v>
      </c>
      <c r="J4129" s="31" t="n">
        <f aca="false">J4107*J4133</f>
        <v>237.933349598446</v>
      </c>
    </row>
    <row r="4130" customFormat="false" ht="15" hidden="false" customHeight="false" outlineLevel="0" collapsed="false">
      <c r="A4130" s="4" t="s">
        <v>579</v>
      </c>
      <c r="B4130" s="4" t="s">
        <v>580</v>
      </c>
      <c r="C4130" s="18" t="n">
        <f aca="false">a25_sh</f>
        <v>4339.16755602988</v>
      </c>
      <c r="D4130" s="18" t="n">
        <f aca="false">a26_sh</f>
        <v>4392.90105184664</v>
      </c>
      <c r="E4130" s="18" t="n">
        <f aca="false">D4130*(1+sh_g)</f>
        <v>4414.86555710588</v>
      </c>
      <c r="F4130" s="18" t="n">
        <f aca="false">E4130*(1+sh_g)</f>
        <v>4436.9398848914</v>
      </c>
      <c r="G4130" s="18" t="n">
        <f aca="false">F4130*(1+sh_g)</f>
        <v>4459.12458431586</v>
      </c>
      <c r="H4130" s="25" t="n">
        <f aca="false">G4130*(1+sh_g)</f>
        <v>4481.42020723744</v>
      </c>
      <c r="I4130" s="25" t="n">
        <f aca="false">H4130*(1+sh_g)</f>
        <v>4503.82730827363</v>
      </c>
      <c r="J4130" s="25" t="n">
        <f aca="false">I4130*(1+sh_g)</f>
        <v>4526.34644481499</v>
      </c>
    </row>
    <row r="4131" customFormat="false" ht="17.15" hidden="false" customHeight="false" outlineLevel="0" collapsed="false">
      <c r="A4131" s="0" t="s">
        <v>465</v>
      </c>
      <c r="B4131" s="0" t="s">
        <v>304</v>
      </c>
      <c r="C4131" s="19" t="n">
        <f aca="false">a25_eps</f>
        <v>9.37</v>
      </c>
      <c r="D4131" s="19" t="n">
        <f aca="false">a26_eps</f>
        <v>21.2828697294455</v>
      </c>
      <c r="E4131" s="19" t="n">
        <f aca="false">E4129/E4130*1000</f>
        <v>35.0360661198488</v>
      </c>
      <c r="F4131" s="19" t="n">
        <f aca="false">F4129/F4130*1000</f>
        <v>41.1089406265339</v>
      </c>
      <c r="G4131" s="19" t="n">
        <f aca="false">G4129/G4130*1000</f>
        <v>51.0347838633783</v>
      </c>
      <c r="H4131" s="28" t="n">
        <f aca="false">H4129/H4130*1000</f>
        <v>52.8677856881949</v>
      </c>
      <c r="I4131" s="28" t="n">
        <f aca="false">I4129/I4130*1000</f>
        <v>53.4092701345703</v>
      </c>
      <c r="J4131" s="28" t="n">
        <f aca="false">J4129/J4130*1000</f>
        <v>52.5663142446825</v>
      </c>
    </row>
    <row r="4132" customFormat="false" ht="17.15" hidden="false" customHeight="false" outlineLevel="0" collapsed="false">
      <c r="A4132" s="0" t="s">
        <v>581</v>
      </c>
      <c r="B4132" s="0" t="s">
        <v>76</v>
      </c>
      <c r="D4132" s="21" t="n">
        <f aca="false">D4131/C4131-1</f>
        <v>1.27138417603474</v>
      </c>
      <c r="E4132" s="21" t="n">
        <f aca="false">E4131/D4131-1</f>
        <v>0.64620967779431</v>
      </c>
      <c r="F4132" s="21" t="n">
        <f aca="false">F4131/E4131-1</f>
        <v>0.173332088308987</v>
      </c>
      <c r="G4132" s="21" t="n">
        <f aca="false">G4131/F4131-1</f>
        <v>0.241452177690945</v>
      </c>
      <c r="H4132" s="26" t="n">
        <f aca="false">H4131/G4131-1</f>
        <v>0.0359167157388891</v>
      </c>
      <c r="I4132" s="26" t="n">
        <f aca="false">I4131/H4131-1</f>
        <v>0.0102422380534146</v>
      </c>
      <c r="J4132" s="26" t="n">
        <f aca="false">J4131/I4131-1</f>
        <v>-0.0157829509327487</v>
      </c>
    </row>
    <row r="4133" customFormat="false" ht="17.15" hidden="false" customHeight="false" outlineLevel="0" collapsed="false">
      <c r="A4133" s="4" t="s">
        <v>582</v>
      </c>
      <c r="B4133" s="0" t="s">
        <v>76</v>
      </c>
      <c r="C4133" s="14" t="n">
        <f aca="false">C4129/C4107</f>
        <v>0.0629977625862272</v>
      </c>
      <c r="D4133" s="14" t="n">
        <f aca="false">D4129/D4107</f>
        <v>0.107397865592237</v>
      </c>
      <c r="E4133" s="14" t="n">
        <f aca="false">E4129/E4107</f>
        <v>0.138510657808344</v>
      </c>
      <c r="F4133" s="14" t="n">
        <f aca="false">F4129/F4107</f>
        <v>0.144968111912667</v>
      </c>
      <c r="G4133" s="14" t="n">
        <f aca="false">G4129/G4107</f>
        <v>0.160133548728185</v>
      </c>
      <c r="H4133" s="27" t="n">
        <f aca="false">$G4133+(fade_mA-$G4133)*1/3</f>
        <v>0.150690977423511</v>
      </c>
      <c r="I4133" s="27" t="n">
        <f aca="false">$G4133+(fade_mA-$G4133)*2/3</f>
        <v>0.141248406118838</v>
      </c>
      <c r="J4133" s="27" t="n">
        <f aca="false">$G4133+(fade_mA-$G4133)*3/3</f>
        <v>0.131805834814164</v>
      </c>
    </row>
    <row r="4134" customFormat="false" ht="17.15" hidden="false" customHeight="false" outlineLevel="0" collapsed="false">
      <c r="A4134" s="4" t="s">
        <v>583</v>
      </c>
      <c r="B4134" s="0" t="s">
        <v>234</v>
      </c>
      <c r="C4134" s="30" t="n">
        <f aca="false">C4129+C4115-C4113</f>
        <v>-54.587</v>
      </c>
      <c r="D4134" s="30" t="n">
        <f aca="false">D4129+D4115-D4113</f>
        <v>-176.164485935382</v>
      </c>
      <c r="E4134" s="30" t="n">
        <f aca="false">E4129+E4115-E4113</f>
        <v>-130.480728430996</v>
      </c>
      <c r="F4134" s="30" t="n">
        <f aca="false">F4129+F4115-F4113</f>
        <v>-28.5752921841342</v>
      </c>
      <c r="G4134" s="30" t="n">
        <f aca="false">G4129+G4115-G4113</f>
        <v>-5.91186565768214</v>
      </c>
      <c r="K4134" s="4" t="s">
        <v>584</v>
      </c>
    </row>
    <row r="4135" customFormat="false" ht="17.15" hidden="false" customHeight="false" outlineLevel="0" collapsed="false">
      <c r="A4135" s="4" t="s">
        <v>585</v>
      </c>
      <c r="B4135" s="0" t="s">
        <v>76</v>
      </c>
      <c r="D4135" s="21" t="n">
        <f aca="false">(D4123-$C4123)/SUM($D4113:D4113)</f>
        <v>0.164280348537512</v>
      </c>
      <c r="E4135" s="21" t="n">
        <f aca="false">(E4123-$C4123)/SUM($D4113:E4113)</f>
        <v>0.184223449181288</v>
      </c>
      <c r="F4135" s="21" t="n">
        <f aca="false">(F4123-$C4123)/SUM($D4113:F4113)</f>
        <v>0.153075705868707</v>
      </c>
      <c r="G4135" s="21" t="n">
        <f aca="false">(G4123-$C4123)/SUM($D4113:G4113)</f>
        <v>0.146245367838049</v>
      </c>
      <c r="K4135" s="4" t="s">
        <v>586</v>
      </c>
    </row>
    <row r="4138" customFormat="false" ht="17.15" hidden="false" customHeight="false" outlineLevel="0" collapsed="false">
      <c r="A4138" s="1" t="s">
        <v>998</v>
      </c>
    </row>
    <row r="4139" customFormat="false" ht="17.15" hidden="false" customHeight="false" outlineLevel="0" collapsed="false">
      <c r="A4139" s="5" t="s">
        <v>21</v>
      </c>
      <c r="B4139" s="5" t="s">
        <v>22</v>
      </c>
      <c r="C4139" s="15" t="s">
        <v>424</v>
      </c>
      <c r="D4139" s="15" t="s">
        <v>524</v>
      </c>
      <c r="E4139" s="15" t="s">
        <v>525</v>
      </c>
      <c r="F4139" s="15" t="s">
        <v>526</v>
      </c>
      <c r="G4139" s="15" t="s">
        <v>527</v>
      </c>
      <c r="H4139" s="15" t="s">
        <v>528</v>
      </c>
      <c r="I4139" s="15" t="s">
        <v>529</v>
      </c>
      <c r="J4139" s="15" t="s">
        <v>530</v>
      </c>
      <c r="K4139" s="5" t="s">
        <v>382</v>
      </c>
    </row>
    <row r="4140" customFormat="false" ht="17.15" hidden="false" customHeight="false" outlineLevel="0" collapsed="false">
      <c r="A4140" s="6" t="s">
        <v>548</v>
      </c>
    </row>
    <row r="4141" customFormat="false" ht="17.15" hidden="false" customHeight="false" outlineLevel="0" collapsed="false">
      <c r="A4141" s="0" t="s">
        <v>549</v>
      </c>
      <c r="B4141" s="4" t="s">
        <v>32</v>
      </c>
      <c r="D4141" s="19" t="n">
        <f aca="false">units_26</f>
        <v>15.2</v>
      </c>
      <c r="E4141" s="19" t="n">
        <f aca="false">units_27*1</f>
        <v>23.7</v>
      </c>
      <c r="F4141" s="19" t="n">
        <f aca="false">units_28*um28_B*1</f>
        <v>21.2</v>
      </c>
      <c r="G4141" s="19" t="n">
        <f aca="false">units_29*um29_B*1</f>
        <v>25.6275</v>
      </c>
    </row>
    <row r="4142" customFormat="false" ht="17.15" hidden="false" customHeight="false" outlineLevel="0" collapsed="false">
      <c r="A4142" s="4" t="s">
        <v>497</v>
      </c>
      <c r="B4142" s="0" t="s">
        <v>45</v>
      </c>
      <c r="D4142" s="22" t="n">
        <f aca="false">ar_26</f>
        <v>1</v>
      </c>
      <c r="E4142" s="22" t="n">
        <f aca="false">ar_27</f>
        <v>1.278156</v>
      </c>
      <c r="F4142" s="22" t="n">
        <f aca="false">ar_28</f>
        <v>1.428615</v>
      </c>
      <c r="G4142" s="22" t="n">
        <f aca="false">ar_29</f>
        <v>1.431796</v>
      </c>
    </row>
    <row r="4143" customFormat="false" ht="17.15" hidden="false" customHeight="false" outlineLevel="0" collapsed="false">
      <c r="A4143" s="4" t="s">
        <v>550</v>
      </c>
      <c r="B4143" s="0" t="s">
        <v>45</v>
      </c>
      <c r="D4143" s="19" t="n">
        <f aca="false">1</f>
        <v>1</v>
      </c>
      <c r="E4143" s="19" t="n">
        <f aca="false">rel27_B</f>
        <v>1.05</v>
      </c>
      <c r="F4143" s="19" t="n">
        <f aca="false">rel28_B</f>
        <v>1.08</v>
      </c>
      <c r="G4143" s="19" t="n">
        <f aca="false">rel29_B</f>
        <v>1.1</v>
      </c>
    </row>
    <row r="4144" customFormat="false" ht="17.15" hidden="false" customHeight="false" outlineLevel="0" collapsed="false">
      <c r="A4144" s="4" t="s">
        <v>551</v>
      </c>
      <c r="B4144" s="0" t="s">
        <v>502</v>
      </c>
      <c r="D4144" s="23" t="n">
        <f aca="false">D4145*1000/D4141</f>
        <v>236.842105263158</v>
      </c>
      <c r="E4144" s="23" t="n">
        <f aca="false">$D4144*E4142^el</f>
        <v>267.763172119488</v>
      </c>
      <c r="F4144" s="23" t="n">
        <f aca="false">$D4144*F4142^el</f>
        <v>283.084777049615</v>
      </c>
      <c r="G4144" s="23" t="n">
        <f aca="false">$D4144*G4142^el</f>
        <v>283.399764630809</v>
      </c>
      <c r="K4144" s="8" t="s">
        <v>552</v>
      </c>
    </row>
    <row r="4145" customFormat="false" ht="17.15" hidden="false" customHeight="false" outlineLevel="0" collapsed="false">
      <c r="A4145" s="0" t="s">
        <v>553</v>
      </c>
      <c r="B4145" s="0" t="s">
        <v>120</v>
      </c>
      <c r="D4145" s="22" t="n">
        <f aca="false">leap26-D4146-D4147</f>
        <v>3.6</v>
      </c>
      <c r="E4145" s="22" t="n">
        <f aca="false">E4141*E4143*E4144/1000</f>
        <v>6.66328653819345</v>
      </c>
      <c r="F4145" s="22" t="n">
        <f aca="false">F4141*F4143*F4144/1000</f>
        <v>6.48150905532798</v>
      </c>
      <c r="G4145" s="22" t="n">
        <f aca="false">G4141*G4143*G4144/1000</f>
        <v>7.98911021488366</v>
      </c>
      <c r="K4145" s="8" t="s">
        <v>554</v>
      </c>
    </row>
    <row r="4146" customFormat="false" ht="17.15" hidden="false" customHeight="false" outlineLevel="0" collapsed="false">
      <c r="A4146" s="4" t="s">
        <v>555</v>
      </c>
      <c r="B4146" s="0" t="s">
        <v>120</v>
      </c>
      <c r="D4146" s="22" t="n">
        <f aca="false">fp26</f>
        <v>0.3</v>
      </c>
      <c r="E4146" s="22" t="n">
        <f aca="false">fp27_B</f>
        <v>1</v>
      </c>
      <c r="F4146" s="22" t="n">
        <f aca="false">E4146*F4141/E4141*(1+fp_g)</f>
        <v>1.16286919831224</v>
      </c>
      <c r="G4146" s="22" t="n">
        <f aca="false">F4146*G4141/F4141*(1+fp_g)</f>
        <v>1.82744620253165</v>
      </c>
    </row>
    <row r="4147" customFormat="false" ht="17.15" hidden="false" customHeight="false" outlineLevel="0" collapsed="false">
      <c r="A4147" s="0" t="s">
        <v>556</v>
      </c>
      <c r="B4147" s="0" t="s">
        <v>120</v>
      </c>
      <c r="D4147" s="22" t="n">
        <f aca="false">cpo27*cpo_B_26/cpo_A_27</f>
        <v>0.1</v>
      </c>
      <c r="E4147" s="22" t="n">
        <f aca="false">cpo27*cpo_B_27/cpo_A_27</f>
        <v>0.3</v>
      </c>
      <c r="F4147" s="22" t="n">
        <f aca="false">cpo27*cpo_B_28/cpo_A_27*F4141/E4141</f>
        <v>0.447257383966245</v>
      </c>
      <c r="G4147" s="22" t="n">
        <f aca="false">cpo27*cpo_B_29/cpo_A_27*G4141/E4141</f>
        <v>0.86506329113924</v>
      </c>
      <c r="K4147" s="8" t="s">
        <v>557</v>
      </c>
    </row>
    <row r="4148" customFormat="false" ht="17.15" hidden="false" customHeight="false" outlineLevel="0" collapsed="false">
      <c r="A4148" s="0" t="s">
        <v>510</v>
      </c>
      <c r="B4148" s="0" t="s">
        <v>120</v>
      </c>
      <c r="C4148" s="22" t="n">
        <f aca="false">leap25</f>
        <v>1.6</v>
      </c>
      <c r="D4148" s="22" t="n">
        <f aca="false">D4145+D4146+D4147</f>
        <v>4</v>
      </c>
      <c r="E4148" s="22" t="n">
        <f aca="false">E4145+E4146+E4147</f>
        <v>7.96328653819345</v>
      </c>
      <c r="F4148" s="22" t="n">
        <f aca="false">F4145+F4146+F4147</f>
        <v>8.09163563760646</v>
      </c>
      <c r="G4148" s="22" t="n">
        <f aca="false">G4145+G4146+G4147</f>
        <v>10.6816197085545</v>
      </c>
    </row>
    <row r="4149" customFormat="false" ht="17.15" hidden="false" customHeight="false" outlineLevel="0" collapsed="false">
      <c r="A4149" s="4" t="s">
        <v>558</v>
      </c>
      <c r="B4149" s="0" t="s">
        <v>114</v>
      </c>
      <c r="C4149" s="19" t="n">
        <f aca="false">fx25</f>
        <v>31</v>
      </c>
      <c r="D4149" s="19" t="n">
        <f aca="false">a26_leap/D4148</f>
        <v>31.9</v>
      </c>
      <c r="E4149" s="19" t="n">
        <f aca="false">fx</f>
        <v>32</v>
      </c>
      <c r="F4149" s="19" t="n">
        <f aca="false">fx</f>
        <v>32</v>
      </c>
      <c r="G4149" s="19" t="n">
        <f aca="false">fx</f>
        <v>32</v>
      </c>
      <c r="K4149" s="8" t="s">
        <v>559</v>
      </c>
    </row>
    <row r="4150" customFormat="false" ht="17.15" hidden="false" customHeight="false" outlineLevel="0" collapsed="false">
      <c r="A4150" s="6" t="s">
        <v>560</v>
      </c>
    </row>
    <row r="4151" customFormat="false" ht="17.15" hidden="false" customHeight="false" outlineLevel="0" collapsed="false">
      <c r="A4151" s="0" t="s">
        <v>438</v>
      </c>
      <c r="B4151" s="0" t="s">
        <v>234</v>
      </c>
      <c r="C4151" s="30" t="n">
        <f aca="false">a25_leap</f>
        <v>49.6</v>
      </c>
      <c r="D4151" s="30" t="n">
        <f aca="false">a26_leap</f>
        <v>127.6</v>
      </c>
      <c r="E4151" s="30" t="n">
        <f aca="false">E4148*E4149</f>
        <v>254.82516922219</v>
      </c>
      <c r="F4151" s="30" t="n">
        <f aca="false">F4148*F4149</f>
        <v>258.932340403407</v>
      </c>
      <c r="G4151" s="30" t="n">
        <f aca="false">G4148*G4149</f>
        <v>341.811830673745</v>
      </c>
    </row>
    <row r="4152" customFormat="false" ht="15" hidden="false" customHeight="false" outlineLevel="0" collapsed="false">
      <c r="A4152" s="4" t="s">
        <v>561</v>
      </c>
      <c r="B4152" s="0" t="s">
        <v>234</v>
      </c>
      <c r="C4152" s="30" t="n">
        <f aca="false">a25_ms</f>
        <v>339.628</v>
      </c>
      <c r="D4152" s="30" t="n">
        <f aca="false">a26_ms</f>
        <v>432.1302</v>
      </c>
      <c r="E4152" s="30" t="n">
        <f aca="false">D4152*(1+g_ms27)</f>
        <v>496.94973</v>
      </c>
      <c r="F4152" s="30" t="n">
        <f aca="false">E4152*(1+g_msL)</f>
        <v>531.7362111</v>
      </c>
      <c r="G4152" s="30" t="n">
        <f aca="false">F4152*(1+g_msL)</f>
        <v>568.957745877</v>
      </c>
    </row>
    <row r="4153" customFormat="false" ht="17.15" hidden="false" customHeight="false" outlineLevel="0" collapsed="false">
      <c r="A4153" s="4" t="s">
        <v>562</v>
      </c>
      <c r="B4153" s="0" t="s">
        <v>234</v>
      </c>
      <c r="C4153" s="30" t="n">
        <f aca="false">C4151+C4152</f>
        <v>389.228</v>
      </c>
      <c r="D4153" s="30" t="n">
        <f aca="false">D4151+D4152</f>
        <v>559.7302</v>
      </c>
      <c r="E4153" s="30" t="n">
        <f aca="false">E4151+E4152</f>
        <v>751.77489922219</v>
      </c>
      <c r="F4153" s="30" t="n">
        <f aca="false">F4151+F4152</f>
        <v>790.668551503407</v>
      </c>
      <c r="G4153" s="30" t="n">
        <f aca="false">G4151+G4152</f>
        <v>910.769576550745</v>
      </c>
    </row>
    <row r="4154" customFormat="false" ht="17.15" hidden="false" customHeight="false" outlineLevel="0" collapsed="false">
      <c r="A4154" s="0" t="s">
        <v>563</v>
      </c>
      <c r="B4154" s="0" t="s">
        <v>234</v>
      </c>
      <c r="C4154" s="30" t="n">
        <f aca="false">a25_ems</f>
        <v>259.079</v>
      </c>
      <c r="D4154" s="30" t="n">
        <f aca="false">a26_ems</f>
        <v>314.602</v>
      </c>
      <c r="E4154" s="30" t="n">
        <f aca="false">D4154*(1+g_ems27)</f>
        <v>346.0622</v>
      </c>
      <c r="F4154" s="30" t="n">
        <f aca="false">E4154*(1+g_emsL)</f>
        <v>363.36531</v>
      </c>
      <c r="G4154" s="30" t="n">
        <f aca="false">F4154*(1+g_emsL)</f>
        <v>381.5335755</v>
      </c>
    </row>
    <row r="4155" customFormat="false" ht="17.15" hidden="false" customHeight="false" outlineLevel="0" collapsed="false">
      <c r="A4155" s="4" t="s">
        <v>564</v>
      </c>
      <c r="B4155" s="0" t="s">
        <v>234</v>
      </c>
      <c r="C4155" s="30" t="n">
        <f aca="false">a25_elim</f>
        <v>-2.91899999999998</v>
      </c>
      <c r="D4155" s="30" t="n">
        <f aca="false">a26_elim</f>
        <v>-3.16484905982349</v>
      </c>
      <c r="E4155" s="30" t="n">
        <f aca="false">$D4155/($D4153+$D4154)*(E4153+E4154)</f>
        <v>-3.97387710450638</v>
      </c>
      <c r="F4155" s="30" t="n">
        <f aca="false">$D4155/($D4153+$D4154)*(F4153+F4154)</f>
        <v>-4.17729437573445</v>
      </c>
      <c r="G4155" s="30" t="n">
        <f aca="false">$D4155/($D4153+$D4154)*(G4153+G4154)</f>
        <v>-4.67779228052533</v>
      </c>
      <c r="K4155" s="4" t="s">
        <v>565</v>
      </c>
    </row>
    <row r="4156" customFormat="false" ht="17.15" hidden="false" customHeight="false" outlineLevel="0" collapsed="false">
      <c r="A4156" s="4" t="s">
        <v>431</v>
      </c>
      <c r="B4156" s="0" t="s">
        <v>234</v>
      </c>
      <c r="C4156" s="30" t="n">
        <f aca="false">C4153+C4154+C4155</f>
        <v>645.388</v>
      </c>
      <c r="D4156" s="30" t="n">
        <f aca="false">D4153+D4154+D4155</f>
        <v>871.167350940177</v>
      </c>
      <c r="E4156" s="30" t="n">
        <f aca="false">E4153+E4154+E4155</f>
        <v>1093.86322211768</v>
      </c>
      <c r="F4156" s="30" t="n">
        <f aca="false">F4153+F4154+F4155</f>
        <v>1149.85656712767</v>
      </c>
      <c r="G4156" s="30" t="n">
        <f aca="false">G4153+G4154+G4155</f>
        <v>1287.62535977022</v>
      </c>
      <c r="H4156" s="31" t="n">
        <f aca="false">G4156*(1+H4157)</f>
        <v>1407.64396999115</v>
      </c>
      <c r="I4156" s="31" t="n">
        <f aca="false">H4156*(1+I4157)</f>
        <v>1501.39957757674</v>
      </c>
      <c r="J4156" s="31" t="n">
        <f aca="false">I4156*(1+J4157)</f>
        <v>1561.45556067981</v>
      </c>
      <c r="K4156" s="8" t="s">
        <v>566</v>
      </c>
    </row>
    <row r="4157" customFormat="false" ht="15" hidden="false" customHeight="false" outlineLevel="0" collapsed="false">
      <c r="A4157" s="4" t="s">
        <v>567</v>
      </c>
      <c r="B4157" s="0" t="s">
        <v>76</v>
      </c>
      <c r="D4157" s="21" t="n">
        <f aca="false">D4156/C4156-1</f>
        <v>0.349835061916516</v>
      </c>
      <c r="E4157" s="21" t="n">
        <f aca="false">E4156/D4156-1</f>
        <v>0.255629266796065</v>
      </c>
      <c r="F4157" s="21" t="n">
        <f aca="false">F4156/E4156-1</f>
        <v>0.0511886165270159</v>
      </c>
      <c r="G4157" s="21" t="n">
        <f aca="false">G4156/F4156-1</f>
        <v>0.11981389382042</v>
      </c>
      <c r="H4157" s="26" t="n">
        <f aca="false">$G4157+(fade_gB-$G4157)*1/3</f>
        <v>0.0932092625469469</v>
      </c>
      <c r="I4157" s="26" t="n">
        <f aca="false">$G4157+(fade_gB-$G4157)*2/3</f>
        <v>0.0666046312734734</v>
      </c>
      <c r="J4157" s="26" t="n">
        <f aca="false">$G4157+(fade_gB-$G4157)*3/3</f>
        <v>0.04</v>
      </c>
    </row>
    <row r="4158" customFormat="false" ht="17.15" hidden="false" customHeight="false" outlineLevel="0" collapsed="false">
      <c r="A4158" s="0" t="s">
        <v>475</v>
      </c>
      <c r="B4158" s="0" t="s">
        <v>76</v>
      </c>
      <c r="C4158" s="21" t="n">
        <f aca="false">C4151/C4153</f>
        <v>0.127431736668482</v>
      </c>
      <c r="D4158" s="21" t="n">
        <f aca="false">D4151/D4153</f>
        <v>0.227966974088588</v>
      </c>
      <c r="E4158" s="21" t="n">
        <f aca="false">E4151/E4153</f>
        <v>0.338964721335922</v>
      </c>
      <c r="F4158" s="21" t="n">
        <f aca="false">F4151/F4153</f>
        <v>0.327485315953269</v>
      </c>
      <c r="G4158" s="21" t="n">
        <f aca="false">G4151/G4153</f>
        <v>0.375300009436251</v>
      </c>
    </row>
    <row r="4159" customFormat="false" ht="15" hidden="false" customHeight="false" outlineLevel="0" collapsed="false">
      <c r="A4159" s="4" t="s">
        <v>568</v>
      </c>
      <c r="B4159" s="0" t="s">
        <v>76</v>
      </c>
      <c r="D4159" s="21" t="n">
        <f aca="false">D4153/C4153-1</f>
        <v>0.438052247012034</v>
      </c>
      <c r="E4159" s="21" t="n">
        <f aca="false">E4153/D4153-1</f>
        <v>0.343102264666424</v>
      </c>
      <c r="F4159" s="21" t="n">
        <f aca="false">F4153/E4153-1</f>
        <v>0.0517357686741828</v>
      </c>
      <c r="G4159" s="21" t="n">
        <f aca="false">G4153/F4153-1</f>
        <v>0.151898067551788</v>
      </c>
    </row>
    <row r="4160" customFormat="false" ht="17.15" hidden="false" customHeight="false" outlineLevel="0" collapsed="false">
      <c r="A4160" s="6" t="s">
        <v>569</v>
      </c>
    </row>
    <row r="4161" customFormat="false" ht="17.15" hidden="false" customHeight="false" outlineLevel="0" collapsed="false">
      <c r="A4161" s="4" t="s">
        <v>570</v>
      </c>
      <c r="B4161" s="0" t="s">
        <v>120</v>
      </c>
      <c r="C4161" s="19" t="n">
        <f aca="false">capex25</f>
        <v>5.5</v>
      </c>
      <c r="D4161" s="19" t="n">
        <f aca="false">capex26</f>
        <v>11.5</v>
      </c>
      <c r="E4161" s="19" t="n">
        <f aca="false">capex27</f>
        <v>13</v>
      </c>
      <c r="F4161" s="19" t="n">
        <f aca="false">capi*F4156/F4149</f>
        <v>10.7799053168219</v>
      </c>
      <c r="G4161" s="19" t="n">
        <f aca="false">capi*G4156/G4149</f>
        <v>12.0714877478458</v>
      </c>
      <c r="K4161" s="8" t="s">
        <v>571</v>
      </c>
    </row>
    <row r="4162" customFormat="false" ht="15" hidden="false" customHeight="false" outlineLevel="0" collapsed="false">
      <c r="A4162" s="4" t="s">
        <v>572</v>
      </c>
      <c r="B4162" s="0" t="s">
        <v>234</v>
      </c>
      <c r="C4162" s="30" t="n">
        <f aca="false">C4161*C4149</f>
        <v>170.5</v>
      </c>
      <c r="D4162" s="30" t="n">
        <f aca="false">D4161*31.9</f>
        <v>366.85</v>
      </c>
      <c r="E4162" s="30" t="n">
        <f aca="false">E4161*E4149</f>
        <v>416</v>
      </c>
      <c r="F4162" s="30" t="n">
        <f aca="false">F4161*F4149</f>
        <v>344.956970138302</v>
      </c>
      <c r="G4162" s="30" t="n">
        <f aca="false">G4161*G4149</f>
        <v>386.287607931066</v>
      </c>
    </row>
    <row r="4163" customFormat="false" ht="17.15" hidden="false" customHeight="false" outlineLevel="0" collapsed="false">
      <c r="A4163" s="4" t="s">
        <v>473</v>
      </c>
      <c r="B4163" s="0" t="s">
        <v>76</v>
      </c>
      <c r="C4163" s="21" t="n">
        <f aca="false">C4162/C4156</f>
        <v>0.264182166386732</v>
      </c>
      <c r="D4163" s="21" t="n">
        <f aca="false">D4162/D4156</f>
        <v>0.421101639775745</v>
      </c>
      <c r="E4163" s="21" t="n">
        <f aca="false">E4162/E4156</f>
        <v>0.380303489127861</v>
      </c>
      <c r="F4163" s="21" t="n">
        <f aca="false">F4162/F4156</f>
        <v>0.3</v>
      </c>
      <c r="G4163" s="21" t="n">
        <f aca="false">G4162/G4156</f>
        <v>0.3</v>
      </c>
    </row>
    <row r="4164" customFormat="false" ht="17.15" hidden="false" customHeight="false" outlineLevel="0" collapsed="false">
      <c r="A4164" s="4" t="s">
        <v>573</v>
      </c>
      <c r="B4164" s="0" t="s">
        <v>234</v>
      </c>
      <c r="C4164" s="30" t="n">
        <f aca="false">a25_da</f>
        <v>75.255</v>
      </c>
      <c r="D4164" s="30" t="n">
        <f aca="false">a26_da</f>
        <v>97.124</v>
      </c>
      <c r="E4164" s="30" t="n">
        <f aca="false">D4164*(1-1/life)+D4162/life</f>
        <v>130.83975</v>
      </c>
      <c r="F4164" s="30" t="n">
        <f aca="false">E4164*(1-1/life)+E4162/life</f>
        <v>166.48478125</v>
      </c>
      <c r="G4164" s="30" t="n">
        <f aca="false">F4164*(1-1/life)+F4162/life</f>
        <v>188.793804861038</v>
      </c>
      <c r="K4164" s="4" t="s">
        <v>574</v>
      </c>
    </row>
    <row r="4165" customFormat="false" ht="17.15" hidden="false" customHeight="false" outlineLevel="0" collapsed="false">
      <c r="A4165" s="4" t="s">
        <v>575</v>
      </c>
      <c r="B4165" s="0" t="s">
        <v>234</v>
      </c>
      <c r="C4165" s="30" t="n">
        <f aca="false">a25_agp</f>
        <v>91.38</v>
      </c>
      <c r="D4165" s="30" t="n">
        <f aca="false">a26_agp</f>
        <v>164.623388</v>
      </c>
      <c r="E4165" s="30" t="n">
        <f aca="false">$D4165+ft_hi*(E4153-$D4153)-(E4164-$D4164)</f>
        <v>246.134457533314</v>
      </c>
      <c r="F4165" s="30" t="n">
        <f aca="false">$D4165+ft_hi*(F4153-$D4153)-(F4164-$D4164)</f>
        <v>233.825617652044</v>
      </c>
      <c r="G4165" s="30" t="n">
        <f aca="false">$D4165+ft_hi*(G4153-$D4153)-(G4164-$D4164)</f>
        <v>283.57720906941</v>
      </c>
      <c r="K4165" s="4" t="s">
        <v>576</v>
      </c>
    </row>
    <row r="4166" customFormat="false" ht="15" hidden="false" customHeight="false" outlineLevel="0" collapsed="false">
      <c r="A4166" s="4" t="s">
        <v>447</v>
      </c>
      <c r="B4166" s="0" t="s">
        <v>76</v>
      </c>
      <c r="C4166" s="14" t="n">
        <f aca="false">C4165/C4153</f>
        <v>0.234772421305764</v>
      </c>
      <c r="D4166" s="14" t="n">
        <f aca="false">D4165/D4153</f>
        <v>0.294112034690999</v>
      </c>
      <c r="E4166" s="14" t="n">
        <f aca="false">E4165/E4153</f>
        <v>0.327404463474336</v>
      </c>
      <c r="F4166" s="14" t="n">
        <f aca="false">F4165/F4153</f>
        <v>0.295731526449913</v>
      </c>
      <c r="G4166" s="14" t="n">
        <f aca="false">G4165/G4153</f>
        <v>0.31135999309877</v>
      </c>
    </row>
    <row r="4167" customFormat="false" ht="17.15" hidden="false" customHeight="false" outlineLevel="0" collapsed="false">
      <c r="A4167" s="0" t="s">
        <v>449</v>
      </c>
      <c r="B4167" s="0" t="s">
        <v>234</v>
      </c>
      <c r="C4167" s="30" t="n">
        <f aca="false">a25_egp</f>
        <v>23.695</v>
      </c>
      <c r="D4167" s="30" t="n">
        <f aca="false">a26_egp</f>
        <v>27.00552</v>
      </c>
      <c r="E4167" s="30" t="n">
        <f aca="false">E4154*ems_gm</f>
        <v>29.415287</v>
      </c>
      <c r="F4167" s="30" t="n">
        <f aca="false">F4154*ems_gm</f>
        <v>30.88605135</v>
      </c>
      <c r="G4167" s="30" t="n">
        <f aca="false">G4154*ems_gm</f>
        <v>32.4303539175</v>
      </c>
    </row>
    <row r="4168" customFormat="false" ht="15" hidden="false" customHeight="false" outlineLevel="0" collapsed="false">
      <c r="A4168" s="4" t="s">
        <v>577</v>
      </c>
      <c r="B4168" s="0" t="s">
        <v>234</v>
      </c>
      <c r="C4168" s="30" t="n">
        <f aca="false">a25_lgp</f>
        <v>-0.881999999999998</v>
      </c>
      <c r="D4168" s="30" t="n">
        <f aca="false">a26_lgp</f>
        <v>-0.948662139013863</v>
      </c>
      <c r="E4168" s="30" t="n">
        <f aca="false">$D4168/$D4155*E4155</f>
        <v>-1.19116794604716</v>
      </c>
      <c r="F4168" s="30" t="n">
        <f aca="false">$D4168/$D4155*F4155</f>
        <v>-1.25214218525664</v>
      </c>
      <c r="G4168" s="30" t="n">
        <f aca="false">$D4168/$D4155*G4155</f>
        <v>-1.40216621608905</v>
      </c>
    </row>
    <row r="4169" customFormat="false" ht="15" hidden="false" customHeight="false" outlineLevel="0" collapsed="false">
      <c r="A4169" s="4" t="s">
        <v>451</v>
      </c>
      <c r="B4169" s="0" t="s">
        <v>234</v>
      </c>
      <c r="C4169" s="30" t="n">
        <f aca="false">C4165+C4167+C4168</f>
        <v>114.193</v>
      </c>
      <c r="D4169" s="30" t="n">
        <f aca="false">D4165+D4167+D4168</f>
        <v>190.680245860986</v>
      </c>
      <c r="E4169" s="30" t="n">
        <f aca="false">E4165+E4167+E4168</f>
        <v>274.358576587267</v>
      </c>
      <c r="F4169" s="30" t="n">
        <f aca="false">F4165+F4167+F4168</f>
        <v>263.459526816787</v>
      </c>
      <c r="G4169" s="30" t="n">
        <f aca="false">G4165+G4167+G4168</f>
        <v>314.60539677082</v>
      </c>
    </row>
    <row r="4170" customFormat="false" ht="15" hidden="false" customHeight="false" outlineLevel="0" collapsed="false">
      <c r="A4170" s="4" t="s">
        <v>452</v>
      </c>
      <c r="B4170" s="0" t="s">
        <v>76</v>
      </c>
      <c r="C4170" s="14" t="n">
        <f aca="false">C4169/C4156</f>
        <v>0.176936974347214</v>
      </c>
      <c r="D4170" s="14" t="n">
        <f aca="false">D4169/D4156</f>
        <v>0.218879008327391</v>
      </c>
      <c r="E4170" s="14" t="n">
        <f aca="false">E4169/E4156</f>
        <v>0.250816163337239</v>
      </c>
      <c r="F4170" s="14" t="n">
        <f aca="false">F4169/F4156</f>
        <v>0.229123818003585</v>
      </c>
      <c r="G4170" s="14" t="n">
        <f aca="false">G4169/G4156</f>
        <v>0.244329916604751</v>
      </c>
    </row>
    <row r="4171" customFormat="false" ht="15" hidden="false" customHeight="false" outlineLevel="0" collapsed="false">
      <c r="A4171" s="4" t="s">
        <v>578</v>
      </c>
      <c r="B4171" s="0" t="s">
        <v>234</v>
      </c>
      <c r="C4171" s="30" t="n">
        <f aca="false">a25_opx</f>
        <v>63.437</v>
      </c>
      <c r="D4171" s="30" t="n">
        <f aca="false">a26_opx</f>
        <v>79.658</v>
      </c>
      <c r="E4171" s="30" t="n">
        <f aca="false">D4171*(1+phi*E4157)</f>
        <v>91.8757496806646</v>
      </c>
      <c r="F4171" s="30" t="n">
        <f aca="false">E4171*(1+phi*F4157)</f>
        <v>94.6975451917859</v>
      </c>
      <c r="G4171" s="30" t="n">
        <f aca="false">F4171*(1+phi*G4157)</f>
        <v>101.505194166584</v>
      </c>
    </row>
    <row r="4172" customFormat="false" ht="15" hidden="false" customHeight="false" outlineLevel="0" collapsed="false">
      <c r="A4172" s="4" t="s">
        <v>455</v>
      </c>
      <c r="B4172" s="0" t="s">
        <v>234</v>
      </c>
      <c r="C4172" s="30" t="n">
        <f aca="false">C4169-C4171</f>
        <v>50.756</v>
      </c>
      <c r="D4172" s="30" t="n">
        <f aca="false">D4169-D4171</f>
        <v>111.022245860986</v>
      </c>
      <c r="E4172" s="30" t="n">
        <f aca="false">E4169-E4171</f>
        <v>182.482826906602</v>
      </c>
      <c r="F4172" s="30" t="n">
        <f aca="false">F4169-F4171</f>
        <v>168.761981625001</v>
      </c>
      <c r="G4172" s="30" t="n">
        <f aca="false">G4169-G4171</f>
        <v>213.100202604237</v>
      </c>
    </row>
    <row r="4173" customFormat="false" ht="15" hidden="false" customHeight="false" outlineLevel="0" collapsed="false">
      <c r="A4173" s="4" t="s">
        <v>537</v>
      </c>
      <c r="B4173" s="0" t="s">
        <v>76</v>
      </c>
      <c r="C4173" s="14" t="n">
        <f aca="false">C4172/C4156</f>
        <v>0.0786441644406156</v>
      </c>
      <c r="D4173" s="14" t="n">
        <f aca="false">D4172/D4156</f>
        <v>0.127440779020437</v>
      </c>
      <c r="E4173" s="14" t="n">
        <f aca="false">E4172/E4156</f>
        <v>0.166824172544463</v>
      </c>
      <c r="F4173" s="14" t="n">
        <f aca="false">F4172/F4156</f>
        <v>0.146767854747803</v>
      </c>
      <c r="G4173" s="14" t="n">
        <f aca="false">G4172/G4156</f>
        <v>0.165498606397644</v>
      </c>
    </row>
    <row r="4174" customFormat="false" ht="15" hidden="false" customHeight="false" outlineLevel="0" collapsed="false">
      <c r="A4174" s="4" t="s">
        <v>456</v>
      </c>
      <c r="B4174" s="0" t="s">
        <v>234</v>
      </c>
      <c r="C4174" s="30" t="n">
        <f aca="false">a25_nonop</f>
        <v>0.545</v>
      </c>
      <c r="D4174" s="30" t="n">
        <f aca="false">a26_nonop</f>
        <v>4.302</v>
      </c>
      <c r="E4174" s="30" t="n">
        <f aca="false">nonop_f</f>
        <v>-5</v>
      </c>
      <c r="F4174" s="30" t="n">
        <f aca="false">nonop_f</f>
        <v>-5</v>
      </c>
      <c r="G4174" s="30" t="n">
        <f aca="false">nonop_f</f>
        <v>-5</v>
      </c>
    </row>
    <row r="4175" customFormat="false" ht="15" hidden="false" customHeight="false" outlineLevel="0" collapsed="false">
      <c r="A4175" s="4" t="s">
        <v>459</v>
      </c>
      <c r="B4175" s="0" t="s">
        <v>234</v>
      </c>
      <c r="C4175" s="30" t="n">
        <f aca="false">C4172+C4174</f>
        <v>51.301</v>
      </c>
      <c r="D4175" s="30" t="n">
        <f aca="false">D4172+D4174</f>
        <v>115.324245860986</v>
      </c>
      <c r="E4175" s="30" t="n">
        <f aca="false">E4172+E4174</f>
        <v>177.482826906602</v>
      </c>
      <c r="F4175" s="30" t="n">
        <f aca="false">F4172+F4174</f>
        <v>163.761981625001</v>
      </c>
      <c r="G4175" s="30" t="n">
        <f aca="false">G4172+G4174</f>
        <v>208.100202604237</v>
      </c>
    </row>
    <row r="4176" customFormat="false" ht="15" hidden="false" customHeight="false" outlineLevel="0" collapsed="false">
      <c r="A4176" s="4" t="s">
        <v>460</v>
      </c>
      <c r="B4176" s="0" t="s">
        <v>234</v>
      </c>
      <c r="C4176" s="30" t="n">
        <f aca="false">a25_tax</f>
        <v>9.461</v>
      </c>
      <c r="D4176" s="30" t="n">
        <f aca="false">a26_tax</f>
        <v>19.2197317963676</v>
      </c>
      <c r="E4176" s="30" t="n">
        <f aca="false">E4175*tax</f>
        <v>30.1720805741224</v>
      </c>
      <c r="F4176" s="30" t="n">
        <f aca="false">F4175*tax</f>
        <v>27.8395368762503</v>
      </c>
      <c r="G4176" s="30" t="n">
        <f aca="false">G4175*tax</f>
        <v>35.3770344427202</v>
      </c>
    </row>
    <row r="4177" customFormat="false" ht="15" hidden="false" customHeight="false" outlineLevel="0" collapsed="false">
      <c r="A4177" s="4" t="s">
        <v>461</v>
      </c>
      <c r="B4177" s="0" t="s">
        <v>234</v>
      </c>
      <c r="C4177" s="30" t="n">
        <f aca="false">a25_nci</f>
        <v>1.182</v>
      </c>
      <c r="D4177" s="30" t="n">
        <f aca="false">a26_nci</f>
        <v>2.543</v>
      </c>
      <c r="E4177" s="30" t="n">
        <f aca="false">nci</f>
        <v>3</v>
      </c>
      <c r="F4177" s="30" t="n">
        <f aca="false">nci</f>
        <v>3</v>
      </c>
      <c r="G4177" s="30" t="n">
        <f aca="false">nci</f>
        <v>3</v>
      </c>
    </row>
    <row r="4178" customFormat="false" ht="15" hidden="false" customHeight="false" outlineLevel="0" collapsed="false">
      <c r="A4178" s="4" t="s">
        <v>462</v>
      </c>
      <c r="B4178" s="0" t="s">
        <v>234</v>
      </c>
      <c r="C4178" s="30" t="n">
        <f aca="false">C4175-C4176-C4177</f>
        <v>40.658</v>
      </c>
      <c r="D4178" s="30" t="n">
        <f aca="false">D4175-D4176-D4177</f>
        <v>93.5615140646185</v>
      </c>
      <c r="E4178" s="30" t="n">
        <f aca="false">E4175-E4176-E4177</f>
        <v>144.31074633248</v>
      </c>
      <c r="F4178" s="30" t="n">
        <f aca="false">F4175-F4176-F4177</f>
        <v>132.922444748751</v>
      </c>
      <c r="G4178" s="30" t="n">
        <f aca="false">G4175-G4176-G4177</f>
        <v>169.723168161516</v>
      </c>
      <c r="H4178" s="31" t="n">
        <f aca="false">H4156*H4182</f>
        <v>169.80256335358</v>
      </c>
      <c r="I4178" s="31" t="n">
        <f aca="false">I4156*I4182</f>
        <v>164.323442376097</v>
      </c>
      <c r="J4178" s="31" t="n">
        <f aca="false">J4156*J4182</f>
        <v>153.436071648244</v>
      </c>
    </row>
    <row r="4179" customFormat="false" ht="15" hidden="false" customHeight="false" outlineLevel="0" collapsed="false">
      <c r="A4179" s="4" t="s">
        <v>579</v>
      </c>
      <c r="B4179" s="4" t="s">
        <v>580</v>
      </c>
      <c r="C4179" s="18" t="n">
        <f aca="false">a25_sh</f>
        <v>4339.16755602988</v>
      </c>
      <c r="D4179" s="18" t="n">
        <f aca="false">a26_sh</f>
        <v>4392.90105184664</v>
      </c>
      <c r="E4179" s="18" t="n">
        <f aca="false">D4179*(1+sh_g)</f>
        <v>4414.86555710588</v>
      </c>
      <c r="F4179" s="18" t="n">
        <f aca="false">E4179*(1+sh_g)</f>
        <v>4436.9398848914</v>
      </c>
      <c r="G4179" s="18" t="n">
        <f aca="false">F4179*(1+sh_g)</f>
        <v>4459.12458431586</v>
      </c>
      <c r="H4179" s="25" t="n">
        <f aca="false">G4179*(1+sh_g)</f>
        <v>4481.42020723744</v>
      </c>
      <c r="I4179" s="25" t="n">
        <f aca="false">H4179*(1+sh_g)</f>
        <v>4503.82730827363</v>
      </c>
      <c r="J4179" s="25" t="n">
        <f aca="false">I4179*(1+sh_g)</f>
        <v>4526.34644481499</v>
      </c>
    </row>
    <row r="4180" customFormat="false" ht="17.15" hidden="false" customHeight="false" outlineLevel="0" collapsed="false">
      <c r="A4180" s="0" t="s">
        <v>465</v>
      </c>
      <c r="B4180" s="0" t="s">
        <v>304</v>
      </c>
      <c r="C4180" s="19" t="n">
        <f aca="false">a25_eps</f>
        <v>9.37</v>
      </c>
      <c r="D4180" s="19" t="n">
        <f aca="false">a26_eps</f>
        <v>21.2828697294455</v>
      </c>
      <c r="E4180" s="19" t="n">
        <f aca="false">E4178/E4179*1000</f>
        <v>32.6874611391523</v>
      </c>
      <c r="F4180" s="19" t="n">
        <f aca="false">F4178/F4179*1000</f>
        <v>29.958135155578</v>
      </c>
      <c r="G4180" s="19" t="n">
        <f aca="false">G4178/G4179*1000</f>
        <v>38.0619928760201</v>
      </c>
      <c r="H4180" s="28" t="n">
        <f aca="false">H4178/H4179*1000</f>
        <v>37.8903462521437</v>
      </c>
      <c r="I4180" s="28" t="n">
        <f aca="false">I4178/I4179*1000</f>
        <v>36.4852893169841</v>
      </c>
      <c r="J4180" s="28" t="n">
        <f aca="false">J4178/J4179*1000</f>
        <v>33.8984374083887</v>
      </c>
    </row>
    <row r="4181" customFormat="false" ht="17.15" hidden="false" customHeight="false" outlineLevel="0" collapsed="false">
      <c r="A4181" s="0" t="s">
        <v>581</v>
      </c>
      <c r="B4181" s="0" t="s">
        <v>76</v>
      </c>
      <c r="D4181" s="21" t="n">
        <f aca="false">D4180/C4180-1</f>
        <v>1.27138417603474</v>
      </c>
      <c r="E4181" s="21" t="n">
        <f aca="false">E4180/D4180-1</f>
        <v>0.535857783968301</v>
      </c>
      <c r="F4181" s="21" t="n">
        <f aca="false">F4180/E4180-1</f>
        <v>-0.0834976436975451</v>
      </c>
      <c r="G4181" s="21" t="n">
        <f aca="false">G4180/F4180-1</f>
        <v>0.270506080513936</v>
      </c>
      <c r="H4181" s="26" t="n">
        <f aca="false">H4180/G4180-1</f>
        <v>-0.00450965939790582</v>
      </c>
      <c r="I4181" s="26" t="n">
        <f aca="false">I4180/H4180-1</f>
        <v>-0.0370821877902522</v>
      </c>
      <c r="J4181" s="26" t="n">
        <f aca="false">J4180/I4180-1</f>
        <v>-0.0709012305239184</v>
      </c>
    </row>
    <row r="4182" customFormat="false" ht="17.15" hidden="false" customHeight="false" outlineLevel="0" collapsed="false">
      <c r="A4182" s="4" t="s">
        <v>582</v>
      </c>
      <c r="B4182" s="0" t="s">
        <v>76</v>
      </c>
      <c r="C4182" s="14" t="n">
        <f aca="false">C4178/C4156</f>
        <v>0.0629977625862272</v>
      </c>
      <c r="D4182" s="14" t="n">
        <f aca="false">D4178/D4156</f>
        <v>0.107397865592237</v>
      </c>
      <c r="E4182" s="14" t="n">
        <f aca="false">E4178/E4156</f>
        <v>0.131927596992519</v>
      </c>
      <c r="F4182" s="14" t="n">
        <f aca="false">F4178/F4156</f>
        <v>0.115599152580213</v>
      </c>
      <c r="G4182" s="14" t="n">
        <f aca="false">G4178/G4156</f>
        <v>0.131810985915813</v>
      </c>
      <c r="H4182" s="27" t="n">
        <f aca="false">$G4182+(fade_mB-$G4182)*1/3</f>
        <v>0.12062891396796</v>
      </c>
      <c r="I4182" s="27" t="n">
        <f aca="false">$G4182+(fade_mB-$G4182)*2/3</f>
        <v>0.109446842020107</v>
      </c>
      <c r="J4182" s="27" t="n">
        <f aca="false">$G4182+(fade_mB-$G4182)*3/3</f>
        <v>0.0982647700722541</v>
      </c>
    </row>
    <row r="4183" customFormat="false" ht="17.15" hidden="false" customHeight="false" outlineLevel="0" collapsed="false">
      <c r="A4183" s="4" t="s">
        <v>583</v>
      </c>
      <c r="B4183" s="0" t="s">
        <v>234</v>
      </c>
      <c r="C4183" s="30" t="n">
        <f aca="false">C4178+C4164-C4162</f>
        <v>-54.587</v>
      </c>
      <c r="D4183" s="30" t="n">
        <f aca="false">D4178+D4164-D4162</f>
        <v>-176.164485935382</v>
      </c>
      <c r="E4183" s="30" t="n">
        <f aca="false">E4178+E4164-E4162</f>
        <v>-140.84950366752</v>
      </c>
      <c r="F4183" s="30" t="n">
        <f aca="false">F4178+F4164-F4162</f>
        <v>-45.5497441395505</v>
      </c>
      <c r="G4183" s="30" t="n">
        <f aca="false">G4178+G4164-G4162</f>
        <v>-27.7706349085119</v>
      </c>
      <c r="K4183" s="4" t="s">
        <v>584</v>
      </c>
    </row>
    <row r="4184" customFormat="false" ht="17.15" hidden="false" customHeight="false" outlineLevel="0" collapsed="false">
      <c r="A4184" s="4" t="s">
        <v>585</v>
      </c>
      <c r="B4184" s="0" t="s">
        <v>76</v>
      </c>
      <c r="D4184" s="21" t="n">
        <f aca="false">(D4172-$C4172)/SUM($D4162:D4162)</f>
        <v>0.164280348537512</v>
      </c>
      <c r="E4184" s="21" t="n">
        <f aca="false">(E4172-$C4172)/SUM($D4162:E4162)</f>
        <v>0.16826573022495</v>
      </c>
      <c r="F4184" s="21" t="n">
        <f aca="false">(F4172-$C4172)/SUM($D4162:F4162)</f>
        <v>0.10463313736262</v>
      </c>
      <c r="G4184" s="21" t="n">
        <f aca="false">(G4172-$C4172)/SUM($D4162:G4162)</f>
        <v>0.107221969456652</v>
      </c>
      <c r="K4184" s="4" t="s">
        <v>586</v>
      </c>
    </row>
    <row r="4187" customFormat="false" ht="17.15" hidden="false" customHeight="false" outlineLevel="0" collapsed="false">
      <c r="A4187" s="1" t="s">
        <v>999</v>
      </c>
    </row>
    <row r="4188" customFormat="false" ht="17.15" hidden="false" customHeight="false" outlineLevel="0" collapsed="false">
      <c r="A4188" s="5" t="s">
        <v>21</v>
      </c>
      <c r="B4188" s="5" t="s">
        <v>22</v>
      </c>
      <c r="C4188" s="15" t="s">
        <v>424</v>
      </c>
      <c r="D4188" s="15" t="s">
        <v>524</v>
      </c>
      <c r="E4188" s="15" t="s">
        <v>525</v>
      </c>
      <c r="F4188" s="15" t="s">
        <v>526</v>
      </c>
      <c r="G4188" s="15" t="s">
        <v>527</v>
      </c>
      <c r="H4188" s="15" t="s">
        <v>528</v>
      </c>
      <c r="I4188" s="15" t="s">
        <v>529</v>
      </c>
      <c r="J4188" s="15" t="s">
        <v>530</v>
      </c>
      <c r="K4188" s="5" t="s">
        <v>382</v>
      </c>
    </row>
    <row r="4189" customFormat="false" ht="17.15" hidden="false" customHeight="false" outlineLevel="0" collapsed="false">
      <c r="A4189" s="6" t="s">
        <v>548</v>
      </c>
    </row>
    <row r="4190" customFormat="false" ht="17.15" hidden="false" customHeight="false" outlineLevel="0" collapsed="false">
      <c r="A4190" s="0" t="s">
        <v>549</v>
      </c>
      <c r="B4190" s="4" t="s">
        <v>32</v>
      </c>
      <c r="D4190" s="19" t="n">
        <f aca="false">units_26</f>
        <v>15.2</v>
      </c>
      <c r="E4190" s="19" t="n">
        <f aca="false">units_27*1</f>
        <v>23.7</v>
      </c>
      <c r="F4190" s="19" t="n">
        <f aca="false">units_28*um28_C*1</f>
        <v>15.9</v>
      </c>
      <c r="G4190" s="19" t="n">
        <f aca="false">units_29*um29_C*1</f>
        <v>18.09</v>
      </c>
    </row>
    <row r="4191" customFormat="false" ht="17.15" hidden="false" customHeight="false" outlineLevel="0" collapsed="false">
      <c r="A4191" s="4" t="s">
        <v>497</v>
      </c>
      <c r="B4191" s="0" t="s">
        <v>45</v>
      </c>
      <c r="D4191" s="22" t="n">
        <f aca="false">ar_26</f>
        <v>1</v>
      </c>
      <c r="E4191" s="22" t="n">
        <f aca="false">ar_27</f>
        <v>1.278156</v>
      </c>
      <c r="F4191" s="22" t="n">
        <f aca="false">ar_28</f>
        <v>1.428615</v>
      </c>
      <c r="G4191" s="22" t="n">
        <f aca="false">ar_29</f>
        <v>1.431796</v>
      </c>
    </row>
    <row r="4192" customFormat="false" ht="17.15" hidden="false" customHeight="false" outlineLevel="0" collapsed="false">
      <c r="A4192" s="4" t="s">
        <v>550</v>
      </c>
      <c r="B4192" s="0" t="s">
        <v>45</v>
      </c>
      <c r="D4192" s="19" t="n">
        <f aca="false">1</f>
        <v>1</v>
      </c>
      <c r="E4192" s="19" t="n">
        <f aca="false">rel27_C</f>
        <v>1</v>
      </c>
      <c r="F4192" s="19" t="n">
        <f aca="false">rel28_C</f>
        <v>0.95</v>
      </c>
      <c r="G4192" s="19" t="n">
        <f aca="false">rel29_C</f>
        <v>0.92</v>
      </c>
    </row>
    <row r="4193" customFormat="false" ht="17.15" hidden="false" customHeight="false" outlineLevel="0" collapsed="false">
      <c r="A4193" s="4" t="s">
        <v>551</v>
      </c>
      <c r="B4193" s="0" t="s">
        <v>502</v>
      </c>
      <c r="D4193" s="23" t="n">
        <f aca="false">D4194*1000/D4190</f>
        <v>236.842105263158</v>
      </c>
      <c r="E4193" s="23" t="n">
        <f aca="false">$D4193*E4191^el</f>
        <v>267.763172119488</v>
      </c>
      <c r="F4193" s="23" t="n">
        <f aca="false">$D4193*F4191^el</f>
        <v>283.084777049615</v>
      </c>
      <c r="G4193" s="23" t="n">
        <f aca="false">$D4193*G4191^el</f>
        <v>283.399764630809</v>
      </c>
      <c r="K4193" s="8" t="s">
        <v>552</v>
      </c>
    </row>
    <row r="4194" customFormat="false" ht="17.15" hidden="false" customHeight="false" outlineLevel="0" collapsed="false">
      <c r="A4194" s="0" t="s">
        <v>553</v>
      </c>
      <c r="B4194" s="0" t="s">
        <v>120</v>
      </c>
      <c r="D4194" s="22" t="n">
        <f aca="false">leap26-D4195-D4196</f>
        <v>3.6</v>
      </c>
      <c r="E4194" s="22" t="n">
        <f aca="false">E4190*E4192*E4193/1000</f>
        <v>6.34598717923185</v>
      </c>
      <c r="F4194" s="22" t="n">
        <f aca="false">F4190*F4192*F4193/1000</f>
        <v>4.27599555733443</v>
      </c>
      <c r="G4194" s="22" t="n">
        <f aca="false">G4190*G4192*G4193/1000</f>
        <v>4.71656560279762</v>
      </c>
      <c r="K4194" s="8" t="s">
        <v>554</v>
      </c>
    </row>
    <row r="4195" customFormat="false" ht="17.15" hidden="false" customHeight="false" outlineLevel="0" collapsed="false">
      <c r="A4195" s="4" t="s">
        <v>555</v>
      </c>
      <c r="B4195" s="0" t="s">
        <v>120</v>
      </c>
      <c r="D4195" s="22" t="n">
        <f aca="false">fp26</f>
        <v>0.3</v>
      </c>
      <c r="E4195" s="22" t="n">
        <f aca="false">fp27_C</f>
        <v>0.7</v>
      </c>
      <c r="F4195" s="22" t="n">
        <f aca="false">E4195*F4190/E4190*(1+fp_g)</f>
        <v>0.610506329113924</v>
      </c>
      <c r="G4195" s="22" t="n">
        <f aca="false">F4195*G4190/F4190*(1+fp_g)</f>
        <v>0.902973417721519</v>
      </c>
    </row>
    <row r="4196" customFormat="false" ht="17.15" hidden="false" customHeight="false" outlineLevel="0" collapsed="false">
      <c r="A4196" s="0" t="s">
        <v>556</v>
      </c>
      <c r="B4196" s="0" t="s">
        <v>120</v>
      </c>
      <c r="D4196" s="22" t="n">
        <f aca="false">cpo27*cpo_C_26/cpo_A_27</f>
        <v>0.1</v>
      </c>
      <c r="E4196" s="22" t="n">
        <f aca="false">cpo27*cpo_C_27/cpo_A_27</f>
        <v>0.2</v>
      </c>
      <c r="F4196" s="22" t="n">
        <f aca="false">cpo27*cpo_C_28/cpo_A_27*F4190/E4190</f>
        <v>0.20126582278481</v>
      </c>
      <c r="G4196" s="22" t="n">
        <f aca="false">cpo27*cpo_C_29/cpo_A_27*G4190/E4190</f>
        <v>0.381645569620253</v>
      </c>
      <c r="K4196" s="8" t="s">
        <v>557</v>
      </c>
    </row>
    <row r="4197" customFormat="false" ht="17.15" hidden="false" customHeight="false" outlineLevel="0" collapsed="false">
      <c r="A4197" s="0" t="s">
        <v>510</v>
      </c>
      <c r="B4197" s="0" t="s">
        <v>120</v>
      </c>
      <c r="C4197" s="22" t="n">
        <f aca="false">leap25</f>
        <v>1.6</v>
      </c>
      <c r="D4197" s="22" t="n">
        <f aca="false">D4194+D4195+D4196</f>
        <v>4</v>
      </c>
      <c r="E4197" s="22" t="n">
        <f aca="false">E4194+E4195+E4196</f>
        <v>7.24598717923186</v>
      </c>
      <c r="F4197" s="22" t="n">
        <f aca="false">F4194+F4195+F4196</f>
        <v>5.08776770923316</v>
      </c>
      <c r="G4197" s="22" t="n">
        <f aca="false">G4194+G4195+G4196</f>
        <v>6.0011845901394</v>
      </c>
    </row>
    <row r="4198" customFormat="false" ht="17.15" hidden="false" customHeight="false" outlineLevel="0" collapsed="false">
      <c r="A4198" s="4" t="s">
        <v>558</v>
      </c>
      <c r="B4198" s="0" t="s">
        <v>114</v>
      </c>
      <c r="C4198" s="19" t="n">
        <f aca="false">fx25</f>
        <v>31</v>
      </c>
      <c r="D4198" s="19" t="n">
        <f aca="false">a26_leap/D4197</f>
        <v>31.9</v>
      </c>
      <c r="E4198" s="19" t="n">
        <f aca="false">fx</f>
        <v>32</v>
      </c>
      <c r="F4198" s="19" t="n">
        <f aca="false">fx</f>
        <v>32</v>
      </c>
      <c r="G4198" s="19" t="n">
        <f aca="false">fx</f>
        <v>32</v>
      </c>
      <c r="K4198" s="8" t="s">
        <v>559</v>
      </c>
    </row>
    <row r="4199" customFormat="false" ht="17.15" hidden="false" customHeight="false" outlineLevel="0" collapsed="false">
      <c r="A4199" s="6" t="s">
        <v>560</v>
      </c>
    </row>
    <row r="4200" customFormat="false" ht="17.15" hidden="false" customHeight="false" outlineLevel="0" collapsed="false">
      <c r="A4200" s="0" t="s">
        <v>438</v>
      </c>
      <c r="B4200" s="0" t="s">
        <v>234</v>
      </c>
      <c r="C4200" s="30" t="n">
        <f aca="false">a25_leap</f>
        <v>49.6</v>
      </c>
      <c r="D4200" s="30" t="n">
        <f aca="false">a26_leap</f>
        <v>127.6</v>
      </c>
      <c r="E4200" s="30" t="n">
        <f aca="false">E4197*E4198</f>
        <v>231.871589735419</v>
      </c>
      <c r="F4200" s="30" t="n">
        <f aca="false">F4197*F4198</f>
        <v>162.808566695461</v>
      </c>
      <c r="G4200" s="30" t="n">
        <f aca="false">G4197*G4198</f>
        <v>192.037906884461</v>
      </c>
    </row>
    <row r="4201" customFormat="false" ht="15" hidden="false" customHeight="false" outlineLevel="0" collapsed="false">
      <c r="A4201" s="4" t="s">
        <v>561</v>
      </c>
      <c r="B4201" s="0" t="s">
        <v>234</v>
      </c>
      <c r="C4201" s="30" t="n">
        <f aca="false">a25_ms</f>
        <v>339.628</v>
      </c>
      <c r="D4201" s="30" t="n">
        <f aca="false">a26_ms</f>
        <v>432.1302</v>
      </c>
      <c r="E4201" s="30" t="n">
        <f aca="false">D4201*(1+g_ms27)</f>
        <v>496.94973</v>
      </c>
      <c r="F4201" s="30" t="n">
        <f aca="false">E4201*(1+g_msL)</f>
        <v>531.7362111</v>
      </c>
      <c r="G4201" s="30" t="n">
        <f aca="false">F4201*(1+g_msL)</f>
        <v>568.957745877</v>
      </c>
    </row>
    <row r="4202" customFormat="false" ht="17.15" hidden="false" customHeight="false" outlineLevel="0" collapsed="false">
      <c r="A4202" s="4" t="s">
        <v>562</v>
      </c>
      <c r="B4202" s="0" t="s">
        <v>234</v>
      </c>
      <c r="C4202" s="30" t="n">
        <f aca="false">C4200+C4201</f>
        <v>389.228</v>
      </c>
      <c r="D4202" s="30" t="n">
        <f aca="false">D4200+D4201</f>
        <v>559.7302</v>
      </c>
      <c r="E4202" s="30" t="n">
        <f aca="false">E4200+E4201</f>
        <v>728.821319735419</v>
      </c>
      <c r="F4202" s="30" t="n">
        <f aca="false">F4200+F4201</f>
        <v>694.544777795461</v>
      </c>
      <c r="G4202" s="30" t="n">
        <f aca="false">G4200+G4201</f>
        <v>760.995652761461</v>
      </c>
    </row>
    <row r="4203" customFormat="false" ht="17.15" hidden="false" customHeight="false" outlineLevel="0" collapsed="false">
      <c r="A4203" s="0" t="s">
        <v>563</v>
      </c>
      <c r="B4203" s="0" t="s">
        <v>234</v>
      </c>
      <c r="C4203" s="30" t="n">
        <f aca="false">a25_ems</f>
        <v>259.079</v>
      </c>
      <c r="D4203" s="30" t="n">
        <f aca="false">a26_ems</f>
        <v>314.602</v>
      </c>
      <c r="E4203" s="30" t="n">
        <f aca="false">D4203*(1+g_ems27)</f>
        <v>346.0622</v>
      </c>
      <c r="F4203" s="30" t="n">
        <f aca="false">E4203*(1+g_emsL)</f>
        <v>363.36531</v>
      </c>
      <c r="G4203" s="30" t="n">
        <f aca="false">F4203*(1+g_emsL)</f>
        <v>381.5335755</v>
      </c>
    </row>
    <row r="4204" customFormat="false" ht="17.15" hidden="false" customHeight="false" outlineLevel="0" collapsed="false">
      <c r="A4204" s="4" t="s">
        <v>564</v>
      </c>
      <c r="B4204" s="0" t="s">
        <v>234</v>
      </c>
      <c r="C4204" s="30" t="n">
        <f aca="false">a25_elim</f>
        <v>-2.91899999999998</v>
      </c>
      <c r="D4204" s="30" t="n">
        <f aca="false">a26_elim</f>
        <v>-3.16484905982349</v>
      </c>
      <c r="E4204" s="30" t="n">
        <f aca="false">$D4204/($D4202+$D4203)*(E4202+E4203)</f>
        <v>-3.89079127687897</v>
      </c>
      <c r="F4204" s="30" t="n">
        <f aca="false">$D4204/($D4202+$D4203)*(F4202+F4203)</f>
        <v>-3.8293519862785</v>
      </c>
      <c r="G4204" s="30" t="n">
        <f aca="false">$D4204/($D4202+$D4203)*(G4202+G4203)</f>
        <v>-4.135650675892</v>
      </c>
      <c r="K4204" s="4" t="s">
        <v>565</v>
      </c>
    </row>
    <row r="4205" customFormat="false" ht="17.15" hidden="false" customHeight="false" outlineLevel="0" collapsed="false">
      <c r="A4205" s="4" t="s">
        <v>431</v>
      </c>
      <c r="B4205" s="0" t="s">
        <v>234</v>
      </c>
      <c r="C4205" s="30" t="n">
        <f aca="false">C4202+C4203+C4204</f>
        <v>645.388</v>
      </c>
      <c r="D4205" s="30" t="n">
        <f aca="false">D4202+D4203+D4204</f>
        <v>871.167350940177</v>
      </c>
      <c r="E4205" s="30" t="n">
        <f aca="false">E4202+E4203+E4204</f>
        <v>1070.99272845854</v>
      </c>
      <c r="F4205" s="30" t="n">
        <f aca="false">F4202+F4203+F4204</f>
        <v>1054.08073580918</v>
      </c>
      <c r="G4205" s="30" t="n">
        <f aca="false">G4202+G4203+G4204</f>
        <v>1138.39357758557</v>
      </c>
      <c r="H4205" s="31" t="n">
        <f aca="false">G4205*(1+H4206)</f>
        <v>1206.68738805437</v>
      </c>
      <c r="I4205" s="31" t="n">
        <f aca="false">H4205*(1+I4206)</f>
        <v>1254.9496874</v>
      </c>
      <c r="J4205" s="31" t="n">
        <f aca="false">I4205*(1+J4206)</f>
        <v>1280.048681148</v>
      </c>
      <c r="K4205" s="8" t="s">
        <v>566</v>
      </c>
    </row>
    <row r="4206" customFormat="false" ht="15" hidden="false" customHeight="false" outlineLevel="0" collapsed="false">
      <c r="A4206" s="4" t="s">
        <v>567</v>
      </c>
      <c r="B4206" s="0" t="s">
        <v>76</v>
      </c>
      <c r="D4206" s="21" t="n">
        <f aca="false">D4205/C4205-1</f>
        <v>0.349835061916516</v>
      </c>
      <c r="E4206" s="21" t="n">
        <f aca="false">E4205/D4205-1</f>
        <v>0.229376568466104</v>
      </c>
      <c r="F4206" s="21" t="n">
        <f aca="false">F4205/E4205-1</f>
        <v>-0.0157909500223209</v>
      </c>
      <c r="G4206" s="21" t="n">
        <f aca="false">G4205/F4205-1</f>
        <v>0.079987081550885</v>
      </c>
      <c r="H4206" s="26" t="n">
        <f aca="false">$G4206+(fade_gC-$G4206)*1/3</f>
        <v>0.05999138770059</v>
      </c>
      <c r="I4206" s="26" t="n">
        <f aca="false">$G4206+(fade_gC-$G4206)*2/3</f>
        <v>0.039995693850295</v>
      </c>
      <c r="J4206" s="26" t="n">
        <f aca="false">$G4206+(fade_gC-$G4206)*3/3</f>
        <v>0.02</v>
      </c>
    </row>
    <row r="4207" customFormat="false" ht="17.15" hidden="false" customHeight="false" outlineLevel="0" collapsed="false">
      <c r="A4207" s="0" t="s">
        <v>475</v>
      </c>
      <c r="B4207" s="0" t="s">
        <v>76</v>
      </c>
      <c r="C4207" s="21" t="n">
        <f aca="false">C4200/C4202</f>
        <v>0.127431736668482</v>
      </c>
      <c r="D4207" s="21" t="n">
        <f aca="false">D4200/D4202</f>
        <v>0.227966974088588</v>
      </c>
      <c r="E4207" s="21" t="n">
        <f aca="false">E4200/E4202</f>
        <v>0.31814600294568</v>
      </c>
      <c r="F4207" s="21" t="n">
        <f aca="false">F4200/F4202</f>
        <v>0.234410468411019</v>
      </c>
      <c r="G4207" s="21" t="n">
        <f aca="false">G4200/G4202</f>
        <v>0.252350859282315</v>
      </c>
    </row>
    <row r="4208" customFormat="false" ht="15" hidden="false" customHeight="false" outlineLevel="0" collapsed="false">
      <c r="A4208" s="4" t="s">
        <v>568</v>
      </c>
      <c r="B4208" s="0" t="s">
        <v>76</v>
      </c>
      <c r="D4208" s="21" t="n">
        <f aca="false">D4202/C4202-1</f>
        <v>0.438052247012034</v>
      </c>
      <c r="E4208" s="21" t="n">
        <f aca="false">E4202/D4202-1</f>
        <v>0.302093972659362</v>
      </c>
      <c r="F4208" s="21" t="n">
        <f aca="false">F4202/E4202-1</f>
        <v>-0.047030103280186</v>
      </c>
      <c r="G4208" s="21" t="n">
        <f aca="false">G4202/F4202-1</f>
        <v>0.0956754367614998</v>
      </c>
    </row>
    <row r="4209" customFormat="false" ht="17.15" hidden="false" customHeight="false" outlineLevel="0" collapsed="false">
      <c r="A4209" s="6" t="s">
        <v>569</v>
      </c>
    </row>
    <row r="4210" customFormat="false" ht="17.15" hidden="false" customHeight="false" outlineLevel="0" collapsed="false">
      <c r="A4210" s="4" t="s">
        <v>570</v>
      </c>
      <c r="B4210" s="0" t="s">
        <v>120</v>
      </c>
      <c r="C4210" s="19" t="n">
        <f aca="false">capex25</f>
        <v>5.5</v>
      </c>
      <c r="D4210" s="19" t="n">
        <f aca="false">capex26</f>
        <v>11.5</v>
      </c>
      <c r="E4210" s="19" t="n">
        <f aca="false">capex27</f>
        <v>13</v>
      </c>
      <c r="F4210" s="19" t="n">
        <f aca="false">capi*F4205/F4198</f>
        <v>9.88200689821109</v>
      </c>
      <c r="G4210" s="19" t="n">
        <f aca="false">capi*G4205/G4198</f>
        <v>10.6724397898647</v>
      </c>
      <c r="K4210" s="8" t="s">
        <v>571</v>
      </c>
    </row>
    <row r="4211" customFormat="false" ht="15" hidden="false" customHeight="false" outlineLevel="0" collapsed="false">
      <c r="A4211" s="4" t="s">
        <v>572</v>
      </c>
      <c r="B4211" s="0" t="s">
        <v>234</v>
      </c>
      <c r="C4211" s="30" t="n">
        <f aca="false">C4210*C4198</f>
        <v>170.5</v>
      </c>
      <c r="D4211" s="30" t="n">
        <f aca="false">D4210*31.9</f>
        <v>366.85</v>
      </c>
      <c r="E4211" s="30" t="n">
        <f aca="false">E4210*E4198</f>
        <v>416</v>
      </c>
      <c r="F4211" s="30" t="n">
        <f aca="false">F4210*F4198</f>
        <v>316.224220742755</v>
      </c>
      <c r="G4211" s="30" t="n">
        <f aca="false">G4210*G4198</f>
        <v>341.518073275671</v>
      </c>
    </row>
    <row r="4212" customFormat="false" ht="17.15" hidden="false" customHeight="false" outlineLevel="0" collapsed="false">
      <c r="A4212" s="4" t="s">
        <v>473</v>
      </c>
      <c r="B4212" s="0" t="s">
        <v>76</v>
      </c>
      <c r="C4212" s="21" t="n">
        <f aca="false">C4211/C4205</f>
        <v>0.264182166386732</v>
      </c>
      <c r="D4212" s="21" t="n">
        <f aca="false">D4211/D4205</f>
        <v>0.421101639775745</v>
      </c>
      <c r="E4212" s="21" t="n">
        <f aca="false">E4211/E4205</f>
        <v>0.388424672685445</v>
      </c>
      <c r="F4212" s="21" t="n">
        <f aca="false">F4211/F4205</f>
        <v>0.3</v>
      </c>
      <c r="G4212" s="21" t="n">
        <f aca="false">G4211/G4205</f>
        <v>0.3</v>
      </c>
    </row>
    <row r="4213" customFormat="false" ht="17.15" hidden="false" customHeight="false" outlineLevel="0" collapsed="false">
      <c r="A4213" s="4" t="s">
        <v>573</v>
      </c>
      <c r="B4213" s="0" t="s">
        <v>234</v>
      </c>
      <c r="C4213" s="30" t="n">
        <f aca="false">a25_da</f>
        <v>75.255</v>
      </c>
      <c r="D4213" s="30" t="n">
        <f aca="false">a26_da</f>
        <v>97.124</v>
      </c>
      <c r="E4213" s="30" t="n">
        <f aca="false">D4213*(1-1/life)+D4211/life</f>
        <v>130.83975</v>
      </c>
      <c r="F4213" s="30" t="n">
        <f aca="false">E4213*(1-1/life)+E4211/life</f>
        <v>166.48478125</v>
      </c>
      <c r="G4213" s="30" t="n">
        <f aca="false">F4213*(1-1/life)+F4211/life</f>
        <v>185.202211186594</v>
      </c>
      <c r="K4213" s="4" t="s">
        <v>574</v>
      </c>
    </row>
    <row r="4214" customFormat="false" ht="17.15" hidden="false" customHeight="false" outlineLevel="0" collapsed="false">
      <c r="A4214" s="4" t="s">
        <v>575</v>
      </c>
      <c r="B4214" s="0" t="s">
        <v>234</v>
      </c>
      <c r="C4214" s="30" t="n">
        <f aca="false">a25_agp</f>
        <v>91.38</v>
      </c>
      <c r="D4214" s="30" t="n">
        <f aca="false">a26_agp</f>
        <v>164.623388</v>
      </c>
      <c r="E4214" s="30" t="n">
        <f aca="false">$D4214+ft_hi*(E4202-$D4202)-(E4213-$D4213)</f>
        <v>232.362309841252</v>
      </c>
      <c r="F4214" s="30" t="n">
        <f aca="false">$D4214+ft_hi*(F4202-$D4202)-(F4213-$D4213)</f>
        <v>176.151353427277</v>
      </c>
      <c r="G4214" s="30" t="n">
        <f aca="false">$D4214+ft_hi*(G4202-$D4202)-(G4213-$D4213)</f>
        <v>197.304448470282</v>
      </c>
      <c r="K4214" s="4" t="s">
        <v>576</v>
      </c>
    </row>
    <row r="4215" customFormat="false" ht="15" hidden="false" customHeight="false" outlineLevel="0" collapsed="false">
      <c r="A4215" s="4" t="s">
        <v>447</v>
      </c>
      <c r="B4215" s="0" t="s">
        <v>76</v>
      </c>
      <c r="C4215" s="14" t="n">
        <f aca="false">C4214/C4202</f>
        <v>0.234772421305764</v>
      </c>
      <c r="D4215" s="14" t="n">
        <f aca="false">D4214/D4202</f>
        <v>0.294112034690999</v>
      </c>
      <c r="E4215" s="14" t="n">
        <f aca="false">E4214/E4202</f>
        <v>0.318819309409891</v>
      </c>
      <c r="F4215" s="14" t="n">
        <f aca="false">F4214/F4202</f>
        <v>0.253621305722569</v>
      </c>
      <c r="G4215" s="14" t="n">
        <f aca="false">G4214/G4202</f>
        <v>0.259271452805695</v>
      </c>
    </row>
    <row r="4216" customFormat="false" ht="17.15" hidden="false" customHeight="false" outlineLevel="0" collapsed="false">
      <c r="A4216" s="0" t="s">
        <v>449</v>
      </c>
      <c r="B4216" s="0" t="s">
        <v>234</v>
      </c>
      <c r="C4216" s="30" t="n">
        <f aca="false">a25_egp</f>
        <v>23.695</v>
      </c>
      <c r="D4216" s="30" t="n">
        <f aca="false">a26_egp</f>
        <v>27.00552</v>
      </c>
      <c r="E4216" s="30" t="n">
        <f aca="false">E4203*ems_gm</f>
        <v>29.415287</v>
      </c>
      <c r="F4216" s="30" t="n">
        <f aca="false">F4203*ems_gm</f>
        <v>30.88605135</v>
      </c>
      <c r="G4216" s="30" t="n">
        <f aca="false">G4203*ems_gm</f>
        <v>32.4303539175</v>
      </c>
    </row>
    <row r="4217" customFormat="false" ht="15" hidden="false" customHeight="false" outlineLevel="0" collapsed="false">
      <c r="A4217" s="4" t="s">
        <v>577</v>
      </c>
      <c r="B4217" s="0" t="s">
        <v>234</v>
      </c>
      <c r="C4217" s="30" t="n">
        <f aca="false">a25_lgp</f>
        <v>-0.881999999999998</v>
      </c>
      <c r="D4217" s="30" t="n">
        <f aca="false">a26_lgp</f>
        <v>-0.948662139013863</v>
      </c>
      <c r="E4217" s="30" t="n">
        <f aca="false">$D4217/$D4204*E4204</f>
        <v>-1.16626300509458</v>
      </c>
      <c r="F4217" s="30" t="n">
        <f aca="false">$D4217/$D4204*F4204</f>
        <v>-1.14784660426825</v>
      </c>
      <c r="G4217" s="30" t="n">
        <f aca="false">$D4217/$D4204*G4204</f>
        <v>-1.23965950421176</v>
      </c>
    </row>
    <row r="4218" customFormat="false" ht="15" hidden="false" customHeight="false" outlineLevel="0" collapsed="false">
      <c r="A4218" s="4" t="s">
        <v>451</v>
      </c>
      <c r="B4218" s="0" t="s">
        <v>234</v>
      </c>
      <c r="C4218" s="30" t="n">
        <f aca="false">C4214+C4216+C4217</f>
        <v>114.193</v>
      </c>
      <c r="D4218" s="30" t="n">
        <f aca="false">D4214+D4216+D4217</f>
        <v>190.680245860986</v>
      </c>
      <c r="E4218" s="30" t="n">
        <f aca="false">E4214+E4216+E4217</f>
        <v>260.611333836157</v>
      </c>
      <c r="F4218" s="30" t="n">
        <f aca="false">F4214+F4216+F4217</f>
        <v>205.889558173008</v>
      </c>
      <c r="G4218" s="30" t="n">
        <f aca="false">G4214+G4216+G4217</f>
        <v>228.49514288357</v>
      </c>
    </row>
    <row r="4219" customFormat="false" ht="15" hidden="false" customHeight="false" outlineLevel="0" collapsed="false">
      <c r="A4219" s="4" t="s">
        <v>452</v>
      </c>
      <c r="B4219" s="0" t="s">
        <v>76</v>
      </c>
      <c r="C4219" s="14" t="n">
        <f aca="false">C4218/C4205</f>
        <v>0.176936974347214</v>
      </c>
      <c r="D4219" s="14" t="n">
        <f aca="false">D4218/D4205</f>
        <v>0.218879008327391</v>
      </c>
      <c r="E4219" s="14" t="n">
        <f aca="false">E4218/E4205</f>
        <v>0.243336230873621</v>
      </c>
      <c r="F4219" s="14" t="n">
        <f aca="false">F4218/F4205</f>
        <v>0.195326174911027</v>
      </c>
      <c r="G4219" s="14" t="n">
        <f aca="false">G4218/G4205</f>
        <v>0.200717174958232</v>
      </c>
    </row>
    <row r="4220" customFormat="false" ht="15" hidden="false" customHeight="false" outlineLevel="0" collapsed="false">
      <c r="A4220" s="4" t="s">
        <v>578</v>
      </c>
      <c r="B4220" s="0" t="s">
        <v>234</v>
      </c>
      <c r="C4220" s="30" t="n">
        <f aca="false">a25_opx</f>
        <v>63.437</v>
      </c>
      <c r="D4220" s="30" t="n">
        <f aca="false">a26_opx</f>
        <v>79.658</v>
      </c>
      <c r="E4220" s="30" t="n">
        <f aca="false">D4220*(1+phi*E4206)</f>
        <v>90.6210072145237</v>
      </c>
      <c r="F4220" s="30" t="n">
        <f aca="false">E4220*(1+phi*F4206)</f>
        <v>89.7624121369856</v>
      </c>
      <c r="G4220" s="30" t="n">
        <f aca="false">F4220*(1+phi*G4206)</f>
        <v>94.0703121648687</v>
      </c>
    </row>
    <row r="4221" customFormat="false" ht="15" hidden="false" customHeight="false" outlineLevel="0" collapsed="false">
      <c r="A4221" s="4" t="s">
        <v>455</v>
      </c>
      <c r="B4221" s="0" t="s">
        <v>234</v>
      </c>
      <c r="C4221" s="30" t="n">
        <f aca="false">C4218-C4220</f>
        <v>50.756</v>
      </c>
      <c r="D4221" s="30" t="n">
        <f aca="false">D4218-D4220</f>
        <v>111.022245860986</v>
      </c>
      <c r="E4221" s="30" t="n">
        <f aca="false">E4218-E4220</f>
        <v>169.990326621633</v>
      </c>
      <c r="F4221" s="30" t="n">
        <f aca="false">F4218-F4220</f>
        <v>116.127146036023</v>
      </c>
      <c r="G4221" s="30" t="n">
        <f aca="false">G4218-G4220</f>
        <v>134.424830718702</v>
      </c>
    </row>
    <row r="4222" customFormat="false" ht="15" hidden="false" customHeight="false" outlineLevel="0" collapsed="false">
      <c r="A4222" s="4" t="s">
        <v>537</v>
      </c>
      <c r="B4222" s="0" t="s">
        <v>76</v>
      </c>
      <c r="C4222" s="14" t="n">
        <f aca="false">C4221/C4205</f>
        <v>0.0786441644406156</v>
      </c>
      <c r="D4222" s="14" t="n">
        <f aca="false">D4221/D4205</f>
        <v>0.127440779020437</v>
      </c>
      <c r="E4222" s="14" t="n">
        <f aca="false">E4221/E4205</f>
        <v>0.158722204273317</v>
      </c>
      <c r="F4222" s="14" t="n">
        <f aca="false">F4221/F4205</f>
        <v>0.110169119016179</v>
      </c>
      <c r="G4222" s="14" t="n">
        <f aca="false">G4221/G4205</f>
        <v>0.118082913823007</v>
      </c>
    </row>
    <row r="4223" customFormat="false" ht="15" hidden="false" customHeight="false" outlineLevel="0" collapsed="false">
      <c r="A4223" s="4" t="s">
        <v>456</v>
      </c>
      <c r="B4223" s="0" t="s">
        <v>234</v>
      </c>
      <c r="C4223" s="30" t="n">
        <f aca="false">a25_nonop</f>
        <v>0.545</v>
      </c>
      <c r="D4223" s="30" t="n">
        <f aca="false">a26_nonop</f>
        <v>4.302</v>
      </c>
      <c r="E4223" s="30" t="n">
        <f aca="false">nonop_f</f>
        <v>-5</v>
      </c>
      <c r="F4223" s="30" t="n">
        <f aca="false">nonop_f</f>
        <v>-5</v>
      </c>
      <c r="G4223" s="30" t="n">
        <f aca="false">nonop_f</f>
        <v>-5</v>
      </c>
    </row>
    <row r="4224" customFormat="false" ht="15" hidden="false" customHeight="false" outlineLevel="0" collapsed="false">
      <c r="A4224" s="4" t="s">
        <v>459</v>
      </c>
      <c r="B4224" s="0" t="s">
        <v>234</v>
      </c>
      <c r="C4224" s="30" t="n">
        <f aca="false">C4221+C4223</f>
        <v>51.301</v>
      </c>
      <c r="D4224" s="30" t="n">
        <f aca="false">D4221+D4223</f>
        <v>115.324245860986</v>
      </c>
      <c r="E4224" s="30" t="n">
        <f aca="false">E4221+E4223</f>
        <v>164.990326621633</v>
      </c>
      <c r="F4224" s="30" t="n">
        <f aca="false">F4221+F4223</f>
        <v>111.127146036023</v>
      </c>
      <c r="G4224" s="30" t="n">
        <f aca="false">G4221+G4223</f>
        <v>129.424830718702</v>
      </c>
    </row>
    <row r="4225" customFormat="false" ht="15" hidden="false" customHeight="false" outlineLevel="0" collapsed="false">
      <c r="A4225" s="4" t="s">
        <v>460</v>
      </c>
      <c r="B4225" s="0" t="s">
        <v>234</v>
      </c>
      <c r="C4225" s="30" t="n">
        <f aca="false">a25_tax</f>
        <v>9.461</v>
      </c>
      <c r="D4225" s="30" t="n">
        <f aca="false">a26_tax</f>
        <v>19.2197317963676</v>
      </c>
      <c r="E4225" s="30" t="n">
        <f aca="false">E4224*tax</f>
        <v>28.0483555256777</v>
      </c>
      <c r="F4225" s="30" t="n">
        <f aca="false">F4224*tax</f>
        <v>18.8916148261239</v>
      </c>
      <c r="G4225" s="30" t="n">
        <f aca="false">G4224*tax</f>
        <v>22.0022212221793</v>
      </c>
    </row>
    <row r="4226" customFormat="false" ht="15" hidden="false" customHeight="false" outlineLevel="0" collapsed="false">
      <c r="A4226" s="4" t="s">
        <v>461</v>
      </c>
      <c r="B4226" s="0" t="s">
        <v>234</v>
      </c>
      <c r="C4226" s="30" t="n">
        <f aca="false">a25_nci</f>
        <v>1.182</v>
      </c>
      <c r="D4226" s="30" t="n">
        <f aca="false">a26_nci</f>
        <v>2.543</v>
      </c>
      <c r="E4226" s="30" t="n">
        <f aca="false">nci</f>
        <v>3</v>
      </c>
      <c r="F4226" s="30" t="n">
        <f aca="false">nci</f>
        <v>3</v>
      </c>
      <c r="G4226" s="30" t="n">
        <f aca="false">nci</f>
        <v>3</v>
      </c>
    </row>
    <row r="4227" customFormat="false" ht="15" hidden="false" customHeight="false" outlineLevel="0" collapsed="false">
      <c r="A4227" s="4" t="s">
        <v>462</v>
      </c>
      <c r="B4227" s="0" t="s">
        <v>234</v>
      </c>
      <c r="C4227" s="30" t="n">
        <f aca="false">C4224-C4225-C4226</f>
        <v>40.658</v>
      </c>
      <c r="D4227" s="30" t="n">
        <f aca="false">D4224-D4225-D4226</f>
        <v>93.5615140646185</v>
      </c>
      <c r="E4227" s="30" t="n">
        <f aca="false">E4224-E4225-E4226</f>
        <v>133.941971095956</v>
      </c>
      <c r="F4227" s="30" t="n">
        <f aca="false">F4224-F4225-F4226</f>
        <v>89.235531209899</v>
      </c>
      <c r="G4227" s="30" t="n">
        <f aca="false">G4224-G4225-G4226</f>
        <v>104.422609496522</v>
      </c>
      <c r="H4227" s="31" t="n">
        <f aca="false">H4205*H4231</f>
        <v>98.5860114536435</v>
      </c>
      <c r="I4227" s="31" t="n">
        <f aca="false">I4205*I4231</f>
        <v>89.9439819889732</v>
      </c>
      <c r="J4227" s="31" t="n">
        <f aca="false">J4205*J4231</f>
        <v>78.9061153241268</v>
      </c>
    </row>
    <row r="4228" customFormat="false" ht="15" hidden="false" customHeight="false" outlineLevel="0" collapsed="false">
      <c r="A4228" s="4" t="s">
        <v>579</v>
      </c>
      <c r="B4228" s="4" t="s">
        <v>580</v>
      </c>
      <c r="C4228" s="18" t="n">
        <f aca="false">a25_sh</f>
        <v>4339.16755602988</v>
      </c>
      <c r="D4228" s="18" t="n">
        <f aca="false">a26_sh</f>
        <v>4392.90105184664</v>
      </c>
      <c r="E4228" s="18" t="n">
        <f aca="false">D4228*(1+sh_g)</f>
        <v>4414.86555710588</v>
      </c>
      <c r="F4228" s="18" t="n">
        <f aca="false">E4228*(1+sh_g)</f>
        <v>4436.9398848914</v>
      </c>
      <c r="G4228" s="18" t="n">
        <f aca="false">F4228*(1+sh_g)</f>
        <v>4459.12458431586</v>
      </c>
      <c r="H4228" s="25" t="n">
        <f aca="false">G4228*(1+sh_g)</f>
        <v>4481.42020723744</v>
      </c>
      <c r="I4228" s="25" t="n">
        <f aca="false">H4228*(1+sh_g)</f>
        <v>4503.82730827363</v>
      </c>
      <c r="J4228" s="25" t="n">
        <f aca="false">I4228*(1+sh_g)</f>
        <v>4526.34644481499</v>
      </c>
    </row>
    <row r="4229" customFormat="false" ht="17.15" hidden="false" customHeight="false" outlineLevel="0" collapsed="false">
      <c r="A4229" s="0" t="s">
        <v>465</v>
      </c>
      <c r="B4229" s="0" t="s">
        <v>304</v>
      </c>
      <c r="C4229" s="19" t="n">
        <f aca="false">a25_eps</f>
        <v>9.37</v>
      </c>
      <c r="D4229" s="19" t="n">
        <f aca="false">a26_eps</f>
        <v>21.2828697294455</v>
      </c>
      <c r="E4229" s="19" t="n">
        <f aca="false">E4227/E4228*1000</f>
        <v>30.3388561584557</v>
      </c>
      <c r="F4229" s="19" t="n">
        <f aca="false">F4227/F4228*1000</f>
        <v>20.1119540775755</v>
      </c>
      <c r="G4229" s="19" t="n">
        <f aca="false">G4227/G4228*1000</f>
        <v>23.4177376124025</v>
      </c>
      <c r="H4229" s="28" t="n">
        <f aca="false">H4227/H4228*1000</f>
        <v>21.9988322662598</v>
      </c>
      <c r="I4229" s="28" t="n">
        <f aca="false">I4227/I4228*1000</f>
        <v>19.9705663278306</v>
      </c>
      <c r="J4229" s="28" t="n">
        <f aca="false">J4227/J4228*1000</f>
        <v>17.4326283430017</v>
      </c>
    </row>
    <row r="4230" customFormat="false" ht="17.15" hidden="false" customHeight="false" outlineLevel="0" collapsed="false">
      <c r="A4230" s="0" t="s">
        <v>581</v>
      </c>
      <c r="B4230" s="0" t="s">
        <v>76</v>
      </c>
      <c r="D4230" s="21" t="n">
        <f aca="false">D4229/C4229-1</f>
        <v>1.27138417603474</v>
      </c>
      <c r="E4230" s="21" t="n">
        <f aca="false">E4229/D4229-1</f>
        <v>0.425505890142294</v>
      </c>
      <c r="F4230" s="21" t="n">
        <f aca="false">F4229/E4229-1</f>
        <v>-0.337089243822065</v>
      </c>
      <c r="G4230" s="21" t="n">
        <f aca="false">G4229/F4229-1</f>
        <v>0.164369087264024</v>
      </c>
      <c r="H4230" s="26" t="n">
        <f aca="false">H4229/G4229-1</f>
        <v>-0.0605910515194806</v>
      </c>
      <c r="I4230" s="26" t="n">
        <f aca="false">I4229/H4229-1</f>
        <v>-0.0921988000944938</v>
      </c>
      <c r="J4230" s="26" t="n">
        <f aca="false">J4229/I4229-1</f>
        <v>-0.127083926573083</v>
      </c>
    </row>
    <row r="4231" customFormat="false" ht="17.15" hidden="false" customHeight="false" outlineLevel="0" collapsed="false">
      <c r="A4231" s="4" t="s">
        <v>582</v>
      </c>
      <c r="B4231" s="0" t="s">
        <v>76</v>
      </c>
      <c r="C4231" s="14" t="n">
        <f aca="false">C4227/C4205</f>
        <v>0.0629977625862272</v>
      </c>
      <c r="D4231" s="14" t="n">
        <f aca="false">D4227/D4205</f>
        <v>0.107397865592237</v>
      </c>
      <c r="E4231" s="14" t="n">
        <f aca="false">E4227/E4205</f>
        <v>0.125063380485072</v>
      </c>
      <c r="F4231" s="14" t="n">
        <f aca="false">F4227/F4205</f>
        <v>0.0846572071553853</v>
      </c>
      <c r="G4231" s="14" t="n">
        <f aca="false">G4227/G4205</f>
        <v>0.0917280381342219</v>
      </c>
      <c r="H4231" s="27" t="n">
        <f aca="false">$G4231+(fade_mC-$G4231)*1/3</f>
        <v>0.0816997114825251</v>
      </c>
      <c r="I4231" s="27" t="n">
        <f aca="false">$G4231+(fade_mC-$G4231)*2/3</f>
        <v>0.0716713848308283</v>
      </c>
      <c r="J4231" s="27" t="n">
        <f aca="false">$G4231+(fade_mC-$G4231)*3/3</f>
        <v>0.0616430581791315</v>
      </c>
    </row>
    <row r="4232" customFormat="false" ht="17.15" hidden="false" customHeight="false" outlineLevel="0" collapsed="false">
      <c r="A4232" s="4" t="s">
        <v>583</v>
      </c>
      <c r="B4232" s="0" t="s">
        <v>234</v>
      </c>
      <c r="C4232" s="30" t="n">
        <f aca="false">C4227+C4213-C4211</f>
        <v>-54.587</v>
      </c>
      <c r="D4232" s="30" t="n">
        <f aca="false">D4227+D4213-D4211</f>
        <v>-176.164485935382</v>
      </c>
      <c r="E4232" s="30" t="n">
        <f aca="false">E4227+E4213-E4211</f>
        <v>-151.218278904044</v>
      </c>
      <c r="F4232" s="30" t="n">
        <f aca="false">F4227+F4213-F4211</f>
        <v>-60.5039082828558</v>
      </c>
      <c r="G4232" s="30" t="n">
        <f aca="false">G4227+G4213-G4211</f>
        <v>-51.8932525925539</v>
      </c>
      <c r="K4232" s="4" t="s">
        <v>584</v>
      </c>
    </row>
    <row r="4233" customFormat="false" ht="17.15" hidden="false" customHeight="false" outlineLevel="0" collapsed="false">
      <c r="A4233" s="4" t="s">
        <v>585</v>
      </c>
      <c r="B4233" s="0" t="s">
        <v>76</v>
      </c>
      <c r="D4233" s="21" t="n">
        <f aca="false">(D4221-$C4221)/SUM($D4211:D4211)</f>
        <v>0.164280348537512</v>
      </c>
      <c r="E4233" s="21" t="n">
        <f aca="false">(E4221-$C4221)/SUM($D4211:E4211)</f>
        <v>0.152308011268613</v>
      </c>
      <c r="F4233" s="21" t="n">
        <f aca="false">(F4221-$C4221)/SUM($D4211:F4211)</f>
        <v>0.0594783726178611</v>
      </c>
      <c r="G4233" s="21" t="n">
        <f aca="false">(G4221-$C4221)/SUM($D4211:G4211)</f>
        <v>0.058079465693457</v>
      </c>
      <c r="K4233" s="4" t="s">
        <v>586</v>
      </c>
    </row>
    <row r="4236" customFormat="false" ht="17.15" hidden="false" customHeight="false" outlineLevel="0" collapsed="false">
      <c r="A4236" s="1" t="s">
        <v>1000</v>
      </c>
    </row>
    <row r="4237" customFormat="false" ht="17.15" hidden="false" customHeight="false" outlineLevel="0" collapsed="false">
      <c r="A4237" s="5" t="s">
        <v>21</v>
      </c>
      <c r="B4237" s="5" t="s">
        <v>22</v>
      </c>
      <c r="C4237" s="15" t="s">
        <v>424</v>
      </c>
      <c r="D4237" s="15" t="s">
        <v>524</v>
      </c>
      <c r="E4237" s="15" t="s">
        <v>525</v>
      </c>
      <c r="F4237" s="15" t="s">
        <v>526</v>
      </c>
      <c r="G4237" s="15" t="s">
        <v>527</v>
      </c>
      <c r="H4237" s="15" t="s">
        <v>528</v>
      </c>
      <c r="I4237" s="15" t="s">
        <v>529</v>
      </c>
      <c r="J4237" s="15" t="s">
        <v>530</v>
      </c>
      <c r="K4237" s="5" t="s">
        <v>382</v>
      </c>
    </row>
    <row r="4238" customFormat="false" ht="17.15" hidden="false" customHeight="false" outlineLevel="0" collapsed="false">
      <c r="A4238" s="6" t="s">
        <v>548</v>
      </c>
    </row>
    <row r="4239" customFormat="false" ht="17.15" hidden="false" customHeight="false" outlineLevel="0" collapsed="false">
      <c r="A4239" s="0" t="s">
        <v>549</v>
      </c>
      <c r="B4239" s="4" t="s">
        <v>32</v>
      </c>
      <c r="D4239" s="19" t="n">
        <f aca="false">units_26</f>
        <v>15.2</v>
      </c>
      <c r="E4239" s="19" t="n">
        <f aca="false">units_27*1</f>
        <v>23.7</v>
      </c>
      <c r="F4239" s="19" t="n">
        <f aca="false">units_28*um28_A*1</f>
        <v>26.5</v>
      </c>
      <c r="G4239" s="19" t="n">
        <f aca="false">units_29*um29_A*1</f>
        <v>30.15</v>
      </c>
    </row>
    <row r="4240" customFormat="false" ht="17.15" hidden="false" customHeight="false" outlineLevel="0" collapsed="false">
      <c r="A4240" s="4" t="s">
        <v>497</v>
      </c>
      <c r="B4240" s="0" t="s">
        <v>45</v>
      </c>
      <c r="D4240" s="22" t="n">
        <f aca="false">ar_26</f>
        <v>1</v>
      </c>
      <c r="E4240" s="22" t="n">
        <f aca="false">ar_27</f>
        <v>1.278156</v>
      </c>
      <c r="F4240" s="22" t="n">
        <f aca="false">ar_28</f>
        <v>1.428615</v>
      </c>
      <c r="G4240" s="22" t="n">
        <f aca="false">ar_29</f>
        <v>1.431796</v>
      </c>
    </row>
    <row r="4241" customFormat="false" ht="17.15" hidden="false" customHeight="false" outlineLevel="0" collapsed="false">
      <c r="A4241" s="4" t="s">
        <v>550</v>
      </c>
      <c r="B4241" s="0" t="s">
        <v>45</v>
      </c>
      <c r="D4241" s="19" t="n">
        <f aca="false">1</f>
        <v>1</v>
      </c>
      <c r="E4241" s="19" t="n">
        <f aca="false">rel27_A</f>
        <v>1.1</v>
      </c>
      <c r="F4241" s="19" t="n">
        <f aca="false">rel28_A</f>
        <v>1.15</v>
      </c>
      <c r="G4241" s="19" t="n">
        <f aca="false">rel29_A</f>
        <v>1.2</v>
      </c>
    </row>
    <row r="4242" customFormat="false" ht="17.15" hidden="false" customHeight="false" outlineLevel="0" collapsed="false">
      <c r="A4242" s="4" t="s">
        <v>551</v>
      </c>
      <c r="B4242" s="0" t="s">
        <v>502</v>
      </c>
      <c r="D4242" s="23" t="n">
        <f aca="false">D4243*1000/D4239</f>
        <v>236.842105263158</v>
      </c>
      <c r="E4242" s="23" t="n">
        <f aca="false">$D4242*E4240^el</f>
        <v>267.763172119488</v>
      </c>
      <c r="F4242" s="23" t="n">
        <f aca="false">$D4242*F4240^el</f>
        <v>283.084777049615</v>
      </c>
      <c r="G4242" s="23" t="n">
        <f aca="false">$D4242*G4240^el</f>
        <v>283.399764630809</v>
      </c>
      <c r="K4242" s="8" t="s">
        <v>552</v>
      </c>
    </row>
    <row r="4243" customFormat="false" ht="17.15" hidden="false" customHeight="false" outlineLevel="0" collapsed="false">
      <c r="A4243" s="0" t="s">
        <v>553</v>
      </c>
      <c r="B4243" s="0" t="s">
        <v>120</v>
      </c>
      <c r="D4243" s="22" t="n">
        <f aca="false">leap26-D4244-D4245</f>
        <v>3.6</v>
      </c>
      <c r="E4243" s="22" t="n">
        <f aca="false">E4239*E4241*E4242/1000</f>
        <v>6.98058589715504</v>
      </c>
      <c r="F4243" s="22" t="n">
        <f aca="false">F4239*F4241*F4242/1000</f>
        <v>8.627008580587</v>
      </c>
      <c r="G4243" s="22" t="n">
        <f aca="false">G4239*G4241*G4242/1000</f>
        <v>10.2534034843427</v>
      </c>
      <c r="K4243" s="8" t="s">
        <v>554</v>
      </c>
    </row>
    <row r="4244" customFormat="false" ht="17.15" hidden="false" customHeight="false" outlineLevel="0" collapsed="false">
      <c r="A4244" s="4" t="s">
        <v>555</v>
      </c>
      <c r="B4244" s="0" t="s">
        <v>120</v>
      </c>
      <c r="D4244" s="22" t="n">
        <f aca="false">fp26</f>
        <v>0.3</v>
      </c>
      <c r="E4244" s="22" t="n">
        <f aca="false">fp27_A</f>
        <v>1.2</v>
      </c>
      <c r="F4244" s="22" t="n">
        <f aca="false">E4244*F4239/E4239*(1+fp_g)</f>
        <v>1.74430379746835</v>
      </c>
      <c r="G4244" s="22" t="n">
        <f aca="false">F4244*G4239/F4239*(1+fp_g)</f>
        <v>2.57992405063291</v>
      </c>
    </row>
    <row r="4245" customFormat="false" ht="17.15" hidden="false" customHeight="false" outlineLevel="0" collapsed="false">
      <c r="A4245" s="0" t="s">
        <v>556</v>
      </c>
      <c r="B4245" s="0" t="s">
        <v>120</v>
      </c>
      <c r="D4245" s="22" t="n">
        <f aca="false">cpo27*cpo_A_26/cpo_A_27</f>
        <v>0.1</v>
      </c>
      <c r="E4245" s="22" t="n">
        <f aca="false">cpo27*cpo_A_27/cpo_A_27</f>
        <v>0.5</v>
      </c>
      <c r="F4245" s="22" t="n">
        <f aca="false">cpo27*cpo_A_28/cpo_A_27*F4239/E4239</f>
        <v>1.11814345991561</v>
      </c>
      <c r="G4245" s="22" t="n">
        <f aca="false">cpo27*cpo_A_29/cpo_A_27*G4239/E4239</f>
        <v>2.03544303797468</v>
      </c>
      <c r="K4245" s="8" t="s">
        <v>557</v>
      </c>
    </row>
    <row r="4246" customFormat="false" ht="17.15" hidden="false" customHeight="false" outlineLevel="0" collapsed="false">
      <c r="A4246" s="0" t="s">
        <v>510</v>
      </c>
      <c r="B4246" s="0" t="s">
        <v>120</v>
      </c>
      <c r="C4246" s="22" t="n">
        <f aca="false">leap25</f>
        <v>1.6</v>
      </c>
      <c r="D4246" s="22" t="n">
        <f aca="false">D4243+D4244+D4245</f>
        <v>4</v>
      </c>
      <c r="E4246" s="22" t="n">
        <f aca="false">E4243+E4244+E4245</f>
        <v>8.68058589715504</v>
      </c>
      <c r="F4246" s="22" t="n">
        <f aca="false">F4243+F4244+F4245</f>
        <v>11.489455837971</v>
      </c>
      <c r="G4246" s="22" t="n">
        <f aca="false">G4243+G4244+G4245</f>
        <v>14.8687705729503</v>
      </c>
    </row>
    <row r="4247" customFormat="false" ht="17.15" hidden="false" customHeight="false" outlineLevel="0" collapsed="false">
      <c r="A4247" s="4" t="s">
        <v>558</v>
      </c>
      <c r="B4247" s="0" t="s">
        <v>114</v>
      </c>
      <c r="C4247" s="19" t="n">
        <f aca="false">fx25</f>
        <v>31</v>
      </c>
      <c r="D4247" s="19" t="n">
        <f aca="false">a26_leap/D4246</f>
        <v>31.9</v>
      </c>
      <c r="E4247" s="19" t="n">
        <f aca="false">fx</f>
        <v>32</v>
      </c>
      <c r="F4247" s="19" t="n">
        <f aca="false">fx</f>
        <v>32</v>
      </c>
      <c r="G4247" s="19" t="n">
        <f aca="false">fx</f>
        <v>32</v>
      </c>
      <c r="K4247" s="8" t="s">
        <v>559</v>
      </c>
    </row>
    <row r="4248" customFormat="false" ht="17.15" hidden="false" customHeight="false" outlineLevel="0" collapsed="false">
      <c r="A4248" s="6" t="s">
        <v>560</v>
      </c>
    </row>
    <row r="4249" customFormat="false" ht="17.15" hidden="false" customHeight="false" outlineLevel="0" collapsed="false">
      <c r="A4249" s="0" t="s">
        <v>438</v>
      </c>
      <c r="B4249" s="0" t="s">
        <v>234</v>
      </c>
      <c r="C4249" s="30" t="n">
        <f aca="false">a25_leap</f>
        <v>49.6</v>
      </c>
      <c r="D4249" s="30" t="n">
        <f aca="false">a26_leap</f>
        <v>127.6</v>
      </c>
      <c r="E4249" s="30" t="n">
        <f aca="false">E4246*E4247</f>
        <v>277.778748708961</v>
      </c>
      <c r="F4249" s="30" t="n">
        <f aca="false">F4246*F4247</f>
        <v>367.662586815071</v>
      </c>
      <c r="G4249" s="30" t="n">
        <f aca="false">G4246*G4247</f>
        <v>475.800658334408</v>
      </c>
    </row>
    <row r="4250" customFormat="false" ht="15" hidden="false" customHeight="false" outlineLevel="0" collapsed="false">
      <c r="A4250" s="4" t="s">
        <v>561</v>
      </c>
      <c r="B4250" s="0" t="s">
        <v>234</v>
      </c>
      <c r="C4250" s="30" t="n">
        <f aca="false">a25_ms</f>
        <v>339.628</v>
      </c>
      <c r="D4250" s="30" t="n">
        <f aca="false">a26_ms</f>
        <v>432.1302</v>
      </c>
      <c r="E4250" s="30" t="n">
        <f aca="false">D4250*(1+g_ms27)</f>
        <v>496.94973</v>
      </c>
      <c r="F4250" s="30" t="n">
        <f aca="false">E4250*(1+g_msL)</f>
        <v>531.7362111</v>
      </c>
      <c r="G4250" s="30" t="n">
        <f aca="false">F4250*(1+g_msL)</f>
        <v>568.957745877</v>
      </c>
    </row>
    <row r="4251" customFormat="false" ht="17.15" hidden="false" customHeight="false" outlineLevel="0" collapsed="false">
      <c r="A4251" s="4" t="s">
        <v>562</v>
      </c>
      <c r="B4251" s="0" t="s">
        <v>234</v>
      </c>
      <c r="C4251" s="30" t="n">
        <f aca="false">C4249+C4250</f>
        <v>389.228</v>
      </c>
      <c r="D4251" s="30" t="n">
        <f aca="false">D4249+D4250</f>
        <v>559.7302</v>
      </c>
      <c r="E4251" s="30" t="n">
        <f aca="false">E4249+E4250</f>
        <v>774.728478708961</v>
      </c>
      <c r="F4251" s="30" t="n">
        <f aca="false">F4249+F4250</f>
        <v>899.398797915071</v>
      </c>
      <c r="G4251" s="30" t="n">
        <f aca="false">G4249+G4250</f>
        <v>1044.75840421141</v>
      </c>
    </row>
    <row r="4252" customFormat="false" ht="17.15" hidden="false" customHeight="false" outlineLevel="0" collapsed="false">
      <c r="A4252" s="0" t="s">
        <v>563</v>
      </c>
      <c r="B4252" s="0" t="s">
        <v>234</v>
      </c>
      <c r="C4252" s="30" t="n">
        <f aca="false">a25_ems</f>
        <v>259.079</v>
      </c>
      <c r="D4252" s="30" t="n">
        <f aca="false">a26_ems</f>
        <v>314.602</v>
      </c>
      <c r="E4252" s="30" t="n">
        <f aca="false">D4252*(1+g_ems27)</f>
        <v>346.0622</v>
      </c>
      <c r="F4252" s="30" t="n">
        <f aca="false">E4252*(1+g_emsL)</f>
        <v>363.36531</v>
      </c>
      <c r="G4252" s="30" t="n">
        <f aca="false">F4252*(1+g_emsL)</f>
        <v>381.5335755</v>
      </c>
    </row>
    <row r="4253" customFormat="false" ht="17.15" hidden="false" customHeight="false" outlineLevel="0" collapsed="false">
      <c r="A4253" s="4" t="s">
        <v>564</v>
      </c>
      <c r="B4253" s="0" t="s">
        <v>234</v>
      </c>
      <c r="C4253" s="30" t="n">
        <f aca="false">a25_elim</f>
        <v>-2.91899999999998</v>
      </c>
      <c r="D4253" s="30" t="n">
        <f aca="false">a26_elim</f>
        <v>-3.16484905982349</v>
      </c>
      <c r="E4253" s="30" t="n">
        <f aca="false">$D4253/($D4251+$D4252)*(E4251+E4252)</f>
        <v>-4.05696293213379</v>
      </c>
      <c r="F4253" s="30" t="n">
        <f aca="false">$D4253/($D4251+$D4252)*(F4251+F4252)</f>
        <v>-4.57086882962089</v>
      </c>
      <c r="G4253" s="30" t="n">
        <f aca="false">$D4253/($D4251+$D4252)*(G4251+G4252)</f>
        <v>-5.16279605283144</v>
      </c>
      <c r="K4253" s="4" t="s">
        <v>565</v>
      </c>
    </row>
    <row r="4254" customFormat="false" ht="17.15" hidden="false" customHeight="false" outlineLevel="0" collapsed="false">
      <c r="A4254" s="4" t="s">
        <v>431</v>
      </c>
      <c r="B4254" s="0" t="s">
        <v>234</v>
      </c>
      <c r="C4254" s="30" t="n">
        <f aca="false">C4251+C4252+C4253</f>
        <v>645.388</v>
      </c>
      <c r="D4254" s="30" t="n">
        <f aca="false">D4251+D4252+D4253</f>
        <v>871.167350940177</v>
      </c>
      <c r="E4254" s="30" t="n">
        <f aca="false">E4251+E4252+E4253</f>
        <v>1116.73371577683</v>
      </c>
      <c r="F4254" s="30" t="n">
        <f aca="false">F4251+F4252+F4253</f>
        <v>1258.19323908545</v>
      </c>
      <c r="G4254" s="30" t="n">
        <f aca="false">G4251+G4252+G4253</f>
        <v>1421.12918365858</v>
      </c>
      <c r="H4254" s="31" t="n">
        <f aca="false">G4254*(1+H4255)</f>
        <v>1572.24252669828</v>
      </c>
      <c r="I4254" s="31" t="n">
        <f aca="false">H4254*(1+I4255)</f>
        <v>1703.00066355907</v>
      </c>
      <c r="J4254" s="31" t="n">
        <f aca="false">I4254*(1+J4255)</f>
        <v>1805.18070337261</v>
      </c>
      <c r="K4254" s="8" t="s">
        <v>566</v>
      </c>
    </row>
    <row r="4255" customFormat="false" ht="15" hidden="false" customHeight="false" outlineLevel="0" collapsed="false">
      <c r="A4255" s="4" t="s">
        <v>567</v>
      </c>
      <c r="B4255" s="0" t="s">
        <v>76</v>
      </c>
      <c r="D4255" s="21" t="n">
        <f aca="false">D4254/C4254-1</f>
        <v>0.349835061916516</v>
      </c>
      <c r="E4255" s="21" t="n">
        <f aca="false">E4254/D4254-1</f>
        <v>0.281881965126026</v>
      </c>
      <c r="F4255" s="21" t="n">
        <f aca="false">F4254/E4254-1</f>
        <v>0.126672564202309</v>
      </c>
      <c r="G4255" s="21" t="n">
        <f aca="false">G4254/F4254-1</f>
        <v>0.129499936505429</v>
      </c>
      <c r="H4255" s="26" t="n">
        <f aca="false">$G4255+(fade_gA-$G4255)*1/3</f>
        <v>0.10633329100362</v>
      </c>
      <c r="I4255" s="26" t="n">
        <f aca="false">$G4255+(fade_gA-$G4255)*2/3</f>
        <v>0.0831666455018098</v>
      </c>
      <c r="J4255" s="26" t="n">
        <f aca="false">$G4255+(fade_gA-$G4255)*3/3</f>
        <v>0.06</v>
      </c>
    </row>
    <row r="4256" customFormat="false" ht="17.15" hidden="false" customHeight="false" outlineLevel="0" collapsed="false">
      <c r="A4256" s="0" t="s">
        <v>475</v>
      </c>
      <c r="B4256" s="0" t="s">
        <v>76</v>
      </c>
      <c r="C4256" s="21" t="n">
        <f aca="false">C4249/C4251</f>
        <v>0.127431736668482</v>
      </c>
      <c r="D4256" s="21" t="n">
        <f aca="false">D4249/D4251</f>
        <v>0.227966974088588</v>
      </c>
      <c r="E4256" s="21" t="n">
        <f aca="false">E4249/E4251</f>
        <v>0.35854980982739</v>
      </c>
      <c r="F4256" s="21" t="n">
        <f aca="false">F4249/F4251</f>
        <v>0.408787056050512</v>
      </c>
      <c r="G4256" s="21" t="n">
        <f aca="false">G4249/G4251</f>
        <v>0.455416923583923</v>
      </c>
    </row>
    <row r="4257" customFormat="false" ht="15" hidden="false" customHeight="false" outlineLevel="0" collapsed="false">
      <c r="A4257" s="4" t="s">
        <v>568</v>
      </c>
      <c r="B4257" s="0" t="s">
        <v>76</v>
      </c>
      <c r="D4257" s="21" t="n">
        <f aca="false">D4251/C4251-1</f>
        <v>0.438052247012034</v>
      </c>
      <c r="E4257" s="21" t="n">
        <f aca="false">E4251/D4251-1</f>
        <v>0.384110556673485</v>
      </c>
      <c r="F4257" s="21" t="n">
        <f aca="false">F4251/E4251-1</f>
        <v>0.160921306796241</v>
      </c>
      <c r="G4257" s="21" t="n">
        <f aca="false">G4251/F4251-1</f>
        <v>0.161618635285371</v>
      </c>
    </row>
    <row r="4258" customFormat="false" ht="17.15" hidden="false" customHeight="false" outlineLevel="0" collapsed="false">
      <c r="A4258" s="6" t="s">
        <v>569</v>
      </c>
    </row>
    <row r="4259" customFormat="false" ht="17.15" hidden="false" customHeight="false" outlineLevel="0" collapsed="false">
      <c r="A4259" s="4" t="s">
        <v>570</v>
      </c>
      <c r="B4259" s="0" t="s">
        <v>120</v>
      </c>
      <c r="C4259" s="19" t="n">
        <f aca="false">capex25</f>
        <v>5.5</v>
      </c>
      <c r="D4259" s="19" t="n">
        <f aca="false">capex26</f>
        <v>11.5</v>
      </c>
      <c r="E4259" s="19" t="n">
        <f aca="false">capex27</f>
        <v>13</v>
      </c>
      <c r="F4259" s="19" t="n">
        <f aca="false">capi*F4254/F4247</f>
        <v>11.7955616164261</v>
      </c>
      <c r="G4259" s="19" t="n">
        <f aca="false">capi*G4254/G4247</f>
        <v>13.3230860967992</v>
      </c>
      <c r="K4259" s="8" t="s">
        <v>571</v>
      </c>
    </row>
    <row r="4260" customFormat="false" ht="15" hidden="false" customHeight="false" outlineLevel="0" collapsed="false">
      <c r="A4260" s="4" t="s">
        <v>572</v>
      </c>
      <c r="B4260" s="0" t="s">
        <v>234</v>
      </c>
      <c r="C4260" s="30" t="n">
        <f aca="false">C4259*C4247</f>
        <v>170.5</v>
      </c>
      <c r="D4260" s="30" t="n">
        <f aca="false">D4259*31.9</f>
        <v>366.85</v>
      </c>
      <c r="E4260" s="30" t="n">
        <f aca="false">E4259*E4247</f>
        <v>416</v>
      </c>
      <c r="F4260" s="30" t="n">
        <f aca="false">F4259*F4247</f>
        <v>377.457971725635</v>
      </c>
      <c r="G4260" s="30" t="n">
        <f aca="false">G4259*G4247</f>
        <v>426.338755097573</v>
      </c>
    </row>
    <row r="4261" customFormat="false" ht="17.15" hidden="false" customHeight="false" outlineLevel="0" collapsed="false">
      <c r="A4261" s="4" t="s">
        <v>473</v>
      </c>
      <c r="B4261" s="0" t="s">
        <v>76</v>
      </c>
      <c r="C4261" s="21" t="n">
        <f aca="false">C4260/C4254</f>
        <v>0.264182166386732</v>
      </c>
      <c r="D4261" s="21" t="n">
        <f aca="false">D4260/D4254</f>
        <v>0.421101639775745</v>
      </c>
      <c r="E4261" s="21" t="n">
        <f aca="false">E4260/E4254</f>
        <v>0.372514946153139</v>
      </c>
      <c r="F4261" s="21" t="n">
        <f aca="false">F4260/F4254</f>
        <v>0.3</v>
      </c>
      <c r="G4261" s="21" t="n">
        <f aca="false">G4260/G4254</f>
        <v>0.3</v>
      </c>
    </row>
    <row r="4262" customFormat="false" ht="17.15" hidden="false" customHeight="false" outlineLevel="0" collapsed="false">
      <c r="A4262" s="4" t="s">
        <v>573</v>
      </c>
      <c r="B4262" s="0" t="s">
        <v>234</v>
      </c>
      <c r="C4262" s="30" t="n">
        <f aca="false">a25_da</f>
        <v>75.255</v>
      </c>
      <c r="D4262" s="30" t="n">
        <f aca="false">a26_da</f>
        <v>97.124</v>
      </c>
      <c r="E4262" s="30" t="n">
        <f aca="false">D4262*(1-1/life)+D4260/life</f>
        <v>130.83975</v>
      </c>
      <c r="F4262" s="30" t="n">
        <f aca="false">E4262*(1-1/life)+E4260/life</f>
        <v>166.48478125</v>
      </c>
      <c r="G4262" s="30" t="n">
        <f aca="false">F4262*(1-1/life)+F4260/life</f>
        <v>192.856430059454</v>
      </c>
      <c r="K4262" s="4" t="s">
        <v>574</v>
      </c>
    </row>
    <row r="4263" customFormat="false" ht="17.15" hidden="false" customHeight="false" outlineLevel="0" collapsed="false">
      <c r="A4263" s="4" t="s">
        <v>575</v>
      </c>
      <c r="B4263" s="0" t="s">
        <v>234</v>
      </c>
      <c r="C4263" s="30" t="n">
        <f aca="false">a25_agp</f>
        <v>91.38</v>
      </c>
      <c r="D4263" s="30" t="n">
        <f aca="false">a26_agp</f>
        <v>164.623388</v>
      </c>
      <c r="E4263" s="30" t="n">
        <f aca="false">$D4263+ft*(E4251-$D4251)-(E4262-$D4262)</f>
        <v>238.406777354481</v>
      </c>
      <c r="F4263" s="30" t="n">
        <f aca="false">$D4263+ft*(F4251-$D4251)-(F4262-$D4262)</f>
        <v>265.096905707536</v>
      </c>
      <c r="G4263" s="30" t="n">
        <f aca="false">$D4263+ft*(G4251-$D4251)-(G4262-$D4262)</f>
        <v>311.40506004625</v>
      </c>
      <c r="K4263" s="4" t="s">
        <v>576</v>
      </c>
    </row>
    <row r="4264" customFormat="false" ht="15" hidden="false" customHeight="false" outlineLevel="0" collapsed="false">
      <c r="A4264" s="4" t="s">
        <v>447</v>
      </c>
      <c r="B4264" s="0" t="s">
        <v>76</v>
      </c>
      <c r="C4264" s="14" t="n">
        <f aca="false">C4263/C4251</f>
        <v>0.234772421305764</v>
      </c>
      <c r="D4264" s="14" t="n">
        <f aca="false">D4263/D4251</f>
        <v>0.294112034690999</v>
      </c>
      <c r="E4264" s="14" t="n">
        <f aca="false">E4263/E4251</f>
        <v>0.307729461232368</v>
      </c>
      <c r="F4264" s="14" t="n">
        <f aca="false">F4263/F4251</f>
        <v>0.294749010474626</v>
      </c>
      <c r="G4264" s="14" t="n">
        <f aca="false">G4263/G4251</f>
        <v>0.298064182868479</v>
      </c>
    </row>
    <row r="4265" customFormat="false" ht="17.15" hidden="false" customHeight="false" outlineLevel="0" collapsed="false">
      <c r="A4265" s="0" t="s">
        <v>449</v>
      </c>
      <c r="B4265" s="0" t="s">
        <v>234</v>
      </c>
      <c r="C4265" s="30" t="n">
        <f aca="false">a25_egp</f>
        <v>23.695</v>
      </c>
      <c r="D4265" s="30" t="n">
        <f aca="false">a26_egp</f>
        <v>27.00552</v>
      </c>
      <c r="E4265" s="30" t="n">
        <f aca="false">E4252*ems_gm</f>
        <v>29.415287</v>
      </c>
      <c r="F4265" s="30" t="n">
        <f aca="false">F4252*ems_gm</f>
        <v>30.88605135</v>
      </c>
      <c r="G4265" s="30" t="n">
        <f aca="false">G4252*ems_gm</f>
        <v>32.4303539175</v>
      </c>
    </row>
    <row r="4266" customFormat="false" ht="15" hidden="false" customHeight="false" outlineLevel="0" collapsed="false">
      <c r="A4266" s="4" t="s">
        <v>577</v>
      </c>
      <c r="B4266" s="0" t="s">
        <v>234</v>
      </c>
      <c r="C4266" s="30" t="n">
        <f aca="false">a25_lgp</f>
        <v>-0.881999999999998</v>
      </c>
      <c r="D4266" s="30" t="n">
        <f aca="false">a26_lgp</f>
        <v>-0.948662139013863</v>
      </c>
      <c r="E4266" s="30" t="n">
        <f aca="false">$D4266/$D4253*E4253</f>
        <v>-1.21607288699975</v>
      </c>
      <c r="F4266" s="30" t="n">
        <f aca="false">$D4266/$D4253*F4253</f>
        <v>-1.37011595785291</v>
      </c>
      <c r="G4266" s="30" t="n">
        <f aca="false">$D4266/$D4253*G4253</f>
        <v>-1.54754588739994</v>
      </c>
    </row>
    <row r="4267" customFormat="false" ht="15" hidden="false" customHeight="false" outlineLevel="0" collapsed="false">
      <c r="A4267" s="4" t="s">
        <v>451</v>
      </c>
      <c r="B4267" s="0" t="s">
        <v>234</v>
      </c>
      <c r="C4267" s="30" t="n">
        <f aca="false">C4263+C4265+C4266</f>
        <v>114.193</v>
      </c>
      <c r="D4267" s="30" t="n">
        <f aca="false">D4263+D4265+D4266</f>
        <v>190.680245860986</v>
      </c>
      <c r="E4267" s="30" t="n">
        <f aca="false">E4263+E4265+E4266</f>
        <v>266.605991467481</v>
      </c>
      <c r="F4267" s="30" t="n">
        <f aca="false">F4263+F4265+F4266</f>
        <v>294.612841099683</v>
      </c>
      <c r="G4267" s="30" t="n">
        <f aca="false">G4263+G4265+G4266</f>
        <v>342.28786807635</v>
      </c>
    </row>
    <row r="4268" customFormat="false" ht="15" hidden="false" customHeight="false" outlineLevel="0" collapsed="false">
      <c r="A4268" s="4" t="s">
        <v>452</v>
      </c>
      <c r="B4268" s="0" t="s">
        <v>76</v>
      </c>
      <c r="C4268" s="14" t="n">
        <f aca="false">C4267/C4254</f>
        <v>0.176936974347214</v>
      </c>
      <c r="D4268" s="14" t="n">
        <f aca="false">D4267/D4254</f>
        <v>0.218879008327391</v>
      </c>
      <c r="E4268" s="14" t="n">
        <f aca="false">E4267/E4254</f>
        <v>0.238737299412531</v>
      </c>
      <c r="F4268" s="14" t="n">
        <f aca="false">F4267/F4254</f>
        <v>0.234155479418908</v>
      </c>
      <c r="G4268" s="14" t="n">
        <f aca="false">G4267/G4254</f>
        <v>0.24085626557549</v>
      </c>
    </row>
    <row r="4269" customFormat="false" ht="15" hidden="false" customHeight="false" outlineLevel="0" collapsed="false">
      <c r="A4269" s="4" t="s">
        <v>578</v>
      </c>
      <c r="B4269" s="0" t="s">
        <v>234</v>
      </c>
      <c r="C4269" s="30" t="n">
        <f aca="false">a25_opx</f>
        <v>63.437</v>
      </c>
      <c r="D4269" s="30" t="n">
        <f aca="false">a26_opx</f>
        <v>79.658</v>
      </c>
      <c r="E4269" s="30" t="n">
        <f aca="false">D4269*(1+phi_lo*E4255)</f>
        <v>86.3942460734027</v>
      </c>
      <c r="F4269" s="30" t="n">
        <f aca="false">E4269*(1+phi_lo*F4255)</f>
        <v>89.6773802781356</v>
      </c>
      <c r="G4269" s="30" t="n">
        <f aca="false">F4269*(1+phi_lo*G4255)</f>
        <v>93.1613447937332</v>
      </c>
    </row>
    <row r="4270" customFormat="false" ht="15" hidden="false" customHeight="false" outlineLevel="0" collapsed="false">
      <c r="A4270" s="4" t="s">
        <v>455</v>
      </c>
      <c r="B4270" s="0" t="s">
        <v>234</v>
      </c>
      <c r="C4270" s="30" t="n">
        <f aca="false">C4267-C4269</f>
        <v>50.756</v>
      </c>
      <c r="D4270" s="30" t="n">
        <f aca="false">D4267-D4269</f>
        <v>111.022245860986</v>
      </c>
      <c r="E4270" s="30" t="n">
        <f aca="false">E4267-E4269</f>
        <v>180.211745394078</v>
      </c>
      <c r="F4270" s="30" t="n">
        <f aca="false">F4267-F4269</f>
        <v>204.935460821547</v>
      </c>
      <c r="G4270" s="30" t="n">
        <f aca="false">G4267-G4269</f>
        <v>249.126523282617</v>
      </c>
    </row>
    <row r="4271" customFormat="false" ht="15" hidden="false" customHeight="false" outlineLevel="0" collapsed="false">
      <c r="A4271" s="4" t="s">
        <v>537</v>
      </c>
      <c r="B4271" s="0" t="s">
        <v>76</v>
      </c>
      <c r="C4271" s="14" t="n">
        <f aca="false">C4270/C4254</f>
        <v>0.0786441644406156</v>
      </c>
      <c r="D4271" s="14" t="n">
        <f aca="false">D4270/D4254</f>
        <v>0.127440779020437</v>
      </c>
      <c r="E4271" s="14" t="n">
        <f aca="false">E4270/E4254</f>
        <v>0.161373963056823</v>
      </c>
      <c r="F4271" s="14" t="n">
        <f aca="false">F4270/F4254</f>
        <v>0.16288075190303</v>
      </c>
      <c r="G4271" s="14" t="n">
        <f aca="false">G4270/G4254</f>
        <v>0.175301813619267</v>
      </c>
    </row>
    <row r="4272" customFormat="false" ht="15" hidden="false" customHeight="false" outlineLevel="0" collapsed="false">
      <c r="A4272" s="4" t="s">
        <v>456</v>
      </c>
      <c r="B4272" s="0" t="s">
        <v>234</v>
      </c>
      <c r="C4272" s="30" t="n">
        <f aca="false">a25_nonop</f>
        <v>0.545</v>
      </c>
      <c r="D4272" s="30" t="n">
        <f aca="false">a26_nonop</f>
        <v>4.302</v>
      </c>
      <c r="E4272" s="30" t="n">
        <f aca="false">nonop_f</f>
        <v>-5</v>
      </c>
      <c r="F4272" s="30" t="n">
        <f aca="false">nonop_f</f>
        <v>-5</v>
      </c>
      <c r="G4272" s="30" t="n">
        <f aca="false">nonop_f</f>
        <v>-5</v>
      </c>
    </row>
    <row r="4273" customFormat="false" ht="15" hidden="false" customHeight="false" outlineLevel="0" collapsed="false">
      <c r="A4273" s="4" t="s">
        <v>459</v>
      </c>
      <c r="B4273" s="0" t="s">
        <v>234</v>
      </c>
      <c r="C4273" s="30" t="n">
        <f aca="false">C4270+C4272</f>
        <v>51.301</v>
      </c>
      <c r="D4273" s="30" t="n">
        <f aca="false">D4270+D4272</f>
        <v>115.324245860986</v>
      </c>
      <c r="E4273" s="30" t="n">
        <f aca="false">E4270+E4272</f>
        <v>175.211745394078</v>
      </c>
      <c r="F4273" s="30" t="n">
        <f aca="false">F4270+F4272</f>
        <v>199.935460821547</v>
      </c>
      <c r="G4273" s="30" t="n">
        <f aca="false">G4270+G4272</f>
        <v>244.126523282617</v>
      </c>
    </row>
    <row r="4274" customFormat="false" ht="15" hidden="false" customHeight="false" outlineLevel="0" collapsed="false">
      <c r="A4274" s="4" t="s">
        <v>460</v>
      </c>
      <c r="B4274" s="0" t="s">
        <v>234</v>
      </c>
      <c r="C4274" s="30" t="n">
        <f aca="false">a25_tax</f>
        <v>9.461</v>
      </c>
      <c r="D4274" s="30" t="n">
        <f aca="false">a26_tax</f>
        <v>19.2197317963676</v>
      </c>
      <c r="E4274" s="30" t="n">
        <f aca="false">E4273*tax</f>
        <v>29.7859967169933</v>
      </c>
      <c r="F4274" s="30" t="n">
        <f aca="false">F4273*tax</f>
        <v>33.989028339663</v>
      </c>
      <c r="G4274" s="30" t="n">
        <f aca="false">G4273*tax</f>
        <v>41.5015089580448</v>
      </c>
    </row>
    <row r="4275" customFormat="false" ht="15" hidden="false" customHeight="false" outlineLevel="0" collapsed="false">
      <c r="A4275" s="4" t="s">
        <v>461</v>
      </c>
      <c r="B4275" s="0" t="s">
        <v>234</v>
      </c>
      <c r="C4275" s="30" t="n">
        <f aca="false">a25_nci</f>
        <v>1.182</v>
      </c>
      <c r="D4275" s="30" t="n">
        <f aca="false">a26_nci</f>
        <v>2.543</v>
      </c>
      <c r="E4275" s="30" t="n">
        <f aca="false">nci</f>
        <v>3</v>
      </c>
      <c r="F4275" s="30" t="n">
        <f aca="false">nci</f>
        <v>3</v>
      </c>
      <c r="G4275" s="30" t="n">
        <f aca="false">nci</f>
        <v>3</v>
      </c>
    </row>
    <row r="4276" customFormat="false" ht="15" hidden="false" customHeight="false" outlineLevel="0" collapsed="false">
      <c r="A4276" s="4" t="s">
        <v>462</v>
      </c>
      <c r="B4276" s="0" t="s">
        <v>234</v>
      </c>
      <c r="C4276" s="30" t="n">
        <f aca="false">C4273-C4274-C4275</f>
        <v>40.658</v>
      </c>
      <c r="D4276" s="30" t="n">
        <f aca="false">D4273-D4274-D4275</f>
        <v>93.5615140646185</v>
      </c>
      <c r="E4276" s="30" t="n">
        <f aca="false">E4273-E4274-E4275</f>
        <v>142.425748677085</v>
      </c>
      <c r="F4276" s="30" t="n">
        <f aca="false">F4273-F4274-F4275</f>
        <v>162.946432481884</v>
      </c>
      <c r="G4276" s="30" t="n">
        <f aca="false">G4273-G4274-G4275</f>
        <v>199.625014324572</v>
      </c>
      <c r="H4276" s="31" t="n">
        <f aca="false">H4254*H4280</f>
        <v>216.311445630164</v>
      </c>
      <c r="I4276" s="31" t="n">
        <f aca="false">I4254*I4280</f>
        <v>229.383383548175</v>
      </c>
      <c r="J4276" s="31" t="n">
        <f aca="false">J4254*J4280</f>
        <v>237.933349598446</v>
      </c>
    </row>
    <row r="4277" customFormat="false" ht="15" hidden="false" customHeight="false" outlineLevel="0" collapsed="false">
      <c r="A4277" s="4" t="s">
        <v>579</v>
      </c>
      <c r="B4277" s="4" t="s">
        <v>580</v>
      </c>
      <c r="C4277" s="18" t="n">
        <f aca="false">a25_sh</f>
        <v>4339.16755602988</v>
      </c>
      <c r="D4277" s="18" t="n">
        <f aca="false">a26_sh</f>
        <v>4392.90105184664</v>
      </c>
      <c r="E4277" s="18" t="n">
        <f aca="false">D4277*(1+sh_g)</f>
        <v>4414.86555710588</v>
      </c>
      <c r="F4277" s="18" t="n">
        <f aca="false">E4277*(1+sh_g)</f>
        <v>4436.9398848914</v>
      </c>
      <c r="G4277" s="18" t="n">
        <f aca="false">F4277*(1+sh_g)</f>
        <v>4459.12458431586</v>
      </c>
      <c r="H4277" s="25" t="n">
        <f aca="false">G4277*(1+sh_g)</f>
        <v>4481.42020723744</v>
      </c>
      <c r="I4277" s="25" t="n">
        <f aca="false">H4277*(1+sh_g)</f>
        <v>4503.82730827363</v>
      </c>
      <c r="J4277" s="25" t="n">
        <f aca="false">I4277*(1+sh_g)</f>
        <v>4526.34644481499</v>
      </c>
    </row>
    <row r="4278" customFormat="false" ht="17.15" hidden="false" customHeight="false" outlineLevel="0" collapsed="false">
      <c r="A4278" s="0" t="s">
        <v>465</v>
      </c>
      <c r="B4278" s="0" t="s">
        <v>304</v>
      </c>
      <c r="C4278" s="19" t="n">
        <f aca="false">a25_eps</f>
        <v>9.37</v>
      </c>
      <c r="D4278" s="19" t="n">
        <f aca="false">a26_eps</f>
        <v>21.2828697294455</v>
      </c>
      <c r="E4278" s="19" t="n">
        <f aca="false">E4276/E4277*1000</f>
        <v>32.2604951011126</v>
      </c>
      <c r="F4278" s="19" t="n">
        <f aca="false">F4276/F4277*1000</f>
        <v>36.7249583517565</v>
      </c>
      <c r="G4278" s="19" t="n">
        <f aca="false">G4276/G4277*1000</f>
        <v>44.7677589064714</v>
      </c>
      <c r="H4278" s="28" t="n">
        <f aca="false">H4276/H4277*1000</f>
        <v>48.2685032036996</v>
      </c>
      <c r="I4278" s="28" t="n">
        <f aca="false">I4276/I4277*1000</f>
        <v>50.9307679552439</v>
      </c>
      <c r="J4278" s="28" t="n">
        <f aca="false">J4276/J4277*1000</f>
        <v>52.5663142446825</v>
      </c>
    </row>
    <row r="4279" customFormat="false" ht="17.15" hidden="false" customHeight="false" outlineLevel="0" collapsed="false">
      <c r="A4279" s="0" t="s">
        <v>581</v>
      </c>
      <c r="B4279" s="0" t="s">
        <v>76</v>
      </c>
      <c r="D4279" s="21" t="n">
        <f aca="false">D4278/C4278-1</f>
        <v>1.27138417603474</v>
      </c>
      <c r="E4279" s="21" t="n">
        <f aca="false">E4278/D4278-1</f>
        <v>0.515796295857565</v>
      </c>
      <c r="F4279" s="21" t="n">
        <f aca="false">F4278/E4278-1</f>
        <v>0.138387933497335</v>
      </c>
      <c r="G4279" s="21" t="n">
        <f aca="false">G4278/F4278-1</f>
        <v>0.219000944199307</v>
      </c>
      <c r="H4279" s="26" t="n">
        <f aca="false">H4278/G4278-1</f>
        <v>0.0781978902393121</v>
      </c>
      <c r="I4279" s="26" t="n">
        <f aca="false">I4278/H4278-1</f>
        <v>0.055155320236661</v>
      </c>
      <c r="J4279" s="26" t="n">
        <f aca="false">J4278/I4278-1</f>
        <v>0.0321131283721416</v>
      </c>
    </row>
    <row r="4280" customFormat="false" ht="17.15" hidden="false" customHeight="false" outlineLevel="0" collapsed="false">
      <c r="A4280" s="4" t="s">
        <v>582</v>
      </c>
      <c r="B4280" s="0" t="s">
        <v>76</v>
      </c>
      <c r="C4280" s="14" t="n">
        <f aca="false">C4276/C4254</f>
        <v>0.0629977625862272</v>
      </c>
      <c r="D4280" s="14" t="n">
        <f aca="false">D4276/D4254</f>
        <v>0.107397865592237</v>
      </c>
      <c r="E4280" s="14" t="n">
        <f aca="false">E4276/E4254</f>
        <v>0.127537788700156</v>
      </c>
      <c r="F4280" s="14" t="n">
        <f aca="false">F4276/F4254</f>
        <v>0.129508272195395</v>
      </c>
      <c r="G4280" s="14" t="n">
        <f aca="false">G4276/G4254</f>
        <v>0.140469294853726</v>
      </c>
      <c r="H4280" s="27" t="n">
        <f aca="false">$G4280+(fade_mA-$G4280)*1/3</f>
        <v>0.137581474840539</v>
      </c>
      <c r="I4280" s="27" t="n">
        <f aca="false">$G4280+(fade_mA-$G4280)*2/3</f>
        <v>0.134693654827351</v>
      </c>
      <c r="J4280" s="27" t="n">
        <f aca="false">$G4280+(fade_mA-$G4280)*3/3</f>
        <v>0.131805834814164</v>
      </c>
    </row>
    <row r="4281" customFormat="false" ht="17.15" hidden="false" customHeight="false" outlineLevel="0" collapsed="false">
      <c r="A4281" s="4" t="s">
        <v>583</v>
      </c>
      <c r="B4281" s="0" t="s">
        <v>234</v>
      </c>
      <c r="C4281" s="30" t="n">
        <f aca="false">C4276+C4262-C4260</f>
        <v>-54.587</v>
      </c>
      <c r="D4281" s="30" t="n">
        <f aca="false">D4276+D4262-D4260</f>
        <v>-176.164485935382</v>
      </c>
      <c r="E4281" s="30" t="n">
        <f aca="false">E4276+E4262-E4260</f>
        <v>-142.734501322915</v>
      </c>
      <c r="F4281" s="30" t="n">
        <f aca="false">F4276+F4262-F4260</f>
        <v>-48.0267579937511</v>
      </c>
      <c r="G4281" s="30" t="n">
        <f aca="false">G4276+G4262-G4260</f>
        <v>-33.8573107135469</v>
      </c>
      <c r="K4281" s="4" t="s">
        <v>584</v>
      </c>
    </row>
    <row r="4282" customFormat="false" ht="17.15" hidden="false" customHeight="false" outlineLevel="0" collapsed="false">
      <c r="A4282" s="4" t="s">
        <v>585</v>
      </c>
      <c r="B4282" s="0" t="s">
        <v>76</v>
      </c>
      <c r="D4282" s="21" t="n">
        <f aca="false">(D4270-$C4270)/SUM($D4260:D4260)</f>
        <v>0.164280348537512</v>
      </c>
      <c r="E4282" s="21" t="n">
        <f aca="false">(E4270-$C4270)/SUM($D4260:E4260)</f>
        <v>0.165364687224983</v>
      </c>
      <c r="F4282" s="21" t="n">
        <f aca="false">(F4270-$C4270)/SUM($D4260:F4260)</f>
        <v>0.132878050119959</v>
      </c>
      <c r="G4282" s="21" t="n">
        <f aca="false">(G4270-$C4270)/SUM($D4260:G4260)</f>
        <v>0.125025010249002</v>
      </c>
      <c r="K4282" s="4" t="s">
        <v>586</v>
      </c>
    </row>
    <row r="4285" customFormat="false" ht="17.15" hidden="false" customHeight="false" outlineLevel="0" collapsed="false">
      <c r="A4285" s="1" t="s">
        <v>1001</v>
      </c>
    </row>
    <row r="4286" customFormat="false" ht="17.15" hidden="false" customHeight="false" outlineLevel="0" collapsed="false">
      <c r="A4286" s="5" t="s">
        <v>21</v>
      </c>
      <c r="B4286" s="5" t="s">
        <v>22</v>
      </c>
      <c r="C4286" s="15" t="s">
        <v>424</v>
      </c>
      <c r="D4286" s="15" t="s">
        <v>524</v>
      </c>
      <c r="E4286" s="15" t="s">
        <v>525</v>
      </c>
      <c r="F4286" s="15" t="s">
        <v>526</v>
      </c>
      <c r="G4286" s="15" t="s">
        <v>527</v>
      </c>
      <c r="H4286" s="15" t="s">
        <v>528</v>
      </c>
      <c r="I4286" s="15" t="s">
        <v>529</v>
      </c>
      <c r="J4286" s="15" t="s">
        <v>530</v>
      </c>
      <c r="K4286" s="5" t="s">
        <v>382</v>
      </c>
    </row>
    <row r="4287" customFormat="false" ht="17.15" hidden="false" customHeight="false" outlineLevel="0" collapsed="false">
      <c r="A4287" s="6" t="s">
        <v>548</v>
      </c>
    </row>
    <row r="4288" customFormat="false" ht="17.15" hidden="false" customHeight="false" outlineLevel="0" collapsed="false">
      <c r="A4288" s="0" t="s">
        <v>549</v>
      </c>
      <c r="B4288" s="4" t="s">
        <v>32</v>
      </c>
      <c r="D4288" s="19" t="n">
        <f aca="false">units_26</f>
        <v>15.2</v>
      </c>
      <c r="E4288" s="19" t="n">
        <f aca="false">units_27*1</f>
        <v>23.7</v>
      </c>
      <c r="F4288" s="19" t="n">
        <f aca="false">units_28*um28_B*1</f>
        <v>21.2</v>
      </c>
      <c r="G4288" s="19" t="n">
        <f aca="false">units_29*um29_B*1</f>
        <v>25.6275</v>
      </c>
    </row>
    <row r="4289" customFormat="false" ht="17.15" hidden="false" customHeight="false" outlineLevel="0" collapsed="false">
      <c r="A4289" s="4" t="s">
        <v>497</v>
      </c>
      <c r="B4289" s="0" t="s">
        <v>45</v>
      </c>
      <c r="D4289" s="22" t="n">
        <f aca="false">ar_26</f>
        <v>1</v>
      </c>
      <c r="E4289" s="22" t="n">
        <f aca="false">ar_27</f>
        <v>1.278156</v>
      </c>
      <c r="F4289" s="22" t="n">
        <f aca="false">ar_28</f>
        <v>1.428615</v>
      </c>
      <c r="G4289" s="22" t="n">
        <f aca="false">ar_29</f>
        <v>1.431796</v>
      </c>
    </row>
    <row r="4290" customFormat="false" ht="17.15" hidden="false" customHeight="false" outlineLevel="0" collapsed="false">
      <c r="A4290" s="4" t="s">
        <v>550</v>
      </c>
      <c r="B4290" s="0" t="s">
        <v>45</v>
      </c>
      <c r="D4290" s="19" t="n">
        <f aca="false">1</f>
        <v>1</v>
      </c>
      <c r="E4290" s="19" t="n">
        <f aca="false">rel27_B</f>
        <v>1.05</v>
      </c>
      <c r="F4290" s="19" t="n">
        <f aca="false">rel28_B</f>
        <v>1.08</v>
      </c>
      <c r="G4290" s="19" t="n">
        <f aca="false">rel29_B</f>
        <v>1.1</v>
      </c>
    </row>
    <row r="4291" customFormat="false" ht="17.15" hidden="false" customHeight="false" outlineLevel="0" collapsed="false">
      <c r="A4291" s="4" t="s">
        <v>551</v>
      </c>
      <c r="B4291" s="0" t="s">
        <v>502</v>
      </c>
      <c r="D4291" s="23" t="n">
        <f aca="false">D4292*1000/D4288</f>
        <v>236.842105263158</v>
      </c>
      <c r="E4291" s="23" t="n">
        <f aca="false">$D4291*E4289^el</f>
        <v>267.763172119488</v>
      </c>
      <c r="F4291" s="23" t="n">
        <f aca="false">$D4291*F4289^el</f>
        <v>283.084777049615</v>
      </c>
      <c r="G4291" s="23" t="n">
        <f aca="false">$D4291*G4289^el</f>
        <v>283.399764630809</v>
      </c>
      <c r="K4291" s="8" t="s">
        <v>552</v>
      </c>
    </row>
    <row r="4292" customFormat="false" ht="17.15" hidden="false" customHeight="false" outlineLevel="0" collapsed="false">
      <c r="A4292" s="0" t="s">
        <v>553</v>
      </c>
      <c r="B4292" s="0" t="s">
        <v>120</v>
      </c>
      <c r="D4292" s="22" t="n">
        <f aca="false">leap26-D4293-D4294</f>
        <v>3.6</v>
      </c>
      <c r="E4292" s="22" t="n">
        <f aca="false">E4288*E4290*E4291/1000</f>
        <v>6.66328653819345</v>
      </c>
      <c r="F4292" s="22" t="n">
        <f aca="false">F4288*F4290*F4291/1000</f>
        <v>6.48150905532798</v>
      </c>
      <c r="G4292" s="22" t="n">
        <f aca="false">G4288*G4290*G4291/1000</f>
        <v>7.98911021488366</v>
      </c>
      <c r="K4292" s="8" t="s">
        <v>554</v>
      </c>
    </row>
    <row r="4293" customFormat="false" ht="17.15" hidden="false" customHeight="false" outlineLevel="0" collapsed="false">
      <c r="A4293" s="4" t="s">
        <v>555</v>
      </c>
      <c r="B4293" s="0" t="s">
        <v>120</v>
      </c>
      <c r="D4293" s="22" t="n">
        <f aca="false">fp26</f>
        <v>0.3</v>
      </c>
      <c r="E4293" s="22" t="n">
        <f aca="false">fp27_B</f>
        <v>1</v>
      </c>
      <c r="F4293" s="22" t="n">
        <f aca="false">E4293*F4288/E4288*(1+fp_g)</f>
        <v>1.16286919831224</v>
      </c>
      <c r="G4293" s="22" t="n">
        <f aca="false">F4293*G4288/F4288*(1+fp_g)</f>
        <v>1.82744620253165</v>
      </c>
    </row>
    <row r="4294" customFormat="false" ht="17.15" hidden="false" customHeight="false" outlineLevel="0" collapsed="false">
      <c r="A4294" s="0" t="s">
        <v>556</v>
      </c>
      <c r="B4294" s="0" t="s">
        <v>120</v>
      </c>
      <c r="D4294" s="22" t="n">
        <f aca="false">cpo27*cpo_B_26/cpo_A_27</f>
        <v>0.1</v>
      </c>
      <c r="E4294" s="22" t="n">
        <f aca="false">cpo27*cpo_B_27/cpo_A_27</f>
        <v>0.3</v>
      </c>
      <c r="F4294" s="22" t="n">
        <f aca="false">cpo27*cpo_B_28/cpo_A_27*F4288/E4288</f>
        <v>0.447257383966245</v>
      </c>
      <c r="G4294" s="22" t="n">
        <f aca="false">cpo27*cpo_B_29/cpo_A_27*G4288/E4288</f>
        <v>0.86506329113924</v>
      </c>
      <c r="K4294" s="8" t="s">
        <v>557</v>
      </c>
    </row>
    <row r="4295" customFormat="false" ht="17.15" hidden="false" customHeight="false" outlineLevel="0" collapsed="false">
      <c r="A4295" s="0" t="s">
        <v>510</v>
      </c>
      <c r="B4295" s="0" t="s">
        <v>120</v>
      </c>
      <c r="C4295" s="22" t="n">
        <f aca="false">leap25</f>
        <v>1.6</v>
      </c>
      <c r="D4295" s="22" t="n">
        <f aca="false">D4292+D4293+D4294</f>
        <v>4</v>
      </c>
      <c r="E4295" s="22" t="n">
        <f aca="false">E4292+E4293+E4294</f>
        <v>7.96328653819345</v>
      </c>
      <c r="F4295" s="22" t="n">
        <f aca="false">F4292+F4293+F4294</f>
        <v>8.09163563760646</v>
      </c>
      <c r="G4295" s="22" t="n">
        <f aca="false">G4292+G4293+G4294</f>
        <v>10.6816197085545</v>
      </c>
    </row>
    <row r="4296" customFormat="false" ht="17.15" hidden="false" customHeight="false" outlineLevel="0" collapsed="false">
      <c r="A4296" s="4" t="s">
        <v>558</v>
      </c>
      <c r="B4296" s="0" t="s">
        <v>114</v>
      </c>
      <c r="C4296" s="19" t="n">
        <f aca="false">fx25</f>
        <v>31</v>
      </c>
      <c r="D4296" s="19" t="n">
        <f aca="false">a26_leap/D4295</f>
        <v>31.9</v>
      </c>
      <c r="E4296" s="19" t="n">
        <f aca="false">fx</f>
        <v>32</v>
      </c>
      <c r="F4296" s="19" t="n">
        <f aca="false">fx</f>
        <v>32</v>
      </c>
      <c r="G4296" s="19" t="n">
        <f aca="false">fx</f>
        <v>32</v>
      </c>
      <c r="K4296" s="8" t="s">
        <v>559</v>
      </c>
    </row>
    <row r="4297" customFormat="false" ht="17.15" hidden="false" customHeight="false" outlineLevel="0" collapsed="false">
      <c r="A4297" s="6" t="s">
        <v>560</v>
      </c>
    </row>
    <row r="4298" customFormat="false" ht="17.15" hidden="false" customHeight="false" outlineLevel="0" collapsed="false">
      <c r="A4298" s="0" t="s">
        <v>438</v>
      </c>
      <c r="B4298" s="0" t="s">
        <v>234</v>
      </c>
      <c r="C4298" s="30" t="n">
        <f aca="false">a25_leap</f>
        <v>49.6</v>
      </c>
      <c r="D4298" s="30" t="n">
        <f aca="false">a26_leap</f>
        <v>127.6</v>
      </c>
      <c r="E4298" s="30" t="n">
        <f aca="false">E4295*E4296</f>
        <v>254.82516922219</v>
      </c>
      <c r="F4298" s="30" t="n">
        <f aca="false">F4295*F4296</f>
        <v>258.932340403407</v>
      </c>
      <c r="G4298" s="30" t="n">
        <f aca="false">G4295*G4296</f>
        <v>341.811830673745</v>
      </c>
    </row>
    <row r="4299" customFormat="false" ht="15" hidden="false" customHeight="false" outlineLevel="0" collapsed="false">
      <c r="A4299" s="4" t="s">
        <v>561</v>
      </c>
      <c r="B4299" s="0" t="s">
        <v>234</v>
      </c>
      <c r="C4299" s="30" t="n">
        <f aca="false">a25_ms</f>
        <v>339.628</v>
      </c>
      <c r="D4299" s="30" t="n">
        <f aca="false">a26_ms</f>
        <v>432.1302</v>
      </c>
      <c r="E4299" s="30" t="n">
        <f aca="false">D4299*(1+g_ms27)</f>
        <v>496.94973</v>
      </c>
      <c r="F4299" s="30" t="n">
        <f aca="false">E4299*(1+g_msL)</f>
        <v>531.7362111</v>
      </c>
      <c r="G4299" s="30" t="n">
        <f aca="false">F4299*(1+g_msL)</f>
        <v>568.957745877</v>
      </c>
    </row>
    <row r="4300" customFormat="false" ht="17.15" hidden="false" customHeight="false" outlineLevel="0" collapsed="false">
      <c r="A4300" s="4" t="s">
        <v>562</v>
      </c>
      <c r="B4300" s="0" t="s">
        <v>234</v>
      </c>
      <c r="C4300" s="30" t="n">
        <f aca="false">C4298+C4299</f>
        <v>389.228</v>
      </c>
      <c r="D4300" s="30" t="n">
        <f aca="false">D4298+D4299</f>
        <v>559.7302</v>
      </c>
      <c r="E4300" s="30" t="n">
        <f aca="false">E4298+E4299</f>
        <v>751.77489922219</v>
      </c>
      <c r="F4300" s="30" t="n">
        <f aca="false">F4298+F4299</f>
        <v>790.668551503407</v>
      </c>
      <c r="G4300" s="30" t="n">
        <f aca="false">G4298+G4299</f>
        <v>910.769576550745</v>
      </c>
    </row>
    <row r="4301" customFormat="false" ht="17.15" hidden="false" customHeight="false" outlineLevel="0" collapsed="false">
      <c r="A4301" s="0" t="s">
        <v>563</v>
      </c>
      <c r="B4301" s="0" t="s">
        <v>234</v>
      </c>
      <c r="C4301" s="30" t="n">
        <f aca="false">a25_ems</f>
        <v>259.079</v>
      </c>
      <c r="D4301" s="30" t="n">
        <f aca="false">a26_ems</f>
        <v>314.602</v>
      </c>
      <c r="E4301" s="30" t="n">
        <f aca="false">D4301*(1+g_ems27)</f>
        <v>346.0622</v>
      </c>
      <c r="F4301" s="30" t="n">
        <f aca="false">E4301*(1+g_emsL)</f>
        <v>363.36531</v>
      </c>
      <c r="G4301" s="30" t="n">
        <f aca="false">F4301*(1+g_emsL)</f>
        <v>381.5335755</v>
      </c>
    </row>
    <row r="4302" customFormat="false" ht="17.15" hidden="false" customHeight="false" outlineLevel="0" collapsed="false">
      <c r="A4302" s="4" t="s">
        <v>564</v>
      </c>
      <c r="B4302" s="0" t="s">
        <v>234</v>
      </c>
      <c r="C4302" s="30" t="n">
        <f aca="false">a25_elim</f>
        <v>-2.91899999999998</v>
      </c>
      <c r="D4302" s="30" t="n">
        <f aca="false">a26_elim</f>
        <v>-3.16484905982349</v>
      </c>
      <c r="E4302" s="30" t="n">
        <f aca="false">$D4302/($D4300+$D4301)*(E4300+E4301)</f>
        <v>-3.97387710450638</v>
      </c>
      <c r="F4302" s="30" t="n">
        <f aca="false">$D4302/($D4300+$D4301)*(F4300+F4301)</f>
        <v>-4.17729437573445</v>
      </c>
      <c r="G4302" s="30" t="n">
        <f aca="false">$D4302/($D4300+$D4301)*(G4300+G4301)</f>
        <v>-4.67779228052533</v>
      </c>
      <c r="K4302" s="4" t="s">
        <v>565</v>
      </c>
    </row>
    <row r="4303" customFormat="false" ht="17.15" hidden="false" customHeight="false" outlineLevel="0" collapsed="false">
      <c r="A4303" s="4" t="s">
        <v>431</v>
      </c>
      <c r="B4303" s="0" t="s">
        <v>234</v>
      </c>
      <c r="C4303" s="30" t="n">
        <f aca="false">C4300+C4301+C4302</f>
        <v>645.388</v>
      </c>
      <c r="D4303" s="30" t="n">
        <f aca="false">D4300+D4301+D4302</f>
        <v>871.167350940177</v>
      </c>
      <c r="E4303" s="30" t="n">
        <f aca="false">E4300+E4301+E4302</f>
        <v>1093.86322211768</v>
      </c>
      <c r="F4303" s="30" t="n">
        <f aca="false">F4300+F4301+F4302</f>
        <v>1149.85656712767</v>
      </c>
      <c r="G4303" s="30" t="n">
        <f aca="false">G4300+G4301+G4302</f>
        <v>1287.62535977022</v>
      </c>
      <c r="H4303" s="31" t="n">
        <f aca="false">G4303*(1+H4304)</f>
        <v>1407.64396999115</v>
      </c>
      <c r="I4303" s="31" t="n">
        <f aca="false">H4303*(1+I4304)</f>
        <v>1501.39957757674</v>
      </c>
      <c r="J4303" s="31" t="n">
        <f aca="false">I4303*(1+J4304)</f>
        <v>1561.45556067981</v>
      </c>
      <c r="K4303" s="8" t="s">
        <v>566</v>
      </c>
    </row>
    <row r="4304" customFormat="false" ht="15" hidden="false" customHeight="false" outlineLevel="0" collapsed="false">
      <c r="A4304" s="4" t="s">
        <v>567</v>
      </c>
      <c r="B4304" s="0" t="s">
        <v>76</v>
      </c>
      <c r="D4304" s="21" t="n">
        <f aca="false">D4303/C4303-1</f>
        <v>0.349835061916516</v>
      </c>
      <c r="E4304" s="21" t="n">
        <f aca="false">E4303/D4303-1</f>
        <v>0.255629266796065</v>
      </c>
      <c r="F4304" s="21" t="n">
        <f aca="false">F4303/E4303-1</f>
        <v>0.0511886165270159</v>
      </c>
      <c r="G4304" s="21" t="n">
        <f aca="false">G4303/F4303-1</f>
        <v>0.11981389382042</v>
      </c>
      <c r="H4304" s="26" t="n">
        <f aca="false">$G4304+(fade_gB-$G4304)*1/3</f>
        <v>0.0932092625469469</v>
      </c>
      <c r="I4304" s="26" t="n">
        <f aca="false">$G4304+(fade_gB-$G4304)*2/3</f>
        <v>0.0666046312734734</v>
      </c>
      <c r="J4304" s="26" t="n">
        <f aca="false">$G4304+(fade_gB-$G4304)*3/3</f>
        <v>0.04</v>
      </c>
    </row>
    <row r="4305" customFormat="false" ht="17.15" hidden="false" customHeight="false" outlineLevel="0" collapsed="false">
      <c r="A4305" s="0" t="s">
        <v>475</v>
      </c>
      <c r="B4305" s="0" t="s">
        <v>76</v>
      </c>
      <c r="C4305" s="21" t="n">
        <f aca="false">C4298/C4300</f>
        <v>0.127431736668482</v>
      </c>
      <c r="D4305" s="21" t="n">
        <f aca="false">D4298/D4300</f>
        <v>0.227966974088588</v>
      </c>
      <c r="E4305" s="21" t="n">
        <f aca="false">E4298/E4300</f>
        <v>0.338964721335922</v>
      </c>
      <c r="F4305" s="21" t="n">
        <f aca="false">F4298/F4300</f>
        <v>0.327485315953269</v>
      </c>
      <c r="G4305" s="21" t="n">
        <f aca="false">G4298/G4300</f>
        <v>0.375300009436251</v>
      </c>
    </row>
    <row r="4306" customFormat="false" ht="15" hidden="false" customHeight="false" outlineLevel="0" collapsed="false">
      <c r="A4306" s="4" t="s">
        <v>568</v>
      </c>
      <c r="B4306" s="0" t="s">
        <v>76</v>
      </c>
      <c r="D4306" s="21" t="n">
        <f aca="false">D4300/C4300-1</f>
        <v>0.438052247012034</v>
      </c>
      <c r="E4306" s="21" t="n">
        <f aca="false">E4300/D4300-1</f>
        <v>0.343102264666424</v>
      </c>
      <c r="F4306" s="21" t="n">
        <f aca="false">F4300/E4300-1</f>
        <v>0.0517357686741828</v>
      </c>
      <c r="G4306" s="21" t="n">
        <f aca="false">G4300/F4300-1</f>
        <v>0.151898067551788</v>
      </c>
    </row>
    <row r="4307" customFormat="false" ht="17.15" hidden="false" customHeight="false" outlineLevel="0" collapsed="false">
      <c r="A4307" s="6" t="s">
        <v>569</v>
      </c>
    </row>
    <row r="4308" customFormat="false" ht="17.15" hidden="false" customHeight="false" outlineLevel="0" collapsed="false">
      <c r="A4308" s="4" t="s">
        <v>570</v>
      </c>
      <c r="B4308" s="0" t="s">
        <v>120</v>
      </c>
      <c r="C4308" s="19" t="n">
        <f aca="false">capex25</f>
        <v>5.5</v>
      </c>
      <c r="D4308" s="19" t="n">
        <f aca="false">capex26</f>
        <v>11.5</v>
      </c>
      <c r="E4308" s="19" t="n">
        <f aca="false">capex27</f>
        <v>13</v>
      </c>
      <c r="F4308" s="19" t="n">
        <f aca="false">capi*F4303/F4296</f>
        <v>10.7799053168219</v>
      </c>
      <c r="G4308" s="19" t="n">
        <f aca="false">capi*G4303/G4296</f>
        <v>12.0714877478458</v>
      </c>
      <c r="K4308" s="8" t="s">
        <v>571</v>
      </c>
    </row>
    <row r="4309" customFormat="false" ht="15" hidden="false" customHeight="false" outlineLevel="0" collapsed="false">
      <c r="A4309" s="4" t="s">
        <v>572</v>
      </c>
      <c r="B4309" s="0" t="s">
        <v>234</v>
      </c>
      <c r="C4309" s="30" t="n">
        <f aca="false">C4308*C4296</f>
        <v>170.5</v>
      </c>
      <c r="D4309" s="30" t="n">
        <f aca="false">D4308*31.9</f>
        <v>366.85</v>
      </c>
      <c r="E4309" s="30" t="n">
        <f aca="false">E4308*E4296</f>
        <v>416</v>
      </c>
      <c r="F4309" s="30" t="n">
        <f aca="false">F4308*F4296</f>
        <v>344.956970138302</v>
      </c>
      <c r="G4309" s="30" t="n">
        <f aca="false">G4308*G4296</f>
        <v>386.287607931066</v>
      </c>
    </row>
    <row r="4310" customFormat="false" ht="17.15" hidden="false" customHeight="false" outlineLevel="0" collapsed="false">
      <c r="A4310" s="4" t="s">
        <v>473</v>
      </c>
      <c r="B4310" s="0" t="s">
        <v>76</v>
      </c>
      <c r="C4310" s="21" t="n">
        <f aca="false">C4309/C4303</f>
        <v>0.264182166386732</v>
      </c>
      <c r="D4310" s="21" t="n">
        <f aca="false">D4309/D4303</f>
        <v>0.421101639775745</v>
      </c>
      <c r="E4310" s="21" t="n">
        <f aca="false">E4309/E4303</f>
        <v>0.380303489127861</v>
      </c>
      <c r="F4310" s="21" t="n">
        <f aca="false">F4309/F4303</f>
        <v>0.3</v>
      </c>
      <c r="G4310" s="21" t="n">
        <f aca="false">G4309/G4303</f>
        <v>0.3</v>
      </c>
    </row>
    <row r="4311" customFormat="false" ht="17.15" hidden="false" customHeight="false" outlineLevel="0" collapsed="false">
      <c r="A4311" s="4" t="s">
        <v>573</v>
      </c>
      <c r="B4311" s="0" t="s">
        <v>234</v>
      </c>
      <c r="C4311" s="30" t="n">
        <f aca="false">a25_da</f>
        <v>75.255</v>
      </c>
      <c r="D4311" s="30" t="n">
        <f aca="false">a26_da</f>
        <v>97.124</v>
      </c>
      <c r="E4311" s="30" t="n">
        <f aca="false">D4311*(1-1/life)+D4309/life</f>
        <v>130.83975</v>
      </c>
      <c r="F4311" s="30" t="n">
        <f aca="false">E4311*(1-1/life)+E4309/life</f>
        <v>166.48478125</v>
      </c>
      <c r="G4311" s="30" t="n">
        <f aca="false">F4311*(1-1/life)+F4309/life</f>
        <v>188.793804861038</v>
      </c>
      <c r="K4311" s="4" t="s">
        <v>574</v>
      </c>
    </row>
    <row r="4312" customFormat="false" ht="17.15" hidden="false" customHeight="false" outlineLevel="0" collapsed="false">
      <c r="A4312" s="4" t="s">
        <v>575</v>
      </c>
      <c r="B4312" s="0" t="s">
        <v>234</v>
      </c>
      <c r="C4312" s="30" t="n">
        <f aca="false">a25_agp</f>
        <v>91.38</v>
      </c>
      <c r="D4312" s="30" t="n">
        <f aca="false">a26_agp</f>
        <v>164.623388</v>
      </c>
      <c r="E4312" s="30" t="n">
        <f aca="false">$D4312+ft*(E4300-$D4300)-(E4311-$D4311)</f>
        <v>226.929987611095</v>
      </c>
      <c r="F4312" s="30" t="n">
        <f aca="false">$D4312+ft*(F4300-$D4300)-(F4311-$D4311)</f>
        <v>210.731782501703</v>
      </c>
      <c r="G4312" s="30" t="n">
        <f aca="false">$D4312+ft*(G4300-$D4300)-(G4311-$D4311)</f>
        <v>248.473271414335</v>
      </c>
      <c r="K4312" s="4" t="s">
        <v>576</v>
      </c>
    </row>
    <row r="4313" customFormat="false" ht="15" hidden="false" customHeight="false" outlineLevel="0" collapsed="false">
      <c r="A4313" s="4" t="s">
        <v>447</v>
      </c>
      <c r="B4313" s="0" t="s">
        <v>76</v>
      </c>
      <c r="C4313" s="14" t="n">
        <f aca="false">C4312/C4300</f>
        <v>0.234772421305764</v>
      </c>
      <c r="D4313" s="14" t="n">
        <f aca="false">D4312/D4300</f>
        <v>0.294112034690999</v>
      </c>
      <c r="E4313" s="14" t="n">
        <f aca="false">E4312/E4300</f>
        <v>0.301858957842147</v>
      </c>
      <c r="F4313" s="14" t="n">
        <f aca="false">F4312/F4300</f>
        <v>0.26652354150296</v>
      </c>
      <c r="G4313" s="14" t="n">
        <f aca="false">G4312/G4300</f>
        <v>0.272816832941818</v>
      </c>
    </row>
    <row r="4314" customFormat="false" ht="17.15" hidden="false" customHeight="false" outlineLevel="0" collapsed="false">
      <c r="A4314" s="0" t="s">
        <v>449</v>
      </c>
      <c r="B4314" s="0" t="s">
        <v>234</v>
      </c>
      <c r="C4314" s="30" t="n">
        <f aca="false">a25_egp</f>
        <v>23.695</v>
      </c>
      <c r="D4314" s="30" t="n">
        <f aca="false">a26_egp</f>
        <v>27.00552</v>
      </c>
      <c r="E4314" s="30" t="n">
        <f aca="false">E4301*ems_gm</f>
        <v>29.415287</v>
      </c>
      <c r="F4314" s="30" t="n">
        <f aca="false">F4301*ems_gm</f>
        <v>30.88605135</v>
      </c>
      <c r="G4314" s="30" t="n">
        <f aca="false">G4301*ems_gm</f>
        <v>32.4303539175</v>
      </c>
    </row>
    <row r="4315" customFormat="false" ht="15" hidden="false" customHeight="false" outlineLevel="0" collapsed="false">
      <c r="A4315" s="4" t="s">
        <v>577</v>
      </c>
      <c r="B4315" s="0" t="s">
        <v>234</v>
      </c>
      <c r="C4315" s="30" t="n">
        <f aca="false">a25_lgp</f>
        <v>-0.881999999999998</v>
      </c>
      <c r="D4315" s="30" t="n">
        <f aca="false">a26_lgp</f>
        <v>-0.948662139013863</v>
      </c>
      <c r="E4315" s="30" t="n">
        <f aca="false">$D4315/$D4302*E4302</f>
        <v>-1.19116794604716</v>
      </c>
      <c r="F4315" s="30" t="n">
        <f aca="false">$D4315/$D4302*F4302</f>
        <v>-1.25214218525664</v>
      </c>
      <c r="G4315" s="30" t="n">
        <f aca="false">$D4315/$D4302*G4302</f>
        <v>-1.40216621608905</v>
      </c>
    </row>
    <row r="4316" customFormat="false" ht="15" hidden="false" customHeight="false" outlineLevel="0" collapsed="false">
      <c r="A4316" s="4" t="s">
        <v>451</v>
      </c>
      <c r="B4316" s="0" t="s">
        <v>234</v>
      </c>
      <c r="C4316" s="30" t="n">
        <f aca="false">C4312+C4314+C4315</f>
        <v>114.193</v>
      </c>
      <c r="D4316" s="30" t="n">
        <f aca="false">D4312+D4314+D4315</f>
        <v>190.680245860986</v>
      </c>
      <c r="E4316" s="30" t="n">
        <f aca="false">E4312+E4314+E4315</f>
        <v>255.154106665048</v>
      </c>
      <c r="F4316" s="30" t="n">
        <f aca="false">F4312+F4314+F4315</f>
        <v>240.365691666447</v>
      </c>
      <c r="G4316" s="30" t="n">
        <f aca="false">G4312+G4314+G4315</f>
        <v>279.501459115746</v>
      </c>
    </row>
    <row r="4317" customFormat="false" ht="15" hidden="false" customHeight="false" outlineLevel="0" collapsed="false">
      <c r="A4317" s="4" t="s">
        <v>452</v>
      </c>
      <c r="B4317" s="0" t="s">
        <v>76</v>
      </c>
      <c r="C4317" s="14" t="n">
        <f aca="false">C4316/C4303</f>
        <v>0.176936974347214</v>
      </c>
      <c r="D4317" s="14" t="n">
        <f aca="false">D4316/D4303</f>
        <v>0.218879008327391</v>
      </c>
      <c r="E4317" s="14" t="n">
        <f aca="false">E4316/E4303</f>
        <v>0.233259608245241</v>
      </c>
      <c r="F4317" s="14" t="n">
        <f aca="false">F4316/F4303</f>
        <v>0.209039717246541</v>
      </c>
      <c r="G4317" s="14" t="n">
        <f aca="false">G4316/G4303</f>
        <v>0.217067376776133</v>
      </c>
    </row>
    <row r="4318" customFormat="false" ht="15" hidden="false" customHeight="false" outlineLevel="0" collapsed="false">
      <c r="A4318" s="4" t="s">
        <v>578</v>
      </c>
      <c r="B4318" s="0" t="s">
        <v>234</v>
      </c>
      <c r="C4318" s="30" t="n">
        <f aca="false">a25_opx</f>
        <v>63.437</v>
      </c>
      <c r="D4318" s="30" t="n">
        <f aca="false">a26_opx</f>
        <v>79.658</v>
      </c>
      <c r="E4318" s="30" t="n">
        <f aca="false">D4318*(1+phi_lo*E4304)</f>
        <v>85.7668748403323</v>
      </c>
      <c r="F4318" s="30" t="n">
        <f aca="false">E4318*(1+phi_lo*F4304)</f>
        <v>87.083961140409</v>
      </c>
      <c r="G4318" s="30" t="n">
        <f aca="false">F4318*(1+phi_lo*G4304)</f>
        <v>90.2141216824705</v>
      </c>
    </row>
    <row r="4319" customFormat="false" ht="15" hidden="false" customHeight="false" outlineLevel="0" collapsed="false">
      <c r="A4319" s="4" t="s">
        <v>455</v>
      </c>
      <c r="B4319" s="0" t="s">
        <v>234</v>
      </c>
      <c r="C4319" s="30" t="n">
        <f aca="false">C4316-C4318</f>
        <v>50.756</v>
      </c>
      <c r="D4319" s="30" t="n">
        <f aca="false">D4316-D4318</f>
        <v>111.022245860986</v>
      </c>
      <c r="E4319" s="30" t="n">
        <f aca="false">E4316-E4318</f>
        <v>169.387231824716</v>
      </c>
      <c r="F4319" s="30" t="n">
        <f aca="false">F4316-F4318</f>
        <v>153.281730526038</v>
      </c>
      <c r="G4319" s="30" t="n">
        <f aca="false">G4316-G4318</f>
        <v>189.287337433275</v>
      </c>
    </row>
    <row r="4320" customFormat="false" ht="15" hidden="false" customHeight="false" outlineLevel="0" collapsed="false">
      <c r="A4320" s="4" t="s">
        <v>537</v>
      </c>
      <c r="B4320" s="0" t="s">
        <v>76</v>
      </c>
      <c r="C4320" s="14" t="n">
        <f aca="false">C4319/C4303</f>
        <v>0.0786441644406156</v>
      </c>
      <c r="D4320" s="14" t="n">
        <f aca="false">D4319/D4303</f>
        <v>0.127440779020437</v>
      </c>
      <c r="E4320" s="14" t="n">
        <f aca="false">E4319/E4303</f>
        <v>0.154852296338099</v>
      </c>
      <c r="F4320" s="14" t="n">
        <f aca="false">F4319/F4303</f>
        <v>0.133305087702315</v>
      </c>
      <c r="G4320" s="14" t="n">
        <f aca="false">G4319/G4303</f>
        <v>0.1470049778043</v>
      </c>
    </row>
    <row r="4321" customFormat="false" ht="15" hidden="false" customHeight="false" outlineLevel="0" collapsed="false">
      <c r="A4321" s="4" t="s">
        <v>456</v>
      </c>
      <c r="B4321" s="0" t="s">
        <v>234</v>
      </c>
      <c r="C4321" s="30" t="n">
        <f aca="false">a25_nonop</f>
        <v>0.545</v>
      </c>
      <c r="D4321" s="30" t="n">
        <f aca="false">a26_nonop</f>
        <v>4.302</v>
      </c>
      <c r="E4321" s="30" t="n">
        <f aca="false">nonop_f</f>
        <v>-5</v>
      </c>
      <c r="F4321" s="30" t="n">
        <f aca="false">nonop_f</f>
        <v>-5</v>
      </c>
      <c r="G4321" s="30" t="n">
        <f aca="false">nonop_f</f>
        <v>-5</v>
      </c>
    </row>
    <row r="4322" customFormat="false" ht="15" hidden="false" customHeight="false" outlineLevel="0" collapsed="false">
      <c r="A4322" s="4" t="s">
        <v>459</v>
      </c>
      <c r="B4322" s="0" t="s">
        <v>234</v>
      </c>
      <c r="C4322" s="30" t="n">
        <f aca="false">C4319+C4321</f>
        <v>51.301</v>
      </c>
      <c r="D4322" s="30" t="n">
        <f aca="false">D4319+D4321</f>
        <v>115.324245860986</v>
      </c>
      <c r="E4322" s="30" t="n">
        <f aca="false">E4319+E4321</f>
        <v>164.387231824716</v>
      </c>
      <c r="F4322" s="30" t="n">
        <f aca="false">F4319+F4321</f>
        <v>148.281730526038</v>
      </c>
      <c r="G4322" s="30" t="n">
        <f aca="false">G4319+G4321</f>
        <v>184.287337433275</v>
      </c>
    </row>
    <row r="4323" customFormat="false" ht="15" hidden="false" customHeight="false" outlineLevel="0" collapsed="false">
      <c r="A4323" s="4" t="s">
        <v>460</v>
      </c>
      <c r="B4323" s="0" t="s">
        <v>234</v>
      </c>
      <c r="C4323" s="30" t="n">
        <f aca="false">a25_tax</f>
        <v>9.461</v>
      </c>
      <c r="D4323" s="30" t="n">
        <f aca="false">a26_tax</f>
        <v>19.2197317963676</v>
      </c>
      <c r="E4323" s="30" t="n">
        <f aca="false">E4322*tax</f>
        <v>27.9458294102017</v>
      </c>
      <c r="F4323" s="30" t="n">
        <f aca="false">F4322*tax</f>
        <v>25.2078941894264</v>
      </c>
      <c r="G4323" s="30" t="n">
        <f aca="false">G4322*tax</f>
        <v>31.3288473636568</v>
      </c>
    </row>
    <row r="4324" customFormat="false" ht="15" hidden="false" customHeight="false" outlineLevel="0" collapsed="false">
      <c r="A4324" s="4" t="s">
        <v>461</v>
      </c>
      <c r="B4324" s="0" t="s">
        <v>234</v>
      </c>
      <c r="C4324" s="30" t="n">
        <f aca="false">a25_nci</f>
        <v>1.182</v>
      </c>
      <c r="D4324" s="30" t="n">
        <f aca="false">a26_nci</f>
        <v>2.543</v>
      </c>
      <c r="E4324" s="30" t="n">
        <f aca="false">nci</f>
        <v>3</v>
      </c>
      <c r="F4324" s="30" t="n">
        <f aca="false">nci</f>
        <v>3</v>
      </c>
      <c r="G4324" s="30" t="n">
        <f aca="false">nci</f>
        <v>3</v>
      </c>
    </row>
    <row r="4325" customFormat="false" ht="15" hidden="false" customHeight="false" outlineLevel="0" collapsed="false">
      <c r="A4325" s="4" t="s">
        <v>462</v>
      </c>
      <c r="B4325" s="0" t="s">
        <v>234</v>
      </c>
      <c r="C4325" s="30" t="n">
        <f aca="false">C4322-C4323-C4324</f>
        <v>40.658</v>
      </c>
      <c r="D4325" s="30" t="n">
        <f aca="false">D4322-D4323-D4324</f>
        <v>93.5615140646185</v>
      </c>
      <c r="E4325" s="30" t="n">
        <f aca="false">E4322-E4323-E4324</f>
        <v>133.441402414514</v>
      </c>
      <c r="F4325" s="30" t="n">
        <f aca="false">F4322-F4323-F4324</f>
        <v>120.073836336611</v>
      </c>
      <c r="G4325" s="30" t="n">
        <f aca="false">G4322-G4323-G4324</f>
        <v>149.958490069619</v>
      </c>
      <c r="H4325" s="31" t="n">
        <f aca="false">H4303*H4329</f>
        <v>155.397943912699</v>
      </c>
      <c r="I4325" s="31" t="n">
        <f aca="false">I4303*I4329</f>
        <v>156.641425472409</v>
      </c>
      <c r="J4325" s="31" t="n">
        <f aca="false">J4303*J4329</f>
        <v>153.436071648244</v>
      </c>
    </row>
    <row r="4326" customFormat="false" ht="15" hidden="false" customHeight="false" outlineLevel="0" collapsed="false">
      <c r="A4326" s="4" t="s">
        <v>579</v>
      </c>
      <c r="B4326" s="4" t="s">
        <v>580</v>
      </c>
      <c r="C4326" s="18" t="n">
        <f aca="false">a25_sh</f>
        <v>4339.16755602988</v>
      </c>
      <c r="D4326" s="18" t="n">
        <f aca="false">a26_sh</f>
        <v>4392.90105184664</v>
      </c>
      <c r="E4326" s="18" t="n">
        <f aca="false">D4326*(1+sh_g)</f>
        <v>4414.86555710588</v>
      </c>
      <c r="F4326" s="18" t="n">
        <f aca="false">E4326*(1+sh_g)</f>
        <v>4436.9398848914</v>
      </c>
      <c r="G4326" s="18" t="n">
        <f aca="false">F4326*(1+sh_g)</f>
        <v>4459.12458431586</v>
      </c>
      <c r="H4326" s="25" t="n">
        <f aca="false">G4326*(1+sh_g)</f>
        <v>4481.42020723744</v>
      </c>
      <c r="I4326" s="25" t="n">
        <f aca="false">H4326*(1+sh_g)</f>
        <v>4503.82730827363</v>
      </c>
      <c r="J4326" s="25" t="n">
        <f aca="false">I4326*(1+sh_g)</f>
        <v>4526.34644481499</v>
      </c>
    </row>
    <row r="4327" customFormat="false" ht="17.15" hidden="false" customHeight="false" outlineLevel="0" collapsed="false">
      <c r="A4327" s="0" t="s">
        <v>465</v>
      </c>
      <c r="B4327" s="0" t="s">
        <v>304</v>
      </c>
      <c r="C4327" s="19" t="n">
        <f aca="false">a25_eps</f>
        <v>9.37</v>
      </c>
      <c r="D4327" s="19" t="n">
        <f aca="false">a26_eps</f>
        <v>21.2828697294455</v>
      </c>
      <c r="E4327" s="19" t="n">
        <f aca="false">E4325/E4326*1000</f>
        <v>30.2254736160053</v>
      </c>
      <c r="F4327" s="19" t="n">
        <f aca="false">F4325/F4326*1000</f>
        <v>27.0623085846813</v>
      </c>
      <c r="G4327" s="19" t="n">
        <f aca="false">G4325/G4326*1000</f>
        <v>33.6295807022458</v>
      </c>
      <c r="H4327" s="28" t="n">
        <f aca="false">H4325/H4326*1000</f>
        <v>34.676048378979</v>
      </c>
      <c r="I4327" s="28" t="n">
        <f aca="false">I4325/I4326*1000</f>
        <v>34.7796251389691</v>
      </c>
      <c r="J4327" s="28" t="n">
        <f aca="false">J4325/J4326*1000</f>
        <v>33.8984374083887</v>
      </c>
    </row>
    <row r="4328" customFormat="false" ht="17.15" hidden="false" customHeight="false" outlineLevel="0" collapsed="false">
      <c r="A4328" s="0" t="s">
        <v>581</v>
      </c>
      <c r="B4328" s="0" t="s">
        <v>76</v>
      </c>
      <c r="D4328" s="21" t="n">
        <f aca="false">D4327/C4327-1</f>
        <v>1.27138417603474</v>
      </c>
      <c r="E4328" s="21" t="n">
        <f aca="false">E4327/D4327-1</f>
        <v>0.42017848157889</v>
      </c>
      <c r="F4328" s="21" t="n">
        <f aca="false">F4327/E4327-1</f>
        <v>-0.104652290035549</v>
      </c>
      <c r="G4328" s="21" t="n">
        <f aca="false">G4327/F4327-1</f>
        <v>0.242672279676908</v>
      </c>
      <c r="H4328" s="26" t="n">
        <f aca="false">H4327/G4327-1</f>
        <v>0.0311174761885524</v>
      </c>
      <c r="I4328" s="26" t="n">
        <f aca="false">I4327/H4327-1</f>
        <v>0.00298698279741005</v>
      </c>
      <c r="J4328" s="26" t="n">
        <f aca="false">J4327/I4327-1</f>
        <v>-0.0253363205342048</v>
      </c>
    </row>
    <row r="4329" customFormat="false" ht="17.15" hidden="false" customHeight="false" outlineLevel="0" collapsed="false">
      <c r="A4329" s="4" t="s">
        <v>582</v>
      </c>
      <c r="B4329" s="0" t="s">
        <v>76</v>
      </c>
      <c r="C4329" s="14" t="n">
        <f aca="false">C4325/C4303</f>
        <v>0.0629977625862272</v>
      </c>
      <c r="D4329" s="14" t="n">
        <f aca="false">D4325/D4303</f>
        <v>0.107397865592237</v>
      </c>
      <c r="E4329" s="14" t="n">
        <f aca="false">E4325/E4303</f>
        <v>0.121990939741237</v>
      </c>
      <c r="F4329" s="14" t="n">
        <f aca="false">F4325/F4303</f>
        <v>0.104425055932458</v>
      </c>
      <c r="G4329" s="14" t="n">
        <f aca="false">G4325/G4303</f>
        <v>0.116461274183338</v>
      </c>
      <c r="H4329" s="27" t="n">
        <f aca="false">$G4329+(fade_mB-$G4329)*1/3</f>
        <v>0.110395772812977</v>
      </c>
      <c r="I4329" s="27" t="n">
        <f aca="false">$G4329+(fade_mB-$G4329)*2/3</f>
        <v>0.104330271442615</v>
      </c>
      <c r="J4329" s="27" t="n">
        <f aca="false">$G4329+(fade_mB-$G4329)*3/3</f>
        <v>0.0982647700722541</v>
      </c>
    </row>
    <row r="4330" customFormat="false" ht="17.15" hidden="false" customHeight="false" outlineLevel="0" collapsed="false">
      <c r="A4330" s="4" t="s">
        <v>583</v>
      </c>
      <c r="B4330" s="0" t="s">
        <v>234</v>
      </c>
      <c r="C4330" s="30" t="n">
        <f aca="false">C4325+C4311-C4309</f>
        <v>-54.587</v>
      </c>
      <c r="D4330" s="30" t="n">
        <f aca="false">D4325+D4311-D4309</f>
        <v>-176.164485935382</v>
      </c>
      <c r="E4330" s="30" t="n">
        <f aca="false">E4325+E4311-E4309</f>
        <v>-151.718847585486</v>
      </c>
      <c r="F4330" s="30" t="n">
        <f aca="false">F4325+F4311-F4309</f>
        <v>-58.3983525516904</v>
      </c>
      <c r="G4330" s="30" t="n">
        <f aca="false">G4325+G4311-G4309</f>
        <v>-47.5353130004098</v>
      </c>
      <c r="K4330" s="4" t="s">
        <v>584</v>
      </c>
    </row>
    <row r="4331" customFormat="false" ht="17.15" hidden="false" customHeight="false" outlineLevel="0" collapsed="false">
      <c r="A4331" s="4" t="s">
        <v>585</v>
      </c>
      <c r="B4331" s="0" t="s">
        <v>76</v>
      </c>
      <c r="D4331" s="21" t="n">
        <f aca="false">(D4319-$C4319)/SUM($D4309:D4309)</f>
        <v>0.164280348537512</v>
      </c>
      <c r="E4331" s="21" t="n">
        <f aca="false">(E4319-$C4319)/SUM($D4309:E4309)</f>
        <v>0.151537627674159</v>
      </c>
      <c r="F4331" s="21" t="n">
        <f aca="false">(F4319-$C4319)/SUM($D4309:F4309)</f>
        <v>0.0909071616337547</v>
      </c>
      <c r="G4331" s="21" t="n">
        <f aca="false">(G4319-$C4319)/SUM($D4309:G4309)</f>
        <v>0.0914945073047667</v>
      </c>
      <c r="K4331" s="4" t="s">
        <v>586</v>
      </c>
    </row>
    <row r="4334" customFormat="false" ht="17.15" hidden="false" customHeight="false" outlineLevel="0" collapsed="false">
      <c r="A4334" s="1" t="s">
        <v>1002</v>
      </c>
    </row>
    <row r="4335" customFormat="false" ht="17.15" hidden="false" customHeight="false" outlineLevel="0" collapsed="false">
      <c r="A4335" s="5" t="s">
        <v>21</v>
      </c>
      <c r="B4335" s="5" t="s">
        <v>22</v>
      </c>
      <c r="C4335" s="15" t="s">
        <v>424</v>
      </c>
      <c r="D4335" s="15" t="s">
        <v>524</v>
      </c>
      <c r="E4335" s="15" t="s">
        <v>525</v>
      </c>
      <c r="F4335" s="15" t="s">
        <v>526</v>
      </c>
      <c r="G4335" s="15" t="s">
        <v>527</v>
      </c>
      <c r="H4335" s="15" t="s">
        <v>528</v>
      </c>
      <c r="I4335" s="15" t="s">
        <v>529</v>
      </c>
      <c r="J4335" s="15" t="s">
        <v>530</v>
      </c>
      <c r="K4335" s="5" t="s">
        <v>382</v>
      </c>
    </row>
    <row r="4336" customFormat="false" ht="17.15" hidden="false" customHeight="false" outlineLevel="0" collapsed="false">
      <c r="A4336" s="6" t="s">
        <v>548</v>
      </c>
    </row>
    <row r="4337" customFormat="false" ht="17.15" hidden="false" customHeight="false" outlineLevel="0" collapsed="false">
      <c r="A4337" s="0" t="s">
        <v>549</v>
      </c>
      <c r="B4337" s="4" t="s">
        <v>32</v>
      </c>
      <c r="D4337" s="19" t="n">
        <f aca="false">units_26</f>
        <v>15.2</v>
      </c>
      <c r="E4337" s="19" t="n">
        <f aca="false">units_27*1</f>
        <v>23.7</v>
      </c>
      <c r="F4337" s="19" t="n">
        <f aca="false">units_28*um28_C*1</f>
        <v>15.9</v>
      </c>
      <c r="G4337" s="19" t="n">
        <f aca="false">units_29*um29_C*1</f>
        <v>18.09</v>
      </c>
    </row>
    <row r="4338" customFormat="false" ht="17.15" hidden="false" customHeight="false" outlineLevel="0" collapsed="false">
      <c r="A4338" s="4" t="s">
        <v>497</v>
      </c>
      <c r="B4338" s="0" t="s">
        <v>45</v>
      </c>
      <c r="D4338" s="22" t="n">
        <f aca="false">ar_26</f>
        <v>1</v>
      </c>
      <c r="E4338" s="22" t="n">
        <f aca="false">ar_27</f>
        <v>1.278156</v>
      </c>
      <c r="F4338" s="22" t="n">
        <f aca="false">ar_28</f>
        <v>1.428615</v>
      </c>
      <c r="G4338" s="22" t="n">
        <f aca="false">ar_29</f>
        <v>1.431796</v>
      </c>
    </row>
    <row r="4339" customFormat="false" ht="17.15" hidden="false" customHeight="false" outlineLevel="0" collapsed="false">
      <c r="A4339" s="4" t="s">
        <v>550</v>
      </c>
      <c r="B4339" s="0" t="s">
        <v>45</v>
      </c>
      <c r="D4339" s="19" t="n">
        <f aca="false">1</f>
        <v>1</v>
      </c>
      <c r="E4339" s="19" t="n">
        <f aca="false">rel27_C</f>
        <v>1</v>
      </c>
      <c r="F4339" s="19" t="n">
        <f aca="false">rel28_C</f>
        <v>0.95</v>
      </c>
      <c r="G4339" s="19" t="n">
        <f aca="false">rel29_C</f>
        <v>0.92</v>
      </c>
    </row>
    <row r="4340" customFormat="false" ht="17.15" hidden="false" customHeight="false" outlineLevel="0" collapsed="false">
      <c r="A4340" s="4" t="s">
        <v>551</v>
      </c>
      <c r="B4340" s="0" t="s">
        <v>502</v>
      </c>
      <c r="D4340" s="23" t="n">
        <f aca="false">D4341*1000/D4337</f>
        <v>236.842105263158</v>
      </c>
      <c r="E4340" s="23" t="n">
        <f aca="false">$D4340*E4338^el</f>
        <v>267.763172119488</v>
      </c>
      <c r="F4340" s="23" t="n">
        <f aca="false">$D4340*F4338^el</f>
        <v>283.084777049615</v>
      </c>
      <c r="G4340" s="23" t="n">
        <f aca="false">$D4340*G4338^el</f>
        <v>283.399764630809</v>
      </c>
      <c r="K4340" s="8" t="s">
        <v>552</v>
      </c>
    </row>
    <row r="4341" customFormat="false" ht="17.15" hidden="false" customHeight="false" outlineLevel="0" collapsed="false">
      <c r="A4341" s="0" t="s">
        <v>553</v>
      </c>
      <c r="B4341" s="0" t="s">
        <v>120</v>
      </c>
      <c r="D4341" s="22" t="n">
        <f aca="false">leap26-D4342-D4343</f>
        <v>3.6</v>
      </c>
      <c r="E4341" s="22" t="n">
        <f aca="false">E4337*E4339*E4340/1000</f>
        <v>6.34598717923185</v>
      </c>
      <c r="F4341" s="22" t="n">
        <f aca="false">F4337*F4339*F4340/1000</f>
        <v>4.27599555733443</v>
      </c>
      <c r="G4341" s="22" t="n">
        <f aca="false">G4337*G4339*G4340/1000</f>
        <v>4.71656560279762</v>
      </c>
      <c r="K4341" s="8" t="s">
        <v>554</v>
      </c>
    </row>
    <row r="4342" customFormat="false" ht="17.15" hidden="false" customHeight="false" outlineLevel="0" collapsed="false">
      <c r="A4342" s="4" t="s">
        <v>555</v>
      </c>
      <c r="B4342" s="0" t="s">
        <v>120</v>
      </c>
      <c r="D4342" s="22" t="n">
        <f aca="false">fp26</f>
        <v>0.3</v>
      </c>
      <c r="E4342" s="22" t="n">
        <f aca="false">fp27_C</f>
        <v>0.7</v>
      </c>
      <c r="F4342" s="22" t="n">
        <f aca="false">E4342*F4337/E4337*(1+fp_g)</f>
        <v>0.610506329113924</v>
      </c>
      <c r="G4342" s="22" t="n">
        <f aca="false">F4342*G4337/F4337*(1+fp_g)</f>
        <v>0.902973417721519</v>
      </c>
    </row>
    <row r="4343" customFormat="false" ht="17.15" hidden="false" customHeight="false" outlineLevel="0" collapsed="false">
      <c r="A4343" s="0" t="s">
        <v>556</v>
      </c>
      <c r="B4343" s="0" t="s">
        <v>120</v>
      </c>
      <c r="D4343" s="22" t="n">
        <f aca="false">cpo27*cpo_C_26/cpo_A_27</f>
        <v>0.1</v>
      </c>
      <c r="E4343" s="22" t="n">
        <f aca="false">cpo27*cpo_C_27/cpo_A_27</f>
        <v>0.2</v>
      </c>
      <c r="F4343" s="22" t="n">
        <f aca="false">cpo27*cpo_C_28/cpo_A_27*F4337/E4337</f>
        <v>0.20126582278481</v>
      </c>
      <c r="G4343" s="22" t="n">
        <f aca="false">cpo27*cpo_C_29/cpo_A_27*G4337/E4337</f>
        <v>0.381645569620253</v>
      </c>
      <c r="K4343" s="8" t="s">
        <v>557</v>
      </c>
    </row>
    <row r="4344" customFormat="false" ht="17.15" hidden="false" customHeight="false" outlineLevel="0" collapsed="false">
      <c r="A4344" s="0" t="s">
        <v>510</v>
      </c>
      <c r="B4344" s="0" t="s">
        <v>120</v>
      </c>
      <c r="C4344" s="22" t="n">
        <f aca="false">leap25</f>
        <v>1.6</v>
      </c>
      <c r="D4344" s="22" t="n">
        <f aca="false">D4341+D4342+D4343</f>
        <v>4</v>
      </c>
      <c r="E4344" s="22" t="n">
        <f aca="false">E4341+E4342+E4343</f>
        <v>7.24598717923186</v>
      </c>
      <c r="F4344" s="22" t="n">
        <f aca="false">F4341+F4342+F4343</f>
        <v>5.08776770923316</v>
      </c>
      <c r="G4344" s="22" t="n">
        <f aca="false">G4341+G4342+G4343</f>
        <v>6.0011845901394</v>
      </c>
    </row>
    <row r="4345" customFormat="false" ht="17.15" hidden="false" customHeight="false" outlineLevel="0" collapsed="false">
      <c r="A4345" s="4" t="s">
        <v>558</v>
      </c>
      <c r="B4345" s="0" t="s">
        <v>114</v>
      </c>
      <c r="C4345" s="19" t="n">
        <f aca="false">fx25</f>
        <v>31</v>
      </c>
      <c r="D4345" s="19" t="n">
        <f aca="false">a26_leap/D4344</f>
        <v>31.9</v>
      </c>
      <c r="E4345" s="19" t="n">
        <f aca="false">fx</f>
        <v>32</v>
      </c>
      <c r="F4345" s="19" t="n">
        <f aca="false">fx</f>
        <v>32</v>
      </c>
      <c r="G4345" s="19" t="n">
        <f aca="false">fx</f>
        <v>32</v>
      </c>
      <c r="K4345" s="8" t="s">
        <v>559</v>
      </c>
    </row>
    <row r="4346" customFormat="false" ht="17.15" hidden="false" customHeight="false" outlineLevel="0" collapsed="false">
      <c r="A4346" s="6" t="s">
        <v>560</v>
      </c>
    </row>
    <row r="4347" customFormat="false" ht="17.15" hidden="false" customHeight="false" outlineLevel="0" collapsed="false">
      <c r="A4347" s="0" t="s">
        <v>438</v>
      </c>
      <c r="B4347" s="0" t="s">
        <v>234</v>
      </c>
      <c r="C4347" s="30" t="n">
        <f aca="false">a25_leap</f>
        <v>49.6</v>
      </c>
      <c r="D4347" s="30" t="n">
        <f aca="false">a26_leap</f>
        <v>127.6</v>
      </c>
      <c r="E4347" s="30" t="n">
        <f aca="false">E4344*E4345</f>
        <v>231.871589735419</v>
      </c>
      <c r="F4347" s="30" t="n">
        <f aca="false">F4344*F4345</f>
        <v>162.808566695461</v>
      </c>
      <c r="G4347" s="30" t="n">
        <f aca="false">G4344*G4345</f>
        <v>192.037906884461</v>
      </c>
    </row>
    <row r="4348" customFormat="false" ht="15" hidden="false" customHeight="false" outlineLevel="0" collapsed="false">
      <c r="A4348" s="4" t="s">
        <v>561</v>
      </c>
      <c r="B4348" s="0" t="s">
        <v>234</v>
      </c>
      <c r="C4348" s="30" t="n">
        <f aca="false">a25_ms</f>
        <v>339.628</v>
      </c>
      <c r="D4348" s="30" t="n">
        <f aca="false">a26_ms</f>
        <v>432.1302</v>
      </c>
      <c r="E4348" s="30" t="n">
        <f aca="false">D4348*(1+g_ms27)</f>
        <v>496.94973</v>
      </c>
      <c r="F4348" s="30" t="n">
        <f aca="false">E4348*(1+g_msL)</f>
        <v>531.7362111</v>
      </c>
      <c r="G4348" s="30" t="n">
        <f aca="false">F4348*(1+g_msL)</f>
        <v>568.957745877</v>
      </c>
    </row>
    <row r="4349" customFormat="false" ht="17.15" hidden="false" customHeight="false" outlineLevel="0" collapsed="false">
      <c r="A4349" s="4" t="s">
        <v>562</v>
      </c>
      <c r="B4349" s="0" t="s">
        <v>234</v>
      </c>
      <c r="C4349" s="30" t="n">
        <f aca="false">C4347+C4348</f>
        <v>389.228</v>
      </c>
      <c r="D4349" s="30" t="n">
        <f aca="false">D4347+D4348</f>
        <v>559.7302</v>
      </c>
      <c r="E4349" s="30" t="n">
        <f aca="false">E4347+E4348</f>
        <v>728.821319735419</v>
      </c>
      <c r="F4349" s="30" t="n">
        <f aca="false">F4347+F4348</f>
        <v>694.544777795461</v>
      </c>
      <c r="G4349" s="30" t="n">
        <f aca="false">G4347+G4348</f>
        <v>760.995652761461</v>
      </c>
    </row>
    <row r="4350" customFormat="false" ht="17.15" hidden="false" customHeight="false" outlineLevel="0" collapsed="false">
      <c r="A4350" s="0" t="s">
        <v>563</v>
      </c>
      <c r="B4350" s="0" t="s">
        <v>234</v>
      </c>
      <c r="C4350" s="30" t="n">
        <f aca="false">a25_ems</f>
        <v>259.079</v>
      </c>
      <c r="D4350" s="30" t="n">
        <f aca="false">a26_ems</f>
        <v>314.602</v>
      </c>
      <c r="E4350" s="30" t="n">
        <f aca="false">D4350*(1+g_ems27)</f>
        <v>346.0622</v>
      </c>
      <c r="F4350" s="30" t="n">
        <f aca="false">E4350*(1+g_emsL)</f>
        <v>363.36531</v>
      </c>
      <c r="G4350" s="30" t="n">
        <f aca="false">F4350*(1+g_emsL)</f>
        <v>381.5335755</v>
      </c>
    </row>
    <row r="4351" customFormat="false" ht="17.15" hidden="false" customHeight="false" outlineLevel="0" collapsed="false">
      <c r="A4351" s="4" t="s">
        <v>564</v>
      </c>
      <c r="B4351" s="0" t="s">
        <v>234</v>
      </c>
      <c r="C4351" s="30" t="n">
        <f aca="false">a25_elim</f>
        <v>-2.91899999999998</v>
      </c>
      <c r="D4351" s="30" t="n">
        <f aca="false">a26_elim</f>
        <v>-3.16484905982349</v>
      </c>
      <c r="E4351" s="30" t="n">
        <f aca="false">$D4351/($D4349+$D4350)*(E4349+E4350)</f>
        <v>-3.89079127687897</v>
      </c>
      <c r="F4351" s="30" t="n">
        <f aca="false">$D4351/($D4349+$D4350)*(F4349+F4350)</f>
        <v>-3.8293519862785</v>
      </c>
      <c r="G4351" s="30" t="n">
        <f aca="false">$D4351/($D4349+$D4350)*(G4349+G4350)</f>
        <v>-4.135650675892</v>
      </c>
      <c r="K4351" s="4" t="s">
        <v>565</v>
      </c>
    </row>
    <row r="4352" customFormat="false" ht="17.15" hidden="false" customHeight="false" outlineLevel="0" collapsed="false">
      <c r="A4352" s="4" t="s">
        <v>431</v>
      </c>
      <c r="B4352" s="0" t="s">
        <v>234</v>
      </c>
      <c r="C4352" s="30" t="n">
        <f aca="false">C4349+C4350+C4351</f>
        <v>645.388</v>
      </c>
      <c r="D4352" s="30" t="n">
        <f aca="false">D4349+D4350+D4351</f>
        <v>871.167350940177</v>
      </c>
      <c r="E4352" s="30" t="n">
        <f aca="false">E4349+E4350+E4351</f>
        <v>1070.99272845854</v>
      </c>
      <c r="F4352" s="30" t="n">
        <f aca="false">F4349+F4350+F4351</f>
        <v>1054.08073580918</v>
      </c>
      <c r="G4352" s="30" t="n">
        <f aca="false">G4349+G4350+G4351</f>
        <v>1138.39357758557</v>
      </c>
      <c r="H4352" s="31" t="n">
        <f aca="false">G4352*(1+H4353)</f>
        <v>1206.68738805437</v>
      </c>
      <c r="I4352" s="31" t="n">
        <f aca="false">H4352*(1+I4353)</f>
        <v>1254.9496874</v>
      </c>
      <c r="J4352" s="31" t="n">
        <f aca="false">I4352*(1+J4353)</f>
        <v>1280.048681148</v>
      </c>
      <c r="K4352" s="8" t="s">
        <v>566</v>
      </c>
    </row>
    <row r="4353" customFormat="false" ht="15" hidden="false" customHeight="false" outlineLevel="0" collapsed="false">
      <c r="A4353" s="4" t="s">
        <v>567</v>
      </c>
      <c r="B4353" s="0" t="s">
        <v>76</v>
      </c>
      <c r="D4353" s="21" t="n">
        <f aca="false">D4352/C4352-1</f>
        <v>0.349835061916516</v>
      </c>
      <c r="E4353" s="21" t="n">
        <f aca="false">E4352/D4352-1</f>
        <v>0.229376568466104</v>
      </c>
      <c r="F4353" s="21" t="n">
        <f aca="false">F4352/E4352-1</f>
        <v>-0.0157909500223209</v>
      </c>
      <c r="G4353" s="21" t="n">
        <f aca="false">G4352/F4352-1</f>
        <v>0.079987081550885</v>
      </c>
      <c r="H4353" s="26" t="n">
        <f aca="false">$G4353+(fade_gC-$G4353)*1/3</f>
        <v>0.05999138770059</v>
      </c>
      <c r="I4353" s="26" t="n">
        <f aca="false">$G4353+(fade_gC-$G4353)*2/3</f>
        <v>0.039995693850295</v>
      </c>
      <c r="J4353" s="26" t="n">
        <f aca="false">$G4353+(fade_gC-$G4353)*3/3</f>
        <v>0.02</v>
      </c>
    </row>
    <row r="4354" customFormat="false" ht="17.15" hidden="false" customHeight="false" outlineLevel="0" collapsed="false">
      <c r="A4354" s="0" t="s">
        <v>475</v>
      </c>
      <c r="B4354" s="0" t="s">
        <v>76</v>
      </c>
      <c r="C4354" s="21" t="n">
        <f aca="false">C4347/C4349</f>
        <v>0.127431736668482</v>
      </c>
      <c r="D4354" s="21" t="n">
        <f aca="false">D4347/D4349</f>
        <v>0.227966974088588</v>
      </c>
      <c r="E4354" s="21" t="n">
        <f aca="false">E4347/E4349</f>
        <v>0.31814600294568</v>
      </c>
      <c r="F4354" s="21" t="n">
        <f aca="false">F4347/F4349</f>
        <v>0.234410468411019</v>
      </c>
      <c r="G4354" s="21" t="n">
        <f aca="false">G4347/G4349</f>
        <v>0.252350859282315</v>
      </c>
    </row>
    <row r="4355" customFormat="false" ht="15" hidden="false" customHeight="false" outlineLevel="0" collapsed="false">
      <c r="A4355" s="4" t="s">
        <v>568</v>
      </c>
      <c r="B4355" s="0" t="s">
        <v>76</v>
      </c>
      <c r="D4355" s="21" t="n">
        <f aca="false">D4349/C4349-1</f>
        <v>0.438052247012034</v>
      </c>
      <c r="E4355" s="21" t="n">
        <f aca="false">E4349/D4349-1</f>
        <v>0.302093972659362</v>
      </c>
      <c r="F4355" s="21" t="n">
        <f aca="false">F4349/E4349-1</f>
        <v>-0.047030103280186</v>
      </c>
      <c r="G4355" s="21" t="n">
        <f aca="false">G4349/F4349-1</f>
        <v>0.0956754367614998</v>
      </c>
    </row>
    <row r="4356" customFormat="false" ht="17.15" hidden="false" customHeight="false" outlineLevel="0" collapsed="false">
      <c r="A4356" s="6" t="s">
        <v>569</v>
      </c>
    </row>
    <row r="4357" customFormat="false" ht="17.15" hidden="false" customHeight="false" outlineLevel="0" collapsed="false">
      <c r="A4357" s="4" t="s">
        <v>570</v>
      </c>
      <c r="B4357" s="0" t="s">
        <v>120</v>
      </c>
      <c r="C4357" s="19" t="n">
        <f aca="false">capex25</f>
        <v>5.5</v>
      </c>
      <c r="D4357" s="19" t="n">
        <f aca="false">capex26</f>
        <v>11.5</v>
      </c>
      <c r="E4357" s="19" t="n">
        <f aca="false">capex27</f>
        <v>13</v>
      </c>
      <c r="F4357" s="19" t="n">
        <f aca="false">capi*F4352/F4345</f>
        <v>9.88200689821109</v>
      </c>
      <c r="G4357" s="19" t="n">
        <f aca="false">capi*G4352/G4345</f>
        <v>10.6724397898647</v>
      </c>
      <c r="K4357" s="8" t="s">
        <v>571</v>
      </c>
    </row>
    <row r="4358" customFormat="false" ht="15" hidden="false" customHeight="false" outlineLevel="0" collapsed="false">
      <c r="A4358" s="4" t="s">
        <v>572</v>
      </c>
      <c r="B4358" s="0" t="s">
        <v>234</v>
      </c>
      <c r="C4358" s="30" t="n">
        <f aca="false">C4357*C4345</f>
        <v>170.5</v>
      </c>
      <c r="D4358" s="30" t="n">
        <f aca="false">D4357*31.9</f>
        <v>366.85</v>
      </c>
      <c r="E4358" s="30" t="n">
        <f aca="false">E4357*E4345</f>
        <v>416</v>
      </c>
      <c r="F4358" s="30" t="n">
        <f aca="false">F4357*F4345</f>
        <v>316.224220742755</v>
      </c>
      <c r="G4358" s="30" t="n">
        <f aca="false">G4357*G4345</f>
        <v>341.518073275671</v>
      </c>
    </row>
    <row r="4359" customFormat="false" ht="17.15" hidden="false" customHeight="false" outlineLevel="0" collapsed="false">
      <c r="A4359" s="4" t="s">
        <v>473</v>
      </c>
      <c r="B4359" s="0" t="s">
        <v>76</v>
      </c>
      <c r="C4359" s="21" t="n">
        <f aca="false">C4358/C4352</f>
        <v>0.264182166386732</v>
      </c>
      <c r="D4359" s="21" t="n">
        <f aca="false">D4358/D4352</f>
        <v>0.421101639775745</v>
      </c>
      <c r="E4359" s="21" t="n">
        <f aca="false">E4358/E4352</f>
        <v>0.388424672685445</v>
      </c>
      <c r="F4359" s="21" t="n">
        <f aca="false">F4358/F4352</f>
        <v>0.3</v>
      </c>
      <c r="G4359" s="21" t="n">
        <f aca="false">G4358/G4352</f>
        <v>0.3</v>
      </c>
    </row>
    <row r="4360" customFormat="false" ht="17.15" hidden="false" customHeight="false" outlineLevel="0" collapsed="false">
      <c r="A4360" s="4" t="s">
        <v>573</v>
      </c>
      <c r="B4360" s="0" t="s">
        <v>234</v>
      </c>
      <c r="C4360" s="30" t="n">
        <f aca="false">a25_da</f>
        <v>75.255</v>
      </c>
      <c r="D4360" s="30" t="n">
        <f aca="false">a26_da</f>
        <v>97.124</v>
      </c>
      <c r="E4360" s="30" t="n">
        <f aca="false">D4360*(1-1/life)+D4358/life</f>
        <v>130.83975</v>
      </c>
      <c r="F4360" s="30" t="n">
        <f aca="false">E4360*(1-1/life)+E4358/life</f>
        <v>166.48478125</v>
      </c>
      <c r="G4360" s="30" t="n">
        <f aca="false">F4360*(1-1/life)+F4358/life</f>
        <v>185.202211186594</v>
      </c>
      <c r="K4360" s="4" t="s">
        <v>574</v>
      </c>
    </row>
    <row r="4361" customFormat="false" ht="17.15" hidden="false" customHeight="false" outlineLevel="0" collapsed="false">
      <c r="A4361" s="4" t="s">
        <v>575</v>
      </c>
      <c r="B4361" s="0" t="s">
        <v>234</v>
      </c>
      <c r="C4361" s="30" t="n">
        <f aca="false">a25_agp</f>
        <v>91.38</v>
      </c>
      <c r="D4361" s="30" t="n">
        <f aca="false">a26_agp</f>
        <v>164.623388</v>
      </c>
      <c r="E4361" s="30" t="n">
        <f aca="false">$D4361+ft*(E4349-$D4349)-(E4360-$D4360)</f>
        <v>215.45319786771</v>
      </c>
      <c r="F4361" s="30" t="n">
        <f aca="false">$D4361+ft*(F4349-$D4349)-(F4360-$D4360)</f>
        <v>162.669895647731</v>
      </c>
      <c r="G4361" s="30" t="n">
        <f aca="false">$D4361+ft*(G4349-$D4349)-(G4360-$D4360)</f>
        <v>177.177903194136</v>
      </c>
      <c r="K4361" s="4" t="s">
        <v>576</v>
      </c>
    </row>
    <row r="4362" customFormat="false" ht="15" hidden="false" customHeight="false" outlineLevel="0" collapsed="false">
      <c r="A4362" s="4" t="s">
        <v>447</v>
      </c>
      <c r="B4362" s="0" t="s">
        <v>76</v>
      </c>
      <c r="C4362" s="14" t="n">
        <f aca="false">C4361/C4349</f>
        <v>0.234772421305764</v>
      </c>
      <c r="D4362" s="14" t="n">
        <f aca="false">D4361/D4349</f>
        <v>0.294112034690999</v>
      </c>
      <c r="E4362" s="14" t="n">
        <f aca="false">E4361/E4349</f>
        <v>0.295618681882035</v>
      </c>
      <c r="F4362" s="14" t="n">
        <f aca="false">F4361/F4349</f>
        <v>0.234210810948802</v>
      </c>
      <c r="G4362" s="14" t="n">
        <f aca="false">G4361/G4349</f>
        <v>0.232823804644878</v>
      </c>
    </row>
    <row r="4363" customFormat="false" ht="17.15" hidden="false" customHeight="false" outlineLevel="0" collapsed="false">
      <c r="A4363" s="0" t="s">
        <v>449</v>
      </c>
      <c r="B4363" s="0" t="s">
        <v>234</v>
      </c>
      <c r="C4363" s="30" t="n">
        <f aca="false">a25_egp</f>
        <v>23.695</v>
      </c>
      <c r="D4363" s="30" t="n">
        <f aca="false">a26_egp</f>
        <v>27.00552</v>
      </c>
      <c r="E4363" s="30" t="n">
        <f aca="false">E4350*ems_gm</f>
        <v>29.415287</v>
      </c>
      <c r="F4363" s="30" t="n">
        <f aca="false">F4350*ems_gm</f>
        <v>30.88605135</v>
      </c>
      <c r="G4363" s="30" t="n">
        <f aca="false">G4350*ems_gm</f>
        <v>32.4303539175</v>
      </c>
    </row>
    <row r="4364" customFormat="false" ht="15" hidden="false" customHeight="false" outlineLevel="0" collapsed="false">
      <c r="A4364" s="4" t="s">
        <v>577</v>
      </c>
      <c r="B4364" s="0" t="s">
        <v>234</v>
      </c>
      <c r="C4364" s="30" t="n">
        <f aca="false">a25_lgp</f>
        <v>-0.881999999999998</v>
      </c>
      <c r="D4364" s="30" t="n">
        <f aca="false">a26_lgp</f>
        <v>-0.948662139013863</v>
      </c>
      <c r="E4364" s="30" t="n">
        <f aca="false">$D4364/$D4351*E4351</f>
        <v>-1.16626300509458</v>
      </c>
      <c r="F4364" s="30" t="n">
        <f aca="false">$D4364/$D4351*F4351</f>
        <v>-1.14784660426825</v>
      </c>
      <c r="G4364" s="30" t="n">
        <f aca="false">$D4364/$D4351*G4351</f>
        <v>-1.23965950421176</v>
      </c>
    </row>
    <row r="4365" customFormat="false" ht="15" hidden="false" customHeight="false" outlineLevel="0" collapsed="false">
      <c r="A4365" s="4" t="s">
        <v>451</v>
      </c>
      <c r="B4365" s="0" t="s">
        <v>234</v>
      </c>
      <c r="C4365" s="30" t="n">
        <f aca="false">C4361+C4363+C4364</f>
        <v>114.193</v>
      </c>
      <c r="D4365" s="30" t="n">
        <f aca="false">D4361+D4363+D4364</f>
        <v>190.680245860986</v>
      </c>
      <c r="E4365" s="30" t="n">
        <f aca="false">E4361+E4363+E4364</f>
        <v>243.702221862615</v>
      </c>
      <c r="F4365" s="30" t="n">
        <f aca="false">F4361+F4363+F4364</f>
        <v>192.408100393462</v>
      </c>
      <c r="G4365" s="30" t="n">
        <f aca="false">G4361+G4363+G4364</f>
        <v>208.368597607424</v>
      </c>
    </row>
    <row r="4366" customFormat="false" ht="15" hidden="false" customHeight="false" outlineLevel="0" collapsed="false">
      <c r="A4366" s="4" t="s">
        <v>452</v>
      </c>
      <c r="B4366" s="0" t="s">
        <v>76</v>
      </c>
      <c r="C4366" s="14" t="n">
        <f aca="false">C4365/C4352</f>
        <v>0.176936974347214</v>
      </c>
      <c r="D4366" s="14" t="n">
        <f aca="false">D4365/D4352</f>
        <v>0.218879008327391</v>
      </c>
      <c r="E4366" s="14" t="n">
        <f aca="false">E4365/E4352</f>
        <v>0.227547970576207</v>
      </c>
      <c r="F4366" s="14" t="n">
        <f aca="false">F4365/F4352</f>
        <v>0.182536397694202</v>
      </c>
      <c r="G4366" s="14" t="n">
        <f aca="false">G4365/G4352</f>
        <v>0.183037397355452</v>
      </c>
    </row>
    <row r="4367" customFormat="false" ht="15" hidden="false" customHeight="false" outlineLevel="0" collapsed="false">
      <c r="A4367" s="4" t="s">
        <v>578</v>
      </c>
      <c r="B4367" s="0" t="s">
        <v>234</v>
      </c>
      <c r="C4367" s="30" t="n">
        <f aca="false">a25_opx</f>
        <v>63.437</v>
      </c>
      <c r="D4367" s="30" t="n">
        <f aca="false">a26_opx</f>
        <v>79.658</v>
      </c>
      <c r="E4367" s="30" t="n">
        <f aca="false">D4367*(1+phi_lo*E4353)</f>
        <v>85.1395036072619</v>
      </c>
      <c r="F4367" s="30" t="n">
        <f aca="false">E4367*(1+phi_lo*F4353)</f>
        <v>84.7361735133456</v>
      </c>
      <c r="G4367" s="30" t="n">
        <f aca="false">F4367*(1+phi_lo*G4353)</f>
        <v>86.7695132796822</v>
      </c>
    </row>
    <row r="4368" customFormat="false" ht="15" hidden="false" customHeight="false" outlineLevel="0" collapsed="false">
      <c r="A4368" s="4" t="s">
        <v>455</v>
      </c>
      <c r="B4368" s="0" t="s">
        <v>234</v>
      </c>
      <c r="C4368" s="30" t="n">
        <f aca="false">C4365-C4367</f>
        <v>50.756</v>
      </c>
      <c r="D4368" s="30" t="n">
        <f aca="false">D4365-D4367</f>
        <v>111.022245860986</v>
      </c>
      <c r="E4368" s="30" t="n">
        <f aca="false">E4365-E4367</f>
        <v>158.562718255353</v>
      </c>
      <c r="F4368" s="30" t="n">
        <f aca="false">F4365-F4367</f>
        <v>107.671926880117</v>
      </c>
      <c r="G4368" s="30" t="n">
        <f aca="false">G4365-G4367</f>
        <v>121.599084327742</v>
      </c>
    </row>
    <row r="4369" customFormat="false" ht="15" hidden="false" customHeight="false" outlineLevel="0" collapsed="false">
      <c r="A4369" s="4" t="s">
        <v>537</v>
      </c>
      <c r="B4369" s="0" t="s">
        <v>76</v>
      </c>
      <c r="C4369" s="14" t="n">
        <f aca="false">C4368/C4352</f>
        <v>0.0786441644406156</v>
      </c>
      <c r="D4369" s="14" t="n">
        <f aca="false">D4368/D4352</f>
        <v>0.127440779020437</v>
      </c>
      <c r="E4369" s="14" t="n">
        <f aca="false">E4368/E4352</f>
        <v>0.148052096005889</v>
      </c>
      <c r="F4369" s="14" t="n">
        <f aca="false">F4368/F4352</f>
        <v>0.102147703892397</v>
      </c>
      <c r="G4369" s="14" t="n">
        <f aca="false">G4368/G4352</f>
        <v>0.106816382946962</v>
      </c>
    </row>
    <row r="4370" customFormat="false" ht="15" hidden="false" customHeight="false" outlineLevel="0" collapsed="false">
      <c r="A4370" s="4" t="s">
        <v>456</v>
      </c>
      <c r="B4370" s="0" t="s">
        <v>234</v>
      </c>
      <c r="C4370" s="30" t="n">
        <f aca="false">a25_nonop</f>
        <v>0.545</v>
      </c>
      <c r="D4370" s="30" t="n">
        <f aca="false">a26_nonop</f>
        <v>4.302</v>
      </c>
      <c r="E4370" s="30" t="n">
        <f aca="false">nonop_f</f>
        <v>-5</v>
      </c>
      <c r="F4370" s="30" t="n">
        <f aca="false">nonop_f</f>
        <v>-5</v>
      </c>
      <c r="G4370" s="30" t="n">
        <f aca="false">nonop_f</f>
        <v>-5</v>
      </c>
    </row>
    <row r="4371" customFormat="false" ht="15" hidden="false" customHeight="false" outlineLevel="0" collapsed="false">
      <c r="A4371" s="4" t="s">
        <v>459</v>
      </c>
      <c r="B4371" s="0" t="s">
        <v>234</v>
      </c>
      <c r="C4371" s="30" t="n">
        <f aca="false">C4368+C4370</f>
        <v>51.301</v>
      </c>
      <c r="D4371" s="30" t="n">
        <f aca="false">D4368+D4370</f>
        <v>115.324245860986</v>
      </c>
      <c r="E4371" s="30" t="n">
        <f aca="false">E4368+E4370</f>
        <v>153.562718255353</v>
      </c>
      <c r="F4371" s="30" t="n">
        <f aca="false">F4368+F4370</f>
        <v>102.671926880117</v>
      </c>
      <c r="G4371" s="30" t="n">
        <f aca="false">G4368+G4370</f>
        <v>116.599084327742</v>
      </c>
    </row>
    <row r="4372" customFormat="false" ht="15" hidden="false" customHeight="false" outlineLevel="0" collapsed="false">
      <c r="A4372" s="4" t="s">
        <v>460</v>
      </c>
      <c r="B4372" s="0" t="s">
        <v>234</v>
      </c>
      <c r="C4372" s="30" t="n">
        <f aca="false">a25_tax</f>
        <v>9.461</v>
      </c>
      <c r="D4372" s="30" t="n">
        <f aca="false">a26_tax</f>
        <v>19.2197317963676</v>
      </c>
      <c r="E4372" s="30" t="n">
        <f aca="false">E4371*tax</f>
        <v>26.10566210341</v>
      </c>
      <c r="F4372" s="30" t="n">
        <f aca="false">F4371*tax</f>
        <v>17.4542275696198</v>
      </c>
      <c r="G4372" s="30" t="n">
        <f aca="false">G4371*tax</f>
        <v>19.8218443357162</v>
      </c>
    </row>
    <row r="4373" customFormat="false" ht="15" hidden="false" customHeight="false" outlineLevel="0" collapsed="false">
      <c r="A4373" s="4" t="s">
        <v>461</v>
      </c>
      <c r="B4373" s="0" t="s">
        <v>234</v>
      </c>
      <c r="C4373" s="30" t="n">
        <f aca="false">a25_nci</f>
        <v>1.182</v>
      </c>
      <c r="D4373" s="30" t="n">
        <f aca="false">a26_nci</f>
        <v>2.543</v>
      </c>
      <c r="E4373" s="30" t="n">
        <f aca="false">nci</f>
        <v>3</v>
      </c>
      <c r="F4373" s="30" t="n">
        <f aca="false">nci</f>
        <v>3</v>
      </c>
      <c r="G4373" s="30" t="n">
        <f aca="false">nci</f>
        <v>3</v>
      </c>
    </row>
    <row r="4374" customFormat="false" ht="15" hidden="false" customHeight="false" outlineLevel="0" collapsed="false">
      <c r="A4374" s="4" t="s">
        <v>462</v>
      </c>
      <c r="B4374" s="0" t="s">
        <v>234</v>
      </c>
      <c r="C4374" s="30" t="n">
        <f aca="false">C4371-C4372-C4373</f>
        <v>40.658</v>
      </c>
      <c r="D4374" s="30" t="n">
        <f aca="false">D4371-D4372-D4373</f>
        <v>93.5615140646185</v>
      </c>
      <c r="E4374" s="30" t="n">
        <f aca="false">E4371-E4372-E4373</f>
        <v>124.457056151943</v>
      </c>
      <c r="F4374" s="30" t="n">
        <f aca="false">F4371-F4372-F4373</f>
        <v>82.2176993104969</v>
      </c>
      <c r="G4374" s="30" t="n">
        <f aca="false">G4371-G4372-G4373</f>
        <v>93.7772399920259</v>
      </c>
      <c r="H4374" s="31" t="n">
        <f aca="false">H4352*H4378</f>
        <v>91.0633447912057</v>
      </c>
      <c r="I4374" s="31" t="n">
        <f aca="false">I4352*I4378</f>
        <v>86.0322115213699</v>
      </c>
      <c r="J4374" s="31" t="n">
        <f aca="false">J4352*J4378</f>
        <v>78.9061153241268</v>
      </c>
    </row>
    <row r="4375" customFormat="false" ht="15" hidden="false" customHeight="false" outlineLevel="0" collapsed="false">
      <c r="A4375" s="4" t="s">
        <v>579</v>
      </c>
      <c r="B4375" s="4" t="s">
        <v>580</v>
      </c>
      <c r="C4375" s="18" t="n">
        <f aca="false">a25_sh</f>
        <v>4339.16755602988</v>
      </c>
      <c r="D4375" s="18" t="n">
        <f aca="false">a26_sh</f>
        <v>4392.90105184664</v>
      </c>
      <c r="E4375" s="18" t="n">
        <f aca="false">D4375*(1+sh_g)</f>
        <v>4414.86555710588</v>
      </c>
      <c r="F4375" s="18" t="n">
        <f aca="false">E4375*(1+sh_g)</f>
        <v>4436.9398848914</v>
      </c>
      <c r="G4375" s="18" t="n">
        <f aca="false">F4375*(1+sh_g)</f>
        <v>4459.12458431586</v>
      </c>
      <c r="H4375" s="25" t="n">
        <f aca="false">G4375*(1+sh_g)</f>
        <v>4481.42020723744</v>
      </c>
      <c r="I4375" s="25" t="n">
        <f aca="false">H4375*(1+sh_g)</f>
        <v>4503.82730827363</v>
      </c>
      <c r="J4375" s="25" t="n">
        <f aca="false">I4375*(1+sh_g)</f>
        <v>4526.34644481499</v>
      </c>
    </row>
    <row r="4376" customFormat="false" ht="17.15" hidden="false" customHeight="false" outlineLevel="0" collapsed="false">
      <c r="A4376" s="0" t="s">
        <v>465</v>
      </c>
      <c r="B4376" s="0" t="s">
        <v>304</v>
      </c>
      <c r="C4376" s="19" t="n">
        <f aca="false">a25_eps</f>
        <v>9.37</v>
      </c>
      <c r="D4376" s="19" t="n">
        <f aca="false">a26_eps</f>
        <v>21.2828697294455</v>
      </c>
      <c r="E4376" s="19" t="n">
        <f aca="false">E4374/E4375*1000</f>
        <v>28.1904521308979</v>
      </c>
      <c r="F4376" s="19" t="n">
        <f aca="false">F4374/F4375*1000</f>
        <v>18.5302711876857</v>
      </c>
      <c r="G4376" s="19" t="n">
        <f aca="false">G4374/G4375*1000</f>
        <v>21.0304148760207</v>
      </c>
      <c r="H4376" s="28" t="n">
        <f aca="false">H4374/H4375*1000</f>
        <v>20.3201977453798</v>
      </c>
      <c r="I4376" s="28" t="n">
        <f aca="false">I4374/I4375*1000</f>
        <v>19.1020227092915</v>
      </c>
      <c r="J4376" s="28" t="n">
        <f aca="false">J4374/J4375*1000</f>
        <v>17.4326283430017</v>
      </c>
    </row>
    <row r="4377" customFormat="false" ht="17.15" hidden="false" customHeight="false" outlineLevel="0" collapsed="false">
      <c r="A4377" s="0" t="s">
        <v>581</v>
      </c>
      <c r="B4377" s="0" t="s">
        <v>76</v>
      </c>
      <c r="D4377" s="21" t="n">
        <f aca="false">D4376/C4376-1</f>
        <v>1.27138417603474</v>
      </c>
      <c r="E4377" s="21" t="n">
        <f aca="false">E4376/D4376-1</f>
        <v>0.324560667300216</v>
      </c>
      <c r="F4377" s="21" t="n">
        <f aca="false">F4376/E4376-1</f>
        <v>-0.342675629974172</v>
      </c>
      <c r="G4377" s="21" t="n">
        <f aca="false">G4376/F4376-1</f>
        <v>0.134922131630562</v>
      </c>
      <c r="H4377" s="26" t="n">
        <f aca="false">H4376/G4376-1</f>
        <v>-0.0337709519677948</v>
      </c>
      <c r="I4377" s="26" t="n">
        <f aca="false">I4376/H4376-1</f>
        <v>-0.0599489754653255</v>
      </c>
      <c r="J4377" s="26" t="n">
        <f aca="false">J4376/I4376-1</f>
        <v>-0.0873935913330146</v>
      </c>
    </row>
    <row r="4378" customFormat="false" ht="17.15" hidden="false" customHeight="false" outlineLevel="0" collapsed="false">
      <c r="A4378" s="4" t="s">
        <v>582</v>
      </c>
      <c r="B4378" s="0" t="s">
        <v>76</v>
      </c>
      <c r="C4378" s="14" t="n">
        <f aca="false">C4374/C4352</f>
        <v>0.0629977625862272</v>
      </c>
      <c r="D4378" s="14" t="n">
        <f aca="false">D4374/D4352</f>
        <v>0.107397865592237</v>
      </c>
      <c r="E4378" s="14" t="n">
        <f aca="false">E4374/E4352</f>
        <v>0.116207190623107</v>
      </c>
      <c r="F4378" s="14" t="n">
        <f aca="false">F4374/F4352</f>
        <v>0.077999432602647</v>
      </c>
      <c r="G4378" s="14" t="n">
        <f aca="false">G4374/G4352</f>
        <v>0.0823768175071042</v>
      </c>
      <c r="H4378" s="27" t="n">
        <f aca="false">$G4378+(fade_mC-$G4378)*1/3</f>
        <v>0.07546556439778</v>
      </c>
      <c r="I4378" s="27" t="n">
        <f aca="false">$G4378+(fade_mC-$G4378)*2/3</f>
        <v>0.0685543112884558</v>
      </c>
      <c r="J4378" s="27" t="n">
        <f aca="false">$G4378+(fade_mC-$G4378)*3/3</f>
        <v>0.0616430581791315</v>
      </c>
    </row>
    <row r="4379" customFormat="false" ht="17.15" hidden="false" customHeight="false" outlineLevel="0" collapsed="false">
      <c r="A4379" s="4" t="s">
        <v>583</v>
      </c>
      <c r="B4379" s="0" t="s">
        <v>234</v>
      </c>
      <c r="C4379" s="30" t="n">
        <f aca="false">C4374+C4360-C4358</f>
        <v>-54.587</v>
      </c>
      <c r="D4379" s="30" t="n">
        <f aca="false">D4374+D4360-D4358</f>
        <v>-176.164485935382</v>
      </c>
      <c r="E4379" s="30" t="n">
        <f aca="false">E4374+E4360-E4358</f>
        <v>-160.703193848057</v>
      </c>
      <c r="F4379" s="30" t="n">
        <f aca="false">F4374+F4360-F4358</f>
        <v>-67.5217401822579</v>
      </c>
      <c r="G4379" s="30" t="n">
        <f aca="false">G4374+G4360-G4358</f>
        <v>-62.5386220970503</v>
      </c>
      <c r="K4379" s="4" t="s">
        <v>584</v>
      </c>
    </row>
    <row r="4380" customFormat="false" ht="17.15" hidden="false" customHeight="false" outlineLevel="0" collapsed="false">
      <c r="A4380" s="4" t="s">
        <v>585</v>
      </c>
      <c r="B4380" s="0" t="s">
        <v>76</v>
      </c>
      <c r="D4380" s="21" t="n">
        <f aca="false">(D4368-$C4368)/SUM($D4358:D4358)</f>
        <v>0.164280348537512</v>
      </c>
      <c r="E4380" s="21" t="n">
        <f aca="false">(E4368-$C4368)/SUM($D4358:E4358)</f>
        <v>0.137710568123336</v>
      </c>
      <c r="F4380" s="21" t="n">
        <f aca="false">(F4368-$C4368)/SUM($D4358:F4358)</f>
        <v>0.051785335153847</v>
      </c>
      <c r="G4380" s="21" t="n">
        <f aca="false">(G4368-$C4368)/SUM($D4358:G4358)</f>
        <v>0.0491763593501743</v>
      </c>
      <c r="K4380" s="4" t="s">
        <v>586</v>
      </c>
    </row>
    <row r="4383" customFormat="false" ht="17.15" hidden="false" customHeight="false" outlineLevel="0" collapsed="false">
      <c r="A4383" s="1" t="s">
        <v>1003</v>
      </c>
    </row>
    <row r="4384" customFormat="false" ht="17.15" hidden="false" customHeight="false" outlineLevel="0" collapsed="false">
      <c r="A4384" s="5" t="s">
        <v>21</v>
      </c>
      <c r="B4384" s="5" t="s">
        <v>22</v>
      </c>
      <c r="C4384" s="15" t="s">
        <v>424</v>
      </c>
      <c r="D4384" s="15" t="s">
        <v>524</v>
      </c>
      <c r="E4384" s="15" t="s">
        <v>525</v>
      </c>
      <c r="F4384" s="15" t="s">
        <v>526</v>
      </c>
      <c r="G4384" s="15" t="s">
        <v>527</v>
      </c>
      <c r="H4384" s="15" t="s">
        <v>528</v>
      </c>
      <c r="I4384" s="15" t="s">
        <v>529</v>
      </c>
      <c r="J4384" s="15" t="s">
        <v>530</v>
      </c>
      <c r="K4384" s="5" t="s">
        <v>382</v>
      </c>
    </row>
    <row r="4385" customFormat="false" ht="17.15" hidden="false" customHeight="false" outlineLevel="0" collapsed="false">
      <c r="A4385" s="6" t="s">
        <v>548</v>
      </c>
    </row>
    <row r="4386" customFormat="false" ht="17.15" hidden="false" customHeight="false" outlineLevel="0" collapsed="false">
      <c r="A4386" s="0" t="s">
        <v>549</v>
      </c>
      <c r="B4386" s="4" t="s">
        <v>32</v>
      </c>
      <c r="D4386" s="19" t="n">
        <f aca="false">units_26</f>
        <v>15.2</v>
      </c>
      <c r="E4386" s="19" t="n">
        <f aca="false">units_27*1</f>
        <v>23.7</v>
      </c>
      <c r="F4386" s="19" t="n">
        <f aca="false">units_28*um28_A*1</f>
        <v>26.5</v>
      </c>
      <c r="G4386" s="19" t="n">
        <f aca="false">units_29*um29_A*1</f>
        <v>30.15</v>
      </c>
    </row>
    <row r="4387" customFormat="false" ht="17.15" hidden="false" customHeight="false" outlineLevel="0" collapsed="false">
      <c r="A4387" s="4" t="s">
        <v>497</v>
      </c>
      <c r="B4387" s="0" t="s">
        <v>45</v>
      </c>
      <c r="D4387" s="22" t="n">
        <f aca="false">ar_26</f>
        <v>1</v>
      </c>
      <c r="E4387" s="22" t="n">
        <f aca="false">ar_27</f>
        <v>1.278156</v>
      </c>
      <c r="F4387" s="22" t="n">
        <f aca="false">ar_28</f>
        <v>1.428615</v>
      </c>
      <c r="G4387" s="22" t="n">
        <f aca="false">ar_29</f>
        <v>1.431796</v>
      </c>
    </row>
    <row r="4388" customFormat="false" ht="17.15" hidden="false" customHeight="false" outlineLevel="0" collapsed="false">
      <c r="A4388" s="4" t="s">
        <v>550</v>
      </c>
      <c r="B4388" s="0" t="s">
        <v>45</v>
      </c>
      <c r="D4388" s="19" t="n">
        <f aca="false">1</f>
        <v>1</v>
      </c>
      <c r="E4388" s="19" t="n">
        <f aca="false">rel27_A</f>
        <v>1.1</v>
      </c>
      <c r="F4388" s="19" t="n">
        <f aca="false">rel28_A</f>
        <v>1.15</v>
      </c>
      <c r="G4388" s="19" t="n">
        <f aca="false">rel29_A</f>
        <v>1.2</v>
      </c>
    </row>
    <row r="4389" customFormat="false" ht="17.15" hidden="false" customHeight="false" outlineLevel="0" collapsed="false">
      <c r="A4389" s="4" t="s">
        <v>551</v>
      </c>
      <c r="B4389" s="0" t="s">
        <v>502</v>
      </c>
      <c r="D4389" s="23" t="n">
        <f aca="false">D4390*1000/D4386</f>
        <v>236.842105263158</v>
      </c>
      <c r="E4389" s="23" t="n">
        <f aca="false">$D4389*E4387^el</f>
        <v>267.763172119488</v>
      </c>
      <c r="F4389" s="23" t="n">
        <f aca="false">$D4389*F4387^el</f>
        <v>283.084777049615</v>
      </c>
      <c r="G4389" s="23" t="n">
        <f aca="false">$D4389*G4387^el</f>
        <v>283.399764630809</v>
      </c>
      <c r="K4389" s="8" t="s">
        <v>552</v>
      </c>
    </row>
    <row r="4390" customFormat="false" ht="17.15" hidden="false" customHeight="false" outlineLevel="0" collapsed="false">
      <c r="A4390" s="0" t="s">
        <v>553</v>
      </c>
      <c r="B4390" s="0" t="s">
        <v>120</v>
      </c>
      <c r="D4390" s="22" t="n">
        <f aca="false">leap26-D4391-D4392</f>
        <v>3.6</v>
      </c>
      <c r="E4390" s="22" t="n">
        <f aca="false">E4386*E4388*E4389/1000</f>
        <v>6.98058589715504</v>
      </c>
      <c r="F4390" s="22" t="n">
        <f aca="false">F4386*F4388*F4389/1000</f>
        <v>8.627008580587</v>
      </c>
      <c r="G4390" s="22" t="n">
        <f aca="false">G4386*G4388*G4389/1000</f>
        <v>10.2534034843427</v>
      </c>
      <c r="K4390" s="8" t="s">
        <v>554</v>
      </c>
    </row>
    <row r="4391" customFormat="false" ht="17.15" hidden="false" customHeight="false" outlineLevel="0" collapsed="false">
      <c r="A4391" s="4" t="s">
        <v>555</v>
      </c>
      <c r="B4391" s="0" t="s">
        <v>120</v>
      </c>
      <c r="D4391" s="22" t="n">
        <f aca="false">fp26</f>
        <v>0.3</v>
      </c>
      <c r="E4391" s="22" t="n">
        <f aca="false">fp27_A</f>
        <v>1.2</v>
      </c>
      <c r="F4391" s="22" t="n">
        <f aca="false">E4391*F4386/E4386*(1+fp_g)</f>
        <v>1.74430379746835</v>
      </c>
      <c r="G4391" s="22" t="n">
        <f aca="false">F4391*G4386/F4386*(1+fp_g)</f>
        <v>2.57992405063291</v>
      </c>
    </row>
    <row r="4392" customFormat="false" ht="17.15" hidden="false" customHeight="false" outlineLevel="0" collapsed="false">
      <c r="A4392" s="0" t="s">
        <v>556</v>
      </c>
      <c r="B4392" s="0" t="s">
        <v>120</v>
      </c>
      <c r="D4392" s="22" t="n">
        <f aca="false">cpo27*cpo_A_26/cpo_A_27</f>
        <v>0.1</v>
      </c>
      <c r="E4392" s="22" t="n">
        <f aca="false">cpo27*cpo_A_27/cpo_A_27</f>
        <v>0.5</v>
      </c>
      <c r="F4392" s="22" t="n">
        <f aca="false">cpo27*cpo_A_28/cpo_A_27*F4386/E4386</f>
        <v>1.11814345991561</v>
      </c>
      <c r="G4392" s="22" t="n">
        <f aca="false">cpo27*cpo_A_29/cpo_A_27*G4386/E4386</f>
        <v>2.03544303797468</v>
      </c>
      <c r="K4392" s="8" t="s">
        <v>557</v>
      </c>
    </row>
    <row r="4393" customFormat="false" ht="17.15" hidden="false" customHeight="false" outlineLevel="0" collapsed="false">
      <c r="A4393" s="0" t="s">
        <v>510</v>
      </c>
      <c r="B4393" s="0" t="s">
        <v>120</v>
      </c>
      <c r="C4393" s="22" t="n">
        <f aca="false">leap25</f>
        <v>1.6</v>
      </c>
      <c r="D4393" s="22" t="n">
        <f aca="false">D4390+D4391+D4392</f>
        <v>4</v>
      </c>
      <c r="E4393" s="22" t="n">
        <f aca="false">E4390+E4391+E4392</f>
        <v>8.68058589715504</v>
      </c>
      <c r="F4393" s="22" t="n">
        <f aca="false">F4390+F4391+F4392</f>
        <v>11.489455837971</v>
      </c>
      <c r="G4393" s="22" t="n">
        <f aca="false">G4390+G4391+G4392</f>
        <v>14.8687705729503</v>
      </c>
    </row>
    <row r="4394" customFormat="false" ht="17.15" hidden="false" customHeight="false" outlineLevel="0" collapsed="false">
      <c r="A4394" s="4" t="s">
        <v>558</v>
      </c>
      <c r="B4394" s="0" t="s">
        <v>114</v>
      </c>
      <c r="C4394" s="19" t="n">
        <f aca="false">fx25</f>
        <v>31</v>
      </c>
      <c r="D4394" s="19" t="n">
        <f aca="false">a26_leap/D4393</f>
        <v>31.9</v>
      </c>
      <c r="E4394" s="19" t="n">
        <f aca="false">fx</f>
        <v>32</v>
      </c>
      <c r="F4394" s="19" t="n">
        <f aca="false">fx</f>
        <v>32</v>
      </c>
      <c r="G4394" s="19" t="n">
        <f aca="false">fx</f>
        <v>32</v>
      </c>
      <c r="K4394" s="8" t="s">
        <v>559</v>
      </c>
    </row>
    <row r="4395" customFormat="false" ht="17.15" hidden="false" customHeight="false" outlineLevel="0" collapsed="false">
      <c r="A4395" s="6" t="s">
        <v>560</v>
      </c>
    </row>
    <row r="4396" customFormat="false" ht="17.15" hidden="false" customHeight="false" outlineLevel="0" collapsed="false">
      <c r="A4396" s="0" t="s">
        <v>438</v>
      </c>
      <c r="B4396" s="0" t="s">
        <v>234</v>
      </c>
      <c r="C4396" s="30" t="n">
        <f aca="false">a25_leap</f>
        <v>49.6</v>
      </c>
      <c r="D4396" s="30" t="n">
        <f aca="false">a26_leap</f>
        <v>127.6</v>
      </c>
      <c r="E4396" s="30" t="n">
        <f aca="false">E4393*E4394</f>
        <v>277.778748708961</v>
      </c>
      <c r="F4396" s="30" t="n">
        <f aca="false">F4393*F4394</f>
        <v>367.662586815071</v>
      </c>
      <c r="G4396" s="30" t="n">
        <f aca="false">G4393*G4394</f>
        <v>475.800658334408</v>
      </c>
    </row>
    <row r="4397" customFormat="false" ht="15" hidden="false" customHeight="false" outlineLevel="0" collapsed="false">
      <c r="A4397" s="4" t="s">
        <v>561</v>
      </c>
      <c r="B4397" s="0" t="s">
        <v>234</v>
      </c>
      <c r="C4397" s="30" t="n">
        <f aca="false">a25_ms</f>
        <v>339.628</v>
      </c>
      <c r="D4397" s="30" t="n">
        <f aca="false">a26_ms</f>
        <v>432.1302</v>
      </c>
      <c r="E4397" s="30" t="n">
        <f aca="false">D4397*(1+g_ms27)</f>
        <v>496.94973</v>
      </c>
      <c r="F4397" s="30" t="n">
        <f aca="false">E4397*(1+g_msL)</f>
        <v>531.7362111</v>
      </c>
      <c r="G4397" s="30" t="n">
        <f aca="false">F4397*(1+g_msL)</f>
        <v>568.957745877</v>
      </c>
    </row>
    <row r="4398" customFormat="false" ht="17.15" hidden="false" customHeight="false" outlineLevel="0" collapsed="false">
      <c r="A4398" s="4" t="s">
        <v>562</v>
      </c>
      <c r="B4398" s="0" t="s">
        <v>234</v>
      </c>
      <c r="C4398" s="30" t="n">
        <f aca="false">C4396+C4397</f>
        <v>389.228</v>
      </c>
      <c r="D4398" s="30" t="n">
        <f aca="false">D4396+D4397</f>
        <v>559.7302</v>
      </c>
      <c r="E4398" s="30" t="n">
        <f aca="false">E4396+E4397</f>
        <v>774.728478708961</v>
      </c>
      <c r="F4398" s="30" t="n">
        <f aca="false">F4396+F4397</f>
        <v>899.398797915071</v>
      </c>
      <c r="G4398" s="30" t="n">
        <f aca="false">G4396+G4397</f>
        <v>1044.75840421141</v>
      </c>
    </row>
    <row r="4399" customFormat="false" ht="17.15" hidden="false" customHeight="false" outlineLevel="0" collapsed="false">
      <c r="A4399" s="0" t="s">
        <v>563</v>
      </c>
      <c r="B4399" s="0" t="s">
        <v>234</v>
      </c>
      <c r="C4399" s="30" t="n">
        <f aca="false">a25_ems</f>
        <v>259.079</v>
      </c>
      <c r="D4399" s="30" t="n">
        <f aca="false">a26_ems</f>
        <v>314.602</v>
      </c>
      <c r="E4399" s="30" t="n">
        <f aca="false">D4399*(1+g_ems27)</f>
        <v>346.0622</v>
      </c>
      <c r="F4399" s="30" t="n">
        <f aca="false">E4399*(1+g_emsL)</f>
        <v>363.36531</v>
      </c>
      <c r="G4399" s="30" t="n">
        <f aca="false">F4399*(1+g_emsL)</f>
        <v>381.5335755</v>
      </c>
    </row>
    <row r="4400" customFormat="false" ht="17.15" hidden="false" customHeight="false" outlineLevel="0" collapsed="false">
      <c r="A4400" s="4" t="s">
        <v>564</v>
      </c>
      <c r="B4400" s="0" t="s">
        <v>234</v>
      </c>
      <c r="C4400" s="30" t="n">
        <f aca="false">a25_elim</f>
        <v>-2.91899999999998</v>
      </c>
      <c r="D4400" s="30" t="n">
        <f aca="false">a26_elim</f>
        <v>-3.16484905982349</v>
      </c>
      <c r="E4400" s="30" t="n">
        <f aca="false">$D4400/($D4398+$D4399)*(E4398+E4399)</f>
        <v>-4.05696293213379</v>
      </c>
      <c r="F4400" s="30" t="n">
        <f aca="false">$D4400/($D4398+$D4399)*(F4398+F4399)</f>
        <v>-4.57086882962089</v>
      </c>
      <c r="G4400" s="30" t="n">
        <f aca="false">$D4400/($D4398+$D4399)*(G4398+G4399)</f>
        <v>-5.16279605283144</v>
      </c>
      <c r="K4400" s="4" t="s">
        <v>565</v>
      </c>
    </row>
    <row r="4401" customFormat="false" ht="17.15" hidden="false" customHeight="false" outlineLevel="0" collapsed="false">
      <c r="A4401" s="4" t="s">
        <v>431</v>
      </c>
      <c r="B4401" s="0" t="s">
        <v>234</v>
      </c>
      <c r="C4401" s="30" t="n">
        <f aca="false">C4398+C4399+C4400</f>
        <v>645.388</v>
      </c>
      <c r="D4401" s="30" t="n">
        <f aca="false">D4398+D4399+D4400</f>
        <v>871.167350940177</v>
      </c>
      <c r="E4401" s="30" t="n">
        <f aca="false">E4398+E4399+E4400</f>
        <v>1116.73371577683</v>
      </c>
      <c r="F4401" s="30" t="n">
        <f aca="false">F4398+F4399+F4400</f>
        <v>1258.19323908545</v>
      </c>
      <c r="G4401" s="30" t="n">
        <f aca="false">G4398+G4399+G4400</f>
        <v>1421.12918365858</v>
      </c>
      <c r="H4401" s="31" t="n">
        <f aca="false">G4401*(1+H4402)</f>
        <v>1572.24252669828</v>
      </c>
      <c r="I4401" s="31" t="n">
        <f aca="false">H4401*(1+I4402)</f>
        <v>1703.00066355907</v>
      </c>
      <c r="J4401" s="31" t="n">
        <f aca="false">I4401*(1+J4402)</f>
        <v>1805.18070337261</v>
      </c>
      <c r="K4401" s="8" t="s">
        <v>566</v>
      </c>
    </row>
    <row r="4402" customFormat="false" ht="15" hidden="false" customHeight="false" outlineLevel="0" collapsed="false">
      <c r="A4402" s="4" t="s">
        <v>567</v>
      </c>
      <c r="B4402" s="0" t="s">
        <v>76</v>
      </c>
      <c r="D4402" s="21" t="n">
        <f aca="false">D4401/C4401-1</f>
        <v>0.349835061916516</v>
      </c>
      <c r="E4402" s="21" t="n">
        <f aca="false">E4401/D4401-1</f>
        <v>0.281881965126026</v>
      </c>
      <c r="F4402" s="21" t="n">
        <f aca="false">F4401/E4401-1</f>
        <v>0.126672564202309</v>
      </c>
      <c r="G4402" s="21" t="n">
        <f aca="false">G4401/F4401-1</f>
        <v>0.129499936505429</v>
      </c>
      <c r="H4402" s="26" t="n">
        <f aca="false">$G4402+(fade_gA-$G4402)*1/3</f>
        <v>0.10633329100362</v>
      </c>
      <c r="I4402" s="26" t="n">
        <f aca="false">$G4402+(fade_gA-$G4402)*2/3</f>
        <v>0.0831666455018098</v>
      </c>
      <c r="J4402" s="26" t="n">
        <f aca="false">$G4402+(fade_gA-$G4402)*3/3</f>
        <v>0.06</v>
      </c>
    </row>
    <row r="4403" customFormat="false" ht="17.15" hidden="false" customHeight="false" outlineLevel="0" collapsed="false">
      <c r="A4403" s="0" t="s">
        <v>475</v>
      </c>
      <c r="B4403" s="0" t="s">
        <v>76</v>
      </c>
      <c r="C4403" s="21" t="n">
        <f aca="false">C4396/C4398</f>
        <v>0.127431736668482</v>
      </c>
      <c r="D4403" s="21" t="n">
        <f aca="false">D4396/D4398</f>
        <v>0.227966974088588</v>
      </c>
      <c r="E4403" s="21" t="n">
        <f aca="false">E4396/E4398</f>
        <v>0.35854980982739</v>
      </c>
      <c r="F4403" s="21" t="n">
        <f aca="false">F4396/F4398</f>
        <v>0.408787056050512</v>
      </c>
      <c r="G4403" s="21" t="n">
        <f aca="false">G4396/G4398</f>
        <v>0.455416923583923</v>
      </c>
    </row>
    <row r="4404" customFormat="false" ht="15" hidden="false" customHeight="false" outlineLevel="0" collapsed="false">
      <c r="A4404" s="4" t="s">
        <v>568</v>
      </c>
      <c r="B4404" s="0" t="s">
        <v>76</v>
      </c>
      <c r="D4404" s="21" t="n">
        <f aca="false">D4398/C4398-1</f>
        <v>0.438052247012034</v>
      </c>
      <c r="E4404" s="21" t="n">
        <f aca="false">E4398/D4398-1</f>
        <v>0.384110556673485</v>
      </c>
      <c r="F4404" s="21" t="n">
        <f aca="false">F4398/E4398-1</f>
        <v>0.160921306796241</v>
      </c>
      <c r="G4404" s="21" t="n">
        <f aca="false">G4398/F4398-1</f>
        <v>0.161618635285371</v>
      </c>
    </row>
    <row r="4405" customFormat="false" ht="17.15" hidden="false" customHeight="false" outlineLevel="0" collapsed="false">
      <c r="A4405" s="6" t="s">
        <v>569</v>
      </c>
    </row>
    <row r="4406" customFormat="false" ht="17.15" hidden="false" customHeight="false" outlineLevel="0" collapsed="false">
      <c r="A4406" s="4" t="s">
        <v>570</v>
      </c>
      <c r="B4406" s="0" t="s">
        <v>120</v>
      </c>
      <c r="C4406" s="19" t="n">
        <f aca="false">capex25</f>
        <v>5.5</v>
      </c>
      <c r="D4406" s="19" t="n">
        <f aca="false">capex26</f>
        <v>11.5</v>
      </c>
      <c r="E4406" s="19" t="n">
        <f aca="false">capex27</f>
        <v>13</v>
      </c>
      <c r="F4406" s="19" t="n">
        <f aca="false">capi*F4401/F4394</f>
        <v>11.7955616164261</v>
      </c>
      <c r="G4406" s="19" t="n">
        <f aca="false">capi*G4401/G4394</f>
        <v>13.3230860967992</v>
      </c>
      <c r="K4406" s="8" t="s">
        <v>571</v>
      </c>
    </row>
    <row r="4407" customFormat="false" ht="15" hidden="false" customHeight="false" outlineLevel="0" collapsed="false">
      <c r="A4407" s="4" t="s">
        <v>572</v>
      </c>
      <c r="B4407" s="0" t="s">
        <v>234</v>
      </c>
      <c r="C4407" s="30" t="n">
        <f aca="false">C4406*C4394</f>
        <v>170.5</v>
      </c>
      <c r="D4407" s="30" t="n">
        <f aca="false">D4406*31.9</f>
        <v>366.85</v>
      </c>
      <c r="E4407" s="30" t="n">
        <f aca="false">E4406*E4394</f>
        <v>416</v>
      </c>
      <c r="F4407" s="30" t="n">
        <f aca="false">F4406*F4394</f>
        <v>377.457971725635</v>
      </c>
      <c r="G4407" s="30" t="n">
        <f aca="false">G4406*G4394</f>
        <v>426.338755097573</v>
      </c>
    </row>
    <row r="4408" customFormat="false" ht="17.15" hidden="false" customHeight="false" outlineLevel="0" collapsed="false">
      <c r="A4408" s="4" t="s">
        <v>473</v>
      </c>
      <c r="B4408" s="0" t="s">
        <v>76</v>
      </c>
      <c r="C4408" s="21" t="n">
        <f aca="false">C4407/C4401</f>
        <v>0.264182166386732</v>
      </c>
      <c r="D4408" s="21" t="n">
        <f aca="false">D4407/D4401</f>
        <v>0.421101639775745</v>
      </c>
      <c r="E4408" s="21" t="n">
        <f aca="false">E4407/E4401</f>
        <v>0.372514946153139</v>
      </c>
      <c r="F4408" s="21" t="n">
        <f aca="false">F4407/F4401</f>
        <v>0.3</v>
      </c>
      <c r="G4408" s="21" t="n">
        <f aca="false">G4407/G4401</f>
        <v>0.3</v>
      </c>
    </row>
    <row r="4409" customFormat="false" ht="17.15" hidden="false" customHeight="false" outlineLevel="0" collapsed="false">
      <c r="A4409" s="4" t="s">
        <v>573</v>
      </c>
      <c r="B4409" s="0" t="s">
        <v>234</v>
      </c>
      <c r="C4409" s="30" t="n">
        <f aca="false">a25_da</f>
        <v>75.255</v>
      </c>
      <c r="D4409" s="30" t="n">
        <f aca="false">a26_da</f>
        <v>97.124</v>
      </c>
      <c r="E4409" s="30" t="n">
        <f aca="false">D4409*(1-1/life)+D4407/life</f>
        <v>130.83975</v>
      </c>
      <c r="F4409" s="30" t="n">
        <f aca="false">E4409*(1-1/life)+E4407/life</f>
        <v>166.48478125</v>
      </c>
      <c r="G4409" s="30" t="n">
        <f aca="false">F4409*(1-1/life)+F4407/life</f>
        <v>192.856430059454</v>
      </c>
      <c r="K4409" s="4" t="s">
        <v>574</v>
      </c>
    </row>
    <row r="4410" customFormat="false" ht="17.15" hidden="false" customHeight="false" outlineLevel="0" collapsed="false">
      <c r="A4410" s="4" t="s">
        <v>575</v>
      </c>
      <c r="B4410" s="0" t="s">
        <v>234</v>
      </c>
      <c r="C4410" s="30" t="n">
        <f aca="false">a25_agp</f>
        <v>91.38</v>
      </c>
      <c r="D4410" s="30" t="n">
        <f aca="false">a26_agp</f>
        <v>164.623388</v>
      </c>
      <c r="E4410" s="30" t="n">
        <f aca="false">$D4410+ft*(E4398-$D4398)-(E4409-$D4409)</f>
        <v>238.406777354481</v>
      </c>
      <c r="F4410" s="30" t="n">
        <f aca="false">$D4410+ft*(F4398-$D4398)-(F4409-$D4409)</f>
        <v>265.096905707536</v>
      </c>
      <c r="G4410" s="30" t="n">
        <f aca="false">$D4410+ft*(G4398-$D4398)-(G4409-$D4409)</f>
        <v>311.40506004625</v>
      </c>
      <c r="K4410" s="4" t="s">
        <v>576</v>
      </c>
    </row>
    <row r="4411" customFormat="false" ht="15" hidden="false" customHeight="false" outlineLevel="0" collapsed="false">
      <c r="A4411" s="4" t="s">
        <v>447</v>
      </c>
      <c r="B4411" s="0" t="s">
        <v>76</v>
      </c>
      <c r="C4411" s="14" t="n">
        <f aca="false">C4410/C4398</f>
        <v>0.234772421305764</v>
      </c>
      <c r="D4411" s="14" t="n">
        <f aca="false">D4410/D4398</f>
        <v>0.294112034690999</v>
      </c>
      <c r="E4411" s="14" t="n">
        <f aca="false">E4410/E4398</f>
        <v>0.307729461232368</v>
      </c>
      <c r="F4411" s="14" t="n">
        <f aca="false">F4410/F4398</f>
        <v>0.294749010474626</v>
      </c>
      <c r="G4411" s="14" t="n">
        <f aca="false">G4410/G4398</f>
        <v>0.298064182868479</v>
      </c>
    </row>
    <row r="4412" customFormat="false" ht="17.15" hidden="false" customHeight="false" outlineLevel="0" collapsed="false">
      <c r="A4412" s="0" t="s">
        <v>449</v>
      </c>
      <c r="B4412" s="0" t="s">
        <v>234</v>
      </c>
      <c r="C4412" s="30" t="n">
        <f aca="false">a25_egp</f>
        <v>23.695</v>
      </c>
      <c r="D4412" s="30" t="n">
        <f aca="false">a26_egp</f>
        <v>27.00552</v>
      </c>
      <c r="E4412" s="30" t="n">
        <f aca="false">E4399*ems_gm</f>
        <v>29.415287</v>
      </c>
      <c r="F4412" s="30" t="n">
        <f aca="false">F4399*ems_gm</f>
        <v>30.88605135</v>
      </c>
      <c r="G4412" s="30" t="n">
        <f aca="false">G4399*ems_gm</f>
        <v>32.4303539175</v>
      </c>
    </row>
    <row r="4413" customFormat="false" ht="15" hidden="false" customHeight="false" outlineLevel="0" collapsed="false">
      <c r="A4413" s="4" t="s">
        <v>577</v>
      </c>
      <c r="B4413" s="0" t="s">
        <v>234</v>
      </c>
      <c r="C4413" s="30" t="n">
        <f aca="false">a25_lgp</f>
        <v>-0.881999999999998</v>
      </c>
      <c r="D4413" s="30" t="n">
        <f aca="false">a26_lgp</f>
        <v>-0.948662139013863</v>
      </c>
      <c r="E4413" s="30" t="n">
        <f aca="false">$D4413/$D4400*E4400</f>
        <v>-1.21607288699975</v>
      </c>
      <c r="F4413" s="30" t="n">
        <f aca="false">$D4413/$D4400*F4400</f>
        <v>-1.37011595785291</v>
      </c>
      <c r="G4413" s="30" t="n">
        <f aca="false">$D4413/$D4400*G4400</f>
        <v>-1.54754588739994</v>
      </c>
    </row>
    <row r="4414" customFormat="false" ht="15" hidden="false" customHeight="false" outlineLevel="0" collapsed="false">
      <c r="A4414" s="4" t="s">
        <v>451</v>
      </c>
      <c r="B4414" s="0" t="s">
        <v>234</v>
      </c>
      <c r="C4414" s="30" t="n">
        <f aca="false">C4410+C4412+C4413</f>
        <v>114.193</v>
      </c>
      <c r="D4414" s="30" t="n">
        <f aca="false">D4410+D4412+D4413</f>
        <v>190.680245860986</v>
      </c>
      <c r="E4414" s="30" t="n">
        <f aca="false">E4410+E4412+E4413</f>
        <v>266.605991467481</v>
      </c>
      <c r="F4414" s="30" t="n">
        <f aca="false">F4410+F4412+F4413</f>
        <v>294.612841099683</v>
      </c>
      <c r="G4414" s="30" t="n">
        <f aca="false">G4410+G4412+G4413</f>
        <v>342.28786807635</v>
      </c>
    </row>
    <row r="4415" customFormat="false" ht="15" hidden="false" customHeight="false" outlineLevel="0" collapsed="false">
      <c r="A4415" s="4" t="s">
        <v>452</v>
      </c>
      <c r="B4415" s="0" t="s">
        <v>76</v>
      </c>
      <c r="C4415" s="14" t="n">
        <f aca="false">C4414/C4401</f>
        <v>0.176936974347214</v>
      </c>
      <c r="D4415" s="14" t="n">
        <f aca="false">D4414/D4401</f>
        <v>0.218879008327391</v>
      </c>
      <c r="E4415" s="14" t="n">
        <f aca="false">E4414/E4401</f>
        <v>0.238737299412531</v>
      </c>
      <c r="F4415" s="14" t="n">
        <f aca="false">F4414/F4401</f>
        <v>0.234155479418908</v>
      </c>
      <c r="G4415" s="14" t="n">
        <f aca="false">G4414/G4401</f>
        <v>0.24085626557549</v>
      </c>
    </row>
    <row r="4416" customFormat="false" ht="15" hidden="false" customHeight="false" outlineLevel="0" collapsed="false">
      <c r="A4416" s="4" t="s">
        <v>578</v>
      </c>
      <c r="B4416" s="0" t="s">
        <v>234</v>
      </c>
      <c r="C4416" s="30" t="n">
        <f aca="false">a25_opx</f>
        <v>63.437</v>
      </c>
      <c r="D4416" s="30" t="n">
        <f aca="false">a26_opx</f>
        <v>79.658</v>
      </c>
      <c r="E4416" s="30" t="n">
        <f aca="false">D4416*(1+phi_hi*E4402)</f>
        <v>102.112153578009</v>
      </c>
      <c r="F4416" s="30" t="n">
        <f aca="false">E4416*(1+phi_hi*F4402)</f>
        <v>115.046961907955</v>
      </c>
      <c r="G4416" s="30" t="n">
        <f aca="false">F4416*(1+phi_hi*G4402)</f>
        <v>129.945536170178</v>
      </c>
    </row>
    <row r="4417" customFormat="false" ht="15" hidden="false" customHeight="false" outlineLevel="0" collapsed="false">
      <c r="A4417" s="4" t="s">
        <v>455</v>
      </c>
      <c r="B4417" s="0" t="s">
        <v>234</v>
      </c>
      <c r="C4417" s="30" t="n">
        <f aca="false">C4414-C4416</f>
        <v>50.756</v>
      </c>
      <c r="D4417" s="30" t="n">
        <f aca="false">D4414-D4416</f>
        <v>111.022245860986</v>
      </c>
      <c r="E4417" s="30" t="n">
        <f aca="false">E4414-E4416</f>
        <v>164.493837889472</v>
      </c>
      <c r="F4417" s="30" t="n">
        <f aca="false">F4414-F4416</f>
        <v>179.565879191727</v>
      </c>
      <c r="G4417" s="30" t="n">
        <f aca="false">G4414-G4416</f>
        <v>212.342331906172</v>
      </c>
    </row>
    <row r="4418" customFormat="false" ht="15" hidden="false" customHeight="false" outlineLevel="0" collapsed="false">
      <c r="A4418" s="4" t="s">
        <v>537</v>
      </c>
      <c r="B4418" s="0" t="s">
        <v>76</v>
      </c>
      <c r="C4418" s="14" t="n">
        <f aca="false">C4417/C4401</f>
        <v>0.0786441644406156</v>
      </c>
      <c r="D4418" s="14" t="n">
        <f aca="false">D4417/D4401</f>
        <v>0.127440779020437</v>
      </c>
      <c r="E4418" s="14" t="n">
        <f aca="false">E4417/E4401</f>
        <v>0.147299070105577</v>
      </c>
      <c r="F4418" s="14" t="n">
        <f aca="false">F4417/F4401</f>
        <v>0.142717250111954</v>
      </c>
      <c r="G4418" s="14" t="n">
        <f aca="false">G4417/G4401</f>
        <v>0.149418036268536</v>
      </c>
    </row>
    <row r="4419" customFormat="false" ht="15" hidden="false" customHeight="false" outlineLevel="0" collapsed="false">
      <c r="A4419" s="4" t="s">
        <v>456</v>
      </c>
      <c r="B4419" s="0" t="s">
        <v>234</v>
      </c>
      <c r="C4419" s="30" t="n">
        <f aca="false">a25_nonop</f>
        <v>0.545</v>
      </c>
      <c r="D4419" s="30" t="n">
        <f aca="false">a26_nonop</f>
        <v>4.302</v>
      </c>
      <c r="E4419" s="30" t="n">
        <f aca="false">nonop_f</f>
        <v>-5</v>
      </c>
      <c r="F4419" s="30" t="n">
        <f aca="false">nonop_f</f>
        <v>-5</v>
      </c>
      <c r="G4419" s="30" t="n">
        <f aca="false">nonop_f</f>
        <v>-5</v>
      </c>
    </row>
    <row r="4420" customFormat="false" ht="15" hidden="false" customHeight="false" outlineLevel="0" collapsed="false">
      <c r="A4420" s="4" t="s">
        <v>459</v>
      </c>
      <c r="B4420" s="0" t="s">
        <v>234</v>
      </c>
      <c r="C4420" s="30" t="n">
        <f aca="false">C4417+C4419</f>
        <v>51.301</v>
      </c>
      <c r="D4420" s="30" t="n">
        <f aca="false">D4417+D4419</f>
        <v>115.324245860986</v>
      </c>
      <c r="E4420" s="30" t="n">
        <f aca="false">E4417+E4419</f>
        <v>159.493837889472</v>
      </c>
      <c r="F4420" s="30" t="n">
        <f aca="false">F4417+F4419</f>
        <v>174.565879191727</v>
      </c>
      <c r="G4420" s="30" t="n">
        <f aca="false">G4417+G4419</f>
        <v>207.342331906172</v>
      </c>
    </row>
    <row r="4421" customFormat="false" ht="15" hidden="false" customHeight="false" outlineLevel="0" collapsed="false">
      <c r="A4421" s="4" t="s">
        <v>460</v>
      </c>
      <c r="B4421" s="0" t="s">
        <v>234</v>
      </c>
      <c r="C4421" s="30" t="n">
        <f aca="false">a25_tax</f>
        <v>9.461</v>
      </c>
      <c r="D4421" s="30" t="n">
        <f aca="false">a26_tax</f>
        <v>19.2197317963676</v>
      </c>
      <c r="E4421" s="30" t="n">
        <f aca="false">E4420*tax</f>
        <v>27.1139524412102</v>
      </c>
      <c r="F4421" s="30" t="n">
        <f aca="false">F4420*tax</f>
        <v>29.6761994625937</v>
      </c>
      <c r="G4421" s="30" t="n">
        <f aca="false">G4420*tax</f>
        <v>35.2481964240492</v>
      </c>
    </row>
    <row r="4422" customFormat="false" ht="15" hidden="false" customHeight="false" outlineLevel="0" collapsed="false">
      <c r="A4422" s="4" t="s">
        <v>461</v>
      </c>
      <c r="B4422" s="0" t="s">
        <v>234</v>
      </c>
      <c r="C4422" s="30" t="n">
        <f aca="false">a25_nci</f>
        <v>1.182</v>
      </c>
      <c r="D4422" s="30" t="n">
        <f aca="false">a26_nci</f>
        <v>2.543</v>
      </c>
      <c r="E4422" s="30" t="n">
        <f aca="false">nci</f>
        <v>3</v>
      </c>
      <c r="F4422" s="30" t="n">
        <f aca="false">nci</f>
        <v>3</v>
      </c>
      <c r="G4422" s="30" t="n">
        <f aca="false">nci</f>
        <v>3</v>
      </c>
    </row>
    <row r="4423" customFormat="false" ht="15" hidden="false" customHeight="false" outlineLevel="0" collapsed="false">
      <c r="A4423" s="4" t="s">
        <v>462</v>
      </c>
      <c r="B4423" s="0" t="s">
        <v>234</v>
      </c>
      <c r="C4423" s="30" t="n">
        <f aca="false">C4420-C4421-C4422</f>
        <v>40.658</v>
      </c>
      <c r="D4423" s="30" t="n">
        <f aca="false">D4420-D4421-D4422</f>
        <v>93.5615140646185</v>
      </c>
      <c r="E4423" s="30" t="n">
        <f aca="false">E4420-E4421-E4422</f>
        <v>129.379885448262</v>
      </c>
      <c r="F4423" s="30" t="n">
        <f aca="false">F4420-F4421-F4422</f>
        <v>141.889679729134</v>
      </c>
      <c r="G4423" s="30" t="n">
        <f aca="false">G4420-G4421-G4422</f>
        <v>169.094135482123</v>
      </c>
      <c r="H4423" s="31" t="n">
        <f aca="false">H4401*H4427</f>
        <v>193.793227185498</v>
      </c>
      <c r="I4423" s="31" t="n">
        <f aca="false">I4401*I4427</f>
        <v>217.187891980482</v>
      </c>
      <c r="J4423" s="31" t="n">
        <f aca="false">J4401*J4427</f>
        <v>237.933349598446</v>
      </c>
    </row>
    <row r="4424" customFormat="false" ht="15" hidden="false" customHeight="false" outlineLevel="0" collapsed="false">
      <c r="A4424" s="4" t="s">
        <v>579</v>
      </c>
      <c r="B4424" s="4" t="s">
        <v>580</v>
      </c>
      <c r="C4424" s="18" t="n">
        <f aca="false">a25_sh</f>
        <v>4339.16755602988</v>
      </c>
      <c r="D4424" s="18" t="n">
        <f aca="false">a26_sh</f>
        <v>4392.90105184664</v>
      </c>
      <c r="E4424" s="18" t="n">
        <f aca="false">D4424*(1+sh_g)</f>
        <v>4414.86555710588</v>
      </c>
      <c r="F4424" s="18" t="n">
        <f aca="false">E4424*(1+sh_g)</f>
        <v>4436.9398848914</v>
      </c>
      <c r="G4424" s="18" t="n">
        <f aca="false">F4424*(1+sh_g)</f>
        <v>4459.12458431586</v>
      </c>
      <c r="H4424" s="25" t="n">
        <f aca="false">G4424*(1+sh_g)</f>
        <v>4481.42020723744</v>
      </c>
      <c r="I4424" s="25" t="n">
        <f aca="false">H4424*(1+sh_g)</f>
        <v>4503.82730827363</v>
      </c>
      <c r="J4424" s="25" t="n">
        <f aca="false">I4424*(1+sh_g)</f>
        <v>4526.34644481499</v>
      </c>
    </row>
    <row r="4425" customFormat="false" ht="17.15" hidden="false" customHeight="false" outlineLevel="0" collapsed="false">
      <c r="A4425" s="0" t="s">
        <v>465</v>
      </c>
      <c r="B4425" s="0" t="s">
        <v>304</v>
      </c>
      <c r="C4425" s="19" t="n">
        <f aca="false">a25_eps</f>
        <v>9.37</v>
      </c>
      <c r="D4425" s="19" t="n">
        <f aca="false">a26_eps</f>
        <v>21.2828697294455</v>
      </c>
      <c r="E4425" s="19" t="n">
        <f aca="false">E4423/E4424*1000</f>
        <v>29.3055097091282</v>
      </c>
      <c r="F4425" s="19" t="n">
        <f aca="false">F4423/F4424*1000</f>
        <v>31.9791756053072</v>
      </c>
      <c r="G4425" s="19" t="n">
        <f aca="false">G4423/G4424*1000</f>
        <v>37.9209264699353</v>
      </c>
      <c r="H4425" s="28" t="n">
        <f aca="false">H4423/H4424*1000</f>
        <v>43.243708071054</v>
      </c>
      <c r="I4425" s="28" t="n">
        <f aca="false">I4423/I4424*1000</f>
        <v>48.2229617422282</v>
      </c>
      <c r="J4425" s="28" t="n">
        <f aca="false">J4423/J4424*1000</f>
        <v>52.5663142446825</v>
      </c>
    </row>
    <row r="4426" customFormat="false" ht="17.15" hidden="false" customHeight="false" outlineLevel="0" collapsed="false">
      <c r="A4426" s="0" t="s">
        <v>581</v>
      </c>
      <c r="B4426" s="0" t="s">
        <v>76</v>
      </c>
      <c r="D4426" s="21" t="n">
        <f aca="false">D4425/C4425-1</f>
        <v>1.27138417603474</v>
      </c>
      <c r="E4426" s="21" t="n">
        <f aca="false">E4425/D4425-1</f>
        <v>0.376952924190626</v>
      </c>
      <c r="F4426" s="21" t="n">
        <f aca="false">F4425/E4425-1</f>
        <v>0.0912342396606134</v>
      </c>
      <c r="G4426" s="21" t="n">
        <f aca="false">G4425/F4425-1</f>
        <v>0.185800626569061</v>
      </c>
      <c r="H4426" s="26" t="n">
        <f aca="false">H4425/G4425-1</f>
        <v>0.140365283673613</v>
      </c>
      <c r="I4426" s="26" t="n">
        <f aca="false">I4425/H4425-1</f>
        <v>0.115144003446532</v>
      </c>
      <c r="J4426" s="26" t="n">
        <f aca="false">J4425/I4425-1</f>
        <v>0.0900681406851627</v>
      </c>
    </row>
    <row r="4427" customFormat="false" ht="17.15" hidden="false" customHeight="false" outlineLevel="0" collapsed="false">
      <c r="A4427" s="4" t="s">
        <v>582</v>
      </c>
      <c r="B4427" s="0" t="s">
        <v>76</v>
      </c>
      <c r="C4427" s="14" t="n">
        <f aca="false">C4423/C4401</f>
        <v>0.0629977625862272</v>
      </c>
      <c r="D4427" s="14" t="n">
        <f aca="false">D4423/D4401</f>
        <v>0.107397865592237</v>
      </c>
      <c r="E4427" s="14" t="n">
        <f aca="false">E4423/E4401</f>
        <v>0.115855627550622</v>
      </c>
      <c r="F4427" s="14" t="n">
        <f aca="false">F4423/F4401</f>
        <v>0.112772565708801</v>
      </c>
      <c r="G4427" s="14" t="n">
        <f aca="false">G4423/G4401</f>
        <v>0.118985759652619</v>
      </c>
      <c r="H4427" s="27" t="n">
        <f aca="false">$G4427+(fade_mA-$G4427)*1/3</f>
        <v>0.123259118039801</v>
      </c>
      <c r="I4427" s="27" t="n">
        <f aca="false">$G4427+(fade_mA-$G4427)*2/3</f>
        <v>0.127532476426982</v>
      </c>
      <c r="J4427" s="27" t="n">
        <f aca="false">$G4427+(fade_mA-$G4427)*3/3</f>
        <v>0.131805834814164</v>
      </c>
    </row>
    <row r="4428" customFormat="false" ht="17.15" hidden="false" customHeight="false" outlineLevel="0" collapsed="false">
      <c r="A4428" s="4" t="s">
        <v>583</v>
      </c>
      <c r="B4428" s="0" t="s">
        <v>234</v>
      </c>
      <c r="C4428" s="30" t="n">
        <f aca="false">C4423+C4409-C4407</f>
        <v>-54.587</v>
      </c>
      <c r="D4428" s="30" t="n">
        <f aca="false">D4423+D4409-D4407</f>
        <v>-176.164485935382</v>
      </c>
      <c r="E4428" s="30" t="n">
        <f aca="false">E4423+E4409-E4407</f>
        <v>-155.780364551738</v>
      </c>
      <c r="F4428" s="30" t="n">
        <f aca="false">F4423+F4409-F4407</f>
        <v>-69.0835107465014</v>
      </c>
      <c r="G4428" s="30" t="n">
        <f aca="false">G4423+G4409-G4407</f>
        <v>-64.3881895559962</v>
      </c>
      <c r="K4428" s="4" t="s">
        <v>584</v>
      </c>
    </row>
    <row r="4429" customFormat="false" ht="17.15" hidden="false" customHeight="false" outlineLevel="0" collapsed="false">
      <c r="A4429" s="4" t="s">
        <v>585</v>
      </c>
      <c r="B4429" s="0" t="s">
        <v>76</v>
      </c>
      <c r="D4429" s="21" t="n">
        <f aca="false">(D4417-$C4417)/SUM($D4407:D4407)</f>
        <v>0.164280348537512</v>
      </c>
      <c r="E4429" s="21" t="n">
        <f aca="false">(E4417-$C4417)/SUM($D4407:E4407)</f>
        <v>0.14528688495813</v>
      </c>
      <c r="F4429" s="21" t="n">
        <f aca="false">(F4417-$C4417)/SUM($D4407:F4407)</f>
        <v>0.111013526003927</v>
      </c>
      <c r="G4429" s="21" t="n">
        <f aca="false">(G4417-$C4417)/SUM($D4407:G4407)</f>
        <v>0.101841405004944</v>
      </c>
      <c r="K4429" s="4" t="s">
        <v>586</v>
      </c>
    </row>
    <row r="4432" customFormat="false" ht="17.15" hidden="false" customHeight="false" outlineLevel="0" collapsed="false">
      <c r="A4432" s="1" t="s">
        <v>1004</v>
      </c>
    </row>
    <row r="4433" customFormat="false" ht="17.15" hidden="false" customHeight="false" outlineLevel="0" collapsed="false">
      <c r="A4433" s="5" t="s">
        <v>21</v>
      </c>
      <c r="B4433" s="5" t="s">
        <v>22</v>
      </c>
      <c r="C4433" s="15" t="s">
        <v>424</v>
      </c>
      <c r="D4433" s="15" t="s">
        <v>524</v>
      </c>
      <c r="E4433" s="15" t="s">
        <v>525</v>
      </c>
      <c r="F4433" s="15" t="s">
        <v>526</v>
      </c>
      <c r="G4433" s="15" t="s">
        <v>527</v>
      </c>
      <c r="H4433" s="15" t="s">
        <v>528</v>
      </c>
      <c r="I4433" s="15" t="s">
        <v>529</v>
      </c>
      <c r="J4433" s="15" t="s">
        <v>530</v>
      </c>
      <c r="K4433" s="5" t="s">
        <v>382</v>
      </c>
    </row>
    <row r="4434" customFormat="false" ht="17.15" hidden="false" customHeight="false" outlineLevel="0" collapsed="false">
      <c r="A4434" s="6" t="s">
        <v>548</v>
      </c>
    </row>
    <row r="4435" customFormat="false" ht="17.15" hidden="false" customHeight="false" outlineLevel="0" collapsed="false">
      <c r="A4435" s="0" t="s">
        <v>549</v>
      </c>
      <c r="B4435" s="4" t="s">
        <v>32</v>
      </c>
      <c r="D4435" s="19" t="n">
        <f aca="false">units_26</f>
        <v>15.2</v>
      </c>
      <c r="E4435" s="19" t="n">
        <f aca="false">units_27*1</f>
        <v>23.7</v>
      </c>
      <c r="F4435" s="19" t="n">
        <f aca="false">units_28*um28_B*1</f>
        <v>21.2</v>
      </c>
      <c r="G4435" s="19" t="n">
        <f aca="false">units_29*um29_B*1</f>
        <v>25.6275</v>
      </c>
    </row>
    <row r="4436" customFormat="false" ht="17.15" hidden="false" customHeight="false" outlineLevel="0" collapsed="false">
      <c r="A4436" s="4" t="s">
        <v>497</v>
      </c>
      <c r="B4436" s="0" t="s">
        <v>45</v>
      </c>
      <c r="D4436" s="22" t="n">
        <f aca="false">ar_26</f>
        <v>1</v>
      </c>
      <c r="E4436" s="22" t="n">
        <f aca="false">ar_27</f>
        <v>1.278156</v>
      </c>
      <c r="F4436" s="22" t="n">
        <f aca="false">ar_28</f>
        <v>1.428615</v>
      </c>
      <c r="G4436" s="22" t="n">
        <f aca="false">ar_29</f>
        <v>1.431796</v>
      </c>
    </row>
    <row r="4437" customFormat="false" ht="17.15" hidden="false" customHeight="false" outlineLevel="0" collapsed="false">
      <c r="A4437" s="4" t="s">
        <v>550</v>
      </c>
      <c r="B4437" s="0" t="s">
        <v>45</v>
      </c>
      <c r="D4437" s="19" t="n">
        <f aca="false">1</f>
        <v>1</v>
      </c>
      <c r="E4437" s="19" t="n">
        <f aca="false">rel27_B</f>
        <v>1.05</v>
      </c>
      <c r="F4437" s="19" t="n">
        <f aca="false">rel28_B</f>
        <v>1.08</v>
      </c>
      <c r="G4437" s="19" t="n">
        <f aca="false">rel29_B</f>
        <v>1.1</v>
      </c>
    </row>
    <row r="4438" customFormat="false" ht="17.15" hidden="false" customHeight="false" outlineLevel="0" collapsed="false">
      <c r="A4438" s="4" t="s">
        <v>551</v>
      </c>
      <c r="B4438" s="0" t="s">
        <v>502</v>
      </c>
      <c r="D4438" s="23" t="n">
        <f aca="false">D4439*1000/D4435</f>
        <v>236.842105263158</v>
      </c>
      <c r="E4438" s="23" t="n">
        <f aca="false">$D4438*E4436^el</f>
        <v>267.763172119488</v>
      </c>
      <c r="F4438" s="23" t="n">
        <f aca="false">$D4438*F4436^el</f>
        <v>283.084777049615</v>
      </c>
      <c r="G4438" s="23" t="n">
        <f aca="false">$D4438*G4436^el</f>
        <v>283.399764630809</v>
      </c>
      <c r="K4438" s="8" t="s">
        <v>552</v>
      </c>
    </row>
    <row r="4439" customFormat="false" ht="17.15" hidden="false" customHeight="false" outlineLevel="0" collapsed="false">
      <c r="A4439" s="0" t="s">
        <v>553</v>
      </c>
      <c r="B4439" s="0" t="s">
        <v>120</v>
      </c>
      <c r="D4439" s="22" t="n">
        <f aca="false">leap26-D4440-D4441</f>
        <v>3.6</v>
      </c>
      <c r="E4439" s="22" t="n">
        <f aca="false">E4435*E4437*E4438/1000</f>
        <v>6.66328653819345</v>
      </c>
      <c r="F4439" s="22" t="n">
        <f aca="false">F4435*F4437*F4438/1000</f>
        <v>6.48150905532798</v>
      </c>
      <c r="G4439" s="22" t="n">
        <f aca="false">G4435*G4437*G4438/1000</f>
        <v>7.98911021488366</v>
      </c>
      <c r="K4439" s="8" t="s">
        <v>554</v>
      </c>
    </row>
    <row r="4440" customFormat="false" ht="17.15" hidden="false" customHeight="false" outlineLevel="0" collapsed="false">
      <c r="A4440" s="4" t="s">
        <v>555</v>
      </c>
      <c r="B4440" s="0" t="s">
        <v>120</v>
      </c>
      <c r="D4440" s="22" t="n">
        <f aca="false">fp26</f>
        <v>0.3</v>
      </c>
      <c r="E4440" s="22" t="n">
        <f aca="false">fp27_B</f>
        <v>1</v>
      </c>
      <c r="F4440" s="22" t="n">
        <f aca="false">E4440*F4435/E4435*(1+fp_g)</f>
        <v>1.16286919831224</v>
      </c>
      <c r="G4440" s="22" t="n">
        <f aca="false">F4440*G4435/F4435*(1+fp_g)</f>
        <v>1.82744620253165</v>
      </c>
    </row>
    <row r="4441" customFormat="false" ht="17.15" hidden="false" customHeight="false" outlineLevel="0" collapsed="false">
      <c r="A4441" s="0" t="s">
        <v>556</v>
      </c>
      <c r="B4441" s="0" t="s">
        <v>120</v>
      </c>
      <c r="D4441" s="22" t="n">
        <f aca="false">cpo27*cpo_B_26/cpo_A_27</f>
        <v>0.1</v>
      </c>
      <c r="E4441" s="22" t="n">
        <f aca="false">cpo27*cpo_B_27/cpo_A_27</f>
        <v>0.3</v>
      </c>
      <c r="F4441" s="22" t="n">
        <f aca="false">cpo27*cpo_B_28/cpo_A_27*F4435/E4435</f>
        <v>0.447257383966245</v>
      </c>
      <c r="G4441" s="22" t="n">
        <f aca="false">cpo27*cpo_B_29/cpo_A_27*G4435/E4435</f>
        <v>0.86506329113924</v>
      </c>
      <c r="K4441" s="8" t="s">
        <v>557</v>
      </c>
    </row>
    <row r="4442" customFormat="false" ht="17.15" hidden="false" customHeight="false" outlineLevel="0" collapsed="false">
      <c r="A4442" s="0" t="s">
        <v>510</v>
      </c>
      <c r="B4442" s="0" t="s">
        <v>120</v>
      </c>
      <c r="C4442" s="22" t="n">
        <f aca="false">leap25</f>
        <v>1.6</v>
      </c>
      <c r="D4442" s="22" t="n">
        <f aca="false">D4439+D4440+D4441</f>
        <v>4</v>
      </c>
      <c r="E4442" s="22" t="n">
        <f aca="false">E4439+E4440+E4441</f>
        <v>7.96328653819345</v>
      </c>
      <c r="F4442" s="22" t="n">
        <f aca="false">F4439+F4440+F4441</f>
        <v>8.09163563760646</v>
      </c>
      <c r="G4442" s="22" t="n">
        <f aca="false">G4439+G4440+G4441</f>
        <v>10.6816197085545</v>
      </c>
    </row>
    <row r="4443" customFormat="false" ht="17.15" hidden="false" customHeight="false" outlineLevel="0" collapsed="false">
      <c r="A4443" s="4" t="s">
        <v>558</v>
      </c>
      <c r="B4443" s="0" t="s">
        <v>114</v>
      </c>
      <c r="C4443" s="19" t="n">
        <f aca="false">fx25</f>
        <v>31</v>
      </c>
      <c r="D4443" s="19" t="n">
        <f aca="false">a26_leap/D4442</f>
        <v>31.9</v>
      </c>
      <c r="E4443" s="19" t="n">
        <f aca="false">fx</f>
        <v>32</v>
      </c>
      <c r="F4443" s="19" t="n">
        <f aca="false">fx</f>
        <v>32</v>
      </c>
      <c r="G4443" s="19" t="n">
        <f aca="false">fx</f>
        <v>32</v>
      </c>
      <c r="K4443" s="8" t="s">
        <v>559</v>
      </c>
    </row>
    <row r="4444" customFormat="false" ht="17.15" hidden="false" customHeight="false" outlineLevel="0" collapsed="false">
      <c r="A4444" s="6" t="s">
        <v>560</v>
      </c>
    </row>
    <row r="4445" customFormat="false" ht="17.15" hidden="false" customHeight="false" outlineLevel="0" collapsed="false">
      <c r="A4445" s="0" t="s">
        <v>438</v>
      </c>
      <c r="B4445" s="0" t="s">
        <v>234</v>
      </c>
      <c r="C4445" s="30" t="n">
        <f aca="false">a25_leap</f>
        <v>49.6</v>
      </c>
      <c r="D4445" s="30" t="n">
        <f aca="false">a26_leap</f>
        <v>127.6</v>
      </c>
      <c r="E4445" s="30" t="n">
        <f aca="false">E4442*E4443</f>
        <v>254.82516922219</v>
      </c>
      <c r="F4445" s="30" t="n">
        <f aca="false">F4442*F4443</f>
        <v>258.932340403407</v>
      </c>
      <c r="G4445" s="30" t="n">
        <f aca="false">G4442*G4443</f>
        <v>341.811830673745</v>
      </c>
    </row>
    <row r="4446" customFormat="false" ht="15" hidden="false" customHeight="false" outlineLevel="0" collapsed="false">
      <c r="A4446" s="4" t="s">
        <v>561</v>
      </c>
      <c r="B4446" s="0" t="s">
        <v>234</v>
      </c>
      <c r="C4446" s="30" t="n">
        <f aca="false">a25_ms</f>
        <v>339.628</v>
      </c>
      <c r="D4446" s="30" t="n">
        <f aca="false">a26_ms</f>
        <v>432.1302</v>
      </c>
      <c r="E4446" s="30" t="n">
        <f aca="false">D4446*(1+g_ms27)</f>
        <v>496.94973</v>
      </c>
      <c r="F4446" s="30" t="n">
        <f aca="false">E4446*(1+g_msL)</f>
        <v>531.7362111</v>
      </c>
      <c r="G4446" s="30" t="n">
        <f aca="false">F4446*(1+g_msL)</f>
        <v>568.957745877</v>
      </c>
    </row>
    <row r="4447" customFormat="false" ht="17.15" hidden="false" customHeight="false" outlineLevel="0" collapsed="false">
      <c r="A4447" s="4" t="s">
        <v>562</v>
      </c>
      <c r="B4447" s="0" t="s">
        <v>234</v>
      </c>
      <c r="C4447" s="30" t="n">
        <f aca="false">C4445+C4446</f>
        <v>389.228</v>
      </c>
      <c r="D4447" s="30" t="n">
        <f aca="false">D4445+D4446</f>
        <v>559.7302</v>
      </c>
      <c r="E4447" s="30" t="n">
        <f aca="false">E4445+E4446</f>
        <v>751.77489922219</v>
      </c>
      <c r="F4447" s="30" t="n">
        <f aca="false">F4445+F4446</f>
        <v>790.668551503407</v>
      </c>
      <c r="G4447" s="30" t="n">
        <f aca="false">G4445+G4446</f>
        <v>910.769576550745</v>
      </c>
    </row>
    <row r="4448" customFormat="false" ht="17.15" hidden="false" customHeight="false" outlineLevel="0" collapsed="false">
      <c r="A4448" s="0" t="s">
        <v>563</v>
      </c>
      <c r="B4448" s="0" t="s">
        <v>234</v>
      </c>
      <c r="C4448" s="30" t="n">
        <f aca="false">a25_ems</f>
        <v>259.079</v>
      </c>
      <c r="D4448" s="30" t="n">
        <f aca="false">a26_ems</f>
        <v>314.602</v>
      </c>
      <c r="E4448" s="30" t="n">
        <f aca="false">D4448*(1+g_ems27)</f>
        <v>346.0622</v>
      </c>
      <c r="F4448" s="30" t="n">
        <f aca="false">E4448*(1+g_emsL)</f>
        <v>363.36531</v>
      </c>
      <c r="G4448" s="30" t="n">
        <f aca="false">F4448*(1+g_emsL)</f>
        <v>381.5335755</v>
      </c>
    </row>
    <row r="4449" customFormat="false" ht="17.15" hidden="false" customHeight="false" outlineLevel="0" collapsed="false">
      <c r="A4449" s="4" t="s">
        <v>564</v>
      </c>
      <c r="B4449" s="0" t="s">
        <v>234</v>
      </c>
      <c r="C4449" s="30" t="n">
        <f aca="false">a25_elim</f>
        <v>-2.91899999999998</v>
      </c>
      <c r="D4449" s="30" t="n">
        <f aca="false">a26_elim</f>
        <v>-3.16484905982349</v>
      </c>
      <c r="E4449" s="30" t="n">
        <f aca="false">$D4449/($D4447+$D4448)*(E4447+E4448)</f>
        <v>-3.97387710450638</v>
      </c>
      <c r="F4449" s="30" t="n">
        <f aca="false">$D4449/($D4447+$D4448)*(F4447+F4448)</f>
        <v>-4.17729437573445</v>
      </c>
      <c r="G4449" s="30" t="n">
        <f aca="false">$D4449/($D4447+$D4448)*(G4447+G4448)</f>
        <v>-4.67779228052533</v>
      </c>
      <c r="K4449" s="4" t="s">
        <v>565</v>
      </c>
    </row>
    <row r="4450" customFormat="false" ht="17.15" hidden="false" customHeight="false" outlineLevel="0" collapsed="false">
      <c r="A4450" s="4" t="s">
        <v>431</v>
      </c>
      <c r="B4450" s="0" t="s">
        <v>234</v>
      </c>
      <c r="C4450" s="30" t="n">
        <f aca="false">C4447+C4448+C4449</f>
        <v>645.388</v>
      </c>
      <c r="D4450" s="30" t="n">
        <f aca="false">D4447+D4448+D4449</f>
        <v>871.167350940177</v>
      </c>
      <c r="E4450" s="30" t="n">
        <f aca="false">E4447+E4448+E4449</f>
        <v>1093.86322211768</v>
      </c>
      <c r="F4450" s="30" t="n">
        <f aca="false">F4447+F4448+F4449</f>
        <v>1149.85656712767</v>
      </c>
      <c r="G4450" s="30" t="n">
        <f aca="false">G4447+G4448+G4449</f>
        <v>1287.62535977022</v>
      </c>
      <c r="H4450" s="31" t="n">
        <f aca="false">G4450*(1+H4451)</f>
        <v>1407.64396999115</v>
      </c>
      <c r="I4450" s="31" t="n">
        <f aca="false">H4450*(1+I4451)</f>
        <v>1501.39957757674</v>
      </c>
      <c r="J4450" s="31" t="n">
        <f aca="false">I4450*(1+J4451)</f>
        <v>1561.45556067981</v>
      </c>
      <c r="K4450" s="8" t="s">
        <v>566</v>
      </c>
    </row>
    <row r="4451" customFormat="false" ht="15" hidden="false" customHeight="false" outlineLevel="0" collapsed="false">
      <c r="A4451" s="4" t="s">
        <v>567</v>
      </c>
      <c r="B4451" s="0" t="s">
        <v>76</v>
      </c>
      <c r="D4451" s="21" t="n">
        <f aca="false">D4450/C4450-1</f>
        <v>0.349835061916516</v>
      </c>
      <c r="E4451" s="21" t="n">
        <f aca="false">E4450/D4450-1</f>
        <v>0.255629266796065</v>
      </c>
      <c r="F4451" s="21" t="n">
        <f aca="false">F4450/E4450-1</f>
        <v>0.0511886165270159</v>
      </c>
      <c r="G4451" s="21" t="n">
        <f aca="false">G4450/F4450-1</f>
        <v>0.11981389382042</v>
      </c>
      <c r="H4451" s="26" t="n">
        <f aca="false">$G4451+(fade_gB-$G4451)*1/3</f>
        <v>0.0932092625469469</v>
      </c>
      <c r="I4451" s="26" t="n">
        <f aca="false">$G4451+(fade_gB-$G4451)*2/3</f>
        <v>0.0666046312734734</v>
      </c>
      <c r="J4451" s="26" t="n">
        <f aca="false">$G4451+(fade_gB-$G4451)*3/3</f>
        <v>0.04</v>
      </c>
    </row>
    <row r="4452" customFormat="false" ht="17.15" hidden="false" customHeight="false" outlineLevel="0" collapsed="false">
      <c r="A4452" s="0" t="s">
        <v>475</v>
      </c>
      <c r="B4452" s="0" t="s">
        <v>76</v>
      </c>
      <c r="C4452" s="21" t="n">
        <f aca="false">C4445/C4447</f>
        <v>0.127431736668482</v>
      </c>
      <c r="D4452" s="21" t="n">
        <f aca="false">D4445/D4447</f>
        <v>0.227966974088588</v>
      </c>
      <c r="E4452" s="21" t="n">
        <f aca="false">E4445/E4447</f>
        <v>0.338964721335922</v>
      </c>
      <c r="F4452" s="21" t="n">
        <f aca="false">F4445/F4447</f>
        <v>0.327485315953269</v>
      </c>
      <c r="G4452" s="21" t="n">
        <f aca="false">G4445/G4447</f>
        <v>0.375300009436251</v>
      </c>
    </row>
    <row r="4453" customFormat="false" ht="15" hidden="false" customHeight="false" outlineLevel="0" collapsed="false">
      <c r="A4453" s="4" t="s">
        <v>568</v>
      </c>
      <c r="B4453" s="0" t="s">
        <v>76</v>
      </c>
      <c r="D4453" s="21" t="n">
        <f aca="false">D4447/C4447-1</f>
        <v>0.438052247012034</v>
      </c>
      <c r="E4453" s="21" t="n">
        <f aca="false">E4447/D4447-1</f>
        <v>0.343102264666424</v>
      </c>
      <c r="F4453" s="21" t="n">
        <f aca="false">F4447/E4447-1</f>
        <v>0.0517357686741828</v>
      </c>
      <c r="G4453" s="21" t="n">
        <f aca="false">G4447/F4447-1</f>
        <v>0.151898067551788</v>
      </c>
    </row>
    <row r="4454" customFormat="false" ht="17.15" hidden="false" customHeight="false" outlineLevel="0" collapsed="false">
      <c r="A4454" s="6" t="s">
        <v>569</v>
      </c>
    </row>
    <row r="4455" customFormat="false" ht="17.15" hidden="false" customHeight="false" outlineLevel="0" collapsed="false">
      <c r="A4455" s="4" t="s">
        <v>570</v>
      </c>
      <c r="B4455" s="0" t="s">
        <v>120</v>
      </c>
      <c r="C4455" s="19" t="n">
        <f aca="false">capex25</f>
        <v>5.5</v>
      </c>
      <c r="D4455" s="19" t="n">
        <f aca="false">capex26</f>
        <v>11.5</v>
      </c>
      <c r="E4455" s="19" t="n">
        <f aca="false">capex27</f>
        <v>13</v>
      </c>
      <c r="F4455" s="19" t="n">
        <f aca="false">capi*F4450/F4443</f>
        <v>10.7799053168219</v>
      </c>
      <c r="G4455" s="19" t="n">
        <f aca="false">capi*G4450/G4443</f>
        <v>12.0714877478458</v>
      </c>
      <c r="K4455" s="8" t="s">
        <v>571</v>
      </c>
    </row>
    <row r="4456" customFormat="false" ht="15" hidden="false" customHeight="false" outlineLevel="0" collapsed="false">
      <c r="A4456" s="4" t="s">
        <v>572</v>
      </c>
      <c r="B4456" s="0" t="s">
        <v>234</v>
      </c>
      <c r="C4456" s="30" t="n">
        <f aca="false">C4455*C4443</f>
        <v>170.5</v>
      </c>
      <c r="D4456" s="30" t="n">
        <f aca="false">D4455*31.9</f>
        <v>366.85</v>
      </c>
      <c r="E4456" s="30" t="n">
        <f aca="false">E4455*E4443</f>
        <v>416</v>
      </c>
      <c r="F4456" s="30" t="n">
        <f aca="false">F4455*F4443</f>
        <v>344.956970138302</v>
      </c>
      <c r="G4456" s="30" t="n">
        <f aca="false">G4455*G4443</f>
        <v>386.287607931066</v>
      </c>
    </row>
    <row r="4457" customFormat="false" ht="17.15" hidden="false" customHeight="false" outlineLevel="0" collapsed="false">
      <c r="A4457" s="4" t="s">
        <v>473</v>
      </c>
      <c r="B4457" s="0" t="s">
        <v>76</v>
      </c>
      <c r="C4457" s="21" t="n">
        <f aca="false">C4456/C4450</f>
        <v>0.264182166386732</v>
      </c>
      <c r="D4457" s="21" t="n">
        <f aca="false">D4456/D4450</f>
        <v>0.421101639775745</v>
      </c>
      <c r="E4457" s="21" t="n">
        <f aca="false">E4456/E4450</f>
        <v>0.380303489127861</v>
      </c>
      <c r="F4457" s="21" t="n">
        <f aca="false">F4456/F4450</f>
        <v>0.3</v>
      </c>
      <c r="G4457" s="21" t="n">
        <f aca="false">G4456/G4450</f>
        <v>0.3</v>
      </c>
    </row>
    <row r="4458" customFormat="false" ht="17.15" hidden="false" customHeight="false" outlineLevel="0" collapsed="false">
      <c r="A4458" s="4" t="s">
        <v>573</v>
      </c>
      <c r="B4458" s="0" t="s">
        <v>234</v>
      </c>
      <c r="C4458" s="30" t="n">
        <f aca="false">a25_da</f>
        <v>75.255</v>
      </c>
      <c r="D4458" s="30" t="n">
        <f aca="false">a26_da</f>
        <v>97.124</v>
      </c>
      <c r="E4458" s="30" t="n">
        <f aca="false">D4458*(1-1/life)+D4456/life</f>
        <v>130.83975</v>
      </c>
      <c r="F4458" s="30" t="n">
        <f aca="false">E4458*(1-1/life)+E4456/life</f>
        <v>166.48478125</v>
      </c>
      <c r="G4458" s="30" t="n">
        <f aca="false">F4458*(1-1/life)+F4456/life</f>
        <v>188.793804861038</v>
      </c>
      <c r="K4458" s="4" t="s">
        <v>574</v>
      </c>
    </row>
    <row r="4459" customFormat="false" ht="17.15" hidden="false" customHeight="false" outlineLevel="0" collapsed="false">
      <c r="A4459" s="4" t="s">
        <v>575</v>
      </c>
      <c r="B4459" s="0" t="s">
        <v>234</v>
      </c>
      <c r="C4459" s="30" t="n">
        <f aca="false">a25_agp</f>
        <v>91.38</v>
      </c>
      <c r="D4459" s="30" t="n">
        <f aca="false">a26_agp</f>
        <v>164.623388</v>
      </c>
      <c r="E4459" s="30" t="n">
        <f aca="false">$D4459+ft*(E4447-$D4447)-(E4458-$D4458)</f>
        <v>226.929987611095</v>
      </c>
      <c r="F4459" s="30" t="n">
        <f aca="false">$D4459+ft*(F4447-$D4447)-(F4458-$D4458)</f>
        <v>210.731782501703</v>
      </c>
      <c r="G4459" s="30" t="n">
        <f aca="false">$D4459+ft*(G4447-$D4447)-(G4458-$D4458)</f>
        <v>248.473271414335</v>
      </c>
      <c r="K4459" s="4" t="s">
        <v>576</v>
      </c>
    </row>
    <row r="4460" customFormat="false" ht="15" hidden="false" customHeight="false" outlineLevel="0" collapsed="false">
      <c r="A4460" s="4" t="s">
        <v>447</v>
      </c>
      <c r="B4460" s="0" t="s">
        <v>76</v>
      </c>
      <c r="C4460" s="14" t="n">
        <f aca="false">C4459/C4447</f>
        <v>0.234772421305764</v>
      </c>
      <c r="D4460" s="14" t="n">
        <f aca="false">D4459/D4447</f>
        <v>0.294112034690999</v>
      </c>
      <c r="E4460" s="14" t="n">
        <f aca="false">E4459/E4447</f>
        <v>0.301858957842147</v>
      </c>
      <c r="F4460" s="14" t="n">
        <f aca="false">F4459/F4447</f>
        <v>0.26652354150296</v>
      </c>
      <c r="G4460" s="14" t="n">
        <f aca="false">G4459/G4447</f>
        <v>0.272816832941818</v>
      </c>
    </row>
    <row r="4461" customFormat="false" ht="17.15" hidden="false" customHeight="false" outlineLevel="0" collapsed="false">
      <c r="A4461" s="0" t="s">
        <v>449</v>
      </c>
      <c r="B4461" s="0" t="s">
        <v>234</v>
      </c>
      <c r="C4461" s="30" t="n">
        <f aca="false">a25_egp</f>
        <v>23.695</v>
      </c>
      <c r="D4461" s="30" t="n">
        <f aca="false">a26_egp</f>
        <v>27.00552</v>
      </c>
      <c r="E4461" s="30" t="n">
        <f aca="false">E4448*ems_gm</f>
        <v>29.415287</v>
      </c>
      <c r="F4461" s="30" t="n">
        <f aca="false">F4448*ems_gm</f>
        <v>30.88605135</v>
      </c>
      <c r="G4461" s="30" t="n">
        <f aca="false">G4448*ems_gm</f>
        <v>32.4303539175</v>
      </c>
    </row>
    <row r="4462" customFormat="false" ht="15" hidden="false" customHeight="false" outlineLevel="0" collapsed="false">
      <c r="A4462" s="4" t="s">
        <v>577</v>
      </c>
      <c r="B4462" s="0" t="s">
        <v>234</v>
      </c>
      <c r="C4462" s="30" t="n">
        <f aca="false">a25_lgp</f>
        <v>-0.881999999999998</v>
      </c>
      <c r="D4462" s="30" t="n">
        <f aca="false">a26_lgp</f>
        <v>-0.948662139013863</v>
      </c>
      <c r="E4462" s="30" t="n">
        <f aca="false">$D4462/$D4449*E4449</f>
        <v>-1.19116794604716</v>
      </c>
      <c r="F4462" s="30" t="n">
        <f aca="false">$D4462/$D4449*F4449</f>
        <v>-1.25214218525664</v>
      </c>
      <c r="G4462" s="30" t="n">
        <f aca="false">$D4462/$D4449*G4449</f>
        <v>-1.40216621608905</v>
      </c>
    </row>
    <row r="4463" customFormat="false" ht="15" hidden="false" customHeight="false" outlineLevel="0" collapsed="false">
      <c r="A4463" s="4" t="s">
        <v>451</v>
      </c>
      <c r="B4463" s="0" t="s">
        <v>234</v>
      </c>
      <c r="C4463" s="30" t="n">
        <f aca="false">C4459+C4461+C4462</f>
        <v>114.193</v>
      </c>
      <c r="D4463" s="30" t="n">
        <f aca="false">D4459+D4461+D4462</f>
        <v>190.680245860986</v>
      </c>
      <c r="E4463" s="30" t="n">
        <f aca="false">E4459+E4461+E4462</f>
        <v>255.154106665048</v>
      </c>
      <c r="F4463" s="30" t="n">
        <f aca="false">F4459+F4461+F4462</f>
        <v>240.365691666447</v>
      </c>
      <c r="G4463" s="30" t="n">
        <f aca="false">G4459+G4461+G4462</f>
        <v>279.501459115746</v>
      </c>
    </row>
    <row r="4464" customFormat="false" ht="15" hidden="false" customHeight="false" outlineLevel="0" collapsed="false">
      <c r="A4464" s="4" t="s">
        <v>452</v>
      </c>
      <c r="B4464" s="0" t="s">
        <v>76</v>
      </c>
      <c r="C4464" s="14" t="n">
        <f aca="false">C4463/C4450</f>
        <v>0.176936974347214</v>
      </c>
      <c r="D4464" s="14" t="n">
        <f aca="false">D4463/D4450</f>
        <v>0.218879008327391</v>
      </c>
      <c r="E4464" s="14" t="n">
        <f aca="false">E4463/E4450</f>
        <v>0.233259608245241</v>
      </c>
      <c r="F4464" s="14" t="n">
        <f aca="false">F4463/F4450</f>
        <v>0.209039717246541</v>
      </c>
      <c r="G4464" s="14" t="n">
        <f aca="false">G4463/G4450</f>
        <v>0.217067376776133</v>
      </c>
    </row>
    <row r="4465" customFormat="false" ht="15" hidden="false" customHeight="false" outlineLevel="0" collapsed="false">
      <c r="A4465" s="4" t="s">
        <v>578</v>
      </c>
      <c r="B4465" s="0" t="s">
        <v>234</v>
      </c>
      <c r="C4465" s="30" t="n">
        <f aca="false">a25_opx</f>
        <v>63.437</v>
      </c>
      <c r="D4465" s="30" t="n">
        <f aca="false">a26_opx</f>
        <v>79.658</v>
      </c>
      <c r="E4465" s="30" t="n">
        <f aca="false">D4465*(1+phi_hi*E4451)</f>
        <v>100.020916134441</v>
      </c>
      <c r="F4465" s="30" t="n">
        <f aca="false">E4465*(1+phi_hi*F4451)</f>
        <v>105.140848455128</v>
      </c>
      <c r="G4465" s="30" t="n">
        <f aca="false">F4465*(1+phi_hi*G4451)</f>
        <v>117.738182908119</v>
      </c>
    </row>
    <row r="4466" customFormat="false" ht="15" hidden="false" customHeight="false" outlineLevel="0" collapsed="false">
      <c r="A4466" s="4" t="s">
        <v>455</v>
      </c>
      <c r="B4466" s="0" t="s">
        <v>234</v>
      </c>
      <c r="C4466" s="30" t="n">
        <f aca="false">C4463-C4465</f>
        <v>50.756</v>
      </c>
      <c r="D4466" s="30" t="n">
        <f aca="false">D4463-D4465</f>
        <v>111.022245860986</v>
      </c>
      <c r="E4466" s="30" t="n">
        <f aca="false">E4463-E4465</f>
        <v>155.133190530607</v>
      </c>
      <c r="F4466" s="30" t="n">
        <f aca="false">F4463-F4465</f>
        <v>135.224843211319</v>
      </c>
      <c r="G4466" s="30" t="n">
        <f aca="false">G4463-G4465</f>
        <v>161.763276207627</v>
      </c>
    </row>
    <row r="4467" customFormat="false" ht="15" hidden="false" customHeight="false" outlineLevel="0" collapsed="false">
      <c r="A4467" s="4" t="s">
        <v>537</v>
      </c>
      <c r="B4467" s="0" t="s">
        <v>76</v>
      </c>
      <c r="C4467" s="14" t="n">
        <f aca="false">C4466/C4450</f>
        <v>0.0786441644406156</v>
      </c>
      <c r="D4467" s="14" t="n">
        <f aca="false">D4466/D4450</f>
        <v>0.127440779020437</v>
      </c>
      <c r="E4467" s="14" t="n">
        <f aca="false">E4466/E4450</f>
        <v>0.141821378938286</v>
      </c>
      <c r="F4467" s="14" t="n">
        <f aca="false">F4466/F4450</f>
        <v>0.117601487939586</v>
      </c>
      <c r="G4467" s="14" t="n">
        <f aca="false">G4466/G4450</f>
        <v>0.125629147469178</v>
      </c>
    </row>
    <row r="4468" customFormat="false" ht="15" hidden="false" customHeight="false" outlineLevel="0" collapsed="false">
      <c r="A4468" s="4" t="s">
        <v>456</v>
      </c>
      <c r="B4468" s="0" t="s">
        <v>234</v>
      </c>
      <c r="C4468" s="30" t="n">
        <f aca="false">a25_nonop</f>
        <v>0.545</v>
      </c>
      <c r="D4468" s="30" t="n">
        <f aca="false">a26_nonop</f>
        <v>4.302</v>
      </c>
      <c r="E4468" s="30" t="n">
        <f aca="false">nonop_f</f>
        <v>-5</v>
      </c>
      <c r="F4468" s="30" t="n">
        <f aca="false">nonop_f</f>
        <v>-5</v>
      </c>
      <c r="G4468" s="30" t="n">
        <f aca="false">nonop_f</f>
        <v>-5</v>
      </c>
    </row>
    <row r="4469" customFormat="false" ht="15" hidden="false" customHeight="false" outlineLevel="0" collapsed="false">
      <c r="A4469" s="4" t="s">
        <v>459</v>
      </c>
      <c r="B4469" s="0" t="s">
        <v>234</v>
      </c>
      <c r="C4469" s="30" t="n">
        <f aca="false">C4466+C4468</f>
        <v>51.301</v>
      </c>
      <c r="D4469" s="30" t="n">
        <f aca="false">D4466+D4468</f>
        <v>115.324245860986</v>
      </c>
      <c r="E4469" s="30" t="n">
        <f aca="false">E4466+E4468</f>
        <v>150.133190530607</v>
      </c>
      <c r="F4469" s="30" t="n">
        <f aca="false">F4466+F4468</f>
        <v>130.224843211319</v>
      </c>
      <c r="G4469" s="30" t="n">
        <f aca="false">G4466+G4468</f>
        <v>156.763276207627</v>
      </c>
    </row>
    <row r="4470" customFormat="false" ht="15" hidden="false" customHeight="false" outlineLevel="0" collapsed="false">
      <c r="A4470" s="4" t="s">
        <v>460</v>
      </c>
      <c r="B4470" s="0" t="s">
        <v>234</v>
      </c>
      <c r="C4470" s="30" t="n">
        <f aca="false">a25_tax</f>
        <v>9.461</v>
      </c>
      <c r="D4470" s="30" t="n">
        <f aca="false">a26_tax</f>
        <v>19.2197317963676</v>
      </c>
      <c r="E4470" s="30" t="n">
        <f aca="false">E4469*tax</f>
        <v>25.5226423902032</v>
      </c>
      <c r="F4470" s="30" t="n">
        <f aca="false">F4469*tax</f>
        <v>22.1382233459242</v>
      </c>
      <c r="G4470" s="30" t="n">
        <f aca="false">G4469*tax</f>
        <v>26.6497569552966</v>
      </c>
    </row>
    <row r="4471" customFormat="false" ht="15" hidden="false" customHeight="false" outlineLevel="0" collapsed="false">
      <c r="A4471" s="4" t="s">
        <v>461</v>
      </c>
      <c r="B4471" s="0" t="s">
        <v>234</v>
      </c>
      <c r="C4471" s="30" t="n">
        <f aca="false">a25_nci</f>
        <v>1.182</v>
      </c>
      <c r="D4471" s="30" t="n">
        <f aca="false">a26_nci</f>
        <v>2.543</v>
      </c>
      <c r="E4471" s="30" t="n">
        <f aca="false">nci</f>
        <v>3</v>
      </c>
      <c r="F4471" s="30" t="n">
        <f aca="false">nci</f>
        <v>3</v>
      </c>
      <c r="G4471" s="30" t="n">
        <f aca="false">nci</f>
        <v>3</v>
      </c>
    </row>
    <row r="4472" customFormat="false" ht="15" hidden="false" customHeight="false" outlineLevel="0" collapsed="false">
      <c r="A4472" s="4" t="s">
        <v>462</v>
      </c>
      <c r="B4472" s="0" t="s">
        <v>234</v>
      </c>
      <c r="C4472" s="30" t="n">
        <f aca="false">C4469-C4470-C4471</f>
        <v>40.658</v>
      </c>
      <c r="D4472" s="30" t="n">
        <f aca="false">D4469-D4470-D4471</f>
        <v>93.5615140646185</v>
      </c>
      <c r="E4472" s="30" t="n">
        <f aca="false">E4469-E4470-E4471</f>
        <v>121.610548140404</v>
      </c>
      <c r="F4472" s="30" t="n">
        <f aca="false">F4469-F4470-F4471</f>
        <v>105.086619865395</v>
      </c>
      <c r="G4472" s="30" t="n">
        <f aca="false">G4469-G4470-G4471</f>
        <v>127.11351925233</v>
      </c>
      <c r="H4472" s="31" t="n">
        <f aca="false">H4450*H4476</f>
        <v>138.74838811265</v>
      </c>
      <c r="I4472" s="31" t="n">
        <f aca="false">I4450*I4476</f>
        <v>147.76217880992</v>
      </c>
      <c r="J4472" s="31" t="n">
        <f aca="false">J4450*J4476</f>
        <v>153.436071648244</v>
      </c>
    </row>
    <row r="4473" customFormat="false" ht="15" hidden="false" customHeight="false" outlineLevel="0" collapsed="false">
      <c r="A4473" s="4" t="s">
        <v>579</v>
      </c>
      <c r="B4473" s="4" t="s">
        <v>580</v>
      </c>
      <c r="C4473" s="18" t="n">
        <f aca="false">a25_sh</f>
        <v>4339.16755602988</v>
      </c>
      <c r="D4473" s="18" t="n">
        <f aca="false">a26_sh</f>
        <v>4392.90105184664</v>
      </c>
      <c r="E4473" s="18" t="n">
        <f aca="false">D4473*(1+sh_g)</f>
        <v>4414.86555710588</v>
      </c>
      <c r="F4473" s="18" t="n">
        <f aca="false">E4473*(1+sh_g)</f>
        <v>4436.9398848914</v>
      </c>
      <c r="G4473" s="18" t="n">
        <f aca="false">F4473*(1+sh_g)</f>
        <v>4459.12458431586</v>
      </c>
      <c r="H4473" s="25" t="n">
        <f aca="false">G4473*(1+sh_g)</f>
        <v>4481.42020723744</v>
      </c>
      <c r="I4473" s="25" t="n">
        <f aca="false">H4473*(1+sh_g)</f>
        <v>4503.82730827363</v>
      </c>
      <c r="J4473" s="25" t="n">
        <f aca="false">I4473*(1+sh_g)</f>
        <v>4526.34644481499</v>
      </c>
    </row>
    <row r="4474" customFormat="false" ht="17.15" hidden="false" customHeight="false" outlineLevel="0" collapsed="false">
      <c r="A4474" s="0" t="s">
        <v>465</v>
      </c>
      <c r="B4474" s="0" t="s">
        <v>304</v>
      </c>
      <c r="C4474" s="19" t="n">
        <f aca="false">a25_eps</f>
        <v>9.37</v>
      </c>
      <c r="D4474" s="19" t="n">
        <f aca="false">a26_eps</f>
        <v>21.2828697294455</v>
      </c>
      <c r="E4474" s="19" t="n">
        <f aca="false">E4472/E4473*1000</f>
        <v>27.5456968207486</v>
      </c>
      <c r="F4474" s="19" t="n">
        <f aca="false">F4472/F4473*1000</f>
        <v>23.684481329854</v>
      </c>
      <c r="G4474" s="19" t="n">
        <f aca="false">G4472/G4473*1000</f>
        <v>28.5063843471493</v>
      </c>
      <c r="H4474" s="28" t="n">
        <f aca="false">H4472/H4473*1000</f>
        <v>30.9608074441608</v>
      </c>
      <c r="I4474" s="28" t="n">
        <f aca="false">I4472/I4473*1000</f>
        <v>32.808135991022</v>
      </c>
      <c r="J4474" s="28" t="n">
        <f aca="false">J4472/J4473*1000</f>
        <v>33.8984374083887</v>
      </c>
    </row>
    <row r="4475" customFormat="false" ht="17.15" hidden="false" customHeight="false" outlineLevel="0" collapsed="false">
      <c r="A4475" s="0" t="s">
        <v>581</v>
      </c>
      <c r="B4475" s="0" t="s">
        <v>76</v>
      </c>
      <c r="D4475" s="21" t="n">
        <f aca="false">D4474/C4474-1</f>
        <v>1.27138417603474</v>
      </c>
      <c r="E4475" s="21" t="n">
        <f aca="false">E4474/D4474-1</f>
        <v>0.294266100902656</v>
      </c>
      <c r="F4475" s="21" t="n">
        <f aca="false">F4474/E4474-1</f>
        <v>-0.140174907028898</v>
      </c>
      <c r="G4475" s="21" t="n">
        <f aca="false">G4474/F4474-1</f>
        <v>0.203589132906929</v>
      </c>
      <c r="H4475" s="26" t="n">
        <f aca="false">H4474/G4474-1</f>
        <v>0.0861008210343943</v>
      </c>
      <c r="I4475" s="26" t="n">
        <f aca="false">I4474/H4474-1</f>
        <v>0.0596666785965732</v>
      </c>
      <c r="J4475" s="26" t="n">
        <f aca="false">J4474/I4474-1</f>
        <v>0.0332326535608454</v>
      </c>
    </row>
    <row r="4476" customFormat="false" ht="17.15" hidden="false" customHeight="false" outlineLevel="0" collapsed="false">
      <c r="A4476" s="4" t="s">
        <v>582</v>
      </c>
      <c r="B4476" s="0" t="s">
        <v>76</v>
      </c>
      <c r="C4476" s="14" t="n">
        <f aca="false">C4472/C4450</f>
        <v>0.0629977625862272</v>
      </c>
      <c r="D4476" s="14" t="n">
        <f aca="false">D4472/D4450</f>
        <v>0.107397865592237</v>
      </c>
      <c r="E4476" s="14" t="n">
        <f aca="false">E4472/E4450</f>
        <v>0.111175278299393</v>
      </c>
      <c r="F4476" s="14" t="n">
        <f aca="false">F4472/F4450</f>
        <v>0.0913910681293928</v>
      </c>
      <c r="G4476" s="14" t="n">
        <f aca="false">G4472/G4450</f>
        <v>0.0987193350051866</v>
      </c>
      <c r="H4476" s="27" t="n">
        <f aca="false">$G4476+(fade_mB-$G4476)*1/3</f>
        <v>0.0985678133608757</v>
      </c>
      <c r="I4476" s="27" t="n">
        <f aca="false">$G4476+(fade_mB-$G4476)*2/3</f>
        <v>0.0984162917165649</v>
      </c>
      <c r="J4476" s="27" t="n">
        <f aca="false">$G4476+(fade_mB-$G4476)*3/3</f>
        <v>0.0982647700722541</v>
      </c>
    </row>
    <row r="4477" customFormat="false" ht="17.15" hidden="false" customHeight="false" outlineLevel="0" collapsed="false">
      <c r="A4477" s="4" t="s">
        <v>583</v>
      </c>
      <c r="B4477" s="0" t="s">
        <v>234</v>
      </c>
      <c r="C4477" s="30" t="n">
        <f aca="false">C4472+C4458-C4456</f>
        <v>-54.587</v>
      </c>
      <c r="D4477" s="30" t="n">
        <f aca="false">D4472+D4458-D4456</f>
        <v>-176.164485935382</v>
      </c>
      <c r="E4477" s="30" t="n">
        <f aca="false">E4472+E4458-E4456</f>
        <v>-163.549701859596</v>
      </c>
      <c r="F4477" s="30" t="n">
        <f aca="false">F4472+F4458-F4456</f>
        <v>-73.3855690229069</v>
      </c>
      <c r="G4477" s="30" t="n">
        <f aca="false">G4472+G4458-G4456</f>
        <v>-70.3802838176982</v>
      </c>
      <c r="K4477" s="4" t="s">
        <v>584</v>
      </c>
    </row>
    <row r="4478" customFormat="false" ht="17.15" hidden="false" customHeight="false" outlineLevel="0" collapsed="false">
      <c r="A4478" s="4" t="s">
        <v>585</v>
      </c>
      <c r="B4478" s="0" t="s">
        <v>76</v>
      </c>
      <c r="D4478" s="21" t="n">
        <f aca="false">(D4466-$C4466)/SUM($D4456:D4456)</f>
        <v>0.164280348537512</v>
      </c>
      <c r="E4478" s="21" t="n">
        <f aca="false">(E4466-$C4466)/SUM($D4456:E4456)</f>
        <v>0.133329744562313</v>
      </c>
      <c r="F4478" s="21" t="n">
        <f aca="false">(F4466-$C4466)/SUM($D4456:F4456)</f>
        <v>0.0748965429793015</v>
      </c>
      <c r="G4478" s="21" t="n">
        <f aca="false">(G4466-$C4466)/SUM($D4456:G4456)</f>
        <v>0.0733159459227262</v>
      </c>
      <c r="K4478" s="4" t="s">
        <v>586</v>
      </c>
    </row>
    <row r="4481" customFormat="false" ht="17.15" hidden="false" customHeight="false" outlineLevel="0" collapsed="false">
      <c r="A4481" s="1" t="s">
        <v>1005</v>
      </c>
    </row>
    <row r="4482" customFormat="false" ht="17.15" hidden="false" customHeight="false" outlineLevel="0" collapsed="false">
      <c r="A4482" s="5" t="s">
        <v>21</v>
      </c>
      <c r="B4482" s="5" t="s">
        <v>22</v>
      </c>
      <c r="C4482" s="15" t="s">
        <v>424</v>
      </c>
      <c r="D4482" s="15" t="s">
        <v>524</v>
      </c>
      <c r="E4482" s="15" t="s">
        <v>525</v>
      </c>
      <c r="F4482" s="15" t="s">
        <v>526</v>
      </c>
      <c r="G4482" s="15" t="s">
        <v>527</v>
      </c>
      <c r="H4482" s="15" t="s">
        <v>528</v>
      </c>
      <c r="I4482" s="15" t="s">
        <v>529</v>
      </c>
      <c r="J4482" s="15" t="s">
        <v>530</v>
      </c>
      <c r="K4482" s="5" t="s">
        <v>382</v>
      </c>
    </row>
    <row r="4483" customFormat="false" ht="17.15" hidden="false" customHeight="false" outlineLevel="0" collapsed="false">
      <c r="A4483" s="6" t="s">
        <v>548</v>
      </c>
    </row>
    <row r="4484" customFormat="false" ht="17.15" hidden="false" customHeight="false" outlineLevel="0" collapsed="false">
      <c r="A4484" s="0" t="s">
        <v>549</v>
      </c>
      <c r="B4484" s="4" t="s">
        <v>32</v>
      </c>
      <c r="D4484" s="19" t="n">
        <f aca="false">units_26</f>
        <v>15.2</v>
      </c>
      <c r="E4484" s="19" t="n">
        <f aca="false">units_27*1</f>
        <v>23.7</v>
      </c>
      <c r="F4484" s="19" t="n">
        <f aca="false">units_28*um28_C*1</f>
        <v>15.9</v>
      </c>
      <c r="G4484" s="19" t="n">
        <f aca="false">units_29*um29_C*1</f>
        <v>18.09</v>
      </c>
    </row>
    <row r="4485" customFormat="false" ht="17.15" hidden="false" customHeight="false" outlineLevel="0" collapsed="false">
      <c r="A4485" s="4" t="s">
        <v>497</v>
      </c>
      <c r="B4485" s="0" t="s">
        <v>45</v>
      </c>
      <c r="D4485" s="22" t="n">
        <f aca="false">ar_26</f>
        <v>1</v>
      </c>
      <c r="E4485" s="22" t="n">
        <f aca="false">ar_27</f>
        <v>1.278156</v>
      </c>
      <c r="F4485" s="22" t="n">
        <f aca="false">ar_28</f>
        <v>1.428615</v>
      </c>
      <c r="G4485" s="22" t="n">
        <f aca="false">ar_29</f>
        <v>1.431796</v>
      </c>
    </row>
    <row r="4486" customFormat="false" ht="17.15" hidden="false" customHeight="false" outlineLevel="0" collapsed="false">
      <c r="A4486" s="4" t="s">
        <v>550</v>
      </c>
      <c r="B4486" s="0" t="s">
        <v>45</v>
      </c>
      <c r="D4486" s="19" t="n">
        <f aca="false">1</f>
        <v>1</v>
      </c>
      <c r="E4486" s="19" t="n">
        <f aca="false">rel27_C</f>
        <v>1</v>
      </c>
      <c r="F4486" s="19" t="n">
        <f aca="false">rel28_C</f>
        <v>0.95</v>
      </c>
      <c r="G4486" s="19" t="n">
        <f aca="false">rel29_C</f>
        <v>0.92</v>
      </c>
    </row>
    <row r="4487" customFormat="false" ht="17.15" hidden="false" customHeight="false" outlineLevel="0" collapsed="false">
      <c r="A4487" s="4" t="s">
        <v>551</v>
      </c>
      <c r="B4487" s="0" t="s">
        <v>502</v>
      </c>
      <c r="D4487" s="23" t="n">
        <f aca="false">D4488*1000/D4484</f>
        <v>236.842105263158</v>
      </c>
      <c r="E4487" s="23" t="n">
        <f aca="false">$D4487*E4485^el</f>
        <v>267.763172119488</v>
      </c>
      <c r="F4487" s="23" t="n">
        <f aca="false">$D4487*F4485^el</f>
        <v>283.084777049615</v>
      </c>
      <c r="G4487" s="23" t="n">
        <f aca="false">$D4487*G4485^el</f>
        <v>283.399764630809</v>
      </c>
      <c r="K4487" s="8" t="s">
        <v>552</v>
      </c>
    </row>
    <row r="4488" customFormat="false" ht="17.15" hidden="false" customHeight="false" outlineLevel="0" collapsed="false">
      <c r="A4488" s="0" t="s">
        <v>553</v>
      </c>
      <c r="B4488" s="0" t="s">
        <v>120</v>
      </c>
      <c r="D4488" s="22" t="n">
        <f aca="false">leap26-D4489-D4490</f>
        <v>3.6</v>
      </c>
      <c r="E4488" s="22" t="n">
        <f aca="false">E4484*E4486*E4487/1000</f>
        <v>6.34598717923185</v>
      </c>
      <c r="F4488" s="22" t="n">
        <f aca="false">F4484*F4486*F4487/1000</f>
        <v>4.27599555733443</v>
      </c>
      <c r="G4488" s="22" t="n">
        <f aca="false">G4484*G4486*G4487/1000</f>
        <v>4.71656560279762</v>
      </c>
      <c r="K4488" s="8" t="s">
        <v>554</v>
      </c>
    </row>
    <row r="4489" customFormat="false" ht="17.15" hidden="false" customHeight="false" outlineLevel="0" collapsed="false">
      <c r="A4489" s="4" t="s">
        <v>555</v>
      </c>
      <c r="B4489" s="0" t="s">
        <v>120</v>
      </c>
      <c r="D4489" s="22" t="n">
        <f aca="false">fp26</f>
        <v>0.3</v>
      </c>
      <c r="E4489" s="22" t="n">
        <f aca="false">fp27_C</f>
        <v>0.7</v>
      </c>
      <c r="F4489" s="22" t="n">
        <f aca="false">E4489*F4484/E4484*(1+fp_g)</f>
        <v>0.610506329113924</v>
      </c>
      <c r="G4489" s="22" t="n">
        <f aca="false">F4489*G4484/F4484*(1+fp_g)</f>
        <v>0.902973417721519</v>
      </c>
    </row>
    <row r="4490" customFormat="false" ht="17.15" hidden="false" customHeight="false" outlineLevel="0" collapsed="false">
      <c r="A4490" s="0" t="s">
        <v>556</v>
      </c>
      <c r="B4490" s="0" t="s">
        <v>120</v>
      </c>
      <c r="D4490" s="22" t="n">
        <f aca="false">cpo27*cpo_C_26/cpo_A_27</f>
        <v>0.1</v>
      </c>
      <c r="E4490" s="22" t="n">
        <f aca="false">cpo27*cpo_C_27/cpo_A_27</f>
        <v>0.2</v>
      </c>
      <c r="F4490" s="22" t="n">
        <f aca="false">cpo27*cpo_C_28/cpo_A_27*F4484/E4484</f>
        <v>0.20126582278481</v>
      </c>
      <c r="G4490" s="22" t="n">
        <f aca="false">cpo27*cpo_C_29/cpo_A_27*G4484/E4484</f>
        <v>0.381645569620253</v>
      </c>
      <c r="K4490" s="8" t="s">
        <v>557</v>
      </c>
    </row>
    <row r="4491" customFormat="false" ht="17.15" hidden="false" customHeight="false" outlineLevel="0" collapsed="false">
      <c r="A4491" s="0" t="s">
        <v>510</v>
      </c>
      <c r="B4491" s="0" t="s">
        <v>120</v>
      </c>
      <c r="C4491" s="22" t="n">
        <f aca="false">leap25</f>
        <v>1.6</v>
      </c>
      <c r="D4491" s="22" t="n">
        <f aca="false">D4488+D4489+D4490</f>
        <v>4</v>
      </c>
      <c r="E4491" s="22" t="n">
        <f aca="false">E4488+E4489+E4490</f>
        <v>7.24598717923186</v>
      </c>
      <c r="F4491" s="22" t="n">
        <f aca="false">F4488+F4489+F4490</f>
        <v>5.08776770923316</v>
      </c>
      <c r="G4491" s="22" t="n">
        <f aca="false">G4488+G4489+G4490</f>
        <v>6.0011845901394</v>
      </c>
    </row>
    <row r="4492" customFormat="false" ht="17.15" hidden="false" customHeight="false" outlineLevel="0" collapsed="false">
      <c r="A4492" s="4" t="s">
        <v>558</v>
      </c>
      <c r="B4492" s="0" t="s">
        <v>114</v>
      </c>
      <c r="C4492" s="19" t="n">
        <f aca="false">fx25</f>
        <v>31</v>
      </c>
      <c r="D4492" s="19" t="n">
        <f aca="false">a26_leap/D4491</f>
        <v>31.9</v>
      </c>
      <c r="E4492" s="19" t="n">
        <f aca="false">fx</f>
        <v>32</v>
      </c>
      <c r="F4492" s="19" t="n">
        <f aca="false">fx</f>
        <v>32</v>
      </c>
      <c r="G4492" s="19" t="n">
        <f aca="false">fx</f>
        <v>32</v>
      </c>
      <c r="K4492" s="8" t="s">
        <v>559</v>
      </c>
    </row>
    <row r="4493" customFormat="false" ht="17.15" hidden="false" customHeight="false" outlineLevel="0" collapsed="false">
      <c r="A4493" s="6" t="s">
        <v>560</v>
      </c>
    </row>
    <row r="4494" customFormat="false" ht="17.15" hidden="false" customHeight="false" outlineLevel="0" collapsed="false">
      <c r="A4494" s="0" t="s">
        <v>438</v>
      </c>
      <c r="B4494" s="0" t="s">
        <v>234</v>
      </c>
      <c r="C4494" s="30" t="n">
        <f aca="false">a25_leap</f>
        <v>49.6</v>
      </c>
      <c r="D4494" s="30" t="n">
        <f aca="false">a26_leap</f>
        <v>127.6</v>
      </c>
      <c r="E4494" s="30" t="n">
        <f aca="false">E4491*E4492</f>
        <v>231.871589735419</v>
      </c>
      <c r="F4494" s="30" t="n">
        <f aca="false">F4491*F4492</f>
        <v>162.808566695461</v>
      </c>
      <c r="G4494" s="30" t="n">
        <f aca="false">G4491*G4492</f>
        <v>192.037906884461</v>
      </c>
    </row>
    <row r="4495" customFormat="false" ht="15" hidden="false" customHeight="false" outlineLevel="0" collapsed="false">
      <c r="A4495" s="4" t="s">
        <v>561</v>
      </c>
      <c r="B4495" s="0" t="s">
        <v>234</v>
      </c>
      <c r="C4495" s="30" t="n">
        <f aca="false">a25_ms</f>
        <v>339.628</v>
      </c>
      <c r="D4495" s="30" t="n">
        <f aca="false">a26_ms</f>
        <v>432.1302</v>
      </c>
      <c r="E4495" s="30" t="n">
        <f aca="false">D4495*(1+g_ms27)</f>
        <v>496.94973</v>
      </c>
      <c r="F4495" s="30" t="n">
        <f aca="false">E4495*(1+g_msL)</f>
        <v>531.7362111</v>
      </c>
      <c r="G4495" s="30" t="n">
        <f aca="false">F4495*(1+g_msL)</f>
        <v>568.957745877</v>
      </c>
    </row>
    <row r="4496" customFormat="false" ht="17.15" hidden="false" customHeight="false" outlineLevel="0" collapsed="false">
      <c r="A4496" s="4" t="s">
        <v>562</v>
      </c>
      <c r="B4496" s="0" t="s">
        <v>234</v>
      </c>
      <c r="C4496" s="30" t="n">
        <f aca="false">C4494+C4495</f>
        <v>389.228</v>
      </c>
      <c r="D4496" s="30" t="n">
        <f aca="false">D4494+D4495</f>
        <v>559.7302</v>
      </c>
      <c r="E4496" s="30" t="n">
        <f aca="false">E4494+E4495</f>
        <v>728.821319735419</v>
      </c>
      <c r="F4496" s="30" t="n">
        <f aca="false">F4494+F4495</f>
        <v>694.544777795461</v>
      </c>
      <c r="G4496" s="30" t="n">
        <f aca="false">G4494+G4495</f>
        <v>760.995652761461</v>
      </c>
    </row>
    <row r="4497" customFormat="false" ht="17.15" hidden="false" customHeight="false" outlineLevel="0" collapsed="false">
      <c r="A4497" s="0" t="s">
        <v>563</v>
      </c>
      <c r="B4497" s="0" t="s">
        <v>234</v>
      </c>
      <c r="C4497" s="30" t="n">
        <f aca="false">a25_ems</f>
        <v>259.079</v>
      </c>
      <c r="D4497" s="30" t="n">
        <f aca="false">a26_ems</f>
        <v>314.602</v>
      </c>
      <c r="E4497" s="30" t="n">
        <f aca="false">D4497*(1+g_ems27)</f>
        <v>346.0622</v>
      </c>
      <c r="F4497" s="30" t="n">
        <f aca="false">E4497*(1+g_emsL)</f>
        <v>363.36531</v>
      </c>
      <c r="G4497" s="30" t="n">
        <f aca="false">F4497*(1+g_emsL)</f>
        <v>381.5335755</v>
      </c>
    </row>
    <row r="4498" customFormat="false" ht="17.15" hidden="false" customHeight="false" outlineLevel="0" collapsed="false">
      <c r="A4498" s="4" t="s">
        <v>564</v>
      </c>
      <c r="B4498" s="0" t="s">
        <v>234</v>
      </c>
      <c r="C4498" s="30" t="n">
        <f aca="false">a25_elim</f>
        <v>-2.91899999999998</v>
      </c>
      <c r="D4498" s="30" t="n">
        <f aca="false">a26_elim</f>
        <v>-3.16484905982349</v>
      </c>
      <c r="E4498" s="30" t="n">
        <f aca="false">$D4498/($D4496+$D4497)*(E4496+E4497)</f>
        <v>-3.89079127687897</v>
      </c>
      <c r="F4498" s="30" t="n">
        <f aca="false">$D4498/($D4496+$D4497)*(F4496+F4497)</f>
        <v>-3.8293519862785</v>
      </c>
      <c r="G4498" s="30" t="n">
        <f aca="false">$D4498/($D4496+$D4497)*(G4496+G4497)</f>
        <v>-4.135650675892</v>
      </c>
      <c r="K4498" s="4" t="s">
        <v>565</v>
      </c>
    </row>
    <row r="4499" customFormat="false" ht="17.15" hidden="false" customHeight="false" outlineLevel="0" collapsed="false">
      <c r="A4499" s="4" t="s">
        <v>431</v>
      </c>
      <c r="B4499" s="0" t="s">
        <v>234</v>
      </c>
      <c r="C4499" s="30" t="n">
        <f aca="false">C4496+C4497+C4498</f>
        <v>645.388</v>
      </c>
      <c r="D4499" s="30" t="n">
        <f aca="false">D4496+D4497+D4498</f>
        <v>871.167350940177</v>
      </c>
      <c r="E4499" s="30" t="n">
        <f aca="false">E4496+E4497+E4498</f>
        <v>1070.99272845854</v>
      </c>
      <c r="F4499" s="30" t="n">
        <f aca="false">F4496+F4497+F4498</f>
        <v>1054.08073580918</v>
      </c>
      <c r="G4499" s="30" t="n">
        <f aca="false">G4496+G4497+G4498</f>
        <v>1138.39357758557</v>
      </c>
      <c r="H4499" s="31" t="n">
        <f aca="false">G4499*(1+H4500)</f>
        <v>1206.68738805437</v>
      </c>
      <c r="I4499" s="31" t="n">
        <f aca="false">H4499*(1+I4500)</f>
        <v>1254.9496874</v>
      </c>
      <c r="J4499" s="31" t="n">
        <f aca="false">I4499*(1+J4500)</f>
        <v>1280.048681148</v>
      </c>
      <c r="K4499" s="8" t="s">
        <v>566</v>
      </c>
    </row>
    <row r="4500" customFormat="false" ht="15" hidden="false" customHeight="false" outlineLevel="0" collapsed="false">
      <c r="A4500" s="4" t="s">
        <v>567</v>
      </c>
      <c r="B4500" s="0" t="s">
        <v>76</v>
      </c>
      <c r="D4500" s="21" t="n">
        <f aca="false">D4499/C4499-1</f>
        <v>0.349835061916516</v>
      </c>
      <c r="E4500" s="21" t="n">
        <f aca="false">E4499/D4499-1</f>
        <v>0.229376568466104</v>
      </c>
      <c r="F4500" s="21" t="n">
        <f aca="false">F4499/E4499-1</f>
        <v>-0.0157909500223209</v>
      </c>
      <c r="G4500" s="21" t="n">
        <f aca="false">G4499/F4499-1</f>
        <v>0.079987081550885</v>
      </c>
      <c r="H4500" s="26" t="n">
        <f aca="false">$G4500+(fade_gC-$G4500)*1/3</f>
        <v>0.05999138770059</v>
      </c>
      <c r="I4500" s="26" t="n">
        <f aca="false">$G4500+(fade_gC-$G4500)*2/3</f>
        <v>0.039995693850295</v>
      </c>
      <c r="J4500" s="26" t="n">
        <f aca="false">$G4500+(fade_gC-$G4500)*3/3</f>
        <v>0.02</v>
      </c>
    </row>
    <row r="4501" customFormat="false" ht="17.15" hidden="false" customHeight="false" outlineLevel="0" collapsed="false">
      <c r="A4501" s="0" t="s">
        <v>475</v>
      </c>
      <c r="B4501" s="0" t="s">
        <v>76</v>
      </c>
      <c r="C4501" s="21" t="n">
        <f aca="false">C4494/C4496</f>
        <v>0.127431736668482</v>
      </c>
      <c r="D4501" s="21" t="n">
        <f aca="false">D4494/D4496</f>
        <v>0.227966974088588</v>
      </c>
      <c r="E4501" s="21" t="n">
        <f aca="false">E4494/E4496</f>
        <v>0.31814600294568</v>
      </c>
      <c r="F4501" s="21" t="n">
        <f aca="false">F4494/F4496</f>
        <v>0.234410468411019</v>
      </c>
      <c r="G4501" s="21" t="n">
        <f aca="false">G4494/G4496</f>
        <v>0.252350859282315</v>
      </c>
    </row>
    <row r="4502" customFormat="false" ht="15" hidden="false" customHeight="false" outlineLevel="0" collapsed="false">
      <c r="A4502" s="4" t="s">
        <v>568</v>
      </c>
      <c r="B4502" s="0" t="s">
        <v>76</v>
      </c>
      <c r="D4502" s="21" t="n">
        <f aca="false">D4496/C4496-1</f>
        <v>0.438052247012034</v>
      </c>
      <c r="E4502" s="21" t="n">
        <f aca="false">E4496/D4496-1</f>
        <v>0.302093972659362</v>
      </c>
      <c r="F4502" s="21" t="n">
        <f aca="false">F4496/E4496-1</f>
        <v>-0.047030103280186</v>
      </c>
      <c r="G4502" s="21" t="n">
        <f aca="false">G4496/F4496-1</f>
        <v>0.0956754367614998</v>
      </c>
    </row>
    <row r="4503" customFormat="false" ht="17.15" hidden="false" customHeight="false" outlineLevel="0" collapsed="false">
      <c r="A4503" s="6" t="s">
        <v>569</v>
      </c>
    </row>
    <row r="4504" customFormat="false" ht="17.15" hidden="false" customHeight="false" outlineLevel="0" collapsed="false">
      <c r="A4504" s="4" t="s">
        <v>570</v>
      </c>
      <c r="B4504" s="0" t="s">
        <v>120</v>
      </c>
      <c r="C4504" s="19" t="n">
        <f aca="false">capex25</f>
        <v>5.5</v>
      </c>
      <c r="D4504" s="19" t="n">
        <f aca="false">capex26</f>
        <v>11.5</v>
      </c>
      <c r="E4504" s="19" t="n">
        <f aca="false">capex27</f>
        <v>13</v>
      </c>
      <c r="F4504" s="19" t="n">
        <f aca="false">capi*F4499/F4492</f>
        <v>9.88200689821109</v>
      </c>
      <c r="G4504" s="19" t="n">
        <f aca="false">capi*G4499/G4492</f>
        <v>10.6724397898647</v>
      </c>
      <c r="K4504" s="8" t="s">
        <v>571</v>
      </c>
    </row>
    <row r="4505" customFormat="false" ht="15" hidden="false" customHeight="false" outlineLevel="0" collapsed="false">
      <c r="A4505" s="4" t="s">
        <v>572</v>
      </c>
      <c r="B4505" s="0" t="s">
        <v>234</v>
      </c>
      <c r="C4505" s="30" t="n">
        <f aca="false">C4504*C4492</f>
        <v>170.5</v>
      </c>
      <c r="D4505" s="30" t="n">
        <f aca="false">D4504*31.9</f>
        <v>366.85</v>
      </c>
      <c r="E4505" s="30" t="n">
        <f aca="false">E4504*E4492</f>
        <v>416</v>
      </c>
      <c r="F4505" s="30" t="n">
        <f aca="false">F4504*F4492</f>
        <v>316.224220742755</v>
      </c>
      <c r="G4505" s="30" t="n">
        <f aca="false">G4504*G4492</f>
        <v>341.518073275671</v>
      </c>
    </row>
    <row r="4506" customFormat="false" ht="17.15" hidden="false" customHeight="false" outlineLevel="0" collapsed="false">
      <c r="A4506" s="4" t="s">
        <v>473</v>
      </c>
      <c r="B4506" s="0" t="s">
        <v>76</v>
      </c>
      <c r="C4506" s="21" t="n">
        <f aca="false">C4505/C4499</f>
        <v>0.264182166386732</v>
      </c>
      <c r="D4506" s="21" t="n">
        <f aca="false">D4505/D4499</f>
        <v>0.421101639775745</v>
      </c>
      <c r="E4506" s="21" t="n">
        <f aca="false">E4505/E4499</f>
        <v>0.388424672685445</v>
      </c>
      <c r="F4506" s="21" t="n">
        <f aca="false">F4505/F4499</f>
        <v>0.3</v>
      </c>
      <c r="G4506" s="21" t="n">
        <f aca="false">G4505/G4499</f>
        <v>0.3</v>
      </c>
    </row>
    <row r="4507" customFormat="false" ht="17.15" hidden="false" customHeight="false" outlineLevel="0" collapsed="false">
      <c r="A4507" s="4" t="s">
        <v>573</v>
      </c>
      <c r="B4507" s="0" t="s">
        <v>234</v>
      </c>
      <c r="C4507" s="30" t="n">
        <f aca="false">a25_da</f>
        <v>75.255</v>
      </c>
      <c r="D4507" s="30" t="n">
        <f aca="false">a26_da</f>
        <v>97.124</v>
      </c>
      <c r="E4507" s="30" t="n">
        <f aca="false">D4507*(1-1/life)+D4505/life</f>
        <v>130.83975</v>
      </c>
      <c r="F4507" s="30" t="n">
        <f aca="false">E4507*(1-1/life)+E4505/life</f>
        <v>166.48478125</v>
      </c>
      <c r="G4507" s="30" t="n">
        <f aca="false">F4507*(1-1/life)+F4505/life</f>
        <v>185.202211186594</v>
      </c>
      <c r="K4507" s="4" t="s">
        <v>574</v>
      </c>
    </row>
    <row r="4508" customFormat="false" ht="17.15" hidden="false" customHeight="false" outlineLevel="0" collapsed="false">
      <c r="A4508" s="4" t="s">
        <v>575</v>
      </c>
      <c r="B4508" s="0" t="s">
        <v>234</v>
      </c>
      <c r="C4508" s="30" t="n">
        <f aca="false">a25_agp</f>
        <v>91.38</v>
      </c>
      <c r="D4508" s="30" t="n">
        <f aca="false">a26_agp</f>
        <v>164.623388</v>
      </c>
      <c r="E4508" s="30" t="n">
        <f aca="false">$D4508+ft*(E4496-$D4496)-(E4507-$D4507)</f>
        <v>215.45319786771</v>
      </c>
      <c r="F4508" s="30" t="n">
        <f aca="false">$D4508+ft*(F4496-$D4496)-(F4507-$D4507)</f>
        <v>162.669895647731</v>
      </c>
      <c r="G4508" s="30" t="n">
        <f aca="false">$D4508+ft*(G4496-$D4496)-(G4507-$D4507)</f>
        <v>177.177903194136</v>
      </c>
      <c r="K4508" s="4" t="s">
        <v>576</v>
      </c>
    </row>
    <row r="4509" customFormat="false" ht="15" hidden="false" customHeight="false" outlineLevel="0" collapsed="false">
      <c r="A4509" s="4" t="s">
        <v>447</v>
      </c>
      <c r="B4509" s="0" t="s">
        <v>76</v>
      </c>
      <c r="C4509" s="14" t="n">
        <f aca="false">C4508/C4496</f>
        <v>0.234772421305764</v>
      </c>
      <c r="D4509" s="14" t="n">
        <f aca="false">D4508/D4496</f>
        <v>0.294112034690999</v>
      </c>
      <c r="E4509" s="14" t="n">
        <f aca="false">E4508/E4496</f>
        <v>0.295618681882035</v>
      </c>
      <c r="F4509" s="14" t="n">
        <f aca="false">F4508/F4496</f>
        <v>0.234210810948802</v>
      </c>
      <c r="G4509" s="14" t="n">
        <f aca="false">G4508/G4496</f>
        <v>0.232823804644878</v>
      </c>
    </row>
    <row r="4510" customFormat="false" ht="17.15" hidden="false" customHeight="false" outlineLevel="0" collapsed="false">
      <c r="A4510" s="0" t="s">
        <v>449</v>
      </c>
      <c r="B4510" s="0" t="s">
        <v>234</v>
      </c>
      <c r="C4510" s="30" t="n">
        <f aca="false">a25_egp</f>
        <v>23.695</v>
      </c>
      <c r="D4510" s="30" t="n">
        <f aca="false">a26_egp</f>
        <v>27.00552</v>
      </c>
      <c r="E4510" s="30" t="n">
        <f aca="false">E4497*ems_gm</f>
        <v>29.415287</v>
      </c>
      <c r="F4510" s="30" t="n">
        <f aca="false">F4497*ems_gm</f>
        <v>30.88605135</v>
      </c>
      <c r="G4510" s="30" t="n">
        <f aca="false">G4497*ems_gm</f>
        <v>32.4303539175</v>
      </c>
    </row>
    <row r="4511" customFormat="false" ht="15" hidden="false" customHeight="false" outlineLevel="0" collapsed="false">
      <c r="A4511" s="4" t="s">
        <v>577</v>
      </c>
      <c r="B4511" s="0" t="s">
        <v>234</v>
      </c>
      <c r="C4511" s="30" t="n">
        <f aca="false">a25_lgp</f>
        <v>-0.881999999999998</v>
      </c>
      <c r="D4511" s="30" t="n">
        <f aca="false">a26_lgp</f>
        <v>-0.948662139013863</v>
      </c>
      <c r="E4511" s="30" t="n">
        <f aca="false">$D4511/$D4498*E4498</f>
        <v>-1.16626300509458</v>
      </c>
      <c r="F4511" s="30" t="n">
        <f aca="false">$D4511/$D4498*F4498</f>
        <v>-1.14784660426825</v>
      </c>
      <c r="G4511" s="30" t="n">
        <f aca="false">$D4511/$D4498*G4498</f>
        <v>-1.23965950421176</v>
      </c>
    </row>
    <row r="4512" customFormat="false" ht="15" hidden="false" customHeight="false" outlineLevel="0" collapsed="false">
      <c r="A4512" s="4" t="s">
        <v>451</v>
      </c>
      <c r="B4512" s="0" t="s">
        <v>234</v>
      </c>
      <c r="C4512" s="30" t="n">
        <f aca="false">C4508+C4510+C4511</f>
        <v>114.193</v>
      </c>
      <c r="D4512" s="30" t="n">
        <f aca="false">D4508+D4510+D4511</f>
        <v>190.680245860986</v>
      </c>
      <c r="E4512" s="30" t="n">
        <f aca="false">E4508+E4510+E4511</f>
        <v>243.702221862615</v>
      </c>
      <c r="F4512" s="30" t="n">
        <f aca="false">F4508+F4510+F4511</f>
        <v>192.408100393462</v>
      </c>
      <c r="G4512" s="30" t="n">
        <f aca="false">G4508+G4510+G4511</f>
        <v>208.368597607424</v>
      </c>
    </row>
    <row r="4513" customFormat="false" ht="15" hidden="false" customHeight="false" outlineLevel="0" collapsed="false">
      <c r="A4513" s="4" t="s">
        <v>452</v>
      </c>
      <c r="B4513" s="0" t="s">
        <v>76</v>
      </c>
      <c r="C4513" s="14" t="n">
        <f aca="false">C4512/C4499</f>
        <v>0.176936974347214</v>
      </c>
      <c r="D4513" s="14" t="n">
        <f aca="false">D4512/D4499</f>
        <v>0.218879008327391</v>
      </c>
      <c r="E4513" s="14" t="n">
        <f aca="false">E4512/E4499</f>
        <v>0.227547970576207</v>
      </c>
      <c r="F4513" s="14" t="n">
        <f aca="false">F4512/F4499</f>
        <v>0.182536397694202</v>
      </c>
      <c r="G4513" s="14" t="n">
        <f aca="false">G4512/G4499</f>
        <v>0.183037397355452</v>
      </c>
    </row>
    <row r="4514" customFormat="false" ht="15" hidden="false" customHeight="false" outlineLevel="0" collapsed="false">
      <c r="A4514" s="4" t="s">
        <v>578</v>
      </c>
      <c r="B4514" s="0" t="s">
        <v>234</v>
      </c>
      <c r="C4514" s="30" t="n">
        <f aca="false">a25_opx</f>
        <v>63.437</v>
      </c>
      <c r="D4514" s="30" t="n">
        <f aca="false">a26_opx</f>
        <v>79.658</v>
      </c>
      <c r="E4514" s="30" t="n">
        <f aca="false">D4514*(1+phi_hi*E4500)</f>
        <v>97.9296786908729</v>
      </c>
      <c r="F4514" s="30" t="n">
        <f aca="false">E4514*(1+phi_hi*F4500)</f>
        <v>96.3832760289634</v>
      </c>
      <c r="G4514" s="30" t="n">
        <f aca="false">F4514*(1+phi_hi*G4500)</f>
        <v>104.092692988834</v>
      </c>
    </row>
    <row r="4515" customFormat="false" ht="15" hidden="false" customHeight="false" outlineLevel="0" collapsed="false">
      <c r="A4515" s="4" t="s">
        <v>455</v>
      </c>
      <c r="B4515" s="0" t="s">
        <v>234</v>
      </c>
      <c r="C4515" s="30" t="n">
        <f aca="false">C4512-C4514</f>
        <v>50.756</v>
      </c>
      <c r="D4515" s="30" t="n">
        <f aca="false">D4512-D4514</f>
        <v>111.022245860986</v>
      </c>
      <c r="E4515" s="30" t="n">
        <f aca="false">E4512-E4514</f>
        <v>145.772543171742</v>
      </c>
      <c r="F4515" s="30" t="n">
        <f aca="false">F4512-F4514</f>
        <v>96.0248243644989</v>
      </c>
      <c r="G4515" s="30" t="n">
        <f aca="false">G4512-G4514</f>
        <v>104.275904618591</v>
      </c>
    </row>
    <row r="4516" customFormat="false" ht="15" hidden="false" customHeight="false" outlineLevel="0" collapsed="false">
      <c r="A4516" s="4" t="s">
        <v>537</v>
      </c>
      <c r="B4516" s="0" t="s">
        <v>76</v>
      </c>
      <c r="C4516" s="14" t="n">
        <f aca="false">C4515/C4499</f>
        <v>0.0786441644406156</v>
      </c>
      <c r="D4516" s="14" t="n">
        <f aca="false">D4515/D4499</f>
        <v>0.127440779020437</v>
      </c>
      <c r="E4516" s="14" t="n">
        <f aca="false">E4515/E4499</f>
        <v>0.136109741269252</v>
      </c>
      <c r="F4516" s="14" t="n">
        <f aca="false">F4515/F4499</f>
        <v>0.0910981683872478</v>
      </c>
      <c r="G4516" s="14" t="n">
        <f aca="false">G4515/G4499</f>
        <v>0.0915991680484974</v>
      </c>
    </row>
    <row r="4517" customFormat="false" ht="15" hidden="false" customHeight="false" outlineLevel="0" collapsed="false">
      <c r="A4517" s="4" t="s">
        <v>456</v>
      </c>
      <c r="B4517" s="0" t="s">
        <v>234</v>
      </c>
      <c r="C4517" s="30" t="n">
        <f aca="false">a25_nonop</f>
        <v>0.545</v>
      </c>
      <c r="D4517" s="30" t="n">
        <f aca="false">a26_nonop</f>
        <v>4.302</v>
      </c>
      <c r="E4517" s="30" t="n">
        <f aca="false">nonop_f</f>
        <v>-5</v>
      </c>
      <c r="F4517" s="30" t="n">
        <f aca="false">nonop_f</f>
        <v>-5</v>
      </c>
      <c r="G4517" s="30" t="n">
        <f aca="false">nonop_f</f>
        <v>-5</v>
      </c>
    </row>
    <row r="4518" customFormat="false" ht="15" hidden="false" customHeight="false" outlineLevel="0" collapsed="false">
      <c r="A4518" s="4" t="s">
        <v>459</v>
      </c>
      <c r="B4518" s="0" t="s">
        <v>234</v>
      </c>
      <c r="C4518" s="30" t="n">
        <f aca="false">C4515+C4517</f>
        <v>51.301</v>
      </c>
      <c r="D4518" s="30" t="n">
        <f aca="false">D4515+D4517</f>
        <v>115.324245860986</v>
      </c>
      <c r="E4518" s="30" t="n">
        <f aca="false">E4515+E4517</f>
        <v>140.772543171742</v>
      </c>
      <c r="F4518" s="30" t="n">
        <f aca="false">F4515+F4517</f>
        <v>91.0248243644989</v>
      </c>
      <c r="G4518" s="30" t="n">
        <f aca="false">G4515+G4517</f>
        <v>99.2759046185907</v>
      </c>
    </row>
    <row r="4519" customFormat="false" ht="15" hidden="false" customHeight="false" outlineLevel="0" collapsed="false">
      <c r="A4519" s="4" t="s">
        <v>460</v>
      </c>
      <c r="B4519" s="0" t="s">
        <v>234</v>
      </c>
      <c r="C4519" s="30" t="n">
        <f aca="false">a25_tax</f>
        <v>9.461</v>
      </c>
      <c r="D4519" s="30" t="n">
        <f aca="false">a26_tax</f>
        <v>19.2197317963676</v>
      </c>
      <c r="E4519" s="30" t="n">
        <f aca="false">E4518*tax</f>
        <v>23.9313323391962</v>
      </c>
      <c r="F4519" s="30" t="n">
        <f aca="false">F4518*tax</f>
        <v>15.4742201419648</v>
      </c>
      <c r="G4519" s="30" t="n">
        <f aca="false">G4518*tax</f>
        <v>16.8769037851604</v>
      </c>
    </row>
    <row r="4520" customFormat="false" ht="15" hidden="false" customHeight="false" outlineLevel="0" collapsed="false">
      <c r="A4520" s="4" t="s">
        <v>461</v>
      </c>
      <c r="B4520" s="0" t="s">
        <v>234</v>
      </c>
      <c r="C4520" s="30" t="n">
        <f aca="false">a25_nci</f>
        <v>1.182</v>
      </c>
      <c r="D4520" s="30" t="n">
        <f aca="false">a26_nci</f>
        <v>2.543</v>
      </c>
      <c r="E4520" s="30" t="n">
        <f aca="false">nci</f>
        <v>3</v>
      </c>
      <c r="F4520" s="30" t="n">
        <f aca="false">nci</f>
        <v>3</v>
      </c>
      <c r="G4520" s="30" t="n">
        <f aca="false">nci</f>
        <v>3</v>
      </c>
    </row>
    <row r="4521" customFormat="false" ht="15" hidden="false" customHeight="false" outlineLevel="0" collapsed="false">
      <c r="A4521" s="4" t="s">
        <v>462</v>
      </c>
      <c r="B4521" s="0" t="s">
        <v>234</v>
      </c>
      <c r="C4521" s="30" t="n">
        <f aca="false">C4518-C4519-C4520</f>
        <v>40.658</v>
      </c>
      <c r="D4521" s="30" t="n">
        <f aca="false">D4518-D4519-D4520</f>
        <v>93.5615140646185</v>
      </c>
      <c r="E4521" s="30" t="n">
        <f aca="false">E4518-E4519-E4520</f>
        <v>113.841210832546</v>
      </c>
      <c r="F4521" s="30" t="n">
        <f aca="false">F4518-F4519-F4520</f>
        <v>72.5506042225341</v>
      </c>
      <c r="G4521" s="30" t="n">
        <f aca="false">G4518-G4519-G4520</f>
        <v>79.3990008334303</v>
      </c>
      <c r="H4521" s="31" t="n">
        <f aca="false">H4499*H4525</f>
        <v>80.9028050055986</v>
      </c>
      <c r="I4521" s="31" t="n">
        <f aca="false">I4499*I4525</f>
        <v>80.7487527092569</v>
      </c>
      <c r="J4521" s="31" t="n">
        <f aca="false">J4499*J4525</f>
        <v>78.9061153241268</v>
      </c>
    </row>
    <row r="4522" customFormat="false" ht="15" hidden="false" customHeight="false" outlineLevel="0" collapsed="false">
      <c r="A4522" s="4" t="s">
        <v>579</v>
      </c>
      <c r="B4522" s="4" t="s">
        <v>580</v>
      </c>
      <c r="C4522" s="18" t="n">
        <f aca="false">a25_sh</f>
        <v>4339.16755602988</v>
      </c>
      <c r="D4522" s="18" t="n">
        <f aca="false">a26_sh</f>
        <v>4392.90105184664</v>
      </c>
      <c r="E4522" s="18" t="n">
        <f aca="false">D4522*(1+sh_g)</f>
        <v>4414.86555710588</v>
      </c>
      <c r="F4522" s="18" t="n">
        <f aca="false">E4522*(1+sh_g)</f>
        <v>4436.9398848914</v>
      </c>
      <c r="G4522" s="18" t="n">
        <f aca="false">F4522*(1+sh_g)</f>
        <v>4459.12458431586</v>
      </c>
      <c r="H4522" s="25" t="n">
        <f aca="false">G4522*(1+sh_g)</f>
        <v>4481.42020723744</v>
      </c>
      <c r="I4522" s="25" t="n">
        <f aca="false">H4522*(1+sh_g)</f>
        <v>4503.82730827363</v>
      </c>
      <c r="J4522" s="25" t="n">
        <f aca="false">I4522*(1+sh_g)</f>
        <v>4526.34644481499</v>
      </c>
    </row>
    <row r="4523" customFormat="false" ht="17.15" hidden="false" customHeight="false" outlineLevel="0" collapsed="false">
      <c r="A4523" s="0" t="s">
        <v>465</v>
      </c>
      <c r="B4523" s="0" t="s">
        <v>304</v>
      </c>
      <c r="C4523" s="19" t="n">
        <f aca="false">a25_eps</f>
        <v>9.37</v>
      </c>
      <c r="D4523" s="19" t="n">
        <f aca="false">a26_eps</f>
        <v>21.2828697294455</v>
      </c>
      <c r="E4523" s="19" t="n">
        <f aca="false">E4521/E4522*1000</f>
        <v>25.7858839323691</v>
      </c>
      <c r="F4523" s="19" t="n">
        <f aca="false">F4521/F4522*1000</f>
        <v>16.3514958743485</v>
      </c>
      <c r="G4523" s="19" t="n">
        <f aca="false">G4521/G4522*1000</f>
        <v>17.8059615361951</v>
      </c>
      <c r="H4523" s="28" t="n">
        <f aca="false">H4521/H4522*1000</f>
        <v>18.0529388596368</v>
      </c>
      <c r="I4523" s="28" t="n">
        <f aca="false">I4521/I4522*1000</f>
        <v>17.9289184913728</v>
      </c>
      <c r="J4523" s="28" t="n">
        <f aca="false">J4521/J4522*1000</f>
        <v>17.4326283430017</v>
      </c>
    </row>
    <row r="4524" customFormat="false" ht="17.15" hidden="false" customHeight="false" outlineLevel="0" collapsed="false">
      <c r="A4524" s="0" t="s">
        <v>581</v>
      </c>
      <c r="B4524" s="0" t="s">
        <v>76</v>
      </c>
      <c r="D4524" s="21" t="n">
        <f aca="false">D4523/C4523-1</f>
        <v>1.27138417603474</v>
      </c>
      <c r="E4524" s="21" t="n">
        <f aca="false">E4523/D4523-1</f>
        <v>0.211579277614685</v>
      </c>
      <c r="F4524" s="21" t="n">
        <f aca="false">F4523/E4523-1</f>
        <v>-0.36587413806581</v>
      </c>
      <c r="G4524" s="21" t="n">
        <f aca="false">G4523/F4523-1</f>
        <v>0.0889500063494688</v>
      </c>
      <c r="H4524" s="26" t="n">
        <f aca="false">H4523/G4523-1</f>
        <v>0.0138704850585956</v>
      </c>
      <c r="I4524" s="26" t="n">
        <f aca="false">I4523/H4523-1</f>
        <v>-0.00686981600216408</v>
      </c>
      <c r="J4524" s="26" t="n">
        <f aca="false">J4523/I4523-1</f>
        <v>-0.0276809863690294</v>
      </c>
    </row>
    <row r="4525" customFormat="false" ht="17.15" hidden="false" customHeight="false" outlineLevel="0" collapsed="false">
      <c r="A4525" s="4" t="s">
        <v>582</v>
      </c>
      <c r="B4525" s="0" t="s">
        <v>76</v>
      </c>
      <c r="C4525" s="14" t="n">
        <f aca="false">C4521/C4499</f>
        <v>0.0629977625862272</v>
      </c>
      <c r="D4525" s="14" t="n">
        <f aca="false">D4521/D4499</f>
        <v>0.107397865592237</v>
      </c>
      <c r="E4525" s="14" t="n">
        <f aca="false">E4521/E4499</f>
        <v>0.106295036191698</v>
      </c>
      <c r="F4525" s="14" t="n">
        <f aca="false">F4521/F4499</f>
        <v>0.0688283181333728</v>
      </c>
      <c r="G4525" s="14" t="n">
        <f aca="false">G4521/G4499</f>
        <v>0.0697465291413787</v>
      </c>
      <c r="H4525" s="27" t="n">
        <f aca="false">$G4525+(fade_mC-$G4525)*1/3</f>
        <v>0.067045372153963</v>
      </c>
      <c r="I4525" s="27" t="n">
        <f aca="false">$G4525+(fade_mC-$G4525)*2/3</f>
        <v>0.0643442151665473</v>
      </c>
      <c r="J4525" s="27" t="n">
        <f aca="false">$G4525+(fade_mC-$G4525)*3/3</f>
        <v>0.0616430581791315</v>
      </c>
    </row>
    <row r="4526" customFormat="false" ht="17.15" hidden="false" customHeight="false" outlineLevel="0" collapsed="false">
      <c r="A4526" s="4" t="s">
        <v>583</v>
      </c>
      <c r="B4526" s="0" t="s">
        <v>234</v>
      </c>
      <c r="C4526" s="30" t="n">
        <f aca="false">C4521+C4507-C4505</f>
        <v>-54.587</v>
      </c>
      <c r="D4526" s="30" t="n">
        <f aca="false">D4521+D4507-D4505</f>
        <v>-176.164485935382</v>
      </c>
      <c r="E4526" s="30" t="n">
        <f aca="false">E4521+E4507-E4505</f>
        <v>-171.319039167454</v>
      </c>
      <c r="F4526" s="30" t="n">
        <f aca="false">F4521+F4507-F4505</f>
        <v>-77.1888352702207</v>
      </c>
      <c r="G4526" s="30" t="n">
        <f aca="false">G4521+G4507-G4505</f>
        <v>-76.916861255646</v>
      </c>
      <c r="K4526" s="4" t="s">
        <v>584</v>
      </c>
    </row>
    <row r="4527" customFormat="false" ht="17.15" hidden="false" customHeight="false" outlineLevel="0" collapsed="false">
      <c r="A4527" s="4" t="s">
        <v>585</v>
      </c>
      <c r="B4527" s="0" t="s">
        <v>76</v>
      </c>
      <c r="D4527" s="21" t="n">
        <f aca="false">(D4515-$C4515)/SUM($D4505:D4505)</f>
        <v>0.164280348537512</v>
      </c>
      <c r="E4527" s="21" t="n">
        <f aca="false">(E4515-$C4515)/SUM($D4505:E4505)</f>
        <v>0.121372604166497</v>
      </c>
      <c r="F4527" s="21" t="n">
        <f aca="false">(F4515-$C4515)/SUM($D4505:F4505)</f>
        <v>0.0411881413558279</v>
      </c>
      <c r="G4527" s="21" t="n">
        <f aca="false">(G4515-$C4515)/SUM($D4505:G4505)</f>
        <v>0.0371513195237918</v>
      </c>
      <c r="K4527" s="4" t="s">
        <v>586</v>
      </c>
    </row>
    <row r="4530" customFormat="false" ht="17.15" hidden="false" customHeight="false" outlineLevel="0" collapsed="false">
      <c r="A4530" s="1" t="s">
        <v>1006</v>
      </c>
    </row>
    <row r="4531" customFormat="false" ht="17.15" hidden="false" customHeight="false" outlineLevel="0" collapsed="false">
      <c r="A4531" s="5" t="s">
        <v>21</v>
      </c>
      <c r="B4531" s="5" t="s">
        <v>22</v>
      </c>
      <c r="C4531" s="15" t="s">
        <v>424</v>
      </c>
      <c r="D4531" s="15" t="s">
        <v>524</v>
      </c>
      <c r="E4531" s="15" t="s">
        <v>525</v>
      </c>
      <c r="F4531" s="15" t="s">
        <v>526</v>
      </c>
      <c r="G4531" s="15" t="s">
        <v>527</v>
      </c>
      <c r="H4531" s="15" t="s">
        <v>528</v>
      </c>
      <c r="I4531" s="15" t="s">
        <v>529</v>
      </c>
      <c r="J4531" s="15" t="s">
        <v>530</v>
      </c>
      <c r="K4531" s="5" t="s">
        <v>382</v>
      </c>
    </row>
    <row r="4532" customFormat="false" ht="17.15" hidden="false" customHeight="false" outlineLevel="0" collapsed="false">
      <c r="A4532" s="6" t="s">
        <v>548</v>
      </c>
    </row>
    <row r="4533" customFormat="false" ht="17.15" hidden="false" customHeight="false" outlineLevel="0" collapsed="false">
      <c r="A4533" s="0" t="s">
        <v>549</v>
      </c>
      <c r="B4533" s="4" t="s">
        <v>32</v>
      </c>
      <c r="D4533" s="19" t="n">
        <f aca="false">units_26</f>
        <v>15.2</v>
      </c>
      <c r="E4533" s="19" t="n">
        <f aca="false">units_27*1</f>
        <v>23.7</v>
      </c>
      <c r="F4533" s="19" t="n">
        <f aca="false">units_28*um28_A*1</f>
        <v>26.5</v>
      </c>
      <c r="G4533" s="19" t="n">
        <f aca="false">units_29*um29_A*1</f>
        <v>30.15</v>
      </c>
    </row>
    <row r="4534" customFormat="false" ht="17.15" hidden="false" customHeight="false" outlineLevel="0" collapsed="false">
      <c r="A4534" s="4" t="s">
        <v>497</v>
      </c>
      <c r="B4534" s="0" t="s">
        <v>45</v>
      </c>
      <c r="D4534" s="22" t="n">
        <f aca="false">ar_26</f>
        <v>1</v>
      </c>
      <c r="E4534" s="22" t="n">
        <f aca="false">ar_27</f>
        <v>1.278156</v>
      </c>
      <c r="F4534" s="22" t="n">
        <f aca="false">ar_28</f>
        <v>1.428615</v>
      </c>
      <c r="G4534" s="22" t="n">
        <f aca="false">ar_29</f>
        <v>1.431796</v>
      </c>
    </row>
    <row r="4535" customFormat="false" ht="17.15" hidden="false" customHeight="false" outlineLevel="0" collapsed="false">
      <c r="A4535" s="4" t="s">
        <v>550</v>
      </c>
      <c r="B4535" s="0" t="s">
        <v>45</v>
      </c>
      <c r="D4535" s="19" t="n">
        <f aca="false">1</f>
        <v>1</v>
      </c>
      <c r="E4535" s="19" t="n">
        <f aca="false">rel27_A</f>
        <v>1.1</v>
      </c>
      <c r="F4535" s="19" t="n">
        <f aca="false">rel28_A</f>
        <v>1.15</v>
      </c>
      <c r="G4535" s="19" t="n">
        <f aca="false">rel29_A</f>
        <v>1.2</v>
      </c>
    </row>
    <row r="4536" customFormat="false" ht="17.15" hidden="false" customHeight="false" outlineLevel="0" collapsed="false">
      <c r="A4536" s="4" t="s">
        <v>551</v>
      </c>
      <c r="B4536" s="0" t="s">
        <v>502</v>
      </c>
      <c r="D4536" s="23" t="n">
        <f aca="false">D4537*1000/D4533</f>
        <v>236.842105263158</v>
      </c>
      <c r="E4536" s="23" t="n">
        <f aca="false">$D4536*E4534^el</f>
        <v>267.763172119488</v>
      </c>
      <c r="F4536" s="23" t="n">
        <f aca="false">$D4536*F4534^el</f>
        <v>283.084777049615</v>
      </c>
      <c r="G4536" s="23" t="n">
        <f aca="false">$D4536*G4534^el</f>
        <v>283.399764630809</v>
      </c>
      <c r="K4536" s="8" t="s">
        <v>552</v>
      </c>
    </row>
    <row r="4537" customFormat="false" ht="17.15" hidden="false" customHeight="false" outlineLevel="0" collapsed="false">
      <c r="A4537" s="0" t="s">
        <v>553</v>
      </c>
      <c r="B4537" s="0" t="s">
        <v>120</v>
      </c>
      <c r="D4537" s="22" t="n">
        <f aca="false">leap26-D4538-D4539</f>
        <v>3.6</v>
      </c>
      <c r="E4537" s="22" t="n">
        <f aca="false">E4533*E4535*E4536/1000</f>
        <v>6.98058589715504</v>
      </c>
      <c r="F4537" s="22" t="n">
        <f aca="false">F4533*F4535*F4536/1000</f>
        <v>8.627008580587</v>
      </c>
      <c r="G4537" s="22" t="n">
        <f aca="false">G4533*G4535*G4536/1000</f>
        <v>10.2534034843427</v>
      </c>
      <c r="K4537" s="8" t="s">
        <v>554</v>
      </c>
    </row>
    <row r="4538" customFormat="false" ht="17.15" hidden="false" customHeight="false" outlineLevel="0" collapsed="false">
      <c r="A4538" s="4" t="s">
        <v>555</v>
      </c>
      <c r="B4538" s="0" t="s">
        <v>120</v>
      </c>
      <c r="D4538" s="22" t="n">
        <f aca="false">fp26</f>
        <v>0.3</v>
      </c>
      <c r="E4538" s="22" t="n">
        <f aca="false">fp27_A</f>
        <v>1.2</v>
      </c>
      <c r="F4538" s="22" t="n">
        <f aca="false">E4538*F4533/E4533*(1+fp_g)</f>
        <v>1.74430379746835</v>
      </c>
      <c r="G4538" s="22" t="n">
        <f aca="false">F4538*G4533/F4533*(1+fp_g)</f>
        <v>2.57992405063291</v>
      </c>
    </row>
    <row r="4539" customFormat="false" ht="17.15" hidden="false" customHeight="false" outlineLevel="0" collapsed="false">
      <c r="A4539" s="0" t="s">
        <v>556</v>
      </c>
      <c r="B4539" s="0" t="s">
        <v>120</v>
      </c>
      <c r="D4539" s="22" t="n">
        <f aca="false">cpo27*cpo_A_26/cpo_A_27</f>
        <v>0.1</v>
      </c>
      <c r="E4539" s="22" t="n">
        <f aca="false">cpo27*cpo_A_27/cpo_A_27</f>
        <v>0.5</v>
      </c>
      <c r="F4539" s="22" t="n">
        <f aca="false">cpo27*cpo_A_28/cpo_A_27*F4533/E4533</f>
        <v>1.11814345991561</v>
      </c>
      <c r="G4539" s="22" t="n">
        <f aca="false">cpo27*cpo_A_29/cpo_A_27*G4533/E4533</f>
        <v>2.03544303797468</v>
      </c>
      <c r="K4539" s="8" t="s">
        <v>557</v>
      </c>
    </row>
    <row r="4540" customFormat="false" ht="17.15" hidden="false" customHeight="false" outlineLevel="0" collapsed="false">
      <c r="A4540" s="0" t="s">
        <v>510</v>
      </c>
      <c r="B4540" s="0" t="s">
        <v>120</v>
      </c>
      <c r="C4540" s="22" t="n">
        <f aca="false">leap25</f>
        <v>1.6</v>
      </c>
      <c r="D4540" s="22" t="n">
        <f aca="false">D4537+D4538+D4539</f>
        <v>4</v>
      </c>
      <c r="E4540" s="22" t="n">
        <f aca="false">E4537+E4538+E4539</f>
        <v>8.68058589715504</v>
      </c>
      <c r="F4540" s="22" t="n">
        <f aca="false">F4537+F4538+F4539</f>
        <v>11.489455837971</v>
      </c>
      <c r="G4540" s="22" t="n">
        <f aca="false">G4537+G4538+G4539</f>
        <v>14.8687705729503</v>
      </c>
    </row>
    <row r="4541" customFormat="false" ht="17.15" hidden="false" customHeight="false" outlineLevel="0" collapsed="false">
      <c r="A4541" s="4" t="s">
        <v>558</v>
      </c>
      <c r="B4541" s="0" t="s">
        <v>114</v>
      </c>
      <c r="C4541" s="19" t="n">
        <f aca="false">fx25</f>
        <v>31</v>
      </c>
      <c r="D4541" s="19" t="n">
        <f aca="false">a26_leap/D4540</f>
        <v>31.9</v>
      </c>
      <c r="E4541" s="19" t="n">
        <f aca="false">fx</f>
        <v>32</v>
      </c>
      <c r="F4541" s="19" t="n">
        <f aca="false">fx</f>
        <v>32</v>
      </c>
      <c r="G4541" s="19" t="n">
        <f aca="false">fx</f>
        <v>32</v>
      </c>
      <c r="K4541" s="8" t="s">
        <v>559</v>
      </c>
    </row>
    <row r="4542" customFormat="false" ht="17.15" hidden="false" customHeight="false" outlineLevel="0" collapsed="false">
      <c r="A4542" s="6" t="s">
        <v>560</v>
      </c>
    </row>
    <row r="4543" customFormat="false" ht="17.15" hidden="false" customHeight="false" outlineLevel="0" collapsed="false">
      <c r="A4543" s="0" t="s">
        <v>438</v>
      </c>
      <c r="B4543" s="0" t="s">
        <v>234</v>
      </c>
      <c r="C4543" s="30" t="n">
        <f aca="false">a25_leap</f>
        <v>49.6</v>
      </c>
      <c r="D4543" s="30" t="n">
        <f aca="false">a26_leap</f>
        <v>127.6</v>
      </c>
      <c r="E4543" s="30" t="n">
        <f aca="false">E4540*E4541</f>
        <v>277.778748708961</v>
      </c>
      <c r="F4543" s="30" t="n">
        <f aca="false">F4540*F4541</f>
        <v>367.662586815071</v>
      </c>
      <c r="G4543" s="30" t="n">
        <f aca="false">G4540*G4541</f>
        <v>475.800658334408</v>
      </c>
    </row>
    <row r="4544" customFormat="false" ht="15" hidden="false" customHeight="false" outlineLevel="0" collapsed="false">
      <c r="A4544" s="4" t="s">
        <v>561</v>
      </c>
      <c r="B4544" s="0" t="s">
        <v>234</v>
      </c>
      <c r="C4544" s="30" t="n">
        <f aca="false">a25_ms</f>
        <v>339.628</v>
      </c>
      <c r="D4544" s="30" t="n">
        <f aca="false">a26_ms</f>
        <v>432.1302</v>
      </c>
      <c r="E4544" s="30" t="n">
        <f aca="false">D4544*(1+g_ms27)</f>
        <v>496.94973</v>
      </c>
      <c r="F4544" s="30" t="n">
        <f aca="false">E4544*(1+g_msL)</f>
        <v>531.7362111</v>
      </c>
      <c r="G4544" s="30" t="n">
        <f aca="false">F4544*(1+g_msL)</f>
        <v>568.957745877</v>
      </c>
    </row>
    <row r="4545" customFormat="false" ht="17.15" hidden="false" customHeight="false" outlineLevel="0" collapsed="false">
      <c r="A4545" s="4" t="s">
        <v>562</v>
      </c>
      <c r="B4545" s="0" t="s">
        <v>234</v>
      </c>
      <c r="C4545" s="30" t="n">
        <f aca="false">C4543+C4544</f>
        <v>389.228</v>
      </c>
      <c r="D4545" s="30" t="n">
        <f aca="false">D4543+D4544</f>
        <v>559.7302</v>
      </c>
      <c r="E4545" s="30" t="n">
        <f aca="false">E4543+E4544</f>
        <v>774.728478708961</v>
      </c>
      <c r="F4545" s="30" t="n">
        <f aca="false">F4543+F4544</f>
        <v>899.398797915071</v>
      </c>
      <c r="G4545" s="30" t="n">
        <f aca="false">G4543+G4544</f>
        <v>1044.75840421141</v>
      </c>
    </row>
    <row r="4546" customFormat="false" ht="17.15" hidden="false" customHeight="false" outlineLevel="0" collapsed="false">
      <c r="A4546" s="0" t="s">
        <v>563</v>
      </c>
      <c r="B4546" s="0" t="s">
        <v>234</v>
      </c>
      <c r="C4546" s="30" t="n">
        <f aca="false">a25_ems</f>
        <v>259.079</v>
      </c>
      <c r="D4546" s="30" t="n">
        <f aca="false">a26_ems</f>
        <v>314.602</v>
      </c>
      <c r="E4546" s="30" t="n">
        <f aca="false">D4546*(1+g_ems27)</f>
        <v>346.0622</v>
      </c>
      <c r="F4546" s="30" t="n">
        <f aca="false">E4546*(1+g_emsL)</f>
        <v>363.36531</v>
      </c>
      <c r="G4546" s="30" t="n">
        <f aca="false">F4546*(1+g_emsL)</f>
        <v>381.5335755</v>
      </c>
    </row>
    <row r="4547" customFormat="false" ht="17.15" hidden="false" customHeight="false" outlineLevel="0" collapsed="false">
      <c r="A4547" s="4" t="s">
        <v>564</v>
      </c>
      <c r="B4547" s="0" t="s">
        <v>234</v>
      </c>
      <c r="C4547" s="30" t="n">
        <f aca="false">a25_elim</f>
        <v>-2.91899999999998</v>
      </c>
      <c r="D4547" s="30" t="n">
        <f aca="false">a26_elim</f>
        <v>-3.16484905982349</v>
      </c>
      <c r="E4547" s="30" t="n">
        <f aca="false">$D4547/($D4545+$D4546)*(E4545+E4546)</f>
        <v>-4.05696293213379</v>
      </c>
      <c r="F4547" s="30" t="n">
        <f aca="false">$D4547/($D4545+$D4546)*(F4545+F4546)</f>
        <v>-4.57086882962089</v>
      </c>
      <c r="G4547" s="30" t="n">
        <f aca="false">$D4547/($D4545+$D4546)*(G4545+G4546)</f>
        <v>-5.16279605283144</v>
      </c>
      <c r="K4547" s="4" t="s">
        <v>565</v>
      </c>
    </row>
    <row r="4548" customFormat="false" ht="17.15" hidden="false" customHeight="false" outlineLevel="0" collapsed="false">
      <c r="A4548" s="4" t="s">
        <v>431</v>
      </c>
      <c r="B4548" s="0" t="s">
        <v>234</v>
      </c>
      <c r="C4548" s="30" t="n">
        <f aca="false">C4545+C4546+C4547</f>
        <v>645.388</v>
      </c>
      <c r="D4548" s="30" t="n">
        <f aca="false">D4545+D4546+D4547</f>
        <v>871.167350940177</v>
      </c>
      <c r="E4548" s="30" t="n">
        <f aca="false">E4545+E4546+E4547</f>
        <v>1116.73371577683</v>
      </c>
      <c r="F4548" s="30" t="n">
        <f aca="false">F4545+F4546+F4547</f>
        <v>1258.19323908545</v>
      </c>
      <c r="G4548" s="30" t="n">
        <f aca="false">G4545+G4546+G4547</f>
        <v>1421.12918365858</v>
      </c>
      <c r="H4548" s="31" t="n">
        <f aca="false">G4548*(1+H4549)</f>
        <v>1572.24252669828</v>
      </c>
      <c r="I4548" s="31" t="n">
        <f aca="false">H4548*(1+I4549)</f>
        <v>1703.00066355907</v>
      </c>
      <c r="J4548" s="31" t="n">
        <f aca="false">I4548*(1+J4549)</f>
        <v>1805.18070337261</v>
      </c>
      <c r="K4548" s="8" t="s">
        <v>566</v>
      </c>
    </row>
    <row r="4549" customFormat="false" ht="15" hidden="false" customHeight="false" outlineLevel="0" collapsed="false">
      <c r="A4549" s="4" t="s">
        <v>567</v>
      </c>
      <c r="B4549" s="0" t="s">
        <v>76</v>
      </c>
      <c r="D4549" s="21" t="n">
        <f aca="false">D4548/C4548-1</f>
        <v>0.349835061916516</v>
      </c>
      <c r="E4549" s="21" t="n">
        <f aca="false">E4548/D4548-1</f>
        <v>0.281881965126026</v>
      </c>
      <c r="F4549" s="21" t="n">
        <f aca="false">F4548/E4548-1</f>
        <v>0.126672564202309</v>
      </c>
      <c r="G4549" s="21" t="n">
        <f aca="false">G4548/F4548-1</f>
        <v>0.129499936505429</v>
      </c>
      <c r="H4549" s="26" t="n">
        <f aca="false">$G4549+(fade_gA-$G4549)*1/3</f>
        <v>0.10633329100362</v>
      </c>
      <c r="I4549" s="26" t="n">
        <f aca="false">$G4549+(fade_gA-$G4549)*2/3</f>
        <v>0.0831666455018098</v>
      </c>
      <c r="J4549" s="26" t="n">
        <f aca="false">$G4549+(fade_gA-$G4549)*3/3</f>
        <v>0.06</v>
      </c>
    </row>
    <row r="4550" customFormat="false" ht="17.15" hidden="false" customHeight="false" outlineLevel="0" collapsed="false">
      <c r="A4550" s="0" t="s">
        <v>475</v>
      </c>
      <c r="B4550" s="0" t="s">
        <v>76</v>
      </c>
      <c r="C4550" s="21" t="n">
        <f aca="false">C4543/C4545</f>
        <v>0.127431736668482</v>
      </c>
      <c r="D4550" s="21" t="n">
        <f aca="false">D4543/D4545</f>
        <v>0.227966974088588</v>
      </c>
      <c r="E4550" s="21" t="n">
        <f aca="false">E4543/E4545</f>
        <v>0.35854980982739</v>
      </c>
      <c r="F4550" s="21" t="n">
        <f aca="false">F4543/F4545</f>
        <v>0.408787056050512</v>
      </c>
      <c r="G4550" s="21" t="n">
        <f aca="false">G4543/G4545</f>
        <v>0.455416923583923</v>
      </c>
    </row>
    <row r="4551" customFormat="false" ht="15" hidden="false" customHeight="false" outlineLevel="0" collapsed="false">
      <c r="A4551" s="4" t="s">
        <v>568</v>
      </c>
      <c r="B4551" s="0" t="s">
        <v>76</v>
      </c>
      <c r="D4551" s="21" t="n">
        <f aca="false">D4545/C4545-1</f>
        <v>0.438052247012034</v>
      </c>
      <c r="E4551" s="21" t="n">
        <f aca="false">E4545/D4545-1</f>
        <v>0.384110556673485</v>
      </c>
      <c r="F4551" s="21" t="n">
        <f aca="false">F4545/E4545-1</f>
        <v>0.160921306796241</v>
      </c>
      <c r="G4551" s="21" t="n">
        <f aca="false">G4545/F4545-1</f>
        <v>0.161618635285371</v>
      </c>
    </row>
    <row r="4552" customFormat="false" ht="17.15" hidden="false" customHeight="false" outlineLevel="0" collapsed="false">
      <c r="A4552" s="6" t="s">
        <v>569</v>
      </c>
    </row>
    <row r="4553" customFormat="false" ht="17.15" hidden="false" customHeight="false" outlineLevel="0" collapsed="false">
      <c r="A4553" s="4" t="s">
        <v>570</v>
      </c>
      <c r="B4553" s="0" t="s">
        <v>120</v>
      </c>
      <c r="C4553" s="19" t="n">
        <f aca="false">capex25</f>
        <v>5.5</v>
      </c>
      <c r="D4553" s="19" t="n">
        <f aca="false">capex26</f>
        <v>11.5</v>
      </c>
      <c r="E4553" s="19" t="n">
        <f aca="false">capex27</f>
        <v>13</v>
      </c>
      <c r="F4553" s="19" t="n">
        <f aca="false">capi*F4548/F4541</f>
        <v>11.7955616164261</v>
      </c>
      <c r="G4553" s="19" t="n">
        <f aca="false">capi*G4548/G4541</f>
        <v>13.3230860967992</v>
      </c>
      <c r="K4553" s="8" t="s">
        <v>571</v>
      </c>
    </row>
    <row r="4554" customFormat="false" ht="15" hidden="false" customHeight="false" outlineLevel="0" collapsed="false">
      <c r="A4554" s="4" t="s">
        <v>572</v>
      </c>
      <c r="B4554" s="0" t="s">
        <v>234</v>
      </c>
      <c r="C4554" s="30" t="n">
        <f aca="false">C4553*C4541</f>
        <v>170.5</v>
      </c>
      <c r="D4554" s="30" t="n">
        <f aca="false">D4553*31.9</f>
        <v>366.85</v>
      </c>
      <c r="E4554" s="30" t="n">
        <f aca="false">E4553*E4541</f>
        <v>416</v>
      </c>
      <c r="F4554" s="30" t="n">
        <f aca="false">F4553*F4541</f>
        <v>377.457971725635</v>
      </c>
      <c r="G4554" s="30" t="n">
        <f aca="false">G4553*G4541</f>
        <v>426.338755097573</v>
      </c>
    </row>
    <row r="4555" customFormat="false" ht="17.15" hidden="false" customHeight="false" outlineLevel="0" collapsed="false">
      <c r="A4555" s="4" t="s">
        <v>473</v>
      </c>
      <c r="B4555" s="0" t="s">
        <v>76</v>
      </c>
      <c r="C4555" s="21" t="n">
        <f aca="false">C4554/C4548</f>
        <v>0.264182166386732</v>
      </c>
      <c r="D4555" s="21" t="n">
        <f aca="false">D4554/D4548</f>
        <v>0.421101639775745</v>
      </c>
      <c r="E4555" s="21" t="n">
        <f aca="false">E4554/E4548</f>
        <v>0.372514946153139</v>
      </c>
      <c r="F4555" s="21" t="n">
        <f aca="false">F4554/F4548</f>
        <v>0.3</v>
      </c>
      <c r="G4555" s="21" t="n">
        <f aca="false">G4554/G4548</f>
        <v>0.3</v>
      </c>
    </row>
    <row r="4556" customFormat="false" ht="17.15" hidden="false" customHeight="false" outlineLevel="0" collapsed="false">
      <c r="A4556" s="4" t="s">
        <v>573</v>
      </c>
      <c r="B4556" s="0" t="s">
        <v>234</v>
      </c>
      <c r="C4556" s="30" t="n">
        <f aca="false">a25_da</f>
        <v>75.255</v>
      </c>
      <c r="D4556" s="30" t="n">
        <f aca="false">a26_da</f>
        <v>97.124</v>
      </c>
      <c r="E4556" s="30" t="n">
        <f aca="false">D4556*(1-1/life)+D4554/life</f>
        <v>130.83975</v>
      </c>
      <c r="F4556" s="30" t="n">
        <f aca="false">E4556*(1-1/life)+E4554/life</f>
        <v>166.48478125</v>
      </c>
      <c r="G4556" s="30" t="n">
        <f aca="false">F4556*(1-1/life)+F4554/life</f>
        <v>192.856430059454</v>
      </c>
      <c r="K4556" s="4" t="s">
        <v>574</v>
      </c>
    </row>
    <row r="4557" customFormat="false" ht="17.15" hidden="false" customHeight="false" outlineLevel="0" collapsed="false">
      <c r="A4557" s="4" t="s">
        <v>575</v>
      </c>
      <c r="B4557" s="0" t="s">
        <v>234</v>
      </c>
      <c r="C4557" s="30" t="n">
        <f aca="false">a25_agp</f>
        <v>91.38</v>
      </c>
      <c r="D4557" s="30" t="n">
        <f aca="false">a26_agp</f>
        <v>164.623388</v>
      </c>
      <c r="E4557" s="30" t="n">
        <f aca="false">$D4557+ft*(E4545-$D4545)-(E4556-$D4556)</f>
        <v>238.406777354481</v>
      </c>
      <c r="F4557" s="30" t="n">
        <f aca="false">$D4557+ft*(F4545-$D4545)-(F4556-$D4556)</f>
        <v>265.096905707536</v>
      </c>
      <c r="G4557" s="30" t="n">
        <f aca="false">$D4557+ft*(G4545-$D4545)-(G4556-$D4556)</f>
        <v>311.40506004625</v>
      </c>
      <c r="K4557" s="4" t="s">
        <v>576</v>
      </c>
    </row>
    <row r="4558" customFormat="false" ht="15" hidden="false" customHeight="false" outlineLevel="0" collapsed="false">
      <c r="A4558" s="4" t="s">
        <v>447</v>
      </c>
      <c r="B4558" s="0" t="s">
        <v>76</v>
      </c>
      <c r="C4558" s="14" t="n">
        <f aca="false">C4557/C4545</f>
        <v>0.234772421305764</v>
      </c>
      <c r="D4558" s="14" t="n">
        <f aca="false">D4557/D4545</f>
        <v>0.294112034690999</v>
      </c>
      <c r="E4558" s="14" t="n">
        <f aca="false">E4557/E4545</f>
        <v>0.307729461232368</v>
      </c>
      <c r="F4558" s="14" t="n">
        <f aca="false">F4557/F4545</f>
        <v>0.294749010474626</v>
      </c>
      <c r="G4558" s="14" t="n">
        <f aca="false">G4557/G4545</f>
        <v>0.298064182868479</v>
      </c>
    </row>
    <row r="4559" customFormat="false" ht="17.15" hidden="false" customHeight="false" outlineLevel="0" collapsed="false">
      <c r="A4559" s="0" t="s">
        <v>449</v>
      </c>
      <c r="B4559" s="0" t="s">
        <v>234</v>
      </c>
      <c r="C4559" s="30" t="n">
        <f aca="false">a25_egp</f>
        <v>23.695</v>
      </c>
      <c r="D4559" s="30" t="n">
        <f aca="false">a26_egp</f>
        <v>27.00552</v>
      </c>
      <c r="E4559" s="30" t="n">
        <f aca="false">E4546*ems_gm</f>
        <v>29.415287</v>
      </c>
      <c r="F4559" s="30" t="n">
        <f aca="false">F4546*ems_gm</f>
        <v>30.88605135</v>
      </c>
      <c r="G4559" s="30" t="n">
        <f aca="false">G4546*ems_gm</f>
        <v>32.4303539175</v>
      </c>
    </row>
    <row r="4560" customFormat="false" ht="15" hidden="false" customHeight="false" outlineLevel="0" collapsed="false">
      <c r="A4560" s="4" t="s">
        <v>577</v>
      </c>
      <c r="B4560" s="0" t="s">
        <v>234</v>
      </c>
      <c r="C4560" s="30" t="n">
        <f aca="false">a25_lgp</f>
        <v>-0.881999999999998</v>
      </c>
      <c r="D4560" s="30" t="n">
        <f aca="false">a26_lgp</f>
        <v>-0.948662139013863</v>
      </c>
      <c r="E4560" s="30" t="n">
        <f aca="false">$D4560/$D4547*E4547</f>
        <v>-1.21607288699975</v>
      </c>
      <c r="F4560" s="30" t="n">
        <f aca="false">$D4560/$D4547*F4547</f>
        <v>-1.37011595785291</v>
      </c>
      <c r="G4560" s="30" t="n">
        <f aca="false">$D4560/$D4547*G4547</f>
        <v>-1.54754588739994</v>
      </c>
    </row>
    <row r="4561" customFormat="false" ht="15" hidden="false" customHeight="false" outlineLevel="0" collapsed="false">
      <c r="A4561" s="4" t="s">
        <v>451</v>
      </c>
      <c r="B4561" s="0" t="s">
        <v>234</v>
      </c>
      <c r="C4561" s="30" t="n">
        <f aca="false">C4557+C4559+C4560</f>
        <v>114.193</v>
      </c>
      <c r="D4561" s="30" t="n">
        <f aca="false">D4557+D4559+D4560</f>
        <v>190.680245860986</v>
      </c>
      <c r="E4561" s="30" t="n">
        <f aca="false">E4557+E4559+E4560</f>
        <v>266.605991467481</v>
      </c>
      <c r="F4561" s="30" t="n">
        <f aca="false">F4557+F4559+F4560</f>
        <v>294.612841099683</v>
      </c>
      <c r="G4561" s="30" t="n">
        <f aca="false">G4557+G4559+G4560</f>
        <v>342.28786807635</v>
      </c>
    </row>
    <row r="4562" customFormat="false" ht="15" hidden="false" customHeight="false" outlineLevel="0" collapsed="false">
      <c r="A4562" s="4" t="s">
        <v>452</v>
      </c>
      <c r="B4562" s="0" t="s">
        <v>76</v>
      </c>
      <c r="C4562" s="14" t="n">
        <f aca="false">C4561/C4548</f>
        <v>0.176936974347214</v>
      </c>
      <c r="D4562" s="14" t="n">
        <f aca="false">D4561/D4548</f>
        <v>0.218879008327391</v>
      </c>
      <c r="E4562" s="14" t="n">
        <f aca="false">E4561/E4548</f>
        <v>0.238737299412531</v>
      </c>
      <c r="F4562" s="14" t="n">
        <f aca="false">F4561/F4548</f>
        <v>0.234155479418908</v>
      </c>
      <c r="G4562" s="14" t="n">
        <f aca="false">G4561/G4548</f>
        <v>0.24085626557549</v>
      </c>
    </row>
    <row r="4563" customFormat="false" ht="15" hidden="false" customHeight="false" outlineLevel="0" collapsed="false">
      <c r="A4563" s="4" t="s">
        <v>578</v>
      </c>
      <c r="B4563" s="0" t="s">
        <v>234</v>
      </c>
      <c r="C4563" s="30" t="n">
        <f aca="false">a25_opx</f>
        <v>63.437</v>
      </c>
      <c r="D4563" s="30" t="n">
        <f aca="false">a26_opx</f>
        <v>79.658</v>
      </c>
      <c r="E4563" s="30" t="n">
        <f aca="false">D4563*(1+phi*E4549)</f>
        <v>93.1304921468054</v>
      </c>
      <c r="F4563" s="30" t="n">
        <f aca="false">E4563*(1+phi*F4549)</f>
        <v>100.208739094201</v>
      </c>
      <c r="G4563" s="30" t="n">
        <f aca="false">F4563*(1+phi*G4549)</f>
        <v>107.994954304194</v>
      </c>
    </row>
    <row r="4564" customFormat="false" ht="15" hidden="false" customHeight="false" outlineLevel="0" collapsed="false">
      <c r="A4564" s="4" t="s">
        <v>455</v>
      </c>
      <c r="B4564" s="0" t="s">
        <v>234</v>
      </c>
      <c r="C4564" s="30" t="n">
        <f aca="false">C4561-C4563</f>
        <v>50.756</v>
      </c>
      <c r="D4564" s="30" t="n">
        <f aca="false">D4561-D4563</f>
        <v>111.022245860986</v>
      </c>
      <c r="E4564" s="30" t="n">
        <f aca="false">E4561-E4563</f>
        <v>173.475499320676</v>
      </c>
      <c r="F4564" s="30" t="n">
        <f aca="false">F4561-F4563</f>
        <v>194.404102005482</v>
      </c>
      <c r="G4564" s="30" t="n">
        <f aca="false">G4561-G4563</f>
        <v>234.292913772156</v>
      </c>
    </row>
    <row r="4565" customFormat="false" ht="15" hidden="false" customHeight="false" outlineLevel="0" collapsed="false">
      <c r="A4565" s="4" t="s">
        <v>537</v>
      </c>
      <c r="B4565" s="0" t="s">
        <v>76</v>
      </c>
      <c r="C4565" s="14" t="n">
        <f aca="false">C4564/C4548</f>
        <v>0.0786441644406156</v>
      </c>
      <c r="D4565" s="14" t="n">
        <f aca="false">D4564/D4548</f>
        <v>0.127440779020437</v>
      </c>
      <c r="E4565" s="14" t="n">
        <f aca="false">E4564/E4548</f>
        <v>0.155341866077717</v>
      </c>
      <c r="F4565" s="14" t="n">
        <f aca="false">F4564/F4548</f>
        <v>0.154510528245081</v>
      </c>
      <c r="G4565" s="14" t="n">
        <f aca="false">G4564/G4548</f>
        <v>0.164863909957143</v>
      </c>
    </row>
    <row r="4566" customFormat="false" ht="15" hidden="false" customHeight="false" outlineLevel="0" collapsed="false">
      <c r="A4566" s="4" t="s">
        <v>456</v>
      </c>
      <c r="B4566" s="0" t="s">
        <v>234</v>
      </c>
      <c r="C4566" s="30" t="n">
        <f aca="false">a25_nonop</f>
        <v>0.545</v>
      </c>
      <c r="D4566" s="30" t="n">
        <f aca="false">a26_nonop</f>
        <v>4.302</v>
      </c>
      <c r="E4566" s="30" t="n">
        <f aca="false">nonop_f_lo</f>
        <v>-8</v>
      </c>
      <c r="F4566" s="30" t="n">
        <f aca="false">nonop_f_lo</f>
        <v>-8</v>
      </c>
      <c r="G4566" s="30" t="n">
        <f aca="false">nonop_f_lo</f>
        <v>-8</v>
      </c>
    </row>
    <row r="4567" customFormat="false" ht="15" hidden="false" customHeight="false" outlineLevel="0" collapsed="false">
      <c r="A4567" s="4" t="s">
        <v>459</v>
      </c>
      <c r="B4567" s="0" t="s">
        <v>234</v>
      </c>
      <c r="C4567" s="30" t="n">
        <f aca="false">C4564+C4566</f>
        <v>51.301</v>
      </c>
      <c r="D4567" s="30" t="n">
        <f aca="false">D4564+D4566</f>
        <v>115.324245860986</v>
      </c>
      <c r="E4567" s="30" t="n">
        <f aca="false">E4564+E4566</f>
        <v>165.475499320676</v>
      </c>
      <c r="F4567" s="30" t="n">
        <f aca="false">F4564+F4566</f>
        <v>186.404102005482</v>
      </c>
      <c r="G4567" s="30" t="n">
        <f aca="false">G4564+G4566</f>
        <v>226.292913772156</v>
      </c>
    </row>
    <row r="4568" customFormat="false" ht="15" hidden="false" customHeight="false" outlineLevel="0" collapsed="false">
      <c r="A4568" s="4" t="s">
        <v>460</v>
      </c>
      <c r="B4568" s="0" t="s">
        <v>234</v>
      </c>
      <c r="C4568" s="30" t="n">
        <f aca="false">a25_tax</f>
        <v>9.461</v>
      </c>
      <c r="D4568" s="30" t="n">
        <f aca="false">a26_tax</f>
        <v>19.2197317963676</v>
      </c>
      <c r="E4568" s="30" t="n">
        <f aca="false">E4567*tax</f>
        <v>28.1308348845148</v>
      </c>
      <c r="F4568" s="30" t="n">
        <f aca="false">F4567*tax</f>
        <v>31.688697340932</v>
      </c>
      <c r="G4568" s="30" t="n">
        <f aca="false">G4567*tax</f>
        <v>38.4697953412666</v>
      </c>
    </row>
    <row r="4569" customFormat="false" ht="15" hidden="false" customHeight="false" outlineLevel="0" collapsed="false">
      <c r="A4569" s="4" t="s">
        <v>461</v>
      </c>
      <c r="B4569" s="0" t="s">
        <v>234</v>
      </c>
      <c r="C4569" s="30" t="n">
        <f aca="false">a25_nci</f>
        <v>1.182</v>
      </c>
      <c r="D4569" s="30" t="n">
        <f aca="false">a26_nci</f>
        <v>2.543</v>
      </c>
      <c r="E4569" s="30" t="n">
        <f aca="false">nci</f>
        <v>3</v>
      </c>
      <c r="F4569" s="30" t="n">
        <f aca="false">nci</f>
        <v>3</v>
      </c>
      <c r="G4569" s="30" t="n">
        <f aca="false">nci</f>
        <v>3</v>
      </c>
    </row>
    <row r="4570" customFormat="false" ht="15" hidden="false" customHeight="false" outlineLevel="0" collapsed="false">
      <c r="A4570" s="4" t="s">
        <v>462</v>
      </c>
      <c r="B4570" s="0" t="s">
        <v>234</v>
      </c>
      <c r="C4570" s="30" t="n">
        <f aca="false">C4567-C4568-C4569</f>
        <v>40.658</v>
      </c>
      <c r="D4570" s="30" t="n">
        <f aca="false">D4567-D4568-D4569</f>
        <v>93.5615140646185</v>
      </c>
      <c r="E4570" s="30" t="n">
        <f aca="false">E4567-E4568-E4569</f>
        <v>134.344664436161</v>
      </c>
      <c r="F4570" s="30" t="n">
        <f aca="false">F4567-F4568-F4569</f>
        <v>151.71540466455</v>
      </c>
      <c r="G4570" s="30" t="n">
        <f aca="false">G4567-G4568-G4569</f>
        <v>184.82311843089</v>
      </c>
      <c r="H4570" s="31" t="n">
        <f aca="false">H4548*H4574</f>
        <v>205.394225498731</v>
      </c>
      <c r="I4570" s="31" t="n">
        <f aca="false">I4548*I4574</f>
        <v>223.47079919419</v>
      </c>
      <c r="J4570" s="31" t="n">
        <f aca="false">J4548*J4574</f>
        <v>237.933349598446</v>
      </c>
    </row>
    <row r="4571" customFormat="false" ht="15" hidden="false" customHeight="false" outlineLevel="0" collapsed="false">
      <c r="A4571" s="4" t="s">
        <v>579</v>
      </c>
      <c r="B4571" s="4" t="s">
        <v>580</v>
      </c>
      <c r="C4571" s="18" t="n">
        <f aca="false">a25_sh</f>
        <v>4339.16755602988</v>
      </c>
      <c r="D4571" s="18" t="n">
        <f aca="false">a26_sh</f>
        <v>4392.90105184664</v>
      </c>
      <c r="E4571" s="18" t="n">
        <f aca="false">D4571*(1+sh_g)</f>
        <v>4414.86555710588</v>
      </c>
      <c r="F4571" s="18" t="n">
        <f aca="false">E4571*(1+sh_g)</f>
        <v>4436.9398848914</v>
      </c>
      <c r="G4571" s="18" t="n">
        <f aca="false">F4571*(1+sh_g)</f>
        <v>4459.12458431586</v>
      </c>
      <c r="H4571" s="25" t="n">
        <f aca="false">G4571*(1+sh_g)</f>
        <v>4481.42020723744</v>
      </c>
      <c r="I4571" s="25" t="n">
        <f aca="false">H4571*(1+sh_g)</f>
        <v>4503.82730827363</v>
      </c>
      <c r="J4571" s="25" t="n">
        <f aca="false">I4571*(1+sh_g)</f>
        <v>4526.34644481499</v>
      </c>
    </row>
    <row r="4572" customFormat="false" ht="17.15" hidden="false" customHeight="false" outlineLevel="0" collapsed="false">
      <c r="A4572" s="0" t="s">
        <v>465</v>
      </c>
      <c r="B4572" s="0" t="s">
        <v>304</v>
      </c>
      <c r="C4572" s="19" t="n">
        <f aca="false">a25_eps</f>
        <v>9.37</v>
      </c>
      <c r="D4572" s="19" t="n">
        <f aca="false">a26_eps</f>
        <v>21.2828697294455</v>
      </c>
      <c r="E4572" s="19" t="n">
        <f aca="false">E4570/E4571*1000</f>
        <v>30.4300692056021</v>
      </c>
      <c r="F4572" s="19" t="n">
        <f aca="false">F4570/F4571*1000</f>
        <v>34.1937030026413</v>
      </c>
      <c r="G4572" s="19" t="n">
        <f aca="false">G4570/G4571*1000</f>
        <v>41.4482966187961</v>
      </c>
      <c r="H4572" s="28" t="n">
        <f aca="false">H4570/H4571*1000</f>
        <v>45.8323959817519</v>
      </c>
      <c r="I4572" s="28" t="n">
        <f aca="false">I4570/I4571*1000</f>
        <v>49.617976866846</v>
      </c>
      <c r="J4572" s="28" t="n">
        <f aca="false">J4570/J4571*1000</f>
        <v>52.5663142446825</v>
      </c>
    </row>
    <row r="4573" customFormat="false" ht="17.15" hidden="false" customHeight="false" outlineLevel="0" collapsed="false">
      <c r="A4573" s="0" t="s">
        <v>581</v>
      </c>
      <c r="B4573" s="0" t="s">
        <v>76</v>
      </c>
      <c r="D4573" s="21" t="n">
        <f aca="false">D4572/C4572-1</f>
        <v>1.27138417603474</v>
      </c>
      <c r="E4573" s="21" t="n">
        <f aca="false">E4572/D4572-1</f>
        <v>0.429791639588016</v>
      </c>
      <c r="F4573" s="21" t="n">
        <f aca="false">F4572/E4572-1</f>
        <v>0.123681407742127</v>
      </c>
      <c r="G4573" s="21" t="n">
        <f aca="false">G4572/F4572-1</f>
        <v>0.212161684143845</v>
      </c>
      <c r="H4573" s="26" t="n">
        <f aca="false">H4572/G4572-1</f>
        <v>0.10577272700195</v>
      </c>
      <c r="I4573" s="26" t="n">
        <f aca="false">I4572/H4572-1</f>
        <v>0.0825961812382956</v>
      </c>
      <c r="J4573" s="26" t="n">
        <f aca="false">J4572/I4572-1</f>
        <v>0.0594207495752712</v>
      </c>
    </row>
    <row r="4574" customFormat="false" ht="17.15" hidden="false" customHeight="false" outlineLevel="0" collapsed="false">
      <c r="A4574" s="4" t="s">
        <v>582</v>
      </c>
      <c r="B4574" s="0" t="s">
        <v>76</v>
      </c>
      <c r="C4574" s="14" t="n">
        <f aca="false">C4570/C4548</f>
        <v>0.0629977625862272</v>
      </c>
      <c r="D4574" s="14" t="n">
        <f aca="false">D4570/D4548</f>
        <v>0.107397865592237</v>
      </c>
      <c r="E4574" s="14" t="n">
        <f aca="false">E4570/E4548</f>
        <v>0.120301431342303</v>
      </c>
      <c r="F4574" s="14" t="n">
        <f aca="false">F4570/F4548</f>
        <v>0.120581958280771</v>
      </c>
      <c r="G4574" s="14" t="n">
        <f aca="false">G4570/G4548</f>
        <v>0.130053706979036</v>
      </c>
      <c r="H4574" s="27" t="n">
        <f aca="false">$G4574+(fade_mA-$G4574)*1/3</f>
        <v>0.130637749590745</v>
      </c>
      <c r="I4574" s="27" t="n">
        <f aca="false">$G4574+(fade_mA-$G4574)*2/3</f>
        <v>0.131221792202455</v>
      </c>
      <c r="J4574" s="27" t="n">
        <f aca="false">$G4574+(fade_mA-$G4574)*3/3</f>
        <v>0.131805834814164</v>
      </c>
    </row>
    <row r="4575" customFormat="false" ht="17.15" hidden="false" customHeight="false" outlineLevel="0" collapsed="false">
      <c r="A4575" s="4" t="s">
        <v>583</v>
      </c>
      <c r="B4575" s="0" t="s">
        <v>234</v>
      </c>
      <c r="C4575" s="30" t="n">
        <f aca="false">C4570+C4556-C4554</f>
        <v>-54.587</v>
      </c>
      <c r="D4575" s="30" t="n">
        <f aca="false">D4570+D4556-D4554</f>
        <v>-176.164485935382</v>
      </c>
      <c r="E4575" s="30" t="n">
        <f aca="false">E4570+E4556-E4554</f>
        <v>-150.815585563839</v>
      </c>
      <c r="F4575" s="30" t="n">
        <f aca="false">F4570+F4556-F4554</f>
        <v>-59.2577858110851</v>
      </c>
      <c r="G4575" s="30" t="n">
        <f aca="false">G4570+G4556-G4554</f>
        <v>-48.659206607229</v>
      </c>
      <c r="K4575" s="4" t="s">
        <v>584</v>
      </c>
    </row>
    <row r="4576" customFormat="false" ht="17.15" hidden="false" customHeight="false" outlineLevel="0" collapsed="false">
      <c r="A4576" s="4" t="s">
        <v>585</v>
      </c>
      <c r="B4576" s="0" t="s">
        <v>76</v>
      </c>
      <c r="D4576" s="21" t="n">
        <f aca="false">(D4564-$C4564)/SUM($D4554:D4554)</f>
        <v>0.164280348537512</v>
      </c>
      <c r="E4576" s="21" t="n">
        <f aca="false">(E4564-$C4564)/SUM($D4554:E4554)</f>
        <v>0.156759914824903</v>
      </c>
      <c r="F4576" s="21" t="n">
        <f aca="false">(F4564-$C4564)/SUM($D4554:F4554)</f>
        <v>0.123801702225527</v>
      </c>
      <c r="G4576" s="21" t="n">
        <f aca="false">(G4564-$C4564)/SUM($D4554:G4554)</f>
        <v>0.115675979201517</v>
      </c>
      <c r="K4576" s="4" t="s">
        <v>586</v>
      </c>
    </row>
    <row r="4579" customFormat="false" ht="17.15" hidden="false" customHeight="false" outlineLevel="0" collapsed="false">
      <c r="A4579" s="1" t="s">
        <v>1007</v>
      </c>
    </row>
    <row r="4580" customFormat="false" ht="17.15" hidden="false" customHeight="false" outlineLevel="0" collapsed="false">
      <c r="A4580" s="5" t="s">
        <v>21</v>
      </c>
      <c r="B4580" s="5" t="s">
        <v>22</v>
      </c>
      <c r="C4580" s="15" t="s">
        <v>424</v>
      </c>
      <c r="D4580" s="15" t="s">
        <v>524</v>
      </c>
      <c r="E4580" s="15" t="s">
        <v>525</v>
      </c>
      <c r="F4580" s="15" t="s">
        <v>526</v>
      </c>
      <c r="G4580" s="15" t="s">
        <v>527</v>
      </c>
      <c r="H4580" s="15" t="s">
        <v>528</v>
      </c>
      <c r="I4580" s="15" t="s">
        <v>529</v>
      </c>
      <c r="J4580" s="15" t="s">
        <v>530</v>
      </c>
      <c r="K4580" s="5" t="s">
        <v>382</v>
      </c>
    </row>
    <row r="4581" customFormat="false" ht="17.15" hidden="false" customHeight="false" outlineLevel="0" collapsed="false">
      <c r="A4581" s="6" t="s">
        <v>548</v>
      </c>
    </row>
    <row r="4582" customFormat="false" ht="17.15" hidden="false" customHeight="false" outlineLevel="0" collapsed="false">
      <c r="A4582" s="0" t="s">
        <v>549</v>
      </c>
      <c r="B4582" s="4" t="s">
        <v>32</v>
      </c>
      <c r="D4582" s="19" t="n">
        <f aca="false">units_26</f>
        <v>15.2</v>
      </c>
      <c r="E4582" s="19" t="n">
        <f aca="false">units_27*1</f>
        <v>23.7</v>
      </c>
      <c r="F4582" s="19" t="n">
        <f aca="false">units_28*um28_B*1</f>
        <v>21.2</v>
      </c>
      <c r="G4582" s="19" t="n">
        <f aca="false">units_29*um29_B*1</f>
        <v>25.6275</v>
      </c>
    </row>
    <row r="4583" customFormat="false" ht="17.15" hidden="false" customHeight="false" outlineLevel="0" collapsed="false">
      <c r="A4583" s="4" t="s">
        <v>497</v>
      </c>
      <c r="B4583" s="0" t="s">
        <v>45</v>
      </c>
      <c r="D4583" s="22" t="n">
        <f aca="false">ar_26</f>
        <v>1</v>
      </c>
      <c r="E4583" s="22" t="n">
        <f aca="false">ar_27</f>
        <v>1.278156</v>
      </c>
      <c r="F4583" s="22" t="n">
        <f aca="false">ar_28</f>
        <v>1.428615</v>
      </c>
      <c r="G4583" s="22" t="n">
        <f aca="false">ar_29</f>
        <v>1.431796</v>
      </c>
    </row>
    <row r="4584" customFormat="false" ht="17.15" hidden="false" customHeight="false" outlineLevel="0" collapsed="false">
      <c r="A4584" s="4" t="s">
        <v>550</v>
      </c>
      <c r="B4584" s="0" t="s">
        <v>45</v>
      </c>
      <c r="D4584" s="19" t="n">
        <f aca="false">1</f>
        <v>1</v>
      </c>
      <c r="E4584" s="19" t="n">
        <f aca="false">rel27_B</f>
        <v>1.05</v>
      </c>
      <c r="F4584" s="19" t="n">
        <f aca="false">rel28_B</f>
        <v>1.08</v>
      </c>
      <c r="G4584" s="19" t="n">
        <f aca="false">rel29_B</f>
        <v>1.1</v>
      </c>
    </row>
    <row r="4585" customFormat="false" ht="17.15" hidden="false" customHeight="false" outlineLevel="0" collapsed="false">
      <c r="A4585" s="4" t="s">
        <v>551</v>
      </c>
      <c r="B4585" s="0" t="s">
        <v>502</v>
      </c>
      <c r="D4585" s="23" t="n">
        <f aca="false">D4586*1000/D4582</f>
        <v>236.842105263158</v>
      </c>
      <c r="E4585" s="23" t="n">
        <f aca="false">$D4585*E4583^el</f>
        <v>267.763172119488</v>
      </c>
      <c r="F4585" s="23" t="n">
        <f aca="false">$D4585*F4583^el</f>
        <v>283.084777049615</v>
      </c>
      <c r="G4585" s="23" t="n">
        <f aca="false">$D4585*G4583^el</f>
        <v>283.399764630809</v>
      </c>
      <c r="K4585" s="8" t="s">
        <v>552</v>
      </c>
    </row>
    <row r="4586" customFormat="false" ht="17.15" hidden="false" customHeight="false" outlineLevel="0" collapsed="false">
      <c r="A4586" s="0" t="s">
        <v>553</v>
      </c>
      <c r="B4586" s="0" t="s">
        <v>120</v>
      </c>
      <c r="D4586" s="22" t="n">
        <f aca="false">leap26-D4587-D4588</f>
        <v>3.6</v>
      </c>
      <c r="E4586" s="22" t="n">
        <f aca="false">E4582*E4584*E4585/1000</f>
        <v>6.66328653819345</v>
      </c>
      <c r="F4586" s="22" t="n">
        <f aca="false">F4582*F4584*F4585/1000</f>
        <v>6.48150905532798</v>
      </c>
      <c r="G4586" s="22" t="n">
        <f aca="false">G4582*G4584*G4585/1000</f>
        <v>7.98911021488366</v>
      </c>
      <c r="K4586" s="8" t="s">
        <v>554</v>
      </c>
    </row>
    <row r="4587" customFormat="false" ht="17.15" hidden="false" customHeight="false" outlineLevel="0" collapsed="false">
      <c r="A4587" s="4" t="s">
        <v>555</v>
      </c>
      <c r="B4587" s="0" t="s">
        <v>120</v>
      </c>
      <c r="D4587" s="22" t="n">
        <f aca="false">fp26</f>
        <v>0.3</v>
      </c>
      <c r="E4587" s="22" t="n">
        <f aca="false">fp27_B</f>
        <v>1</v>
      </c>
      <c r="F4587" s="22" t="n">
        <f aca="false">E4587*F4582/E4582*(1+fp_g)</f>
        <v>1.16286919831224</v>
      </c>
      <c r="G4587" s="22" t="n">
        <f aca="false">F4587*G4582/F4582*(1+fp_g)</f>
        <v>1.82744620253165</v>
      </c>
    </row>
    <row r="4588" customFormat="false" ht="17.15" hidden="false" customHeight="false" outlineLevel="0" collapsed="false">
      <c r="A4588" s="0" t="s">
        <v>556</v>
      </c>
      <c r="B4588" s="0" t="s">
        <v>120</v>
      </c>
      <c r="D4588" s="22" t="n">
        <f aca="false">cpo27*cpo_B_26/cpo_A_27</f>
        <v>0.1</v>
      </c>
      <c r="E4588" s="22" t="n">
        <f aca="false">cpo27*cpo_B_27/cpo_A_27</f>
        <v>0.3</v>
      </c>
      <c r="F4588" s="22" t="n">
        <f aca="false">cpo27*cpo_B_28/cpo_A_27*F4582/E4582</f>
        <v>0.447257383966245</v>
      </c>
      <c r="G4588" s="22" t="n">
        <f aca="false">cpo27*cpo_B_29/cpo_A_27*G4582/E4582</f>
        <v>0.86506329113924</v>
      </c>
      <c r="K4588" s="8" t="s">
        <v>557</v>
      </c>
    </row>
    <row r="4589" customFormat="false" ht="17.15" hidden="false" customHeight="false" outlineLevel="0" collapsed="false">
      <c r="A4589" s="0" t="s">
        <v>510</v>
      </c>
      <c r="B4589" s="0" t="s">
        <v>120</v>
      </c>
      <c r="C4589" s="22" t="n">
        <f aca="false">leap25</f>
        <v>1.6</v>
      </c>
      <c r="D4589" s="22" t="n">
        <f aca="false">D4586+D4587+D4588</f>
        <v>4</v>
      </c>
      <c r="E4589" s="22" t="n">
        <f aca="false">E4586+E4587+E4588</f>
        <v>7.96328653819345</v>
      </c>
      <c r="F4589" s="22" t="n">
        <f aca="false">F4586+F4587+F4588</f>
        <v>8.09163563760646</v>
      </c>
      <c r="G4589" s="22" t="n">
        <f aca="false">G4586+G4587+G4588</f>
        <v>10.6816197085545</v>
      </c>
    </row>
    <row r="4590" customFormat="false" ht="17.15" hidden="false" customHeight="false" outlineLevel="0" collapsed="false">
      <c r="A4590" s="4" t="s">
        <v>558</v>
      </c>
      <c r="B4590" s="0" t="s">
        <v>114</v>
      </c>
      <c r="C4590" s="19" t="n">
        <f aca="false">fx25</f>
        <v>31</v>
      </c>
      <c r="D4590" s="19" t="n">
        <f aca="false">a26_leap/D4589</f>
        <v>31.9</v>
      </c>
      <c r="E4590" s="19" t="n">
        <f aca="false">fx</f>
        <v>32</v>
      </c>
      <c r="F4590" s="19" t="n">
        <f aca="false">fx</f>
        <v>32</v>
      </c>
      <c r="G4590" s="19" t="n">
        <f aca="false">fx</f>
        <v>32</v>
      </c>
      <c r="K4590" s="8" t="s">
        <v>559</v>
      </c>
    </row>
    <row r="4591" customFormat="false" ht="17.15" hidden="false" customHeight="false" outlineLevel="0" collapsed="false">
      <c r="A4591" s="6" t="s">
        <v>560</v>
      </c>
    </row>
    <row r="4592" customFormat="false" ht="17.15" hidden="false" customHeight="false" outlineLevel="0" collapsed="false">
      <c r="A4592" s="0" t="s">
        <v>438</v>
      </c>
      <c r="B4592" s="0" t="s">
        <v>234</v>
      </c>
      <c r="C4592" s="30" t="n">
        <f aca="false">a25_leap</f>
        <v>49.6</v>
      </c>
      <c r="D4592" s="30" t="n">
        <f aca="false">a26_leap</f>
        <v>127.6</v>
      </c>
      <c r="E4592" s="30" t="n">
        <f aca="false">E4589*E4590</f>
        <v>254.82516922219</v>
      </c>
      <c r="F4592" s="30" t="n">
        <f aca="false">F4589*F4590</f>
        <v>258.932340403407</v>
      </c>
      <c r="G4592" s="30" t="n">
        <f aca="false">G4589*G4590</f>
        <v>341.811830673745</v>
      </c>
    </row>
    <row r="4593" customFormat="false" ht="15" hidden="false" customHeight="false" outlineLevel="0" collapsed="false">
      <c r="A4593" s="4" t="s">
        <v>561</v>
      </c>
      <c r="B4593" s="0" t="s">
        <v>234</v>
      </c>
      <c r="C4593" s="30" t="n">
        <f aca="false">a25_ms</f>
        <v>339.628</v>
      </c>
      <c r="D4593" s="30" t="n">
        <f aca="false">a26_ms</f>
        <v>432.1302</v>
      </c>
      <c r="E4593" s="30" t="n">
        <f aca="false">D4593*(1+g_ms27)</f>
        <v>496.94973</v>
      </c>
      <c r="F4593" s="30" t="n">
        <f aca="false">E4593*(1+g_msL)</f>
        <v>531.7362111</v>
      </c>
      <c r="G4593" s="30" t="n">
        <f aca="false">F4593*(1+g_msL)</f>
        <v>568.957745877</v>
      </c>
    </row>
    <row r="4594" customFormat="false" ht="17.15" hidden="false" customHeight="false" outlineLevel="0" collapsed="false">
      <c r="A4594" s="4" t="s">
        <v>562</v>
      </c>
      <c r="B4594" s="0" t="s">
        <v>234</v>
      </c>
      <c r="C4594" s="30" t="n">
        <f aca="false">C4592+C4593</f>
        <v>389.228</v>
      </c>
      <c r="D4594" s="30" t="n">
        <f aca="false">D4592+D4593</f>
        <v>559.7302</v>
      </c>
      <c r="E4594" s="30" t="n">
        <f aca="false">E4592+E4593</f>
        <v>751.77489922219</v>
      </c>
      <c r="F4594" s="30" t="n">
        <f aca="false">F4592+F4593</f>
        <v>790.668551503407</v>
      </c>
      <c r="G4594" s="30" t="n">
        <f aca="false">G4592+G4593</f>
        <v>910.769576550745</v>
      </c>
    </row>
    <row r="4595" customFormat="false" ht="17.15" hidden="false" customHeight="false" outlineLevel="0" collapsed="false">
      <c r="A4595" s="0" t="s">
        <v>563</v>
      </c>
      <c r="B4595" s="0" t="s">
        <v>234</v>
      </c>
      <c r="C4595" s="30" t="n">
        <f aca="false">a25_ems</f>
        <v>259.079</v>
      </c>
      <c r="D4595" s="30" t="n">
        <f aca="false">a26_ems</f>
        <v>314.602</v>
      </c>
      <c r="E4595" s="30" t="n">
        <f aca="false">D4595*(1+g_ems27)</f>
        <v>346.0622</v>
      </c>
      <c r="F4595" s="30" t="n">
        <f aca="false">E4595*(1+g_emsL)</f>
        <v>363.36531</v>
      </c>
      <c r="G4595" s="30" t="n">
        <f aca="false">F4595*(1+g_emsL)</f>
        <v>381.5335755</v>
      </c>
    </row>
    <row r="4596" customFormat="false" ht="17.15" hidden="false" customHeight="false" outlineLevel="0" collapsed="false">
      <c r="A4596" s="4" t="s">
        <v>564</v>
      </c>
      <c r="B4596" s="0" t="s">
        <v>234</v>
      </c>
      <c r="C4596" s="30" t="n">
        <f aca="false">a25_elim</f>
        <v>-2.91899999999998</v>
      </c>
      <c r="D4596" s="30" t="n">
        <f aca="false">a26_elim</f>
        <v>-3.16484905982349</v>
      </c>
      <c r="E4596" s="30" t="n">
        <f aca="false">$D4596/($D4594+$D4595)*(E4594+E4595)</f>
        <v>-3.97387710450638</v>
      </c>
      <c r="F4596" s="30" t="n">
        <f aca="false">$D4596/($D4594+$D4595)*(F4594+F4595)</f>
        <v>-4.17729437573445</v>
      </c>
      <c r="G4596" s="30" t="n">
        <f aca="false">$D4596/($D4594+$D4595)*(G4594+G4595)</f>
        <v>-4.67779228052533</v>
      </c>
      <c r="K4596" s="4" t="s">
        <v>565</v>
      </c>
    </row>
    <row r="4597" customFormat="false" ht="17.15" hidden="false" customHeight="false" outlineLevel="0" collapsed="false">
      <c r="A4597" s="4" t="s">
        <v>431</v>
      </c>
      <c r="B4597" s="0" t="s">
        <v>234</v>
      </c>
      <c r="C4597" s="30" t="n">
        <f aca="false">C4594+C4595+C4596</f>
        <v>645.388</v>
      </c>
      <c r="D4597" s="30" t="n">
        <f aca="false">D4594+D4595+D4596</f>
        <v>871.167350940177</v>
      </c>
      <c r="E4597" s="30" t="n">
        <f aca="false">E4594+E4595+E4596</f>
        <v>1093.86322211768</v>
      </c>
      <c r="F4597" s="30" t="n">
        <f aca="false">F4594+F4595+F4596</f>
        <v>1149.85656712767</v>
      </c>
      <c r="G4597" s="30" t="n">
        <f aca="false">G4594+G4595+G4596</f>
        <v>1287.62535977022</v>
      </c>
      <c r="H4597" s="31" t="n">
        <f aca="false">G4597*(1+H4598)</f>
        <v>1407.64396999115</v>
      </c>
      <c r="I4597" s="31" t="n">
        <f aca="false">H4597*(1+I4598)</f>
        <v>1501.39957757674</v>
      </c>
      <c r="J4597" s="31" t="n">
        <f aca="false">I4597*(1+J4598)</f>
        <v>1561.45556067981</v>
      </c>
      <c r="K4597" s="8" t="s">
        <v>566</v>
      </c>
    </row>
    <row r="4598" customFormat="false" ht="15" hidden="false" customHeight="false" outlineLevel="0" collapsed="false">
      <c r="A4598" s="4" t="s">
        <v>567</v>
      </c>
      <c r="B4598" s="0" t="s">
        <v>76</v>
      </c>
      <c r="D4598" s="21" t="n">
        <f aca="false">D4597/C4597-1</f>
        <v>0.349835061916516</v>
      </c>
      <c r="E4598" s="21" t="n">
        <f aca="false">E4597/D4597-1</f>
        <v>0.255629266796065</v>
      </c>
      <c r="F4598" s="21" t="n">
        <f aca="false">F4597/E4597-1</f>
        <v>0.0511886165270159</v>
      </c>
      <c r="G4598" s="21" t="n">
        <f aca="false">G4597/F4597-1</f>
        <v>0.11981389382042</v>
      </c>
      <c r="H4598" s="26" t="n">
        <f aca="false">$G4598+(fade_gB-$G4598)*1/3</f>
        <v>0.0932092625469469</v>
      </c>
      <c r="I4598" s="26" t="n">
        <f aca="false">$G4598+(fade_gB-$G4598)*2/3</f>
        <v>0.0666046312734734</v>
      </c>
      <c r="J4598" s="26" t="n">
        <f aca="false">$G4598+(fade_gB-$G4598)*3/3</f>
        <v>0.04</v>
      </c>
    </row>
    <row r="4599" customFormat="false" ht="17.15" hidden="false" customHeight="false" outlineLevel="0" collapsed="false">
      <c r="A4599" s="0" t="s">
        <v>475</v>
      </c>
      <c r="B4599" s="0" t="s">
        <v>76</v>
      </c>
      <c r="C4599" s="21" t="n">
        <f aca="false">C4592/C4594</f>
        <v>0.127431736668482</v>
      </c>
      <c r="D4599" s="21" t="n">
        <f aca="false">D4592/D4594</f>
        <v>0.227966974088588</v>
      </c>
      <c r="E4599" s="21" t="n">
        <f aca="false">E4592/E4594</f>
        <v>0.338964721335922</v>
      </c>
      <c r="F4599" s="21" t="n">
        <f aca="false">F4592/F4594</f>
        <v>0.327485315953269</v>
      </c>
      <c r="G4599" s="21" t="n">
        <f aca="false">G4592/G4594</f>
        <v>0.375300009436251</v>
      </c>
    </row>
    <row r="4600" customFormat="false" ht="15" hidden="false" customHeight="false" outlineLevel="0" collapsed="false">
      <c r="A4600" s="4" t="s">
        <v>568</v>
      </c>
      <c r="B4600" s="0" t="s">
        <v>76</v>
      </c>
      <c r="D4600" s="21" t="n">
        <f aca="false">D4594/C4594-1</f>
        <v>0.438052247012034</v>
      </c>
      <c r="E4600" s="21" t="n">
        <f aca="false">E4594/D4594-1</f>
        <v>0.343102264666424</v>
      </c>
      <c r="F4600" s="21" t="n">
        <f aca="false">F4594/E4594-1</f>
        <v>0.0517357686741828</v>
      </c>
      <c r="G4600" s="21" t="n">
        <f aca="false">G4594/F4594-1</f>
        <v>0.151898067551788</v>
      </c>
    </row>
    <row r="4601" customFormat="false" ht="17.15" hidden="false" customHeight="false" outlineLevel="0" collapsed="false">
      <c r="A4601" s="6" t="s">
        <v>569</v>
      </c>
    </row>
    <row r="4602" customFormat="false" ht="17.15" hidden="false" customHeight="false" outlineLevel="0" collapsed="false">
      <c r="A4602" s="4" t="s">
        <v>570</v>
      </c>
      <c r="B4602" s="0" t="s">
        <v>120</v>
      </c>
      <c r="C4602" s="19" t="n">
        <f aca="false">capex25</f>
        <v>5.5</v>
      </c>
      <c r="D4602" s="19" t="n">
        <f aca="false">capex26</f>
        <v>11.5</v>
      </c>
      <c r="E4602" s="19" t="n">
        <f aca="false">capex27</f>
        <v>13</v>
      </c>
      <c r="F4602" s="19" t="n">
        <f aca="false">capi*F4597/F4590</f>
        <v>10.7799053168219</v>
      </c>
      <c r="G4602" s="19" t="n">
        <f aca="false">capi*G4597/G4590</f>
        <v>12.0714877478458</v>
      </c>
      <c r="K4602" s="8" t="s">
        <v>571</v>
      </c>
    </row>
    <row r="4603" customFormat="false" ht="15" hidden="false" customHeight="false" outlineLevel="0" collapsed="false">
      <c r="A4603" s="4" t="s">
        <v>572</v>
      </c>
      <c r="B4603" s="0" t="s">
        <v>234</v>
      </c>
      <c r="C4603" s="30" t="n">
        <f aca="false">C4602*C4590</f>
        <v>170.5</v>
      </c>
      <c r="D4603" s="30" t="n">
        <f aca="false">D4602*31.9</f>
        <v>366.85</v>
      </c>
      <c r="E4603" s="30" t="n">
        <f aca="false">E4602*E4590</f>
        <v>416</v>
      </c>
      <c r="F4603" s="30" t="n">
        <f aca="false">F4602*F4590</f>
        <v>344.956970138302</v>
      </c>
      <c r="G4603" s="30" t="n">
        <f aca="false">G4602*G4590</f>
        <v>386.287607931066</v>
      </c>
    </row>
    <row r="4604" customFormat="false" ht="17.15" hidden="false" customHeight="false" outlineLevel="0" collapsed="false">
      <c r="A4604" s="4" t="s">
        <v>473</v>
      </c>
      <c r="B4604" s="0" t="s">
        <v>76</v>
      </c>
      <c r="C4604" s="21" t="n">
        <f aca="false">C4603/C4597</f>
        <v>0.264182166386732</v>
      </c>
      <c r="D4604" s="21" t="n">
        <f aca="false">D4603/D4597</f>
        <v>0.421101639775745</v>
      </c>
      <c r="E4604" s="21" t="n">
        <f aca="false">E4603/E4597</f>
        <v>0.380303489127861</v>
      </c>
      <c r="F4604" s="21" t="n">
        <f aca="false">F4603/F4597</f>
        <v>0.3</v>
      </c>
      <c r="G4604" s="21" t="n">
        <f aca="false">G4603/G4597</f>
        <v>0.3</v>
      </c>
    </row>
    <row r="4605" customFormat="false" ht="17.15" hidden="false" customHeight="false" outlineLevel="0" collapsed="false">
      <c r="A4605" s="4" t="s">
        <v>573</v>
      </c>
      <c r="B4605" s="0" t="s">
        <v>234</v>
      </c>
      <c r="C4605" s="30" t="n">
        <f aca="false">a25_da</f>
        <v>75.255</v>
      </c>
      <c r="D4605" s="30" t="n">
        <f aca="false">a26_da</f>
        <v>97.124</v>
      </c>
      <c r="E4605" s="30" t="n">
        <f aca="false">D4605*(1-1/life)+D4603/life</f>
        <v>130.83975</v>
      </c>
      <c r="F4605" s="30" t="n">
        <f aca="false">E4605*(1-1/life)+E4603/life</f>
        <v>166.48478125</v>
      </c>
      <c r="G4605" s="30" t="n">
        <f aca="false">F4605*(1-1/life)+F4603/life</f>
        <v>188.793804861038</v>
      </c>
      <c r="K4605" s="4" t="s">
        <v>574</v>
      </c>
    </row>
    <row r="4606" customFormat="false" ht="17.15" hidden="false" customHeight="false" outlineLevel="0" collapsed="false">
      <c r="A4606" s="4" t="s">
        <v>575</v>
      </c>
      <c r="B4606" s="0" t="s">
        <v>234</v>
      </c>
      <c r="C4606" s="30" t="n">
        <f aca="false">a25_agp</f>
        <v>91.38</v>
      </c>
      <c r="D4606" s="30" t="n">
        <f aca="false">a26_agp</f>
        <v>164.623388</v>
      </c>
      <c r="E4606" s="30" t="n">
        <f aca="false">$D4606+ft*(E4594-$D4594)-(E4605-$D4605)</f>
        <v>226.929987611095</v>
      </c>
      <c r="F4606" s="30" t="n">
        <f aca="false">$D4606+ft*(F4594-$D4594)-(F4605-$D4605)</f>
        <v>210.731782501703</v>
      </c>
      <c r="G4606" s="30" t="n">
        <f aca="false">$D4606+ft*(G4594-$D4594)-(G4605-$D4605)</f>
        <v>248.473271414335</v>
      </c>
      <c r="K4606" s="4" t="s">
        <v>576</v>
      </c>
    </row>
    <row r="4607" customFormat="false" ht="15" hidden="false" customHeight="false" outlineLevel="0" collapsed="false">
      <c r="A4607" s="4" t="s">
        <v>447</v>
      </c>
      <c r="B4607" s="0" t="s">
        <v>76</v>
      </c>
      <c r="C4607" s="14" t="n">
        <f aca="false">C4606/C4594</f>
        <v>0.234772421305764</v>
      </c>
      <c r="D4607" s="14" t="n">
        <f aca="false">D4606/D4594</f>
        <v>0.294112034690999</v>
      </c>
      <c r="E4607" s="14" t="n">
        <f aca="false">E4606/E4594</f>
        <v>0.301858957842147</v>
      </c>
      <c r="F4607" s="14" t="n">
        <f aca="false">F4606/F4594</f>
        <v>0.26652354150296</v>
      </c>
      <c r="G4607" s="14" t="n">
        <f aca="false">G4606/G4594</f>
        <v>0.272816832941818</v>
      </c>
    </row>
    <row r="4608" customFormat="false" ht="17.15" hidden="false" customHeight="false" outlineLevel="0" collapsed="false">
      <c r="A4608" s="0" t="s">
        <v>449</v>
      </c>
      <c r="B4608" s="0" t="s">
        <v>234</v>
      </c>
      <c r="C4608" s="30" t="n">
        <f aca="false">a25_egp</f>
        <v>23.695</v>
      </c>
      <c r="D4608" s="30" t="n">
        <f aca="false">a26_egp</f>
        <v>27.00552</v>
      </c>
      <c r="E4608" s="30" t="n">
        <f aca="false">E4595*ems_gm</f>
        <v>29.415287</v>
      </c>
      <c r="F4608" s="30" t="n">
        <f aca="false">F4595*ems_gm</f>
        <v>30.88605135</v>
      </c>
      <c r="G4608" s="30" t="n">
        <f aca="false">G4595*ems_gm</f>
        <v>32.4303539175</v>
      </c>
    </row>
    <row r="4609" customFormat="false" ht="15" hidden="false" customHeight="false" outlineLevel="0" collapsed="false">
      <c r="A4609" s="4" t="s">
        <v>577</v>
      </c>
      <c r="B4609" s="0" t="s">
        <v>234</v>
      </c>
      <c r="C4609" s="30" t="n">
        <f aca="false">a25_lgp</f>
        <v>-0.881999999999998</v>
      </c>
      <c r="D4609" s="30" t="n">
        <f aca="false">a26_lgp</f>
        <v>-0.948662139013863</v>
      </c>
      <c r="E4609" s="30" t="n">
        <f aca="false">$D4609/$D4596*E4596</f>
        <v>-1.19116794604716</v>
      </c>
      <c r="F4609" s="30" t="n">
        <f aca="false">$D4609/$D4596*F4596</f>
        <v>-1.25214218525664</v>
      </c>
      <c r="G4609" s="30" t="n">
        <f aca="false">$D4609/$D4596*G4596</f>
        <v>-1.40216621608905</v>
      </c>
    </row>
    <row r="4610" customFormat="false" ht="15" hidden="false" customHeight="false" outlineLevel="0" collapsed="false">
      <c r="A4610" s="4" t="s">
        <v>451</v>
      </c>
      <c r="B4610" s="0" t="s">
        <v>234</v>
      </c>
      <c r="C4610" s="30" t="n">
        <f aca="false">C4606+C4608+C4609</f>
        <v>114.193</v>
      </c>
      <c r="D4610" s="30" t="n">
        <f aca="false">D4606+D4608+D4609</f>
        <v>190.680245860986</v>
      </c>
      <c r="E4610" s="30" t="n">
        <f aca="false">E4606+E4608+E4609</f>
        <v>255.154106665048</v>
      </c>
      <c r="F4610" s="30" t="n">
        <f aca="false">F4606+F4608+F4609</f>
        <v>240.365691666447</v>
      </c>
      <c r="G4610" s="30" t="n">
        <f aca="false">G4606+G4608+G4609</f>
        <v>279.501459115746</v>
      </c>
    </row>
    <row r="4611" customFormat="false" ht="15" hidden="false" customHeight="false" outlineLevel="0" collapsed="false">
      <c r="A4611" s="4" t="s">
        <v>452</v>
      </c>
      <c r="B4611" s="0" t="s">
        <v>76</v>
      </c>
      <c r="C4611" s="14" t="n">
        <f aca="false">C4610/C4597</f>
        <v>0.176936974347214</v>
      </c>
      <c r="D4611" s="14" t="n">
        <f aca="false">D4610/D4597</f>
        <v>0.218879008327391</v>
      </c>
      <c r="E4611" s="14" t="n">
        <f aca="false">E4610/E4597</f>
        <v>0.233259608245241</v>
      </c>
      <c r="F4611" s="14" t="n">
        <f aca="false">F4610/F4597</f>
        <v>0.209039717246541</v>
      </c>
      <c r="G4611" s="14" t="n">
        <f aca="false">G4610/G4597</f>
        <v>0.217067376776133</v>
      </c>
    </row>
    <row r="4612" customFormat="false" ht="15" hidden="false" customHeight="false" outlineLevel="0" collapsed="false">
      <c r="A4612" s="4" t="s">
        <v>578</v>
      </c>
      <c r="B4612" s="0" t="s">
        <v>234</v>
      </c>
      <c r="C4612" s="30" t="n">
        <f aca="false">a25_opx</f>
        <v>63.437</v>
      </c>
      <c r="D4612" s="30" t="n">
        <f aca="false">a26_opx</f>
        <v>79.658</v>
      </c>
      <c r="E4612" s="30" t="n">
        <f aca="false">D4612*(1+phi*E4598)</f>
        <v>91.8757496806646</v>
      </c>
      <c r="F4612" s="30" t="n">
        <f aca="false">E4612*(1+phi*F4598)</f>
        <v>94.6975451917859</v>
      </c>
      <c r="G4612" s="30" t="n">
        <f aca="false">F4612*(1+phi*G4598)</f>
        <v>101.505194166584</v>
      </c>
    </row>
    <row r="4613" customFormat="false" ht="15" hidden="false" customHeight="false" outlineLevel="0" collapsed="false">
      <c r="A4613" s="4" t="s">
        <v>455</v>
      </c>
      <c r="B4613" s="0" t="s">
        <v>234</v>
      </c>
      <c r="C4613" s="30" t="n">
        <f aca="false">C4610-C4612</f>
        <v>50.756</v>
      </c>
      <c r="D4613" s="30" t="n">
        <f aca="false">D4610-D4612</f>
        <v>111.022245860986</v>
      </c>
      <c r="E4613" s="30" t="n">
        <f aca="false">E4610-E4612</f>
        <v>163.278356984383</v>
      </c>
      <c r="F4613" s="30" t="n">
        <f aca="false">F4610-F4612</f>
        <v>145.668146474661</v>
      </c>
      <c r="G4613" s="30" t="n">
        <f aca="false">G4610-G4612</f>
        <v>177.996264949162</v>
      </c>
    </row>
    <row r="4614" customFormat="false" ht="15" hidden="false" customHeight="false" outlineLevel="0" collapsed="false">
      <c r="A4614" s="4" t="s">
        <v>537</v>
      </c>
      <c r="B4614" s="0" t="s">
        <v>76</v>
      </c>
      <c r="C4614" s="14" t="n">
        <f aca="false">C4613/C4597</f>
        <v>0.0786441644406156</v>
      </c>
      <c r="D4614" s="14" t="n">
        <f aca="false">D4613/D4597</f>
        <v>0.127440779020437</v>
      </c>
      <c r="E4614" s="14" t="n">
        <f aca="false">E4613/E4597</f>
        <v>0.149267617452465</v>
      </c>
      <c r="F4614" s="14" t="n">
        <f aca="false">F4613/F4597</f>
        <v>0.126683753990759</v>
      </c>
      <c r="G4614" s="14" t="n">
        <f aca="false">G4613/G4597</f>
        <v>0.138236066569026</v>
      </c>
    </row>
    <row r="4615" customFormat="false" ht="15" hidden="false" customHeight="false" outlineLevel="0" collapsed="false">
      <c r="A4615" s="4" t="s">
        <v>456</v>
      </c>
      <c r="B4615" s="0" t="s">
        <v>234</v>
      </c>
      <c r="C4615" s="30" t="n">
        <f aca="false">a25_nonop</f>
        <v>0.545</v>
      </c>
      <c r="D4615" s="30" t="n">
        <f aca="false">a26_nonop</f>
        <v>4.302</v>
      </c>
      <c r="E4615" s="30" t="n">
        <f aca="false">nonop_f_lo</f>
        <v>-8</v>
      </c>
      <c r="F4615" s="30" t="n">
        <f aca="false">nonop_f_lo</f>
        <v>-8</v>
      </c>
      <c r="G4615" s="30" t="n">
        <f aca="false">nonop_f_lo</f>
        <v>-8</v>
      </c>
    </row>
    <row r="4616" customFormat="false" ht="15" hidden="false" customHeight="false" outlineLevel="0" collapsed="false">
      <c r="A4616" s="4" t="s">
        <v>459</v>
      </c>
      <c r="B4616" s="0" t="s">
        <v>234</v>
      </c>
      <c r="C4616" s="30" t="n">
        <f aca="false">C4613+C4615</f>
        <v>51.301</v>
      </c>
      <c r="D4616" s="30" t="n">
        <f aca="false">D4613+D4615</f>
        <v>115.324245860986</v>
      </c>
      <c r="E4616" s="30" t="n">
        <f aca="false">E4613+E4615</f>
        <v>155.278356984383</v>
      </c>
      <c r="F4616" s="30" t="n">
        <f aca="false">F4613+F4615</f>
        <v>137.668146474661</v>
      </c>
      <c r="G4616" s="30" t="n">
        <f aca="false">G4613+G4615</f>
        <v>169.996264949162</v>
      </c>
    </row>
    <row r="4617" customFormat="false" ht="15" hidden="false" customHeight="false" outlineLevel="0" collapsed="false">
      <c r="A4617" s="4" t="s">
        <v>460</v>
      </c>
      <c r="B4617" s="0" t="s">
        <v>234</v>
      </c>
      <c r="C4617" s="30" t="n">
        <f aca="false">a25_tax</f>
        <v>9.461</v>
      </c>
      <c r="D4617" s="30" t="n">
        <f aca="false">a26_tax</f>
        <v>19.2197317963676</v>
      </c>
      <c r="E4617" s="30" t="n">
        <f aca="false">E4616*tax</f>
        <v>26.3973206873452</v>
      </c>
      <c r="F4617" s="30" t="n">
        <f aca="false">F4616*tax</f>
        <v>23.4035849006923</v>
      </c>
      <c r="G4617" s="30" t="n">
        <f aca="false">G4616*tax</f>
        <v>28.8993650413576</v>
      </c>
    </row>
    <row r="4618" customFormat="false" ht="15" hidden="false" customHeight="false" outlineLevel="0" collapsed="false">
      <c r="A4618" s="4" t="s">
        <v>461</v>
      </c>
      <c r="B4618" s="0" t="s">
        <v>234</v>
      </c>
      <c r="C4618" s="30" t="n">
        <f aca="false">a25_nci</f>
        <v>1.182</v>
      </c>
      <c r="D4618" s="30" t="n">
        <f aca="false">a26_nci</f>
        <v>2.543</v>
      </c>
      <c r="E4618" s="30" t="n">
        <f aca="false">nci</f>
        <v>3</v>
      </c>
      <c r="F4618" s="30" t="n">
        <f aca="false">nci</f>
        <v>3</v>
      </c>
      <c r="G4618" s="30" t="n">
        <f aca="false">nci</f>
        <v>3</v>
      </c>
    </row>
    <row r="4619" customFormat="false" ht="15" hidden="false" customHeight="false" outlineLevel="0" collapsed="false">
      <c r="A4619" s="4" t="s">
        <v>462</v>
      </c>
      <c r="B4619" s="0" t="s">
        <v>234</v>
      </c>
      <c r="C4619" s="30" t="n">
        <f aca="false">C4616-C4617-C4618</f>
        <v>40.658</v>
      </c>
      <c r="D4619" s="30" t="n">
        <f aca="false">D4616-D4617-D4618</f>
        <v>93.5615140646185</v>
      </c>
      <c r="E4619" s="30" t="n">
        <f aca="false">E4616-E4617-E4618</f>
        <v>125.881036297038</v>
      </c>
      <c r="F4619" s="30" t="n">
        <f aca="false">F4616-F4617-F4618</f>
        <v>111.264561573968</v>
      </c>
      <c r="G4619" s="30" t="n">
        <f aca="false">G4616-G4617-G4618</f>
        <v>138.096899907805</v>
      </c>
      <c r="H4619" s="31" t="n">
        <f aca="false">H4597*H4623</f>
        <v>146.753143757079</v>
      </c>
      <c r="I4619" s="31" t="n">
        <f aca="false">I4597*I4623</f>
        <v>152.0311335312</v>
      </c>
      <c r="J4619" s="31" t="n">
        <f aca="false">J4597*J4623</f>
        <v>153.436071648244</v>
      </c>
    </row>
    <row r="4620" customFormat="false" ht="15" hidden="false" customHeight="false" outlineLevel="0" collapsed="false">
      <c r="A4620" s="4" t="s">
        <v>579</v>
      </c>
      <c r="B4620" s="4" t="s">
        <v>580</v>
      </c>
      <c r="C4620" s="18" t="n">
        <f aca="false">a25_sh</f>
        <v>4339.16755602988</v>
      </c>
      <c r="D4620" s="18" t="n">
        <f aca="false">a26_sh</f>
        <v>4392.90105184664</v>
      </c>
      <c r="E4620" s="18" t="n">
        <f aca="false">D4620*(1+sh_g)</f>
        <v>4414.86555710588</v>
      </c>
      <c r="F4620" s="18" t="n">
        <f aca="false">E4620*(1+sh_g)</f>
        <v>4436.9398848914</v>
      </c>
      <c r="G4620" s="18" t="n">
        <f aca="false">F4620*(1+sh_g)</f>
        <v>4459.12458431586</v>
      </c>
      <c r="H4620" s="25" t="n">
        <f aca="false">G4620*(1+sh_g)</f>
        <v>4481.42020723744</v>
      </c>
      <c r="I4620" s="25" t="n">
        <f aca="false">H4620*(1+sh_g)</f>
        <v>4503.82730827363</v>
      </c>
      <c r="J4620" s="25" t="n">
        <f aca="false">I4620*(1+sh_g)</f>
        <v>4526.34644481499</v>
      </c>
    </row>
    <row r="4621" customFormat="false" ht="17.15" hidden="false" customHeight="false" outlineLevel="0" collapsed="false">
      <c r="A4621" s="0" t="s">
        <v>465</v>
      </c>
      <c r="B4621" s="0" t="s">
        <v>304</v>
      </c>
      <c r="C4621" s="19" t="n">
        <f aca="false">a25_eps</f>
        <v>9.37</v>
      </c>
      <c r="D4621" s="19" t="n">
        <f aca="false">a26_eps</f>
        <v>21.2828697294455</v>
      </c>
      <c r="E4621" s="19" t="n">
        <f aca="false">E4619/E4620*1000</f>
        <v>28.5129942619495</v>
      </c>
      <c r="F4621" s="19" t="n">
        <f aca="false">F4619/F4620*1000</f>
        <v>25.0768692974283</v>
      </c>
      <c r="G4621" s="19" t="n">
        <f aca="false">G4619/G4620*1000</f>
        <v>30.9695092156731</v>
      </c>
      <c r="H4621" s="28" t="n">
        <f aca="false">H4619/H4620*1000</f>
        <v>32.7470170103831</v>
      </c>
      <c r="I4621" s="28" t="n">
        <f aca="false">I4619/I4620*1000</f>
        <v>33.7559864366725</v>
      </c>
      <c r="J4621" s="28" t="n">
        <f aca="false">J4619/J4620*1000</f>
        <v>33.8984374083887</v>
      </c>
    </row>
    <row r="4622" customFormat="false" ht="17.15" hidden="false" customHeight="false" outlineLevel="0" collapsed="false">
      <c r="A4622" s="0" t="s">
        <v>581</v>
      </c>
      <c r="B4622" s="0" t="s">
        <v>76</v>
      </c>
      <c r="D4622" s="21" t="n">
        <f aca="false">D4621/C4621-1</f>
        <v>1.27138417603474</v>
      </c>
      <c r="E4622" s="21" t="n">
        <f aca="false">E4621/D4621-1</f>
        <v>0.339715678591071</v>
      </c>
      <c r="F4622" s="21" t="n">
        <f aca="false">F4621/E4621-1</f>
        <v>-0.120510842633832</v>
      </c>
      <c r="G4622" s="21" t="n">
        <f aca="false">G4621/F4621-1</f>
        <v>0.234983077367201</v>
      </c>
      <c r="H4622" s="26" t="n">
        <f aca="false">H4621/G4621-1</f>
        <v>0.0573954137384389</v>
      </c>
      <c r="I4622" s="26" t="n">
        <f aca="false">I4621/H4621-1</f>
        <v>0.0308110331383631</v>
      </c>
      <c r="J4622" s="26" t="n">
        <f aca="false">J4621/I4621-1</f>
        <v>0.00422002100230268</v>
      </c>
    </row>
    <row r="4623" customFormat="false" ht="17.15" hidden="false" customHeight="false" outlineLevel="0" collapsed="false">
      <c r="A4623" s="4" t="s">
        <v>582</v>
      </c>
      <c r="B4623" s="0" t="s">
        <v>76</v>
      </c>
      <c r="C4623" s="14" t="n">
        <f aca="false">C4619/C4597</f>
        <v>0.0629977625862272</v>
      </c>
      <c r="D4623" s="14" t="n">
        <f aca="false">D4619/D4597</f>
        <v>0.107397865592237</v>
      </c>
      <c r="E4623" s="14" t="n">
        <f aca="false">E4619/E4597</f>
        <v>0.115079320477872</v>
      </c>
      <c r="F4623" s="14" t="n">
        <f aca="false">F4619/F4597</f>
        <v>0.0967638614717886</v>
      </c>
      <c r="G4623" s="14" t="n">
        <f aca="false">G4619/G4597</f>
        <v>0.107249285562726</v>
      </c>
      <c r="H4623" s="27" t="n">
        <f aca="false">$G4623+(fade_mB-$G4623)*1/3</f>
        <v>0.104254447065902</v>
      </c>
      <c r="I4623" s="27" t="n">
        <f aca="false">$G4623+(fade_mB-$G4623)*2/3</f>
        <v>0.101259608569078</v>
      </c>
      <c r="J4623" s="27" t="n">
        <f aca="false">$G4623+(fade_mB-$G4623)*3/3</f>
        <v>0.0982647700722541</v>
      </c>
    </row>
    <row r="4624" customFormat="false" ht="17.15" hidden="false" customHeight="false" outlineLevel="0" collapsed="false">
      <c r="A4624" s="4" t="s">
        <v>583</v>
      </c>
      <c r="B4624" s="0" t="s">
        <v>234</v>
      </c>
      <c r="C4624" s="30" t="n">
        <f aca="false">C4619+C4605-C4603</f>
        <v>-54.587</v>
      </c>
      <c r="D4624" s="30" t="n">
        <f aca="false">D4619+D4605-D4603</f>
        <v>-176.164485935382</v>
      </c>
      <c r="E4624" s="30" t="n">
        <f aca="false">E4619+E4605-E4603</f>
        <v>-159.279213702962</v>
      </c>
      <c r="F4624" s="30" t="n">
        <f aca="false">F4619+F4605-F4603</f>
        <v>-67.2076273143333</v>
      </c>
      <c r="G4624" s="30" t="n">
        <f aca="false">G4619+G4605-G4603</f>
        <v>-59.3969031622237</v>
      </c>
      <c r="K4624" s="4" t="s">
        <v>584</v>
      </c>
    </row>
    <row r="4625" customFormat="false" ht="17.15" hidden="false" customHeight="false" outlineLevel="0" collapsed="false">
      <c r="A4625" s="4" t="s">
        <v>585</v>
      </c>
      <c r="B4625" s="0" t="s">
        <v>76</v>
      </c>
      <c r="D4625" s="21" t="n">
        <f aca="false">(D4613-$C4613)/SUM($D4603:D4603)</f>
        <v>0.164280348537512</v>
      </c>
      <c r="E4625" s="21" t="n">
        <f aca="false">(E4613-$C4613)/SUM($D4603:E4603)</f>
        <v>0.143734249197654</v>
      </c>
      <c r="F4625" s="21" t="n">
        <f aca="false">(F4613-$C4613)/SUM($D4603:F4603)</f>
        <v>0.0841563751490398</v>
      </c>
      <c r="G4625" s="21" t="n">
        <f aca="false">(G4613-$C4613)/SUM($D4603:G4603)</f>
        <v>0.0840371974063913</v>
      </c>
      <c r="K4625" s="4" t="s">
        <v>586</v>
      </c>
    </row>
    <row r="4628" customFormat="false" ht="17.15" hidden="false" customHeight="false" outlineLevel="0" collapsed="false">
      <c r="A4628" s="1" t="s">
        <v>1008</v>
      </c>
    </row>
    <row r="4629" customFormat="false" ht="17.15" hidden="false" customHeight="false" outlineLevel="0" collapsed="false">
      <c r="A4629" s="5" t="s">
        <v>21</v>
      </c>
      <c r="B4629" s="5" t="s">
        <v>22</v>
      </c>
      <c r="C4629" s="15" t="s">
        <v>424</v>
      </c>
      <c r="D4629" s="15" t="s">
        <v>524</v>
      </c>
      <c r="E4629" s="15" t="s">
        <v>525</v>
      </c>
      <c r="F4629" s="15" t="s">
        <v>526</v>
      </c>
      <c r="G4629" s="15" t="s">
        <v>527</v>
      </c>
      <c r="H4629" s="15" t="s">
        <v>528</v>
      </c>
      <c r="I4629" s="15" t="s">
        <v>529</v>
      </c>
      <c r="J4629" s="15" t="s">
        <v>530</v>
      </c>
      <c r="K4629" s="5" t="s">
        <v>382</v>
      </c>
    </row>
    <row r="4630" customFormat="false" ht="17.15" hidden="false" customHeight="false" outlineLevel="0" collapsed="false">
      <c r="A4630" s="6" t="s">
        <v>548</v>
      </c>
    </row>
    <row r="4631" customFormat="false" ht="17.15" hidden="false" customHeight="false" outlineLevel="0" collapsed="false">
      <c r="A4631" s="0" t="s">
        <v>549</v>
      </c>
      <c r="B4631" s="4" t="s">
        <v>32</v>
      </c>
      <c r="D4631" s="19" t="n">
        <f aca="false">units_26</f>
        <v>15.2</v>
      </c>
      <c r="E4631" s="19" t="n">
        <f aca="false">units_27*1</f>
        <v>23.7</v>
      </c>
      <c r="F4631" s="19" t="n">
        <f aca="false">units_28*um28_C*1</f>
        <v>15.9</v>
      </c>
      <c r="G4631" s="19" t="n">
        <f aca="false">units_29*um29_C*1</f>
        <v>18.09</v>
      </c>
    </row>
    <row r="4632" customFormat="false" ht="17.15" hidden="false" customHeight="false" outlineLevel="0" collapsed="false">
      <c r="A4632" s="4" t="s">
        <v>497</v>
      </c>
      <c r="B4632" s="0" t="s">
        <v>45</v>
      </c>
      <c r="D4632" s="22" t="n">
        <f aca="false">ar_26</f>
        <v>1</v>
      </c>
      <c r="E4632" s="22" t="n">
        <f aca="false">ar_27</f>
        <v>1.278156</v>
      </c>
      <c r="F4632" s="22" t="n">
        <f aca="false">ar_28</f>
        <v>1.428615</v>
      </c>
      <c r="G4632" s="22" t="n">
        <f aca="false">ar_29</f>
        <v>1.431796</v>
      </c>
    </row>
    <row r="4633" customFormat="false" ht="17.15" hidden="false" customHeight="false" outlineLevel="0" collapsed="false">
      <c r="A4633" s="4" t="s">
        <v>550</v>
      </c>
      <c r="B4633" s="0" t="s">
        <v>45</v>
      </c>
      <c r="D4633" s="19" t="n">
        <f aca="false">1</f>
        <v>1</v>
      </c>
      <c r="E4633" s="19" t="n">
        <f aca="false">rel27_C</f>
        <v>1</v>
      </c>
      <c r="F4633" s="19" t="n">
        <f aca="false">rel28_C</f>
        <v>0.95</v>
      </c>
      <c r="G4633" s="19" t="n">
        <f aca="false">rel29_C</f>
        <v>0.92</v>
      </c>
    </row>
    <row r="4634" customFormat="false" ht="17.15" hidden="false" customHeight="false" outlineLevel="0" collapsed="false">
      <c r="A4634" s="4" t="s">
        <v>551</v>
      </c>
      <c r="B4634" s="0" t="s">
        <v>502</v>
      </c>
      <c r="D4634" s="23" t="n">
        <f aca="false">D4635*1000/D4631</f>
        <v>236.842105263158</v>
      </c>
      <c r="E4634" s="23" t="n">
        <f aca="false">$D4634*E4632^el</f>
        <v>267.763172119488</v>
      </c>
      <c r="F4634" s="23" t="n">
        <f aca="false">$D4634*F4632^el</f>
        <v>283.084777049615</v>
      </c>
      <c r="G4634" s="23" t="n">
        <f aca="false">$D4634*G4632^el</f>
        <v>283.399764630809</v>
      </c>
      <c r="K4634" s="8" t="s">
        <v>552</v>
      </c>
    </row>
    <row r="4635" customFormat="false" ht="17.15" hidden="false" customHeight="false" outlineLevel="0" collapsed="false">
      <c r="A4635" s="0" t="s">
        <v>553</v>
      </c>
      <c r="B4635" s="0" t="s">
        <v>120</v>
      </c>
      <c r="D4635" s="22" t="n">
        <f aca="false">leap26-D4636-D4637</f>
        <v>3.6</v>
      </c>
      <c r="E4635" s="22" t="n">
        <f aca="false">E4631*E4633*E4634/1000</f>
        <v>6.34598717923185</v>
      </c>
      <c r="F4635" s="22" t="n">
        <f aca="false">F4631*F4633*F4634/1000</f>
        <v>4.27599555733443</v>
      </c>
      <c r="G4635" s="22" t="n">
        <f aca="false">G4631*G4633*G4634/1000</f>
        <v>4.71656560279762</v>
      </c>
      <c r="K4635" s="8" t="s">
        <v>554</v>
      </c>
    </row>
    <row r="4636" customFormat="false" ht="17.15" hidden="false" customHeight="false" outlineLevel="0" collapsed="false">
      <c r="A4636" s="4" t="s">
        <v>555</v>
      </c>
      <c r="B4636" s="0" t="s">
        <v>120</v>
      </c>
      <c r="D4636" s="22" t="n">
        <f aca="false">fp26</f>
        <v>0.3</v>
      </c>
      <c r="E4636" s="22" t="n">
        <f aca="false">fp27_C</f>
        <v>0.7</v>
      </c>
      <c r="F4636" s="22" t="n">
        <f aca="false">E4636*F4631/E4631*(1+fp_g)</f>
        <v>0.610506329113924</v>
      </c>
      <c r="G4636" s="22" t="n">
        <f aca="false">F4636*G4631/F4631*(1+fp_g)</f>
        <v>0.902973417721519</v>
      </c>
    </row>
    <row r="4637" customFormat="false" ht="17.15" hidden="false" customHeight="false" outlineLevel="0" collapsed="false">
      <c r="A4637" s="0" t="s">
        <v>556</v>
      </c>
      <c r="B4637" s="0" t="s">
        <v>120</v>
      </c>
      <c r="D4637" s="22" t="n">
        <f aca="false">cpo27*cpo_C_26/cpo_A_27</f>
        <v>0.1</v>
      </c>
      <c r="E4637" s="22" t="n">
        <f aca="false">cpo27*cpo_C_27/cpo_A_27</f>
        <v>0.2</v>
      </c>
      <c r="F4637" s="22" t="n">
        <f aca="false">cpo27*cpo_C_28/cpo_A_27*F4631/E4631</f>
        <v>0.20126582278481</v>
      </c>
      <c r="G4637" s="22" t="n">
        <f aca="false">cpo27*cpo_C_29/cpo_A_27*G4631/E4631</f>
        <v>0.381645569620253</v>
      </c>
      <c r="K4637" s="8" t="s">
        <v>557</v>
      </c>
    </row>
    <row r="4638" customFormat="false" ht="17.15" hidden="false" customHeight="false" outlineLevel="0" collapsed="false">
      <c r="A4638" s="0" t="s">
        <v>510</v>
      </c>
      <c r="B4638" s="0" t="s">
        <v>120</v>
      </c>
      <c r="C4638" s="22" t="n">
        <f aca="false">leap25</f>
        <v>1.6</v>
      </c>
      <c r="D4638" s="22" t="n">
        <f aca="false">D4635+D4636+D4637</f>
        <v>4</v>
      </c>
      <c r="E4638" s="22" t="n">
        <f aca="false">E4635+E4636+E4637</f>
        <v>7.24598717923186</v>
      </c>
      <c r="F4638" s="22" t="n">
        <f aca="false">F4635+F4636+F4637</f>
        <v>5.08776770923316</v>
      </c>
      <c r="G4638" s="22" t="n">
        <f aca="false">G4635+G4636+G4637</f>
        <v>6.0011845901394</v>
      </c>
    </row>
    <row r="4639" customFormat="false" ht="17.15" hidden="false" customHeight="false" outlineLevel="0" collapsed="false">
      <c r="A4639" s="4" t="s">
        <v>558</v>
      </c>
      <c r="B4639" s="0" t="s">
        <v>114</v>
      </c>
      <c r="C4639" s="19" t="n">
        <f aca="false">fx25</f>
        <v>31</v>
      </c>
      <c r="D4639" s="19" t="n">
        <f aca="false">a26_leap/D4638</f>
        <v>31.9</v>
      </c>
      <c r="E4639" s="19" t="n">
        <f aca="false">fx</f>
        <v>32</v>
      </c>
      <c r="F4639" s="19" t="n">
        <f aca="false">fx</f>
        <v>32</v>
      </c>
      <c r="G4639" s="19" t="n">
        <f aca="false">fx</f>
        <v>32</v>
      </c>
      <c r="K4639" s="8" t="s">
        <v>559</v>
      </c>
    </row>
    <row r="4640" customFormat="false" ht="17.15" hidden="false" customHeight="false" outlineLevel="0" collapsed="false">
      <c r="A4640" s="6" t="s">
        <v>560</v>
      </c>
    </row>
    <row r="4641" customFormat="false" ht="17.15" hidden="false" customHeight="false" outlineLevel="0" collapsed="false">
      <c r="A4641" s="0" t="s">
        <v>438</v>
      </c>
      <c r="B4641" s="0" t="s">
        <v>234</v>
      </c>
      <c r="C4641" s="30" t="n">
        <f aca="false">a25_leap</f>
        <v>49.6</v>
      </c>
      <c r="D4641" s="30" t="n">
        <f aca="false">a26_leap</f>
        <v>127.6</v>
      </c>
      <c r="E4641" s="30" t="n">
        <f aca="false">E4638*E4639</f>
        <v>231.871589735419</v>
      </c>
      <c r="F4641" s="30" t="n">
        <f aca="false">F4638*F4639</f>
        <v>162.808566695461</v>
      </c>
      <c r="G4641" s="30" t="n">
        <f aca="false">G4638*G4639</f>
        <v>192.037906884461</v>
      </c>
    </row>
    <row r="4642" customFormat="false" ht="15" hidden="false" customHeight="false" outlineLevel="0" collapsed="false">
      <c r="A4642" s="4" t="s">
        <v>561</v>
      </c>
      <c r="B4642" s="0" t="s">
        <v>234</v>
      </c>
      <c r="C4642" s="30" t="n">
        <f aca="false">a25_ms</f>
        <v>339.628</v>
      </c>
      <c r="D4642" s="30" t="n">
        <f aca="false">a26_ms</f>
        <v>432.1302</v>
      </c>
      <c r="E4642" s="30" t="n">
        <f aca="false">D4642*(1+g_ms27)</f>
        <v>496.94973</v>
      </c>
      <c r="F4642" s="30" t="n">
        <f aca="false">E4642*(1+g_msL)</f>
        <v>531.7362111</v>
      </c>
      <c r="G4642" s="30" t="n">
        <f aca="false">F4642*(1+g_msL)</f>
        <v>568.957745877</v>
      </c>
    </row>
    <row r="4643" customFormat="false" ht="17.15" hidden="false" customHeight="false" outlineLevel="0" collapsed="false">
      <c r="A4643" s="4" t="s">
        <v>562</v>
      </c>
      <c r="B4643" s="0" t="s">
        <v>234</v>
      </c>
      <c r="C4643" s="30" t="n">
        <f aca="false">C4641+C4642</f>
        <v>389.228</v>
      </c>
      <c r="D4643" s="30" t="n">
        <f aca="false">D4641+D4642</f>
        <v>559.7302</v>
      </c>
      <c r="E4643" s="30" t="n">
        <f aca="false">E4641+E4642</f>
        <v>728.821319735419</v>
      </c>
      <c r="F4643" s="30" t="n">
        <f aca="false">F4641+F4642</f>
        <v>694.544777795461</v>
      </c>
      <c r="G4643" s="30" t="n">
        <f aca="false">G4641+G4642</f>
        <v>760.995652761461</v>
      </c>
    </row>
    <row r="4644" customFormat="false" ht="17.15" hidden="false" customHeight="false" outlineLevel="0" collapsed="false">
      <c r="A4644" s="0" t="s">
        <v>563</v>
      </c>
      <c r="B4644" s="0" t="s">
        <v>234</v>
      </c>
      <c r="C4644" s="30" t="n">
        <f aca="false">a25_ems</f>
        <v>259.079</v>
      </c>
      <c r="D4644" s="30" t="n">
        <f aca="false">a26_ems</f>
        <v>314.602</v>
      </c>
      <c r="E4644" s="30" t="n">
        <f aca="false">D4644*(1+g_ems27)</f>
        <v>346.0622</v>
      </c>
      <c r="F4644" s="30" t="n">
        <f aca="false">E4644*(1+g_emsL)</f>
        <v>363.36531</v>
      </c>
      <c r="G4644" s="30" t="n">
        <f aca="false">F4644*(1+g_emsL)</f>
        <v>381.5335755</v>
      </c>
    </row>
    <row r="4645" customFormat="false" ht="17.15" hidden="false" customHeight="false" outlineLevel="0" collapsed="false">
      <c r="A4645" s="4" t="s">
        <v>564</v>
      </c>
      <c r="B4645" s="0" t="s">
        <v>234</v>
      </c>
      <c r="C4645" s="30" t="n">
        <f aca="false">a25_elim</f>
        <v>-2.91899999999998</v>
      </c>
      <c r="D4645" s="30" t="n">
        <f aca="false">a26_elim</f>
        <v>-3.16484905982349</v>
      </c>
      <c r="E4645" s="30" t="n">
        <f aca="false">$D4645/($D4643+$D4644)*(E4643+E4644)</f>
        <v>-3.89079127687897</v>
      </c>
      <c r="F4645" s="30" t="n">
        <f aca="false">$D4645/($D4643+$D4644)*(F4643+F4644)</f>
        <v>-3.8293519862785</v>
      </c>
      <c r="G4645" s="30" t="n">
        <f aca="false">$D4645/($D4643+$D4644)*(G4643+G4644)</f>
        <v>-4.135650675892</v>
      </c>
      <c r="K4645" s="4" t="s">
        <v>565</v>
      </c>
    </row>
    <row r="4646" customFormat="false" ht="17.15" hidden="false" customHeight="false" outlineLevel="0" collapsed="false">
      <c r="A4646" s="4" t="s">
        <v>431</v>
      </c>
      <c r="B4646" s="0" t="s">
        <v>234</v>
      </c>
      <c r="C4646" s="30" t="n">
        <f aca="false">C4643+C4644+C4645</f>
        <v>645.388</v>
      </c>
      <c r="D4646" s="30" t="n">
        <f aca="false">D4643+D4644+D4645</f>
        <v>871.167350940177</v>
      </c>
      <c r="E4646" s="30" t="n">
        <f aca="false">E4643+E4644+E4645</f>
        <v>1070.99272845854</v>
      </c>
      <c r="F4646" s="30" t="n">
        <f aca="false">F4643+F4644+F4645</f>
        <v>1054.08073580918</v>
      </c>
      <c r="G4646" s="30" t="n">
        <f aca="false">G4643+G4644+G4645</f>
        <v>1138.39357758557</v>
      </c>
      <c r="H4646" s="31" t="n">
        <f aca="false">G4646*(1+H4647)</f>
        <v>1206.68738805437</v>
      </c>
      <c r="I4646" s="31" t="n">
        <f aca="false">H4646*(1+I4647)</f>
        <v>1254.9496874</v>
      </c>
      <c r="J4646" s="31" t="n">
        <f aca="false">I4646*(1+J4647)</f>
        <v>1280.048681148</v>
      </c>
      <c r="K4646" s="8" t="s">
        <v>566</v>
      </c>
    </row>
    <row r="4647" customFormat="false" ht="15" hidden="false" customHeight="false" outlineLevel="0" collapsed="false">
      <c r="A4647" s="4" t="s">
        <v>567</v>
      </c>
      <c r="B4647" s="0" t="s">
        <v>76</v>
      </c>
      <c r="D4647" s="21" t="n">
        <f aca="false">D4646/C4646-1</f>
        <v>0.349835061916516</v>
      </c>
      <c r="E4647" s="21" t="n">
        <f aca="false">E4646/D4646-1</f>
        <v>0.229376568466104</v>
      </c>
      <c r="F4647" s="21" t="n">
        <f aca="false">F4646/E4646-1</f>
        <v>-0.0157909500223209</v>
      </c>
      <c r="G4647" s="21" t="n">
        <f aca="false">G4646/F4646-1</f>
        <v>0.079987081550885</v>
      </c>
      <c r="H4647" s="26" t="n">
        <f aca="false">$G4647+(fade_gC-$G4647)*1/3</f>
        <v>0.05999138770059</v>
      </c>
      <c r="I4647" s="26" t="n">
        <f aca="false">$G4647+(fade_gC-$G4647)*2/3</f>
        <v>0.039995693850295</v>
      </c>
      <c r="J4647" s="26" t="n">
        <f aca="false">$G4647+(fade_gC-$G4647)*3/3</f>
        <v>0.02</v>
      </c>
    </row>
    <row r="4648" customFormat="false" ht="17.15" hidden="false" customHeight="false" outlineLevel="0" collapsed="false">
      <c r="A4648" s="0" t="s">
        <v>475</v>
      </c>
      <c r="B4648" s="0" t="s">
        <v>76</v>
      </c>
      <c r="C4648" s="21" t="n">
        <f aca="false">C4641/C4643</f>
        <v>0.127431736668482</v>
      </c>
      <c r="D4648" s="21" t="n">
        <f aca="false">D4641/D4643</f>
        <v>0.227966974088588</v>
      </c>
      <c r="E4648" s="21" t="n">
        <f aca="false">E4641/E4643</f>
        <v>0.31814600294568</v>
      </c>
      <c r="F4648" s="21" t="n">
        <f aca="false">F4641/F4643</f>
        <v>0.234410468411019</v>
      </c>
      <c r="G4648" s="21" t="n">
        <f aca="false">G4641/G4643</f>
        <v>0.252350859282315</v>
      </c>
    </row>
    <row r="4649" customFormat="false" ht="15" hidden="false" customHeight="false" outlineLevel="0" collapsed="false">
      <c r="A4649" s="4" t="s">
        <v>568</v>
      </c>
      <c r="B4649" s="0" t="s">
        <v>76</v>
      </c>
      <c r="D4649" s="21" t="n">
        <f aca="false">D4643/C4643-1</f>
        <v>0.438052247012034</v>
      </c>
      <c r="E4649" s="21" t="n">
        <f aca="false">E4643/D4643-1</f>
        <v>0.302093972659362</v>
      </c>
      <c r="F4649" s="21" t="n">
        <f aca="false">F4643/E4643-1</f>
        <v>-0.047030103280186</v>
      </c>
      <c r="G4649" s="21" t="n">
        <f aca="false">G4643/F4643-1</f>
        <v>0.0956754367614998</v>
      </c>
    </row>
    <row r="4650" customFormat="false" ht="17.15" hidden="false" customHeight="false" outlineLevel="0" collapsed="false">
      <c r="A4650" s="6" t="s">
        <v>569</v>
      </c>
    </row>
    <row r="4651" customFormat="false" ht="17.15" hidden="false" customHeight="false" outlineLevel="0" collapsed="false">
      <c r="A4651" s="4" t="s">
        <v>570</v>
      </c>
      <c r="B4651" s="0" t="s">
        <v>120</v>
      </c>
      <c r="C4651" s="19" t="n">
        <f aca="false">capex25</f>
        <v>5.5</v>
      </c>
      <c r="D4651" s="19" t="n">
        <f aca="false">capex26</f>
        <v>11.5</v>
      </c>
      <c r="E4651" s="19" t="n">
        <f aca="false">capex27</f>
        <v>13</v>
      </c>
      <c r="F4651" s="19" t="n">
        <f aca="false">capi*F4646/F4639</f>
        <v>9.88200689821109</v>
      </c>
      <c r="G4651" s="19" t="n">
        <f aca="false">capi*G4646/G4639</f>
        <v>10.6724397898647</v>
      </c>
      <c r="K4651" s="8" t="s">
        <v>571</v>
      </c>
    </row>
    <row r="4652" customFormat="false" ht="15" hidden="false" customHeight="false" outlineLevel="0" collapsed="false">
      <c r="A4652" s="4" t="s">
        <v>572</v>
      </c>
      <c r="B4652" s="0" t="s">
        <v>234</v>
      </c>
      <c r="C4652" s="30" t="n">
        <f aca="false">C4651*C4639</f>
        <v>170.5</v>
      </c>
      <c r="D4652" s="30" t="n">
        <f aca="false">D4651*31.9</f>
        <v>366.85</v>
      </c>
      <c r="E4652" s="30" t="n">
        <f aca="false">E4651*E4639</f>
        <v>416</v>
      </c>
      <c r="F4652" s="30" t="n">
        <f aca="false">F4651*F4639</f>
        <v>316.224220742755</v>
      </c>
      <c r="G4652" s="30" t="n">
        <f aca="false">G4651*G4639</f>
        <v>341.518073275671</v>
      </c>
    </row>
    <row r="4653" customFormat="false" ht="17.15" hidden="false" customHeight="false" outlineLevel="0" collapsed="false">
      <c r="A4653" s="4" t="s">
        <v>473</v>
      </c>
      <c r="B4653" s="0" t="s">
        <v>76</v>
      </c>
      <c r="C4653" s="21" t="n">
        <f aca="false">C4652/C4646</f>
        <v>0.264182166386732</v>
      </c>
      <c r="D4653" s="21" t="n">
        <f aca="false">D4652/D4646</f>
        <v>0.421101639775745</v>
      </c>
      <c r="E4653" s="21" t="n">
        <f aca="false">E4652/E4646</f>
        <v>0.388424672685445</v>
      </c>
      <c r="F4653" s="21" t="n">
        <f aca="false">F4652/F4646</f>
        <v>0.3</v>
      </c>
      <c r="G4653" s="21" t="n">
        <f aca="false">G4652/G4646</f>
        <v>0.3</v>
      </c>
    </row>
    <row r="4654" customFormat="false" ht="17.15" hidden="false" customHeight="false" outlineLevel="0" collapsed="false">
      <c r="A4654" s="4" t="s">
        <v>573</v>
      </c>
      <c r="B4654" s="0" t="s">
        <v>234</v>
      </c>
      <c r="C4654" s="30" t="n">
        <f aca="false">a25_da</f>
        <v>75.255</v>
      </c>
      <c r="D4654" s="30" t="n">
        <f aca="false">a26_da</f>
        <v>97.124</v>
      </c>
      <c r="E4654" s="30" t="n">
        <f aca="false">D4654*(1-1/life)+D4652/life</f>
        <v>130.83975</v>
      </c>
      <c r="F4654" s="30" t="n">
        <f aca="false">E4654*(1-1/life)+E4652/life</f>
        <v>166.48478125</v>
      </c>
      <c r="G4654" s="30" t="n">
        <f aca="false">F4654*(1-1/life)+F4652/life</f>
        <v>185.202211186594</v>
      </c>
      <c r="K4654" s="4" t="s">
        <v>574</v>
      </c>
    </row>
    <row r="4655" customFormat="false" ht="17.15" hidden="false" customHeight="false" outlineLevel="0" collapsed="false">
      <c r="A4655" s="4" t="s">
        <v>575</v>
      </c>
      <c r="B4655" s="0" t="s">
        <v>234</v>
      </c>
      <c r="C4655" s="30" t="n">
        <f aca="false">a25_agp</f>
        <v>91.38</v>
      </c>
      <c r="D4655" s="30" t="n">
        <f aca="false">a26_agp</f>
        <v>164.623388</v>
      </c>
      <c r="E4655" s="30" t="n">
        <f aca="false">$D4655+ft*(E4643-$D4643)-(E4654-$D4654)</f>
        <v>215.45319786771</v>
      </c>
      <c r="F4655" s="30" t="n">
        <f aca="false">$D4655+ft*(F4643-$D4643)-(F4654-$D4654)</f>
        <v>162.669895647731</v>
      </c>
      <c r="G4655" s="30" t="n">
        <f aca="false">$D4655+ft*(G4643-$D4643)-(G4654-$D4654)</f>
        <v>177.177903194136</v>
      </c>
      <c r="K4655" s="4" t="s">
        <v>576</v>
      </c>
    </row>
    <row r="4656" customFormat="false" ht="15" hidden="false" customHeight="false" outlineLevel="0" collapsed="false">
      <c r="A4656" s="4" t="s">
        <v>447</v>
      </c>
      <c r="B4656" s="0" t="s">
        <v>76</v>
      </c>
      <c r="C4656" s="14" t="n">
        <f aca="false">C4655/C4643</f>
        <v>0.234772421305764</v>
      </c>
      <c r="D4656" s="14" t="n">
        <f aca="false">D4655/D4643</f>
        <v>0.294112034690999</v>
      </c>
      <c r="E4656" s="14" t="n">
        <f aca="false">E4655/E4643</f>
        <v>0.295618681882035</v>
      </c>
      <c r="F4656" s="14" t="n">
        <f aca="false">F4655/F4643</f>
        <v>0.234210810948802</v>
      </c>
      <c r="G4656" s="14" t="n">
        <f aca="false">G4655/G4643</f>
        <v>0.232823804644878</v>
      </c>
    </row>
    <row r="4657" customFormat="false" ht="17.15" hidden="false" customHeight="false" outlineLevel="0" collapsed="false">
      <c r="A4657" s="0" t="s">
        <v>449</v>
      </c>
      <c r="B4657" s="0" t="s">
        <v>234</v>
      </c>
      <c r="C4657" s="30" t="n">
        <f aca="false">a25_egp</f>
        <v>23.695</v>
      </c>
      <c r="D4657" s="30" t="n">
        <f aca="false">a26_egp</f>
        <v>27.00552</v>
      </c>
      <c r="E4657" s="30" t="n">
        <f aca="false">E4644*ems_gm</f>
        <v>29.415287</v>
      </c>
      <c r="F4657" s="30" t="n">
        <f aca="false">F4644*ems_gm</f>
        <v>30.88605135</v>
      </c>
      <c r="G4657" s="30" t="n">
        <f aca="false">G4644*ems_gm</f>
        <v>32.4303539175</v>
      </c>
    </row>
    <row r="4658" customFormat="false" ht="15" hidden="false" customHeight="false" outlineLevel="0" collapsed="false">
      <c r="A4658" s="4" t="s">
        <v>577</v>
      </c>
      <c r="B4658" s="0" t="s">
        <v>234</v>
      </c>
      <c r="C4658" s="30" t="n">
        <f aca="false">a25_lgp</f>
        <v>-0.881999999999998</v>
      </c>
      <c r="D4658" s="30" t="n">
        <f aca="false">a26_lgp</f>
        <v>-0.948662139013863</v>
      </c>
      <c r="E4658" s="30" t="n">
        <f aca="false">$D4658/$D4645*E4645</f>
        <v>-1.16626300509458</v>
      </c>
      <c r="F4658" s="30" t="n">
        <f aca="false">$D4658/$D4645*F4645</f>
        <v>-1.14784660426825</v>
      </c>
      <c r="G4658" s="30" t="n">
        <f aca="false">$D4658/$D4645*G4645</f>
        <v>-1.23965950421176</v>
      </c>
    </row>
    <row r="4659" customFormat="false" ht="15" hidden="false" customHeight="false" outlineLevel="0" collapsed="false">
      <c r="A4659" s="4" t="s">
        <v>451</v>
      </c>
      <c r="B4659" s="0" t="s">
        <v>234</v>
      </c>
      <c r="C4659" s="30" t="n">
        <f aca="false">C4655+C4657+C4658</f>
        <v>114.193</v>
      </c>
      <c r="D4659" s="30" t="n">
        <f aca="false">D4655+D4657+D4658</f>
        <v>190.680245860986</v>
      </c>
      <c r="E4659" s="30" t="n">
        <f aca="false">E4655+E4657+E4658</f>
        <v>243.702221862615</v>
      </c>
      <c r="F4659" s="30" t="n">
        <f aca="false">F4655+F4657+F4658</f>
        <v>192.408100393462</v>
      </c>
      <c r="G4659" s="30" t="n">
        <f aca="false">G4655+G4657+G4658</f>
        <v>208.368597607424</v>
      </c>
    </row>
    <row r="4660" customFormat="false" ht="15" hidden="false" customHeight="false" outlineLevel="0" collapsed="false">
      <c r="A4660" s="4" t="s">
        <v>452</v>
      </c>
      <c r="B4660" s="0" t="s">
        <v>76</v>
      </c>
      <c r="C4660" s="14" t="n">
        <f aca="false">C4659/C4646</f>
        <v>0.176936974347214</v>
      </c>
      <c r="D4660" s="14" t="n">
        <f aca="false">D4659/D4646</f>
        <v>0.218879008327391</v>
      </c>
      <c r="E4660" s="14" t="n">
        <f aca="false">E4659/E4646</f>
        <v>0.227547970576207</v>
      </c>
      <c r="F4660" s="14" t="n">
        <f aca="false">F4659/F4646</f>
        <v>0.182536397694202</v>
      </c>
      <c r="G4660" s="14" t="n">
        <f aca="false">G4659/G4646</f>
        <v>0.183037397355452</v>
      </c>
    </row>
    <row r="4661" customFormat="false" ht="15" hidden="false" customHeight="false" outlineLevel="0" collapsed="false">
      <c r="A4661" s="4" t="s">
        <v>578</v>
      </c>
      <c r="B4661" s="0" t="s">
        <v>234</v>
      </c>
      <c r="C4661" s="30" t="n">
        <f aca="false">a25_opx</f>
        <v>63.437</v>
      </c>
      <c r="D4661" s="30" t="n">
        <f aca="false">a26_opx</f>
        <v>79.658</v>
      </c>
      <c r="E4661" s="30" t="n">
        <f aca="false">D4661*(1+phi*E4647)</f>
        <v>90.6210072145237</v>
      </c>
      <c r="F4661" s="30" t="n">
        <f aca="false">E4661*(1+phi*F4647)</f>
        <v>89.7624121369856</v>
      </c>
      <c r="G4661" s="30" t="n">
        <f aca="false">F4661*(1+phi*G4647)</f>
        <v>94.0703121648687</v>
      </c>
    </row>
    <row r="4662" customFormat="false" ht="15" hidden="false" customHeight="false" outlineLevel="0" collapsed="false">
      <c r="A4662" s="4" t="s">
        <v>455</v>
      </c>
      <c r="B4662" s="0" t="s">
        <v>234</v>
      </c>
      <c r="C4662" s="30" t="n">
        <f aca="false">C4659-C4661</f>
        <v>50.756</v>
      </c>
      <c r="D4662" s="30" t="n">
        <f aca="false">D4659-D4661</f>
        <v>111.022245860986</v>
      </c>
      <c r="E4662" s="30" t="n">
        <f aca="false">E4659-E4661</f>
        <v>153.081214648091</v>
      </c>
      <c r="F4662" s="30" t="n">
        <f aca="false">F4659-F4661</f>
        <v>102.645688256477</v>
      </c>
      <c r="G4662" s="30" t="n">
        <f aca="false">G4659-G4661</f>
        <v>114.298285442556</v>
      </c>
    </row>
    <row r="4663" customFormat="false" ht="15" hidden="false" customHeight="false" outlineLevel="0" collapsed="false">
      <c r="A4663" s="4" t="s">
        <v>537</v>
      </c>
      <c r="B4663" s="0" t="s">
        <v>76</v>
      </c>
      <c r="C4663" s="14" t="n">
        <f aca="false">C4662/C4646</f>
        <v>0.0786441644406156</v>
      </c>
      <c r="D4663" s="14" t="n">
        <f aca="false">D4662/D4646</f>
        <v>0.127440779020437</v>
      </c>
      <c r="E4663" s="14" t="n">
        <f aca="false">E4662/E4646</f>
        <v>0.142933943975902</v>
      </c>
      <c r="F4663" s="14" t="n">
        <f aca="false">F4662/F4646</f>
        <v>0.0973793417993538</v>
      </c>
      <c r="G4663" s="14" t="n">
        <f aca="false">G4662/G4646</f>
        <v>0.100403136220227</v>
      </c>
    </row>
    <row r="4664" customFormat="false" ht="15" hidden="false" customHeight="false" outlineLevel="0" collapsed="false">
      <c r="A4664" s="4" t="s">
        <v>456</v>
      </c>
      <c r="B4664" s="0" t="s">
        <v>234</v>
      </c>
      <c r="C4664" s="30" t="n">
        <f aca="false">a25_nonop</f>
        <v>0.545</v>
      </c>
      <c r="D4664" s="30" t="n">
        <f aca="false">a26_nonop</f>
        <v>4.302</v>
      </c>
      <c r="E4664" s="30" t="n">
        <f aca="false">nonop_f_lo</f>
        <v>-8</v>
      </c>
      <c r="F4664" s="30" t="n">
        <f aca="false">nonop_f_lo</f>
        <v>-8</v>
      </c>
      <c r="G4664" s="30" t="n">
        <f aca="false">nonop_f_lo</f>
        <v>-8</v>
      </c>
    </row>
    <row r="4665" customFormat="false" ht="15" hidden="false" customHeight="false" outlineLevel="0" collapsed="false">
      <c r="A4665" s="4" t="s">
        <v>459</v>
      </c>
      <c r="B4665" s="0" t="s">
        <v>234</v>
      </c>
      <c r="C4665" s="30" t="n">
        <f aca="false">C4662+C4664</f>
        <v>51.301</v>
      </c>
      <c r="D4665" s="30" t="n">
        <f aca="false">D4662+D4664</f>
        <v>115.324245860986</v>
      </c>
      <c r="E4665" s="30" t="n">
        <f aca="false">E4662+E4664</f>
        <v>145.081214648091</v>
      </c>
      <c r="F4665" s="30" t="n">
        <f aca="false">F4662+F4664</f>
        <v>94.6456882564768</v>
      </c>
      <c r="G4665" s="30" t="n">
        <f aca="false">G4662+G4664</f>
        <v>106.298285442556</v>
      </c>
    </row>
    <row r="4666" customFormat="false" ht="15" hidden="false" customHeight="false" outlineLevel="0" collapsed="false">
      <c r="A4666" s="4" t="s">
        <v>460</v>
      </c>
      <c r="B4666" s="0" t="s">
        <v>234</v>
      </c>
      <c r="C4666" s="30" t="n">
        <f aca="false">a25_tax</f>
        <v>9.461</v>
      </c>
      <c r="D4666" s="30" t="n">
        <f aca="false">a26_tax</f>
        <v>19.2197317963676</v>
      </c>
      <c r="E4666" s="30" t="n">
        <f aca="false">E4665*tax</f>
        <v>24.6638064901755</v>
      </c>
      <c r="F4666" s="30" t="n">
        <f aca="false">F4665*tax</f>
        <v>16.0897670036011</v>
      </c>
      <c r="G4666" s="30" t="n">
        <f aca="false">G4665*tax</f>
        <v>18.0707085252344</v>
      </c>
    </row>
    <row r="4667" customFormat="false" ht="15" hidden="false" customHeight="false" outlineLevel="0" collapsed="false">
      <c r="A4667" s="4" t="s">
        <v>461</v>
      </c>
      <c r="B4667" s="0" t="s">
        <v>234</v>
      </c>
      <c r="C4667" s="30" t="n">
        <f aca="false">a25_nci</f>
        <v>1.182</v>
      </c>
      <c r="D4667" s="30" t="n">
        <f aca="false">a26_nci</f>
        <v>2.543</v>
      </c>
      <c r="E4667" s="30" t="n">
        <f aca="false">nci</f>
        <v>3</v>
      </c>
      <c r="F4667" s="30" t="n">
        <f aca="false">nci</f>
        <v>3</v>
      </c>
      <c r="G4667" s="30" t="n">
        <f aca="false">nci</f>
        <v>3</v>
      </c>
    </row>
    <row r="4668" customFormat="false" ht="15" hidden="false" customHeight="false" outlineLevel="0" collapsed="false">
      <c r="A4668" s="4" t="s">
        <v>462</v>
      </c>
      <c r="B4668" s="0" t="s">
        <v>234</v>
      </c>
      <c r="C4668" s="30" t="n">
        <f aca="false">C4665-C4666-C4667</f>
        <v>40.658</v>
      </c>
      <c r="D4668" s="30" t="n">
        <f aca="false">D4665-D4666-D4667</f>
        <v>93.5615140646185</v>
      </c>
      <c r="E4668" s="30" t="n">
        <f aca="false">E4665-E4666-E4667</f>
        <v>117.417408157916</v>
      </c>
      <c r="F4668" s="30" t="n">
        <f aca="false">F4665-F4666-F4667</f>
        <v>75.5559212528757</v>
      </c>
      <c r="G4668" s="30" t="n">
        <f aca="false">G4665-G4666-G4667</f>
        <v>85.2275769173211</v>
      </c>
      <c r="H4668" s="31" t="n">
        <f aca="false">H4646*H4672</f>
        <v>85.0216319732532</v>
      </c>
      <c r="I4668" s="31" t="n">
        <f aca="false">I4646*I4672</f>
        <v>82.8905338642945</v>
      </c>
      <c r="J4668" s="31" t="n">
        <f aca="false">J4646*J4672</f>
        <v>78.9061153241268</v>
      </c>
    </row>
    <row r="4669" customFormat="false" ht="15" hidden="false" customHeight="false" outlineLevel="0" collapsed="false">
      <c r="A4669" s="4" t="s">
        <v>579</v>
      </c>
      <c r="B4669" s="4" t="s">
        <v>580</v>
      </c>
      <c r="C4669" s="18" t="n">
        <f aca="false">a25_sh</f>
        <v>4339.16755602988</v>
      </c>
      <c r="D4669" s="18" t="n">
        <f aca="false">a26_sh</f>
        <v>4392.90105184664</v>
      </c>
      <c r="E4669" s="18" t="n">
        <f aca="false">D4669*(1+sh_g)</f>
        <v>4414.86555710588</v>
      </c>
      <c r="F4669" s="18" t="n">
        <f aca="false">E4669*(1+sh_g)</f>
        <v>4436.9398848914</v>
      </c>
      <c r="G4669" s="18" t="n">
        <f aca="false">F4669*(1+sh_g)</f>
        <v>4459.12458431586</v>
      </c>
      <c r="H4669" s="25" t="n">
        <f aca="false">G4669*(1+sh_g)</f>
        <v>4481.42020723744</v>
      </c>
      <c r="I4669" s="25" t="n">
        <f aca="false">H4669*(1+sh_g)</f>
        <v>4503.82730827363</v>
      </c>
      <c r="J4669" s="25" t="n">
        <f aca="false">I4669*(1+sh_g)</f>
        <v>4526.34644481499</v>
      </c>
    </row>
    <row r="4670" customFormat="false" ht="17.15" hidden="false" customHeight="false" outlineLevel="0" collapsed="false">
      <c r="A4670" s="0" t="s">
        <v>465</v>
      </c>
      <c r="B4670" s="0" t="s">
        <v>304</v>
      </c>
      <c r="C4670" s="19" t="n">
        <f aca="false">a25_eps</f>
        <v>9.37</v>
      </c>
      <c r="D4670" s="19" t="n">
        <f aca="false">a26_eps</f>
        <v>21.2828697294455</v>
      </c>
      <c r="E4670" s="19" t="n">
        <f aca="false">E4668/E4669*1000</f>
        <v>26.5959193182969</v>
      </c>
      <c r="F4670" s="19" t="n">
        <f aca="false">F4668/F4669*1000</f>
        <v>17.0288359123723</v>
      </c>
      <c r="G4670" s="19" t="n">
        <f aca="false">G4668/G4669*1000</f>
        <v>19.1130737223834</v>
      </c>
      <c r="H4670" s="28" t="n">
        <f aca="false">H4668/H4669*1000</f>
        <v>18.9720285180899</v>
      </c>
      <c r="I4670" s="28" t="n">
        <f aca="false">I4668/I4669*1000</f>
        <v>18.4044654003547</v>
      </c>
      <c r="J4670" s="28" t="n">
        <f aca="false">J4668/J4669*1000</f>
        <v>17.4326283430017</v>
      </c>
    </row>
    <row r="4671" customFormat="false" ht="17.15" hidden="false" customHeight="false" outlineLevel="0" collapsed="false">
      <c r="A4671" s="0" t="s">
        <v>581</v>
      </c>
      <c r="B4671" s="0" t="s">
        <v>76</v>
      </c>
      <c r="D4671" s="21" t="n">
        <f aca="false">D4670/C4670-1</f>
        <v>1.27138417603474</v>
      </c>
      <c r="E4671" s="21" t="n">
        <f aca="false">E4670/D4670-1</f>
        <v>0.249639717594128</v>
      </c>
      <c r="F4671" s="21" t="n">
        <f aca="false">F4670/E4670-1</f>
        <v>-0.359719974009053</v>
      </c>
      <c r="G4671" s="21" t="n">
        <f aca="false">G4670/F4670-1</f>
        <v>0.122394614683953</v>
      </c>
      <c r="H4671" s="26" t="n">
        <f aca="false">H4670/G4670-1</f>
        <v>-0.00737951448009411</v>
      </c>
      <c r="I4671" s="26" t="n">
        <f aca="false">I4670/H4670-1</f>
        <v>-0.0299157845558832</v>
      </c>
      <c r="J4671" s="26" t="n">
        <f aca="false">J4670/I4670-1</f>
        <v>-0.0528044165485111</v>
      </c>
    </row>
    <row r="4672" customFormat="false" ht="17.15" hidden="false" customHeight="false" outlineLevel="0" collapsed="false">
      <c r="A4672" s="4" t="s">
        <v>582</v>
      </c>
      <c r="B4672" s="0" t="s">
        <v>76</v>
      </c>
      <c r="C4672" s="14" t="n">
        <f aca="false">C4668/C4646</f>
        <v>0.0629977625862272</v>
      </c>
      <c r="D4672" s="14" t="n">
        <f aca="false">D4668/D4646</f>
        <v>0.107397865592237</v>
      </c>
      <c r="E4672" s="14" t="n">
        <f aca="false">E4668/E4646</f>
        <v>0.109634178681038</v>
      </c>
      <c r="F4672" s="14" t="n">
        <f aca="false">F4668/F4646</f>
        <v>0.0716794441697807</v>
      </c>
      <c r="G4672" s="14" t="n">
        <f aca="false">G4668/G4646</f>
        <v>0.0748665299905163</v>
      </c>
      <c r="H4672" s="27" t="n">
        <f aca="false">$G4672+(fade_mC-$G4672)*1/3</f>
        <v>0.070458706053388</v>
      </c>
      <c r="I4672" s="27" t="n">
        <f aca="false">$G4672+(fade_mC-$G4672)*2/3</f>
        <v>0.0660508821162598</v>
      </c>
      <c r="J4672" s="27" t="n">
        <f aca="false">$G4672+(fade_mC-$G4672)*3/3</f>
        <v>0.0616430581791315</v>
      </c>
    </row>
    <row r="4673" customFormat="false" ht="17.15" hidden="false" customHeight="false" outlineLevel="0" collapsed="false">
      <c r="A4673" s="4" t="s">
        <v>583</v>
      </c>
      <c r="B4673" s="0" t="s">
        <v>234</v>
      </c>
      <c r="C4673" s="30" t="n">
        <f aca="false">C4668+C4654-C4652</f>
        <v>-54.587</v>
      </c>
      <c r="D4673" s="30" t="n">
        <f aca="false">D4668+D4654-D4652</f>
        <v>-176.164485935382</v>
      </c>
      <c r="E4673" s="30" t="n">
        <f aca="false">E4668+E4654-E4652</f>
        <v>-167.742841842084</v>
      </c>
      <c r="F4673" s="30" t="n">
        <f aca="false">F4668+F4654-F4652</f>
        <v>-74.1835182398791</v>
      </c>
      <c r="G4673" s="30" t="n">
        <f aca="false">G4668+G4654-G4652</f>
        <v>-71.0882851717552</v>
      </c>
      <c r="K4673" s="4" t="s">
        <v>584</v>
      </c>
    </row>
    <row r="4674" customFormat="false" ht="17.15" hidden="false" customHeight="false" outlineLevel="0" collapsed="false">
      <c r="A4674" s="4" t="s">
        <v>585</v>
      </c>
      <c r="B4674" s="0" t="s">
        <v>76</v>
      </c>
      <c r="D4674" s="21" t="n">
        <f aca="false">(D4662-$C4662)/SUM($D4652:D4652)</f>
        <v>0.164280348537512</v>
      </c>
      <c r="E4674" s="21" t="n">
        <f aca="false">(E4662-$C4662)/SUM($D4652:E4652)</f>
        <v>0.130708583570405</v>
      </c>
      <c r="F4674" s="21" t="n">
        <f aca="false">(F4662-$C4662)/SUM($D4652:F4652)</f>
        <v>0.047212178465445</v>
      </c>
      <c r="G4674" s="21" t="n">
        <f aca="false">(G4662-$C4662)/SUM($D4652:G4652)</f>
        <v>0.044108444635164</v>
      </c>
      <c r="K4674" s="4" t="s">
        <v>586</v>
      </c>
    </row>
    <row r="4677" customFormat="false" ht="17.15" hidden="false" customHeight="false" outlineLevel="0" collapsed="false">
      <c r="A4677" s="1" t="s">
        <v>1009</v>
      </c>
    </row>
    <row r="4678" customFormat="false" ht="17.15" hidden="false" customHeight="false" outlineLevel="0" collapsed="false">
      <c r="A4678" s="5" t="s">
        <v>21</v>
      </c>
      <c r="B4678" s="5" t="s">
        <v>22</v>
      </c>
      <c r="C4678" s="15" t="s">
        <v>424</v>
      </c>
      <c r="D4678" s="15" t="s">
        <v>524</v>
      </c>
      <c r="E4678" s="15" t="s">
        <v>525</v>
      </c>
      <c r="F4678" s="15" t="s">
        <v>526</v>
      </c>
      <c r="G4678" s="15" t="s">
        <v>527</v>
      </c>
      <c r="H4678" s="15" t="s">
        <v>528</v>
      </c>
      <c r="I4678" s="15" t="s">
        <v>529</v>
      </c>
      <c r="J4678" s="15" t="s">
        <v>530</v>
      </c>
      <c r="K4678" s="5" t="s">
        <v>382</v>
      </c>
    </row>
    <row r="4679" customFormat="false" ht="17.15" hidden="false" customHeight="false" outlineLevel="0" collapsed="false">
      <c r="A4679" s="6" t="s">
        <v>548</v>
      </c>
    </row>
    <row r="4680" customFormat="false" ht="17.15" hidden="false" customHeight="false" outlineLevel="0" collapsed="false">
      <c r="A4680" s="0" t="s">
        <v>549</v>
      </c>
      <c r="B4680" s="4" t="s">
        <v>32</v>
      </c>
      <c r="D4680" s="19" t="n">
        <f aca="false">units_26</f>
        <v>15.2</v>
      </c>
      <c r="E4680" s="19" t="n">
        <f aca="false">units_27*1</f>
        <v>23.7</v>
      </c>
      <c r="F4680" s="19" t="n">
        <f aca="false">units_28*um28_A*1</f>
        <v>26.5</v>
      </c>
      <c r="G4680" s="19" t="n">
        <f aca="false">units_29*um29_A*1</f>
        <v>30.15</v>
      </c>
    </row>
    <row r="4681" customFormat="false" ht="17.15" hidden="false" customHeight="false" outlineLevel="0" collapsed="false">
      <c r="A4681" s="4" t="s">
        <v>497</v>
      </c>
      <c r="B4681" s="0" t="s">
        <v>45</v>
      </c>
      <c r="D4681" s="22" t="n">
        <f aca="false">ar_26</f>
        <v>1</v>
      </c>
      <c r="E4681" s="22" t="n">
        <f aca="false">ar_27</f>
        <v>1.278156</v>
      </c>
      <c r="F4681" s="22" t="n">
        <f aca="false">ar_28</f>
        <v>1.428615</v>
      </c>
      <c r="G4681" s="22" t="n">
        <f aca="false">ar_29</f>
        <v>1.431796</v>
      </c>
    </row>
    <row r="4682" customFormat="false" ht="17.15" hidden="false" customHeight="false" outlineLevel="0" collapsed="false">
      <c r="A4682" s="4" t="s">
        <v>550</v>
      </c>
      <c r="B4682" s="0" t="s">
        <v>45</v>
      </c>
      <c r="D4682" s="19" t="n">
        <f aca="false">1</f>
        <v>1</v>
      </c>
      <c r="E4682" s="19" t="n">
        <f aca="false">rel27_A</f>
        <v>1.1</v>
      </c>
      <c r="F4682" s="19" t="n">
        <f aca="false">rel28_A</f>
        <v>1.15</v>
      </c>
      <c r="G4682" s="19" t="n">
        <f aca="false">rel29_A</f>
        <v>1.2</v>
      </c>
    </row>
    <row r="4683" customFormat="false" ht="17.15" hidden="false" customHeight="false" outlineLevel="0" collapsed="false">
      <c r="A4683" s="4" t="s">
        <v>551</v>
      </c>
      <c r="B4683" s="0" t="s">
        <v>502</v>
      </c>
      <c r="D4683" s="23" t="n">
        <f aca="false">D4684*1000/D4680</f>
        <v>236.842105263158</v>
      </c>
      <c r="E4683" s="23" t="n">
        <f aca="false">$D4683*E4681^el</f>
        <v>267.763172119488</v>
      </c>
      <c r="F4683" s="23" t="n">
        <f aca="false">$D4683*F4681^el</f>
        <v>283.084777049615</v>
      </c>
      <c r="G4683" s="23" t="n">
        <f aca="false">$D4683*G4681^el</f>
        <v>283.399764630809</v>
      </c>
      <c r="K4683" s="8" t="s">
        <v>552</v>
      </c>
    </row>
    <row r="4684" customFormat="false" ht="17.15" hidden="false" customHeight="false" outlineLevel="0" collapsed="false">
      <c r="A4684" s="0" t="s">
        <v>553</v>
      </c>
      <c r="B4684" s="0" t="s">
        <v>120</v>
      </c>
      <c r="D4684" s="22" t="n">
        <f aca="false">leap26-D4685-D4686</f>
        <v>3.6</v>
      </c>
      <c r="E4684" s="22" t="n">
        <f aca="false">E4680*E4682*E4683/1000</f>
        <v>6.98058589715504</v>
      </c>
      <c r="F4684" s="22" t="n">
        <f aca="false">F4680*F4682*F4683/1000</f>
        <v>8.627008580587</v>
      </c>
      <c r="G4684" s="22" t="n">
        <f aca="false">G4680*G4682*G4683/1000</f>
        <v>10.2534034843427</v>
      </c>
      <c r="K4684" s="8" t="s">
        <v>554</v>
      </c>
    </row>
    <row r="4685" customFormat="false" ht="17.15" hidden="false" customHeight="false" outlineLevel="0" collapsed="false">
      <c r="A4685" s="4" t="s">
        <v>555</v>
      </c>
      <c r="B4685" s="0" t="s">
        <v>120</v>
      </c>
      <c r="D4685" s="22" t="n">
        <f aca="false">fp26</f>
        <v>0.3</v>
      </c>
      <c r="E4685" s="22" t="n">
        <f aca="false">fp27_A</f>
        <v>1.2</v>
      </c>
      <c r="F4685" s="22" t="n">
        <f aca="false">E4685*F4680/E4680*(1+fp_g)</f>
        <v>1.74430379746835</v>
      </c>
      <c r="G4685" s="22" t="n">
        <f aca="false">F4685*G4680/F4680*(1+fp_g)</f>
        <v>2.57992405063291</v>
      </c>
    </row>
    <row r="4686" customFormat="false" ht="17.15" hidden="false" customHeight="false" outlineLevel="0" collapsed="false">
      <c r="A4686" s="0" t="s">
        <v>556</v>
      </c>
      <c r="B4686" s="0" t="s">
        <v>120</v>
      </c>
      <c r="D4686" s="22" t="n">
        <f aca="false">cpo27*cpo_A_26/cpo_A_27</f>
        <v>0.1</v>
      </c>
      <c r="E4686" s="22" t="n">
        <f aca="false">cpo27*cpo_A_27/cpo_A_27</f>
        <v>0.5</v>
      </c>
      <c r="F4686" s="22" t="n">
        <f aca="false">cpo27*cpo_A_28/cpo_A_27*F4680/E4680</f>
        <v>1.11814345991561</v>
      </c>
      <c r="G4686" s="22" t="n">
        <f aca="false">cpo27*cpo_A_29/cpo_A_27*G4680/E4680</f>
        <v>2.03544303797468</v>
      </c>
      <c r="K4686" s="8" t="s">
        <v>557</v>
      </c>
    </row>
    <row r="4687" customFormat="false" ht="17.15" hidden="false" customHeight="false" outlineLevel="0" collapsed="false">
      <c r="A4687" s="0" t="s">
        <v>510</v>
      </c>
      <c r="B4687" s="0" t="s">
        <v>120</v>
      </c>
      <c r="C4687" s="22" t="n">
        <f aca="false">leap25</f>
        <v>1.6</v>
      </c>
      <c r="D4687" s="22" t="n">
        <f aca="false">D4684+D4685+D4686</f>
        <v>4</v>
      </c>
      <c r="E4687" s="22" t="n">
        <f aca="false">E4684+E4685+E4686</f>
        <v>8.68058589715504</v>
      </c>
      <c r="F4687" s="22" t="n">
        <f aca="false">F4684+F4685+F4686</f>
        <v>11.489455837971</v>
      </c>
      <c r="G4687" s="22" t="n">
        <f aca="false">G4684+G4685+G4686</f>
        <v>14.8687705729503</v>
      </c>
    </row>
    <row r="4688" customFormat="false" ht="17.15" hidden="false" customHeight="false" outlineLevel="0" collapsed="false">
      <c r="A4688" s="4" t="s">
        <v>558</v>
      </c>
      <c r="B4688" s="0" t="s">
        <v>114</v>
      </c>
      <c r="C4688" s="19" t="n">
        <f aca="false">fx25</f>
        <v>31</v>
      </c>
      <c r="D4688" s="19" t="n">
        <f aca="false">a26_leap/D4687</f>
        <v>31.9</v>
      </c>
      <c r="E4688" s="19" t="n">
        <f aca="false">fx</f>
        <v>32</v>
      </c>
      <c r="F4688" s="19" t="n">
        <f aca="false">fx</f>
        <v>32</v>
      </c>
      <c r="G4688" s="19" t="n">
        <f aca="false">fx</f>
        <v>32</v>
      </c>
      <c r="K4688" s="8" t="s">
        <v>559</v>
      </c>
    </row>
    <row r="4689" customFormat="false" ht="17.15" hidden="false" customHeight="false" outlineLevel="0" collapsed="false">
      <c r="A4689" s="6" t="s">
        <v>560</v>
      </c>
    </row>
    <row r="4690" customFormat="false" ht="17.15" hidden="false" customHeight="false" outlineLevel="0" collapsed="false">
      <c r="A4690" s="0" t="s">
        <v>438</v>
      </c>
      <c r="B4690" s="0" t="s">
        <v>234</v>
      </c>
      <c r="C4690" s="30" t="n">
        <f aca="false">a25_leap</f>
        <v>49.6</v>
      </c>
      <c r="D4690" s="30" t="n">
        <f aca="false">a26_leap</f>
        <v>127.6</v>
      </c>
      <c r="E4690" s="30" t="n">
        <f aca="false">E4687*E4688</f>
        <v>277.778748708961</v>
      </c>
      <c r="F4690" s="30" t="n">
        <f aca="false">F4687*F4688</f>
        <v>367.662586815071</v>
      </c>
      <c r="G4690" s="30" t="n">
        <f aca="false">G4687*G4688</f>
        <v>475.800658334408</v>
      </c>
    </row>
    <row r="4691" customFormat="false" ht="15" hidden="false" customHeight="false" outlineLevel="0" collapsed="false">
      <c r="A4691" s="4" t="s">
        <v>561</v>
      </c>
      <c r="B4691" s="0" t="s">
        <v>234</v>
      </c>
      <c r="C4691" s="30" t="n">
        <f aca="false">a25_ms</f>
        <v>339.628</v>
      </c>
      <c r="D4691" s="30" t="n">
        <f aca="false">a26_ms</f>
        <v>432.1302</v>
      </c>
      <c r="E4691" s="30" t="n">
        <f aca="false">D4691*(1+g_ms27)</f>
        <v>496.94973</v>
      </c>
      <c r="F4691" s="30" t="n">
        <f aca="false">E4691*(1+g_msL)</f>
        <v>531.7362111</v>
      </c>
      <c r="G4691" s="30" t="n">
        <f aca="false">F4691*(1+g_msL)</f>
        <v>568.957745877</v>
      </c>
    </row>
    <row r="4692" customFormat="false" ht="17.15" hidden="false" customHeight="false" outlineLevel="0" collapsed="false">
      <c r="A4692" s="4" t="s">
        <v>562</v>
      </c>
      <c r="B4692" s="0" t="s">
        <v>234</v>
      </c>
      <c r="C4692" s="30" t="n">
        <f aca="false">C4690+C4691</f>
        <v>389.228</v>
      </c>
      <c r="D4692" s="30" t="n">
        <f aca="false">D4690+D4691</f>
        <v>559.7302</v>
      </c>
      <c r="E4692" s="30" t="n">
        <f aca="false">E4690+E4691</f>
        <v>774.728478708961</v>
      </c>
      <c r="F4692" s="30" t="n">
        <f aca="false">F4690+F4691</f>
        <v>899.398797915071</v>
      </c>
      <c r="G4692" s="30" t="n">
        <f aca="false">G4690+G4691</f>
        <v>1044.75840421141</v>
      </c>
    </row>
    <row r="4693" customFormat="false" ht="17.15" hidden="false" customHeight="false" outlineLevel="0" collapsed="false">
      <c r="A4693" s="0" t="s">
        <v>563</v>
      </c>
      <c r="B4693" s="0" t="s">
        <v>234</v>
      </c>
      <c r="C4693" s="30" t="n">
        <f aca="false">a25_ems</f>
        <v>259.079</v>
      </c>
      <c r="D4693" s="30" t="n">
        <f aca="false">a26_ems</f>
        <v>314.602</v>
      </c>
      <c r="E4693" s="30" t="n">
        <f aca="false">D4693*(1+g_ems27)</f>
        <v>346.0622</v>
      </c>
      <c r="F4693" s="30" t="n">
        <f aca="false">E4693*(1+g_emsL)</f>
        <v>363.36531</v>
      </c>
      <c r="G4693" s="30" t="n">
        <f aca="false">F4693*(1+g_emsL)</f>
        <v>381.5335755</v>
      </c>
    </row>
    <row r="4694" customFormat="false" ht="17.15" hidden="false" customHeight="false" outlineLevel="0" collapsed="false">
      <c r="A4694" s="4" t="s">
        <v>564</v>
      </c>
      <c r="B4694" s="0" t="s">
        <v>234</v>
      </c>
      <c r="C4694" s="30" t="n">
        <f aca="false">a25_elim</f>
        <v>-2.91899999999998</v>
      </c>
      <c r="D4694" s="30" t="n">
        <f aca="false">a26_elim</f>
        <v>-3.16484905982349</v>
      </c>
      <c r="E4694" s="30" t="n">
        <f aca="false">$D4694/($D4692+$D4693)*(E4692+E4693)</f>
        <v>-4.05696293213379</v>
      </c>
      <c r="F4694" s="30" t="n">
        <f aca="false">$D4694/($D4692+$D4693)*(F4692+F4693)</f>
        <v>-4.57086882962089</v>
      </c>
      <c r="G4694" s="30" t="n">
        <f aca="false">$D4694/($D4692+$D4693)*(G4692+G4693)</f>
        <v>-5.16279605283144</v>
      </c>
      <c r="K4694" s="4" t="s">
        <v>565</v>
      </c>
    </row>
    <row r="4695" customFormat="false" ht="17.15" hidden="false" customHeight="false" outlineLevel="0" collapsed="false">
      <c r="A4695" s="4" t="s">
        <v>431</v>
      </c>
      <c r="B4695" s="0" t="s">
        <v>234</v>
      </c>
      <c r="C4695" s="30" t="n">
        <f aca="false">C4692+C4693+C4694</f>
        <v>645.388</v>
      </c>
      <c r="D4695" s="30" t="n">
        <f aca="false">D4692+D4693+D4694</f>
        <v>871.167350940177</v>
      </c>
      <c r="E4695" s="30" t="n">
        <f aca="false">E4692+E4693+E4694</f>
        <v>1116.73371577683</v>
      </c>
      <c r="F4695" s="30" t="n">
        <f aca="false">F4692+F4693+F4694</f>
        <v>1258.19323908545</v>
      </c>
      <c r="G4695" s="30" t="n">
        <f aca="false">G4692+G4693+G4694</f>
        <v>1421.12918365858</v>
      </c>
      <c r="H4695" s="31" t="n">
        <f aca="false">G4695*(1+H4696)</f>
        <v>1572.24252669828</v>
      </c>
      <c r="I4695" s="31" t="n">
        <f aca="false">H4695*(1+I4696)</f>
        <v>1703.00066355907</v>
      </c>
      <c r="J4695" s="31" t="n">
        <f aca="false">I4695*(1+J4696)</f>
        <v>1805.18070337261</v>
      </c>
      <c r="K4695" s="8" t="s">
        <v>566</v>
      </c>
    </row>
    <row r="4696" customFormat="false" ht="15" hidden="false" customHeight="false" outlineLevel="0" collapsed="false">
      <c r="A4696" s="4" t="s">
        <v>567</v>
      </c>
      <c r="B4696" s="0" t="s">
        <v>76</v>
      </c>
      <c r="D4696" s="21" t="n">
        <f aca="false">D4695/C4695-1</f>
        <v>0.349835061916516</v>
      </c>
      <c r="E4696" s="21" t="n">
        <f aca="false">E4695/D4695-1</f>
        <v>0.281881965126026</v>
      </c>
      <c r="F4696" s="21" t="n">
        <f aca="false">F4695/E4695-1</f>
        <v>0.126672564202309</v>
      </c>
      <c r="G4696" s="21" t="n">
        <f aca="false">G4695/F4695-1</f>
        <v>0.129499936505429</v>
      </c>
      <c r="H4696" s="26" t="n">
        <f aca="false">$G4696+(fade_gA-$G4696)*1/3</f>
        <v>0.10633329100362</v>
      </c>
      <c r="I4696" s="26" t="n">
        <f aca="false">$G4696+(fade_gA-$G4696)*2/3</f>
        <v>0.0831666455018098</v>
      </c>
      <c r="J4696" s="26" t="n">
        <f aca="false">$G4696+(fade_gA-$G4696)*3/3</f>
        <v>0.06</v>
      </c>
    </row>
    <row r="4697" customFormat="false" ht="17.15" hidden="false" customHeight="false" outlineLevel="0" collapsed="false">
      <c r="A4697" s="0" t="s">
        <v>475</v>
      </c>
      <c r="B4697" s="0" t="s">
        <v>76</v>
      </c>
      <c r="C4697" s="21" t="n">
        <f aca="false">C4690/C4692</f>
        <v>0.127431736668482</v>
      </c>
      <c r="D4697" s="21" t="n">
        <f aca="false">D4690/D4692</f>
        <v>0.227966974088588</v>
      </c>
      <c r="E4697" s="21" t="n">
        <f aca="false">E4690/E4692</f>
        <v>0.35854980982739</v>
      </c>
      <c r="F4697" s="21" t="n">
        <f aca="false">F4690/F4692</f>
        <v>0.408787056050512</v>
      </c>
      <c r="G4697" s="21" t="n">
        <f aca="false">G4690/G4692</f>
        <v>0.455416923583923</v>
      </c>
    </row>
    <row r="4698" customFormat="false" ht="15" hidden="false" customHeight="false" outlineLevel="0" collapsed="false">
      <c r="A4698" s="4" t="s">
        <v>568</v>
      </c>
      <c r="B4698" s="0" t="s">
        <v>76</v>
      </c>
      <c r="D4698" s="21" t="n">
        <f aca="false">D4692/C4692-1</f>
        <v>0.438052247012034</v>
      </c>
      <c r="E4698" s="21" t="n">
        <f aca="false">E4692/D4692-1</f>
        <v>0.384110556673485</v>
      </c>
      <c r="F4698" s="21" t="n">
        <f aca="false">F4692/E4692-1</f>
        <v>0.160921306796241</v>
      </c>
      <c r="G4698" s="21" t="n">
        <f aca="false">G4692/F4692-1</f>
        <v>0.161618635285371</v>
      </c>
    </row>
    <row r="4699" customFormat="false" ht="17.15" hidden="false" customHeight="false" outlineLevel="0" collapsed="false">
      <c r="A4699" s="6" t="s">
        <v>569</v>
      </c>
    </row>
    <row r="4700" customFormat="false" ht="17.15" hidden="false" customHeight="false" outlineLevel="0" collapsed="false">
      <c r="A4700" s="4" t="s">
        <v>570</v>
      </c>
      <c r="B4700" s="0" t="s">
        <v>120</v>
      </c>
      <c r="C4700" s="19" t="n">
        <f aca="false">capex25</f>
        <v>5.5</v>
      </c>
      <c r="D4700" s="19" t="n">
        <f aca="false">capex26</f>
        <v>11.5</v>
      </c>
      <c r="E4700" s="19" t="n">
        <f aca="false">capex27</f>
        <v>13</v>
      </c>
      <c r="F4700" s="19" t="n">
        <f aca="false">capi*F4695/F4688</f>
        <v>11.7955616164261</v>
      </c>
      <c r="G4700" s="19" t="n">
        <f aca="false">capi*G4695/G4688</f>
        <v>13.3230860967992</v>
      </c>
      <c r="K4700" s="8" t="s">
        <v>571</v>
      </c>
    </row>
    <row r="4701" customFormat="false" ht="15" hidden="false" customHeight="false" outlineLevel="0" collapsed="false">
      <c r="A4701" s="4" t="s">
        <v>572</v>
      </c>
      <c r="B4701" s="0" t="s">
        <v>234</v>
      </c>
      <c r="C4701" s="30" t="n">
        <f aca="false">C4700*C4688</f>
        <v>170.5</v>
      </c>
      <c r="D4701" s="30" t="n">
        <f aca="false">D4700*31.9</f>
        <v>366.85</v>
      </c>
      <c r="E4701" s="30" t="n">
        <f aca="false">E4700*E4688</f>
        <v>416</v>
      </c>
      <c r="F4701" s="30" t="n">
        <f aca="false">F4700*F4688</f>
        <v>377.457971725635</v>
      </c>
      <c r="G4701" s="30" t="n">
        <f aca="false">G4700*G4688</f>
        <v>426.338755097573</v>
      </c>
    </row>
    <row r="4702" customFormat="false" ht="17.15" hidden="false" customHeight="false" outlineLevel="0" collapsed="false">
      <c r="A4702" s="4" t="s">
        <v>473</v>
      </c>
      <c r="B4702" s="0" t="s">
        <v>76</v>
      </c>
      <c r="C4702" s="21" t="n">
        <f aca="false">C4701/C4695</f>
        <v>0.264182166386732</v>
      </c>
      <c r="D4702" s="21" t="n">
        <f aca="false">D4701/D4695</f>
        <v>0.421101639775745</v>
      </c>
      <c r="E4702" s="21" t="n">
        <f aca="false">E4701/E4695</f>
        <v>0.372514946153139</v>
      </c>
      <c r="F4702" s="21" t="n">
        <f aca="false">F4701/F4695</f>
        <v>0.3</v>
      </c>
      <c r="G4702" s="21" t="n">
        <f aca="false">G4701/G4695</f>
        <v>0.3</v>
      </c>
    </row>
    <row r="4703" customFormat="false" ht="17.15" hidden="false" customHeight="false" outlineLevel="0" collapsed="false">
      <c r="A4703" s="4" t="s">
        <v>573</v>
      </c>
      <c r="B4703" s="0" t="s">
        <v>234</v>
      </c>
      <c r="C4703" s="30" t="n">
        <f aca="false">a25_da</f>
        <v>75.255</v>
      </c>
      <c r="D4703" s="30" t="n">
        <f aca="false">a26_da</f>
        <v>97.124</v>
      </c>
      <c r="E4703" s="30" t="n">
        <f aca="false">D4703*(1-1/life)+D4701/life</f>
        <v>130.83975</v>
      </c>
      <c r="F4703" s="30" t="n">
        <f aca="false">E4703*(1-1/life)+E4701/life</f>
        <v>166.48478125</v>
      </c>
      <c r="G4703" s="30" t="n">
        <f aca="false">F4703*(1-1/life)+F4701/life</f>
        <v>192.856430059454</v>
      </c>
      <c r="K4703" s="4" t="s">
        <v>574</v>
      </c>
    </row>
    <row r="4704" customFormat="false" ht="17.15" hidden="false" customHeight="false" outlineLevel="0" collapsed="false">
      <c r="A4704" s="4" t="s">
        <v>575</v>
      </c>
      <c r="B4704" s="0" t="s">
        <v>234</v>
      </c>
      <c r="C4704" s="30" t="n">
        <f aca="false">a25_agp</f>
        <v>91.38</v>
      </c>
      <c r="D4704" s="30" t="n">
        <f aca="false">a26_agp</f>
        <v>164.623388</v>
      </c>
      <c r="E4704" s="30" t="n">
        <f aca="false">$D4704+ft*(E4692-$D4692)-(E4703-$D4703)</f>
        <v>238.406777354481</v>
      </c>
      <c r="F4704" s="30" t="n">
        <f aca="false">$D4704+ft*(F4692-$D4692)-(F4703-$D4703)</f>
        <v>265.096905707536</v>
      </c>
      <c r="G4704" s="30" t="n">
        <f aca="false">$D4704+ft*(G4692-$D4692)-(G4703-$D4703)</f>
        <v>311.40506004625</v>
      </c>
      <c r="K4704" s="4" t="s">
        <v>576</v>
      </c>
    </row>
    <row r="4705" customFormat="false" ht="15" hidden="false" customHeight="false" outlineLevel="0" collapsed="false">
      <c r="A4705" s="4" t="s">
        <v>447</v>
      </c>
      <c r="B4705" s="0" t="s">
        <v>76</v>
      </c>
      <c r="C4705" s="14" t="n">
        <f aca="false">C4704/C4692</f>
        <v>0.234772421305764</v>
      </c>
      <c r="D4705" s="14" t="n">
        <f aca="false">D4704/D4692</f>
        <v>0.294112034690999</v>
      </c>
      <c r="E4705" s="14" t="n">
        <f aca="false">E4704/E4692</f>
        <v>0.307729461232368</v>
      </c>
      <c r="F4705" s="14" t="n">
        <f aca="false">F4704/F4692</f>
        <v>0.294749010474626</v>
      </c>
      <c r="G4705" s="14" t="n">
        <f aca="false">G4704/G4692</f>
        <v>0.298064182868479</v>
      </c>
    </row>
    <row r="4706" customFormat="false" ht="17.15" hidden="false" customHeight="false" outlineLevel="0" collapsed="false">
      <c r="A4706" s="0" t="s">
        <v>449</v>
      </c>
      <c r="B4706" s="0" t="s">
        <v>234</v>
      </c>
      <c r="C4706" s="30" t="n">
        <f aca="false">a25_egp</f>
        <v>23.695</v>
      </c>
      <c r="D4706" s="30" t="n">
        <f aca="false">a26_egp</f>
        <v>27.00552</v>
      </c>
      <c r="E4706" s="30" t="n">
        <f aca="false">E4693*ems_gm</f>
        <v>29.415287</v>
      </c>
      <c r="F4706" s="30" t="n">
        <f aca="false">F4693*ems_gm</f>
        <v>30.88605135</v>
      </c>
      <c r="G4706" s="30" t="n">
        <f aca="false">G4693*ems_gm</f>
        <v>32.4303539175</v>
      </c>
    </row>
    <row r="4707" customFormat="false" ht="15" hidden="false" customHeight="false" outlineLevel="0" collapsed="false">
      <c r="A4707" s="4" t="s">
        <v>577</v>
      </c>
      <c r="B4707" s="0" t="s">
        <v>234</v>
      </c>
      <c r="C4707" s="30" t="n">
        <f aca="false">a25_lgp</f>
        <v>-0.881999999999998</v>
      </c>
      <c r="D4707" s="30" t="n">
        <f aca="false">a26_lgp</f>
        <v>-0.948662139013863</v>
      </c>
      <c r="E4707" s="30" t="n">
        <f aca="false">$D4707/$D4694*E4694</f>
        <v>-1.21607288699975</v>
      </c>
      <c r="F4707" s="30" t="n">
        <f aca="false">$D4707/$D4694*F4694</f>
        <v>-1.37011595785291</v>
      </c>
      <c r="G4707" s="30" t="n">
        <f aca="false">$D4707/$D4694*G4694</f>
        <v>-1.54754588739994</v>
      </c>
    </row>
    <row r="4708" customFormat="false" ht="15" hidden="false" customHeight="false" outlineLevel="0" collapsed="false">
      <c r="A4708" s="4" t="s">
        <v>451</v>
      </c>
      <c r="B4708" s="0" t="s">
        <v>234</v>
      </c>
      <c r="C4708" s="30" t="n">
        <f aca="false">C4704+C4706+C4707</f>
        <v>114.193</v>
      </c>
      <c r="D4708" s="30" t="n">
        <f aca="false">D4704+D4706+D4707</f>
        <v>190.680245860986</v>
      </c>
      <c r="E4708" s="30" t="n">
        <f aca="false">E4704+E4706+E4707</f>
        <v>266.605991467481</v>
      </c>
      <c r="F4708" s="30" t="n">
        <f aca="false">F4704+F4706+F4707</f>
        <v>294.612841099683</v>
      </c>
      <c r="G4708" s="30" t="n">
        <f aca="false">G4704+G4706+G4707</f>
        <v>342.28786807635</v>
      </c>
    </row>
    <row r="4709" customFormat="false" ht="15" hidden="false" customHeight="false" outlineLevel="0" collapsed="false">
      <c r="A4709" s="4" t="s">
        <v>452</v>
      </c>
      <c r="B4709" s="0" t="s">
        <v>76</v>
      </c>
      <c r="C4709" s="14" t="n">
        <f aca="false">C4708/C4695</f>
        <v>0.176936974347214</v>
      </c>
      <c r="D4709" s="14" t="n">
        <f aca="false">D4708/D4695</f>
        <v>0.218879008327391</v>
      </c>
      <c r="E4709" s="14" t="n">
        <f aca="false">E4708/E4695</f>
        <v>0.238737299412531</v>
      </c>
      <c r="F4709" s="14" t="n">
        <f aca="false">F4708/F4695</f>
        <v>0.234155479418908</v>
      </c>
      <c r="G4709" s="14" t="n">
        <f aca="false">G4708/G4695</f>
        <v>0.24085626557549</v>
      </c>
    </row>
    <row r="4710" customFormat="false" ht="15" hidden="false" customHeight="false" outlineLevel="0" collapsed="false">
      <c r="A4710" s="4" t="s">
        <v>578</v>
      </c>
      <c r="B4710" s="0" t="s">
        <v>234</v>
      </c>
      <c r="C4710" s="30" t="n">
        <f aca="false">a25_opx</f>
        <v>63.437</v>
      </c>
      <c r="D4710" s="30" t="n">
        <f aca="false">a26_opx</f>
        <v>79.658</v>
      </c>
      <c r="E4710" s="30" t="n">
        <f aca="false">D4710*(1+phi*E4696)</f>
        <v>93.1304921468054</v>
      </c>
      <c r="F4710" s="30" t="n">
        <f aca="false">E4710*(1+phi*F4696)</f>
        <v>100.208739094201</v>
      </c>
      <c r="G4710" s="30" t="n">
        <f aca="false">F4710*(1+phi*G4696)</f>
        <v>107.994954304194</v>
      </c>
    </row>
    <row r="4711" customFormat="false" ht="15" hidden="false" customHeight="false" outlineLevel="0" collapsed="false">
      <c r="A4711" s="4" t="s">
        <v>455</v>
      </c>
      <c r="B4711" s="0" t="s">
        <v>234</v>
      </c>
      <c r="C4711" s="30" t="n">
        <f aca="false">C4708-C4710</f>
        <v>50.756</v>
      </c>
      <c r="D4711" s="30" t="n">
        <f aca="false">D4708-D4710</f>
        <v>111.022245860986</v>
      </c>
      <c r="E4711" s="30" t="n">
        <f aca="false">E4708-E4710</f>
        <v>173.475499320676</v>
      </c>
      <c r="F4711" s="30" t="n">
        <f aca="false">F4708-F4710</f>
        <v>194.404102005482</v>
      </c>
      <c r="G4711" s="30" t="n">
        <f aca="false">G4708-G4710</f>
        <v>234.292913772156</v>
      </c>
    </row>
    <row r="4712" customFormat="false" ht="15" hidden="false" customHeight="false" outlineLevel="0" collapsed="false">
      <c r="A4712" s="4" t="s">
        <v>537</v>
      </c>
      <c r="B4712" s="0" t="s">
        <v>76</v>
      </c>
      <c r="C4712" s="14" t="n">
        <f aca="false">C4711/C4695</f>
        <v>0.0786441644406156</v>
      </c>
      <c r="D4712" s="14" t="n">
        <f aca="false">D4711/D4695</f>
        <v>0.127440779020437</v>
      </c>
      <c r="E4712" s="14" t="n">
        <f aca="false">E4711/E4695</f>
        <v>0.155341866077717</v>
      </c>
      <c r="F4712" s="14" t="n">
        <f aca="false">F4711/F4695</f>
        <v>0.154510528245081</v>
      </c>
      <c r="G4712" s="14" t="n">
        <f aca="false">G4711/G4695</f>
        <v>0.164863909957143</v>
      </c>
    </row>
    <row r="4713" customFormat="false" ht="15" hidden="false" customHeight="false" outlineLevel="0" collapsed="false">
      <c r="A4713" s="4" t="s">
        <v>456</v>
      </c>
      <c r="B4713" s="0" t="s">
        <v>234</v>
      </c>
      <c r="C4713" s="30" t="n">
        <f aca="false">a25_nonop</f>
        <v>0.545</v>
      </c>
      <c r="D4713" s="30" t="n">
        <f aca="false">a26_nonop</f>
        <v>4.302</v>
      </c>
      <c r="E4713" s="30" t="n">
        <f aca="false">nonop_f_hi</f>
        <v>-2</v>
      </c>
      <c r="F4713" s="30" t="n">
        <f aca="false">nonop_f_hi</f>
        <v>-2</v>
      </c>
      <c r="G4713" s="30" t="n">
        <f aca="false">nonop_f_hi</f>
        <v>-2</v>
      </c>
    </row>
    <row r="4714" customFormat="false" ht="15" hidden="false" customHeight="false" outlineLevel="0" collapsed="false">
      <c r="A4714" s="4" t="s">
        <v>459</v>
      </c>
      <c r="B4714" s="0" t="s">
        <v>234</v>
      </c>
      <c r="C4714" s="30" t="n">
        <f aca="false">C4711+C4713</f>
        <v>51.301</v>
      </c>
      <c r="D4714" s="30" t="n">
        <f aca="false">D4711+D4713</f>
        <v>115.324245860986</v>
      </c>
      <c r="E4714" s="30" t="n">
        <f aca="false">E4711+E4713</f>
        <v>171.475499320676</v>
      </c>
      <c r="F4714" s="30" t="n">
        <f aca="false">F4711+F4713</f>
        <v>192.404102005482</v>
      </c>
      <c r="G4714" s="30" t="n">
        <f aca="false">G4711+G4713</f>
        <v>232.292913772156</v>
      </c>
    </row>
    <row r="4715" customFormat="false" ht="15" hidden="false" customHeight="false" outlineLevel="0" collapsed="false">
      <c r="A4715" s="4" t="s">
        <v>460</v>
      </c>
      <c r="B4715" s="0" t="s">
        <v>234</v>
      </c>
      <c r="C4715" s="30" t="n">
        <f aca="false">a25_tax</f>
        <v>9.461</v>
      </c>
      <c r="D4715" s="30" t="n">
        <f aca="false">a26_tax</f>
        <v>19.2197317963676</v>
      </c>
      <c r="E4715" s="30" t="n">
        <f aca="false">E4714*tax</f>
        <v>29.1508348845148</v>
      </c>
      <c r="F4715" s="30" t="n">
        <f aca="false">F4714*tax</f>
        <v>32.708697340932</v>
      </c>
      <c r="G4715" s="30" t="n">
        <f aca="false">G4714*tax</f>
        <v>39.4897953412666</v>
      </c>
    </row>
    <row r="4716" customFormat="false" ht="15" hidden="false" customHeight="false" outlineLevel="0" collapsed="false">
      <c r="A4716" s="4" t="s">
        <v>461</v>
      </c>
      <c r="B4716" s="0" t="s">
        <v>234</v>
      </c>
      <c r="C4716" s="30" t="n">
        <f aca="false">a25_nci</f>
        <v>1.182</v>
      </c>
      <c r="D4716" s="30" t="n">
        <f aca="false">a26_nci</f>
        <v>2.543</v>
      </c>
      <c r="E4716" s="30" t="n">
        <f aca="false">nci</f>
        <v>3</v>
      </c>
      <c r="F4716" s="30" t="n">
        <f aca="false">nci</f>
        <v>3</v>
      </c>
      <c r="G4716" s="30" t="n">
        <f aca="false">nci</f>
        <v>3</v>
      </c>
    </row>
    <row r="4717" customFormat="false" ht="15" hidden="false" customHeight="false" outlineLevel="0" collapsed="false">
      <c r="A4717" s="4" t="s">
        <v>462</v>
      </c>
      <c r="B4717" s="0" t="s">
        <v>234</v>
      </c>
      <c r="C4717" s="30" t="n">
        <f aca="false">C4714-C4715-C4716</f>
        <v>40.658</v>
      </c>
      <c r="D4717" s="30" t="n">
        <f aca="false">D4714-D4715-D4716</f>
        <v>93.5615140646185</v>
      </c>
      <c r="E4717" s="30" t="n">
        <f aca="false">E4714-E4715-E4716</f>
        <v>139.324664436161</v>
      </c>
      <c r="F4717" s="30" t="n">
        <f aca="false">F4714-F4715-F4716</f>
        <v>156.69540466455</v>
      </c>
      <c r="G4717" s="30" t="n">
        <f aca="false">G4714-G4715-G4716</f>
        <v>189.80311843089</v>
      </c>
      <c r="H4717" s="31" t="n">
        <f aca="false">H4695*H4721</f>
        <v>209.067252024863</v>
      </c>
      <c r="I4717" s="31" t="n">
        <f aca="false">I4695*I4721</f>
        <v>225.460049104765</v>
      </c>
      <c r="J4717" s="31" t="n">
        <f aca="false">J4695*J4721</f>
        <v>237.933349598446</v>
      </c>
    </row>
    <row r="4718" customFormat="false" ht="15" hidden="false" customHeight="false" outlineLevel="0" collapsed="false">
      <c r="A4718" s="4" t="s">
        <v>579</v>
      </c>
      <c r="B4718" s="4" t="s">
        <v>580</v>
      </c>
      <c r="C4718" s="18" t="n">
        <f aca="false">a25_sh</f>
        <v>4339.16755602988</v>
      </c>
      <c r="D4718" s="18" t="n">
        <f aca="false">a26_sh</f>
        <v>4392.90105184664</v>
      </c>
      <c r="E4718" s="18" t="n">
        <f aca="false">D4718*(1+sh_g)</f>
        <v>4414.86555710588</v>
      </c>
      <c r="F4718" s="18" t="n">
        <f aca="false">E4718*(1+sh_g)</f>
        <v>4436.9398848914</v>
      </c>
      <c r="G4718" s="18" t="n">
        <f aca="false">F4718*(1+sh_g)</f>
        <v>4459.12458431586</v>
      </c>
      <c r="H4718" s="25" t="n">
        <f aca="false">G4718*(1+sh_g)</f>
        <v>4481.42020723744</v>
      </c>
      <c r="I4718" s="25" t="n">
        <f aca="false">H4718*(1+sh_g)</f>
        <v>4503.82730827363</v>
      </c>
      <c r="J4718" s="25" t="n">
        <f aca="false">I4718*(1+sh_g)</f>
        <v>4526.34644481499</v>
      </c>
    </row>
    <row r="4719" customFormat="false" ht="17.15" hidden="false" customHeight="false" outlineLevel="0" collapsed="false">
      <c r="A4719" s="0" t="s">
        <v>465</v>
      </c>
      <c r="B4719" s="0" t="s">
        <v>304</v>
      </c>
      <c r="C4719" s="19" t="n">
        <f aca="false">a25_eps</f>
        <v>9.37</v>
      </c>
      <c r="D4719" s="19" t="n">
        <f aca="false">a26_eps</f>
        <v>21.2828697294455</v>
      </c>
      <c r="E4719" s="19" t="n">
        <f aca="false">E4717/E4718*1000</f>
        <v>31.5580763749222</v>
      </c>
      <c r="F4719" s="19" t="n">
        <f aca="false">F4717/F4718*1000</f>
        <v>35.3160981959947</v>
      </c>
      <c r="G4719" s="19" t="n">
        <f aca="false">G4717/G4718*1000</f>
        <v>42.5651077564612</v>
      </c>
      <c r="H4719" s="28" t="n">
        <f aca="false">H4717/H4718*1000</f>
        <v>46.6520081484932</v>
      </c>
      <c r="I4719" s="28" t="n">
        <f aca="false">I4717/I4718*1000</f>
        <v>50.0596567480707</v>
      </c>
      <c r="J4719" s="28" t="n">
        <f aca="false">J4717/J4718*1000</f>
        <v>52.5663142446825</v>
      </c>
    </row>
    <row r="4720" customFormat="false" ht="17.15" hidden="false" customHeight="false" outlineLevel="0" collapsed="false">
      <c r="A4720" s="0" t="s">
        <v>581</v>
      </c>
      <c r="B4720" s="0" t="s">
        <v>76</v>
      </c>
      <c r="D4720" s="21" t="n">
        <f aca="false">D4719/C4719-1</f>
        <v>1.27138417603474</v>
      </c>
      <c r="E4720" s="21" t="n">
        <f aca="false">E4719/D4719-1</f>
        <v>0.482792347841166</v>
      </c>
      <c r="F4720" s="21" t="n">
        <f aca="false">F4719/E4719-1</f>
        <v>0.119082727870536</v>
      </c>
      <c r="G4720" s="21" t="n">
        <f aca="false">G4719/F4719-1</f>
        <v>0.205260771454323</v>
      </c>
      <c r="H4720" s="26" t="n">
        <f aca="false">H4719/G4719-1</f>
        <v>0.0960152718375686</v>
      </c>
      <c r="I4720" s="26" t="n">
        <f aca="false">I4719/H4719-1</f>
        <v>0.0730439853463751</v>
      </c>
      <c r="J4720" s="26" t="n">
        <f aca="false">J4719/I4719-1</f>
        <v>0.0500734056013752</v>
      </c>
    </row>
    <row r="4721" customFormat="false" ht="17.15" hidden="false" customHeight="false" outlineLevel="0" collapsed="false">
      <c r="A4721" s="4" t="s">
        <v>582</v>
      </c>
      <c r="B4721" s="0" t="s">
        <v>76</v>
      </c>
      <c r="C4721" s="14" t="n">
        <f aca="false">C4717/C4695</f>
        <v>0.0629977625862272</v>
      </c>
      <c r="D4721" s="14" t="n">
        <f aca="false">D4717/D4695</f>
        <v>0.107397865592237</v>
      </c>
      <c r="E4721" s="14" t="n">
        <f aca="false">E4717/E4695</f>
        <v>0.124760865072694</v>
      </c>
      <c r="F4721" s="14" t="n">
        <f aca="false">F4717/F4695</f>
        <v>0.124540014837823</v>
      </c>
      <c r="G4721" s="14" t="n">
        <f aca="false">G4717/G4695</f>
        <v>0.133557962649291</v>
      </c>
      <c r="H4721" s="27" t="n">
        <f aca="false">$G4721+(fade_mA-$G4721)*1/3</f>
        <v>0.132973920037582</v>
      </c>
      <c r="I4721" s="27" t="n">
        <f aca="false">$G4721+(fade_mA-$G4721)*2/3</f>
        <v>0.132389877425873</v>
      </c>
      <c r="J4721" s="27" t="n">
        <f aca="false">$G4721+(fade_mA-$G4721)*3/3</f>
        <v>0.131805834814164</v>
      </c>
    </row>
    <row r="4722" customFormat="false" ht="17.15" hidden="false" customHeight="false" outlineLevel="0" collapsed="false">
      <c r="A4722" s="4" t="s">
        <v>583</v>
      </c>
      <c r="B4722" s="0" t="s">
        <v>234</v>
      </c>
      <c r="C4722" s="30" t="n">
        <f aca="false">C4717+C4703-C4701</f>
        <v>-54.587</v>
      </c>
      <c r="D4722" s="30" t="n">
        <f aca="false">D4717+D4703-D4701</f>
        <v>-176.164485935382</v>
      </c>
      <c r="E4722" s="30" t="n">
        <f aca="false">E4717+E4703-E4701</f>
        <v>-145.835585563839</v>
      </c>
      <c r="F4722" s="30" t="n">
        <f aca="false">F4717+F4703-F4701</f>
        <v>-54.277785811085</v>
      </c>
      <c r="G4722" s="30" t="n">
        <f aca="false">G4717+G4703-G4701</f>
        <v>-43.6792066072291</v>
      </c>
      <c r="K4722" s="4" t="s">
        <v>584</v>
      </c>
    </row>
    <row r="4723" customFormat="false" ht="17.15" hidden="false" customHeight="false" outlineLevel="0" collapsed="false">
      <c r="A4723" s="4" t="s">
        <v>585</v>
      </c>
      <c r="B4723" s="0" t="s">
        <v>76</v>
      </c>
      <c r="D4723" s="21" t="n">
        <f aca="false">(D4711-$C4711)/SUM($D4701:D4701)</f>
        <v>0.164280348537512</v>
      </c>
      <c r="E4723" s="21" t="n">
        <f aca="false">(E4711-$C4711)/SUM($D4701:E4701)</f>
        <v>0.156759914824903</v>
      </c>
      <c r="F4723" s="21" t="n">
        <f aca="false">(F4711-$C4711)/SUM($D4701:F4701)</f>
        <v>0.123801702225527</v>
      </c>
      <c r="G4723" s="21" t="n">
        <f aca="false">(G4711-$C4711)/SUM($D4701:G4701)</f>
        <v>0.115675979201517</v>
      </c>
      <c r="K4723" s="4" t="s">
        <v>586</v>
      </c>
    </row>
    <row r="4726" customFormat="false" ht="17.15" hidden="false" customHeight="false" outlineLevel="0" collapsed="false">
      <c r="A4726" s="1" t="s">
        <v>1010</v>
      </c>
    </row>
    <row r="4727" customFormat="false" ht="17.15" hidden="false" customHeight="false" outlineLevel="0" collapsed="false">
      <c r="A4727" s="5" t="s">
        <v>21</v>
      </c>
      <c r="B4727" s="5" t="s">
        <v>22</v>
      </c>
      <c r="C4727" s="15" t="s">
        <v>424</v>
      </c>
      <c r="D4727" s="15" t="s">
        <v>524</v>
      </c>
      <c r="E4727" s="15" t="s">
        <v>525</v>
      </c>
      <c r="F4727" s="15" t="s">
        <v>526</v>
      </c>
      <c r="G4727" s="15" t="s">
        <v>527</v>
      </c>
      <c r="H4727" s="15" t="s">
        <v>528</v>
      </c>
      <c r="I4727" s="15" t="s">
        <v>529</v>
      </c>
      <c r="J4727" s="15" t="s">
        <v>530</v>
      </c>
      <c r="K4727" s="5" t="s">
        <v>382</v>
      </c>
    </row>
    <row r="4728" customFormat="false" ht="17.15" hidden="false" customHeight="false" outlineLevel="0" collapsed="false">
      <c r="A4728" s="6" t="s">
        <v>548</v>
      </c>
    </row>
    <row r="4729" customFormat="false" ht="17.15" hidden="false" customHeight="false" outlineLevel="0" collapsed="false">
      <c r="A4729" s="0" t="s">
        <v>549</v>
      </c>
      <c r="B4729" s="4" t="s">
        <v>32</v>
      </c>
      <c r="D4729" s="19" t="n">
        <f aca="false">units_26</f>
        <v>15.2</v>
      </c>
      <c r="E4729" s="19" t="n">
        <f aca="false">units_27*1</f>
        <v>23.7</v>
      </c>
      <c r="F4729" s="19" t="n">
        <f aca="false">units_28*um28_B*1</f>
        <v>21.2</v>
      </c>
      <c r="G4729" s="19" t="n">
        <f aca="false">units_29*um29_B*1</f>
        <v>25.6275</v>
      </c>
    </row>
    <row r="4730" customFormat="false" ht="17.15" hidden="false" customHeight="false" outlineLevel="0" collapsed="false">
      <c r="A4730" s="4" t="s">
        <v>497</v>
      </c>
      <c r="B4730" s="0" t="s">
        <v>45</v>
      </c>
      <c r="D4730" s="22" t="n">
        <f aca="false">ar_26</f>
        <v>1</v>
      </c>
      <c r="E4730" s="22" t="n">
        <f aca="false">ar_27</f>
        <v>1.278156</v>
      </c>
      <c r="F4730" s="22" t="n">
        <f aca="false">ar_28</f>
        <v>1.428615</v>
      </c>
      <c r="G4730" s="22" t="n">
        <f aca="false">ar_29</f>
        <v>1.431796</v>
      </c>
    </row>
    <row r="4731" customFormat="false" ht="17.15" hidden="false" customHeight="false" outlineLevel="0" collapsed="false">
      <c r="A4731" s="4" t="s">
        <v>550</v>
      </c>
      <c r="B4731" s="0" t="s">
        <v>45</v>
      </c>
      <c r="D4731" s="19" t="n">
        <f aca="false">1</f>
        <v>1</v>
      </c>
      <c r="E4731" s="19" t="n">
        <f aca="false">rel27_B</f>
        <v>1.05</v>
      </c>
      <c r="F4731" s="19" t="n">
        <f aca="false">rel28_B</f>
        <v>1.08</v>
      </c>
      <c r="G4731" s="19" t="n">
        <f aca="false">rel29_B</f>
        <v>1.1</v>
      </c>
    </row>
    <row r="4732" customFormat="false" ht="17.15" hidden="false" customHeight="false" outlineLevel="0" collapsed="false">
      <c r="A4732" s="4" t="s">
        <v>551</v>
      </c>
      <c r="B4732" s="0" t="s">
        <v>502</v>
      </c>
      <c r="D4732" s="23" t="n">
        <f aca="false">D4733*1000/D4729</f>
        <v>236.842105263158</v>
      </c>
      <c r="E4732" s="23" t="n">
        <f aca="false">$D4732*E4730^el</f>
        <v>267.763172119488</v>
      </c>
      <c r="F4732" s="23" t="n">
        <f aca="false">$D4732*F4730^el</f>
        <v>283.084777049615</v>
      </c>
      <c r="G4732" s="23" t="n">
        <f aca="false">$D4732*G4730^el</f>
        <v>283.399764630809</v>
      </c>
      <c r="K4732" s="8" t="s">
        <v>552</v>
      </c>
    </row>
    <row r="4733" customFormat="false" ht="17.15" hidden="false" customHeight="false" outlineLevel="0" collapsed="false">
      <c r="A4733" s="0" t="s">
        <v>553</v>
      </c>
      <c r="B4733" s="0" t="s">
        <v>120</v>
      </c>
      <c r="D4733" s="22" t="n">
        <f aca="false">leap26-D4734-D4735</f>
        <v>3.6</v>
      </c>
      <c r="E4733" s="22" t="n">
        <f aca="false">E4729*E4731*E4732/1000</f>
        <v>6.66328653819345</v>
      </c>
      <c r="F4733" s="22" t="n">
        <f aca="false">F4729*F4731*F4732/1000</f>
        <v>6.48150905532798</v>
      </c>
      <c r="G4733" s="22" t="n">
        <f aca="false">G4729*G4731*G4732/1000</f>
        <v>7.98911021488366</v>
      </c>
      <c r="K4733" s="8" t="s">
        <v>554</v>
      </c>
    </row>
    <row r="4734" customFormat="false" ht="17.15" hidden="false" customHeight="false" outlineLevel="0" collapsed="false">
      <c r="A4734" s="4" t="s">
        <v>555</v>
      </c>
      <c r="B4734" s="0" t="s">
        <v>120</v>
      </c>
      <c r="D4734" s="22" t="n">
        <f aca="false">fp26</f>
        <v>0.3</v>
      </c>
      <c r="E4734" s="22" t="n">
        <f aca="false">fp27_B</f>
        <v>1</v>
      </c>
      <c r="F4734" s="22" t="n">
        <f aca="false">E4734*F4729/E4729*(1+fp_g)</f>
        <v>1.16286919831224</v>
      </c>
      <c r="G4734" s="22" t="n">
        <f aca="false">F4734*G4729/F4729*(1+fp_g)</f>
        <v>1.82744620253165</v>
      </c>
    </row>
    <row r="4735" customFormat="false" ht="17.15" hidden="false" customHeight="false" outlineLevel="0" collapsed="false">
      <c r="A4735" s="0" t="s">
        <v>556</v>
      </c>
      <c r="B4735" s="0" t="s">
        <v>120</v>
      </c>
      <c r="D4735" s="22" t="n">
        <f aca="false">cpo27*cpo_B_26/cpo_A_27</f>
        <v>0.1</v>
      </c>
      <c r="E4735" s="22" t="n">
        <f aca="false">cpo27*cpo_B_27/cpo_A_27</f>
        <v>0.3</v>
      </c>
      <c r="F4735" s="22" t="n">
        <f aca="false">cpo27*cpo_B_28/cpo_A_27*F4729/E4729</f>
        <v>0.447257383966245</v>
      </c>
      <c r="G4735" s="22" t="n">
        <f aca="false">cpo27*cpo_B_29/cpo_A_27*G4729/E4729</f>
        <v>0.86506329113924</v>
      </c>
      <c r="K4735" s="8" t="s">
        <v>557</v>
      </c>
    </row>
    <row r="4736" customFormat="false" ht="17.15" hidden="false" customHeight="false" outlineLevel="0" collapsed="false">
      <c r="A4736" s="0" t="s">
        <v>510</v>
      </c>
      <c r="B4736" s="0" t="s">
        <v>120</v>
      </c>
      <c r="C4736" s="22" t="n">
        <f aca="false">leap25</f>
        <v>1.6</v>
      </c>
      <c r="D4736" s="22" t="n">
        <f aca="false">D4733+D4734+D4735</f>
        <v>4</v>
      </c>
      <c r="E4736" s="22" t="n">
        <f aca="false">E4733+E4734+E4735</f>
        <v>7.96328653819345</v>
      </c>
      <c r="F4736" s="22" t="n">
        <f aca="false">F4733+F4734+F4735</f>
        <v>8.09163563760646</v>
      </c>
      <c r="G4736" s="22" t="n">
        <f aca="false">G4733+G4734+G4735</f>
        <v>10.6816197085545</v>
      </c>
    </row>
    <row r="4737" customFormat="false" ht="17.15" hidden="false" customHeight="false" outlineLevel="0" collapsed="false">
      <c r="A4737" s="4" t="s">
        <v>558</v>
      </c>
      <c r="B4737" s="0" t="s">
        <v>114</v>
      </c>
      <c r="C4737" s="19" t="n">
        <f aca="false">fx25</f>
        <v>31</v>
      </c>
      <c r="D4737" s="19" t="n">
        <f aca="false">a26_leap/D4736</f>
        <v>31.9</v>
      </c>
      <c r="E4737" s="19" t="n">
        <f aca="false">fx</f>
        <v>32</v>
      </c>
      <c r="F4737" s="19" t="n">
        <f aca="false">fx</f>
        <v>32</v>
      </c>
      <c r="G4737" s="19" t="n">
        <f aca="false">fx</f>
        <v>32</v>
      </c>
      <c r="K4737" s="8" t="s">
        <v>559</v>
      </c>
    </row>
    <row r="4738" customFormat="false" ht="17.15" hidden="false" customHeight="false" outlineLevel="0" collapsed="false">
      <c r="A4738" s="6" t="s">
        <v>560</v>
      </c>
    </row>
    <row r="4739" customFormat="false" ht="17.15" hidden="false" customHeight="false" outlineLevel="0" collapsed="false">
      <c r="A4739" s="0" t="s">
        <v>438</v>
      </c>
      <c r="B4739" s="0" t="s">
        <v>234</v>
      </c>
      <c r="C4739" s="30" t="n">
        <f aca="false">a25_leap</f>
        <v>49.6</v>
      </c>
      <c r="D4739" s="30" t="n">
        <f aca="false">a26_leap</f>
        <v>127.6</v>
      </c>
      <c r="E4739" s="30" t="n">
        <f aca="false">E4736*E4737</f>
        <v>254.82516922219</v>
      </c>
      <c r="F4739" s="30" t="n">
        <f aca="false">F4736*F4737</f>
        <v>258.932340403407</v>
      </c>
      <c r="G4739" s="30" t="n">
        <f aca="false">G4736*G4737</f>
        <v>341.811830673745</v>
      </c>
    </row>
    <row r="4740" customFormat="false" ht="15" hidden="false" customHeight="false" outlineLevel="0" collapsed="false">
      <c r="A4740" s="4" t="s">
        <v>561</v>
      </c>
      <c r="B4740" s="0" t="s">
        <v>234</v>
      </c>
      <c r="C4740" s="30" t="n">
        <f aca="false">a25_ms</f>
        <v>339.628</v>
      </c>
      <c r="D4740" s="30" t="n">
        <f aca="false">a26_ms</f>
        <v>432.1302</v>
      </c>
      <c r="E4740" s="30" t="n">
        <f aca="false">D4740*(1+g_ms27)</f>
        <v>496.94973</v>
      </c>
      <c r="F4740" s="30" t="n">
        <f aca="false">E4740*(1+g_msL)</f>
        <v>531.7362111</v>
      </c>
      <c r="G4740" s="30" t="n">
        <f aca="false">F4740*(1+g_msL)</f>
        <v>568.957745877</v>
      </c>
    </row>
    <row r="4741" customFormat="false" ht="17.15" hidden="false" customHeight="false" outlineLevel="0" collapsed="false">
      <c r="A4741" s="4" t="s">
        <v>562</v>
      </c>
      <c r="B4741" s="0" t="s">
        <v>234</v>
      </c>
      <c r="C4741" s="30" t="n">
        <f aca="false">C4739+C4740</f>
        <v>389.228</v>
      </c>
      <c r="D4741" s="30" t="n">
        <f aca="false">D4739+D4740</f>
        <v>559.7302</v>
      </c>
      <c r="E4741" s="30" t="n">
        <f aca="false">E4739+E4740</f>
        <v>751.77489922219</v>
      </c>
      <c r="F4741" s="30" t="n">
        <f aca="false">F4739+F4740</f>
        <v>790.668551503407</v>
      </c>
      <c r="G4741" s="30" t="n">
        <f aca="false">G4739+G4740</f>
        <v>910.769576550745</v>
      </c>
    </row>
    <row r="4742" customFormat="false" ht="17.15" hidden="false" customHeight="false" outlineLevel="0" collapsed="false">
      <c r="A4742" s="0" t="s">
        <v>563</v>
      </c>
      <c r="B4742" s="0" t="s">
        <v>234</v>
      </c>
      <c r="C4742" s="30" t="n">
        <f aca="false">a25_ems</f>
        <v>259.079</v>
      </c>
      <c r="D4742" s="30" t="n">
        <f aca="false">a26_ems</f>
        <v>314.602</v>
      </c>
      <c r="E4742" s="30" t="n">
        <f aca="false">D4742*(1+g_ems27)</f>
        <v>346.0622</v>
      </c>
      <c r="F4742" s="30" t="n">
        <f aca="false">E4742*(1+g_emsL)</f>
        <v>363.36531</v>
      </c>
      <c r="G4742" s="30" t="n">
        <f aca="false">F4742*(1+g_emsL)</f>
        <v>381.5335755</v>
      </c>
    </row>
    <row r="4743" customFormat="false" ht="17.15" hidden="false" customHeight="false" outlineLevel="0" collapsed="false">
      <c r="A4743" s="4" t="s">
        <v>564</v>
      </c>
      <c r="B4743" s="0" t="s">
        <v>234</v>
      </c>
      <c r="C4743" s="30" t="n">
        <f aca="false">a25_elim</f>
        <v>-2.91899999999998</v>
      </c>
      <c r="D4743" s="30" t="n">
        <f aca="false">a26_elim</f>
        <v>-3.16484905982349</v>
      </c>
      <c r="E4743" s="30" t="n">
        <f aca="false">$D4743/($D4741+$D4742)*(E4741+E4742)</f>
        <v>-3.97387710450638</v>
      </c>
      <c r="F4743" s="30" t="n">
        <f aca="false">$D4743/($D4741+$D4742)*(F4741+F4742)</f>
        <v>-4.17729437573445</v>
      </c>
      <c r="G4743" s="30" t="n">
        <f aca="false">$D4743/($D4741+$D4742)*(G4741+G4742)</f>
        <v>-4.67779228052533</v>
      </c>
      <c r="K4743" s="4" t="s">
        <v>565</v>
      </c>
    </row>
    <row r="4744" customFormat="false" ht="17.15" hidden="false" customHeight="false" outlineLevel="0" collapsed="false">
      <c r="A4744" s="4" t="s">
        <v>431</v>
      </c>
      <c r="B4744" s="0" t="s">
        <v>234</v>
      </c>
      <c r="C4744" s="30" t="n">
        <f aca="false">C4741+C4742+C4743</f>
        <v>645.388</v>
      </c>
      <c r="D4744" s="30" t="n">
        <f aca="false">D4741+D4742+D4743</f>
        <v>871.167350940177</v>
      </c>
      <c r="E4744" s="30" t="n">
        <f aca="false">E4741+E4742+E4743</f>
        <v>1093.86322211768</v>
      </c>
      <c r="F4744" s="30" t="n">
        <f aca="false">F4741+F4742+F4743</f>
        <v>1149.85656712767</v>
      </c>
      <c r="G4744" s="30" t="n">
        <f aca="false">G4741+G4742+G4743</f>
        <v>1287.62535977022</v>
      </c>
      <c r="H4744" s="31" t="n">
        <f aca="false">G4744*(1+H4745)</f>
        <v>1407.64396999115</v>
      </c>
      <c r="I4744" s="31" t="n">
        <f aca="false">H4744*(1+I4745)</f>
        <v>1501.39957757674</v>
      </c>
      <c r="J4744" s="31" t="n">
        <f aca="false">I4744*(1+J4745)</f>
        <v>1561.45556067981</v>
      </c>
      <c r="K4744" s="8" t="s">
        <v>566</v>
      </c>
    </row>
    <row r="4745" customFormat="false" ht="15" hidden="false" customHeight="false" outlineLevel="0" collapsed="false">
      <c r="A4745" s="4" t="s">
        <v>567</v>
      </c>
      <c r="B4745" s="0" t="s">
        <v>76</v>
      </c>
      <c r="D4745" s="21" t="n">
        <f aca="false">D4744/C4744-1</f>
        <v>0.349835061916516</v>
      </c>
      <c r="E4745" s="21" t="n">
        <f aca="false">E4744/D4744-1</f>
        <v>0.255629266796065</v>
      </c>
      <c r="F4745" s="21" t="n">
        <f aca="false">F4744/E4744-1</f>
        <v>0.0511886165270159</v>
      </c>
      <c r="G4745" s="21" t="n">
        <f aca="false">G4744/F4744-1</f>
        <v>0.11981389382042</v>
      </c>
      <c r="H4745" s="26" t="n">
        <f aca="false">$G4745+(fade_gB-$G4745)*1/3</f>
        <v>0.0932092625469469</v>
      </c>
      <c r="I4745" s="26" t="n">
        <f aca="false">$G4745+(fade_gB-$G4745)*2/3</f>
        <v>0.0666046312734734</v>
      </c>
      <c r="J4745" s="26" t="n">
        <f aca="false">$G4745+(fade_gB-$G4745)*3/3</f>
        <v>0.04</v>
      </c>
    </row>
    <row r="4746" customFormat="false" ht="17.15" hidden="false" customHeight="false" outlineLevel="0" collapsed="false">
      <c r="A4746" s="0" t="s">
        <v>475</v>
      </c>
      <c r="B4746" s="0" t="s">
        <v>76</v>
      </c>
      <c r="C4746" s="21" t="n">
        <f aca="false">C4739/C4741</f>
        <v>0.127431736668482</v>
      </c>
      <c r="D4746" s="21" t="n">
        <f aca="false">D4739/D4741</f>
        <v>0.227966974088588</v>
      </c>
      <c r="E4746" s="21" t="n">
        <f aca="false">E4739/E4741</f>
        <v>0.338964721335922</v>
      </c>
      <c r="F4746" s="21" t="n">
        <f aca="false">F4739/F4741</f>
        <v>0.327485315953269</v>
      </c>
      <c r="G4746" s="21" t="n">
        <f aca="false">G4739/G4741</f>
        <v>0.375300009436251</v>
      </c>
    </row>
    <row r="4747" customFormat="false" ht="15" hidden="false" customHeight="false" outlineLevel="0" collapsed="false">
      <c r="A4747" s="4" t="s">
        <v>568</v>
      </c>
      <c r="B4747" s="0" t="s">
        <v>76</v>
      </c>
      <c r="D4747" s="21" t="n">
        <f aca="false">D4741/C4741-1</f>
        <v>0.438052247012034</v>
      </c>
      <c r="E4747" s="21" t="n">
        <f aca="false">E4741/D4741-1</f>
        <v>0.343102264666424</v>
      </c>
      <c r="F4747" s="21" t="n">
        <f aca="false">F4741/E4741-1</f>
        <v>0.0517357686741828</v>
      </c>
      <c r="G4747" s="21" t="n">
        <f aca="false">G4741/F4741-1</f>
        <v>0.151898067551788</v>
      </c>
    </row>
    <row r="4748" customFormat="false" ht="17.15" hidden="false" customHeight="false" outlineLevel="0" collapsed="false">
      <c r="A4748" s="6" t="s">
        <v>569</v>
      </c>
    </row>
    <row r="4749" customFormat="false" ht="17.15" hidden="false" customHeight="false" outlineLevel="0" collapsed="false">
      <c r="A4749" s="4" t="s">
        <v>570</v>
      </c>
      <c r="B4749" s="0" t="s">
        <v>120</v>
      </c>
      <c r="C4749" s="19" t="n">
        <f aca="false">capex25</f>
        <v>5.5</v>
      </c>
      <c r="D4749" s="19" t="n">
        <f aca="false">capex26</f>
        <v>11.5</v>
      </c>
      <c r="E4749" s="19" t="n">
        <f aca="false">capex27</f>
        <v>13</v>
      </c>
      <c r="F4749" s="19" t="n">
        <f aca="false">capi*F4744/F4737</f>
        <v>10.7799053168219</v>
      </c>
      <c r="G4749" s="19" t="n">
        <f aca="false">capi*G4744/G4737</f>
        <v>12.0714877478458</v>
      </c>
      <c r="K4749" s="8" t="s">
        <v>571</v>
      </c>
    </row>
    <row r="4750" customFormat="false" ht="15" hidden="false" customHeight="false" outlineLevel="0" collapsed="false">
      <c r="A4750" s="4" t="s">
        <v>572</v>
      </c>
      <c r="B4750" s="0" t="s">
        <v>234</v>
      </c>
      <c r="C4750" s="30" t="n">
        <f aca="false">C4749*C4737</f>
        <v>170.5</v>
      </c>
      <c r="D4750" s="30" t="n">
        <f aca="false">D4749*31.9</f>
        <v>366.85</v>
      </c>
      <c r="E4750" s="30" t="n">
        <f aca="false">E4749*E4737</f>
        <v>416</v>
      </c>
      <c r="F4750" s="30" t="n">
        <f aca="false">F4749*F4737</f>
        <v>344.956970138302</v>
      </c>
      <c r="G4750" s="30" t="n">
        <f aca="false">G4749*G4737</f>
        <v>386.287607931066</v>
      </c>
    </row>
    <row r="4751" customFormat="false" ht="17.15" hidden="false" customHeight="false" outlineLevel="0" collapsed="false">
      <c r="A4751" s="4" t="s">
        <v>473</v>
      </c>
      <c r="B4751" s="0" t="s">
        <v>76</v>
      </c>
      <c r="C4751" s="21" t="n">
        <f aca="false">C4750/C4744</f>
        <v>0.264182166386732</v>
      </c>
      <c r="D4751" s="21" t="n">
        <f aca="false">D4750/D4744</f>
        <v>0.421101639775745</v>
      </c>
      <c r="E4751" s="21" t="n">
        <f aca="false">E4750/E4744</f>
        <v>0.380303489127861</v>
      </c>
      <c r="F4751" s="21" t="n">
        <f aca="false">F4750/F4744</f>
        <v>0.3</v>
      </c>
      <c r="G4751" s="21" t="n">
        <f aca="false">G4750/G4744</f>
        <v>0.3</v>
      </c>
    </row>
    <row r="4752" customFormat="false" ht="17.15" hidden="false" customHeight="false" outlineLevel="0" collapsed="false">
      <c r="A4752" s="4" t="s">
        <v>573</v>
      </c>
      <c r="B4752" s="0" t="s">
        <v>234</v>
      </c>
      <c r="C4752" s="30" t="n">
        <f aca="false">a25_da</f>
        <v>75.255</v>
      </c>
      <c r="D4752" s="30" t="n">
        <f aca="false">a26_da</f>
        <v>97.124</v>
      </c>
      <c r="E4752" s="30" t="n">
        <f aca="false">D4752*(1-1/life)+D4750/life</f>
        <v>130.83975</v>
      </c>
      <c r="F4752" s="30" t="n">
        <f aca="false">E4752*(1-1/life)+E4750/life</f>
        <v>166.48478125</v>
      </c>
      <c r="G4752" s="30" t="n">
        <f aca="false">F4752*(1-1/life)+F4750/life</f>
        <v>188.793804861038</v>
      </c>
      <c r="K4752" s="4" t="s">
        <v>574</v>
      </c>
    </row>
    <row r="4753" customFormat="false" ht="17.15" hidden="false" customHeight="false" outlineLevel="0" collapsed="false">
      <c r="A4753" s="4" t="s">
        <v>575</v>
      </c>
      <c r="B4753" s="0" t="s">
        <v>234</v>
      </c>
      <c r="C4753" s="30" t="n">
        <f aca="false">a25_agp</f>
        <v>91.38</v>
      </c>
      <c r="D4753" s="30" t="n">
        <f aca="false">a26_agp</f>
        <v>164.623388</v>
      </c>
      <c r="E4753" s="30" t="n">
        <f aca="false">$D4753+ft*(E4741-$D4741)-(E4752-$D4752)</f>
        <v>226.929987611095</v>
      </c>
      <c r="F4753" s="30" t="n">
        <f aca="false">$D4753+ft*(F4741-$D4741)-(F4752-$D4752)</f>
        <v>210.731782501703</v>
      </c>
      <c r="G4753" s="30" t="n">
        <f aca="false">$D4753+ft*(G4741-$D4741)-(G4752-$D4752)</f>
        <v>248.473271414335</v>
      </c>
      <c r="K4753" s="4" t="s">
        <v>576</v>
      </c>
    </row>
    <row r="4754" customFormat="false" ht="15" hidden="false" customHeight="false" outlineLevel="0" collapsed="false">
      <c r="A4754" s="4" t="s">
        <v>447</v>
      </c>
      <c r="B4754" s="0" t="s">
        <v>76</v>
      </c>
      <c r="C4754" s="14" t="n">
        <f aca="false">C4753/C4741</f>
        <v>0.234772421305764</v>
      </c>
      <c r="D4754" s="14" t="n">
        <f aca="false">D4753/D4741</f>
        <v>0.294112034690999</v>
      </c>
      <c r="E4754" s="14" t="n">
        <f aca="false">E4753/E4741</f>
        <v>0.301858957842147</v>
      </c>
      <c r="F4754" s="14" t="n">
        <f aca="false">F4753/F4741</f>
        <v>0.26652354150296</v>
      </c>
      <c r="G4754" s="14" t="n">
        <f aca="false">G4753/G4741</f>
        <v>0.272816832941818</v>
      </c>
    </row>
    <row r="4755" customFormat="false" ht="17.15" hidden="false" customHeight="false" outlineLevel="0" collapsed="false">
      <c r="A4755" s="0" t="s">
        <v>449</v>
      </c>
      <c r="B4755" s="0" t="s">
        <v>234</v>
      </c>
      <c r="C4755" s="30" t="n">
        <f aca="false">a25_egp</f>
        <v>23.695</v>
      </c>
      <c r="D4755" s="30" t="n">
        <f aca="false">a26_egp</f>
        <v>27.00552</v>
      </c>
      <c r="E4755" s="30" t="n">
        <f aca="false">E4742*ems_gm</f>
        <v>29.415287</v>
      </c>
      <c r="F4755" s="30" t="n">
        <f aca="false">F4742*ems_gm</f>
        <v>30.88605135</v>
      </c>
      <c r="G4755" s="30" t="n">
        <f aca="false">G4742*ems_gm</f>
        <v>32.4303539175</v>
      </c>
    </row>
    <row r="4756" customFormat="false" ht="15" hidden="false" customHeight="false" outlineLevel="0" collapsed="false">
      <c r="A4756" s="4" t="s">
        <v>577</v>
      </c>
      <c r="B4756" s="0" t="s">
        <v>234</v>
      </c>
      <c r="C4756" s="30" t="n">
        <f aca="false">a25_lgp</f>
        <v>-0.881999999999998</v>
      </c>
      <c r="D4756" s="30" t="n">
        <f aca="false">a26_lgp</f>
        <v>-0.948662139013863</v>
      </c>
      <c r="E4756" s="30" t="n">
        <f aca="false">$D4756/$D4743*E4743</f>
        <v>-1.19116794604716</v>
      </c>
      <c r="F4756" s="30" t="n">
        <f aca="false">$D4756/$D4743*F4743</f>
        <v>-1.25214218525664</v>
      </c>
      <c r="G4756" s="30" t="n">
        <f aca="false">$D4756/$D4743*G4743</f>
        <v>-1.40216621608905</v>
      </c>
    </row>
    <row r="4757" customFormat="false" ht="15" hidden="false" customHeight="false" outlineLevel="0" collapsed="false">
      <c r="A4757" s="4" t="s">
        <v>451</v>
      </c>
      <c r="B4757" s="0" t="s">
        <v>234</v>
      </c>
      <c r="C4757" s="30" t="n">
        <f aca="false">C4753+C4755+C4756</f>
        <v>114.193</v>
      </c>
      <c r="D4757" s="30" t="n">
        <f aca="false">D4753+D4755+D4756</f>
        <v>190.680245860986</v>
      </c>
      <c r="E4757" s="30" t="n">
        <f aca="false">E4753+E4755+E4756</f>
        <v>255.154106665048</v>
      </c>
      <c r="F4757" s="30" t="n">
        <f aca="false">F4753+F4755+F4756</f>
        <v>240.365691666447</v>
      </c>
      <c r="G4757" s="30" t="n">
        <f aca="false">G4753+G4755+G4756</f>
        <v>279.501459115746</v>
      </c>
    </row>
    <row r="4758" customFormat="false" ht="15" hidden="false" customHeight="false" outlineLevel="0" collapsed="false">
      <c r="A4758" s="4" t="s">
        <v>452</v>
      </c>
      <c r="B4758" s="0" t="s">
        <v>76</v>
      </c>
      <c r="C4758" s="14" t="n">
        <f aca="false">C4757/C4744</f>
        <v>0.176936974347214</v>
      </c>
      <c r="D4758" s="14" t="n">
        <f aca="false">D4757/D4744</f>
        <v>0.218879008327391</v>
      </c>
      <c r="E4758" s="14" t="n">
        <f aca="false">E4757/E4744</f>
        <v>0.233259608245241</v>
      </c>
      <c r="F4758" s="14" t="n">
        <f aca="false">F4757/F4744</f>
        <v>0.209039717246541</v>
      </c>
      <c r="G4758" s="14" t="n">
        <f aca="false">G4757/G4744</f>
        <v>0.217067376776133</v>
      </c>
    </row>
    <row r="4759" customFormat="false" ht="15" hidden="false" customHeight="false" outlineLevel="0" collapsed="false">
      <c r="A4759" s="4" t="s">
        <v>578</v>
      </c>
      <c r="B4759" s="0" t="s">
        <v>234</v>
      </c>
      <c r="C4759" s="30" t="n">
        <f aca="false">a25_opx</f>
        <v>63.437</v>
      </c>
      <c r="D4759" s="30" t="n">
        <f aca="false">a26_opx</f>
        <v>79.658</v>
      </c>
      <c r="E4759" s="30" t="n">
        <f aca="false">D4759*(1+phi*E4745)</f>
        <v>91.8757496806646</v>
      </c>
      <c r="F4759" s="30" t="n">
        <f aca="false">E4759*(1+phi*F4745)</f>
        <v>94.6975451917859</v>
      </c>
      <c r="G4759" s="30" t="n">
        <f aca="false">F4759*(1+phi*G4745)</f>
        <v>101.505194166584</v>
      </c>
    </row>
    <row r="4760" customFormat="false" ht="15" hidden="false" customHeight="false" outlineLevel="0" collapsed="false">
      <c r="A4760" s="4" t="s">
        <v>455</v>
      </c>
      <c r="B4760" s="0" t="s">
        <v>234</v>
      </c>
      <c r="C4760" s="30" t="n">
        <f aca="false">C4757-C4759</f>
        <v>50.756</v>
      </c>
      <c r="D4760" s="30" t="n">
        <f aca="false">D4757-D4759</f>
        <v>111.022245860986</v>
      </c>
      <c r="E4760" s="30" t="n">
        <f aca="false">E4757-E4759</f>
        <v>163.278356984383</v>
      </c>
      <c r="F4760" s="30" t="n">
        <f aca="false">F4757-F4759</f>
        <v>145.668146474661</v>
      </c>
      <c r="G4760" s="30" t="n">
        <f aca="false">G4757-G4759</f>
        <v>177.996264949162</v>
      </c>
    </row>
    <row r="4761" customFormat="false" ht="15" hidden="false" customHeight="false" outlineLevel="0" collapsed="false">
      <c r="A4761" s="4" t="s">
        <v>537</v>
      </c>
      <c r="B4761" s="0" t="s">
        <v>76</v>
      </c>
      <c r="C4761" s="14" t="n">
        <f aca="false">C4760/C4744</f>
        <v>0.0786441644406156</v>
      </c>
      <c r="D4761" s="14" t="n">
        <f aca="false">D4760/D4744</f>
        <v>0.127440779020437</v>
      </c>
      <c r="E4761" s="14" t="n">
        <f aca="false">E4760/E4744</f>
        <v>0.149267617452465</v>
      </c>
      <c r="F4761" s="14" t="n">
        <f aca="false">F4760/F4744</f>
        <v>0.126683753990759</v>
      </c>
      <c r="G4761" s="14" t="n">
        <f aca="false">G4760/G4744</f>
        <v>0.138236066569026</v>
      </c>
    </row>
    <row r="4762" customFormat="false" ht="15" hidden="false" customHeight="false" outlineLevel="0" collapsed="false">
      <c r="A4762" s="4" t="s">
        <v>456</v>
      </c>
      <c r="B4762" s="0" t="s">
        <v>234</v>
      </c>
      <c r="C4762" s="30" t="n">
        <f aca="false">a25_nonop</f>
        <v>0.545</v>
      </c>
      <c r="D4762" s="30" t="n">
        <f aca="false">a26_nonop</f>
        <v>4.302</v>
      </c>
      <c r="E4762" s="30" t="n">
        <f aca="false">nonop_f_hi</f>
        <v>-2</v>
      </c>
      <c r="F4762" s="30" t="n">
        <f aca="false">nonop_f_hi</f>
        <v>-2</v>
      </c>
      <c r="G4762" s="30" t="n">
        <f aca="false">nonop_f_hi</f>
        <v>-2</v>
      </c>
    </row>
    <row r="4763" customFormat="false" ht="15" hidden="false" customHeight="false" outlineLevel="0" collapsed="false">
      <c r="A4763" s="4" t="s">
        <v>459</v>
      </c>
      <c r="B4763" s="0" t="s">
        <v>234</v>
      </c>
      <c r="C4763" s="30" t="n">
        <f aca="false">C4760+C4762</f>
        <v>51.301</v>
      </c>
      <c r="D4763" s="30" t="n">
        <f aca="false">D4760+D4762</f>
        <v>115.324245860986</v>
      </c>
      <c r="E4763" s="30" t="n">
        <f aca="false">E4760+E4762</f>
        <v>161.278356984383</v>
      </c>
      <c r="F4763" s="30" t="n">
        <f aca="false">F4760+F4762</f>
        <v>143.668146474661</v>
      </c>
      <c r="G4763" s="30" t="n">
        <f aca="false">G4760+G4762</f>
        <v>175.996264949162</v>
      </c>
    </row>
    <row r="4764" customFormat="false" ht="15" hidden="false" customHeight="false" outlineLevel="0" collapsed="false">
      <c r="A4764" s="4" t="s">
        <v>460</v>
      </c>
      <c r="B4764" s="0" t="s">
        <v>234</v>
      </c>
      <c r="C4764" s="30" t="n">
        <f aca="false">a25_tax</f>
        <v>9.461</v>
      </c>
      <c r="D4764" s="30" t="n">
        <f aca="false">a26_tax</f>
        <v>19.2197317963676</v>
      </c>
      <c r="E4764" s="30" t="n">
        <f aca="false">E4763*tax</f>
        <v>27.4173206873452</v>
      </c>
      <c r="F4764" s="30" t="n">
        <f aca="false">F4763*tax</f>
        <v>24.4235849006923</v>
      </c>
      <c r="G4764" s="30" t="n">
        <f aca="false">G4763*tax</f>
        <v>29.9193650413576</v>
      </c>
    </row>
    <row r="4765" customFormat="false" ht="15" hidden="false" customHeight="false" outlineLevel="0" collapsed="false">
      <c r="A4765" s="4" t="s">
        <v>461</v>
      </c>
      <c r="B4765" s="0" t="s">
        <v>234</v>
      </c>
      <c r="C4765" s="30" t="n">
        <f aca="false">a25_nci</f>
        <v>1.182</v>
      </c>
      <c r="D4765" s="30" t="n">
        <f aca="false">a26_nci</f>
        <v>2.543</v>
      </c>
      <c r="E4765" s="30" t="n">
        <f aca="false">nci</f>
        <v>3</v>
      </c>
      <c r="F4765" s="30" t="n">
        <f aca="false">nci</f>
        <v>3</v>
      </c>
      <c r="G4765" s="30" t="n">
        <f aca="false">nci</f>
        <v>3</v>
      </c>
    </row>
    <row r="4766" customFormat="false" ht="15" hidden="false" customHeight="false" outlineLevel="0" collapsed="false">
      <c r="A4766" s="4" t="s">
        <v>462</v>
      </c>
      <c r="B4766" s="0" t="s">
        <v>234</v>
      </c>
      <c r="C4766" s="30" t="n">
        <f aca="false">C4763-C4764-C4765</f>
        <v>40.658</v>
      </c>
      <c r="D4766" s="30" t="n">
        <f aca="false">D4763-D4764-D4765</f>
        <v>93.5615140646185</v>
      </c>
      <c r="E4766" s="30" t="n">
        <f aca="false">E4763-E4764-E4765</f>
        <v>130.861036297038</v>
      </c>
      <c r="F4766" s="30" t="n">
        <f aca="false">F4763-F4764-F4765</f>
        <v>116.244561573968</v>
      </c>
      <c r="G4766" s="30" t="n">
        <f aca="false">G4763-G4764-G4765</f>
        <v>143.076899907805</v>
      </c>
      <c r="H4766" s="31" t="n">
        <f aca="false">H4744*H4770</f>
        <v>150.382598508735</v>
      </c>
      <c r="I4766" s="31" t="n">
        <f aca="false">I4744*I4770</f>
        <v>153.966730154757</v>
      </c>
      <c r="J4766" s="31" t="n">
        <f aca="false">J4744*J4770</f>
        <v>153.436071648244</v>
      </c>
    </row>
    <row r="4767" customFormat="false" ht="15" hidden="false" customHeight="false" outlineLevel="0" collapsed="false">
      <c r="A4767" s="4" t="s">
        <v>579</v>
      </c>
      <c r="B4767" s="4" t="s">
        <v>580</v>
      </c>
      <c r="C4767" s="18" t="n">
        <f aca="false">a25_sh</f>
        <v>4339.16755602988</v>
      </c>
      <c r="D4767" s="18" t="n">
        <f aca="false">a26_sh</f>
        <v>4392.90105184664</v>
      </c>
      <c r="E4767" s="18" t="n">
        <f aca="false">D4767*(1+sh_g)</f>
        <v>4414.86555710588</v>
      </c>
      <c r="F4767" s="18" t="n">
        <f aca="false">E4767*(1+sh_g)</f>
        <v>4436.9398848914</v>
      </c>
      <c r="G4767" s="18" t="n">
        <f aca="false">F4767*(1+sh_g)</f>
        <v>4459.12458431586</v>
      </c>
      <c r="H4767" s="25" t="n">
        <f aca="false">G4767*(1+sh_g)</f>
        <v>4481.42020723744</v>
      </c>
      <c r="I4767" s="25" t="n">
        <f aca="false">H4767*(1+sh_g)</f>
        <v>4503.82730827363</v>
      </c>
      <c r="J4767" s="25" t="n">
        <f aca="false">I4767*(1+sh_g)</f>
        <v>4526.34644481499</v>
      </c>
    </row>
    <row r="4768" customFormat="false" ht="17.15" hidden="false" customHeight="false" outlineLevel="0" collapsed="false">
      <c r="A4768" s="0" t="s">
        <v>465</v>
      </c>
      <c r="B4768" s="0" t="s">
        <v>304</v>
      </c>
      <c r="C4768" s="19" t="n">
        <f aca="false">a25_eps</f>
        <v>9.37</v>
      </c>
      <c r="D4768" s="19" t="n">
        <f aca="false">a26_eps</f>
        <v>21.2828697294455</v>
      </c>
      <c r="E4768" s="19" t="n">
        <f aca="false">E4766/E4767*1000</f>
        <v>29.6410014312696</v>
      </c>
      <c r="F4768" s="19" t="n">
        <f aca="false">F4766/F4767*1000</f>
        <v>26.1992644907817</v>
      </c>
      <c r="G4768" s="19" t="n">
        <f aca="false">G4766/G4767*1000</f>
        <v>32.0863203533382</v>
      </c>
      <c r="H4768" s="28" t="n">
        <f aca="false">H4766/H4767*1000</f>
        <v>33.5569064168249</v>
      </c>
      <c r="I4768" s="28" t="n">
        <f aca="false">I4766/I4767*1000</f>
        <v>34.1857534972348</v>
      </c>
      <c r="J4768" s="28" t="n">
        <f aca="false">J4766/J4767*1000</f>
        <v>33.8984374083887</v>
      </c>
    </row>
    <row r="4769" customFormat="false" ht="17.15" hidden="false" customHeight="false" outlineLevel="0" collapsed="false">
      <c r="A4769" s="0" t="s">
        <v>581</v>
      </c>
      <c r="B4769" s="0" t="s">
        <v>76</v>
      </c>
      <c r="D4769" s="21" t="n">
        <f aca="false">D4768/C4768-1</f>
        <v>1.27138417603474</v>
      </c>
      <c r="E4769" s="21" t="n">
        <f aca="false">E4768/D4768-1</f>
        <v>0.392716386844222</v>
      </c>
      <c r="F4769" s="21" t="n">
        <f aca="false">F4768/E4768-1</f>
        <v>-0.116114057363024</v>
      </c>
      <c r="G4769" s="21" t="n">
        <f aca="false">G4768/F4768-1</f>
        <v>0.224703096708224</v>
      </c>
      <c r="H4769" s="26" t="n">
        <f aca="false">H4768/G4768-1</f>
        <v>0.04583218166784</v>
      </c>
      <c r="I4769" s="26" t="n">
        <f aca="false">I4768/H4768-1</f>
        <v>0.01873972149276</v>
      </c>
      <c r="J4769" s="26" t="n">
        <f aca="false">J4768/I4768-1</f>
        <v>-0.00840455626842629</v>
      </c>
    </row>
    <row r="4770" customFormat="false" ht="17.15" hidden="false" customHeight="false" outlineLevel="0" collapsed="false">
      <c r="A4770" s="4" t="s">
        <v>582</v>
      </c>
      <c r="B4770" s="0" t="s">
        <v>76</v>
      </c>
      <c r="C4770" s="14" t="n">
        <f aca="false">C4766/C4744</f>
        <v>0.0629977625862272</v>
      </c>
      <c r="D4770" s="14" t="n">
        <f aca="false">D4766/D4744</f>
        <v>0.107397865592237</v>
      </c>
      <c r="E4770" s="14" t="n">
        <f aca="false">E4766/E4744</f>
        <v>0.11963199205445</v>
      </c>
      <c r="F4770" s="14" t="n">
        <f aca="false">F4766/F4744</f>
        <v>0.101094836431944</v>
      </c>
      <c r="G4770" s="14" t="n">
        <f aca="false">G4766/G4744</f>
        <v>0.111116870153394</v>
      </c>
      <c r="H4770" s="27" t="n">
        <f aca="false">$G4770+(fade_mB-$G4770)*1/3</f>
        <v>0.106832836793014</v>
      </c>
      <c r="I4770" s="27" t="n">
        <f aca="false">$G4770+(fade_mB-$G4770)*2/3</f>
        <v>0.102548803432634</v>
      </c>
      <c r="J4770" s="27" t="n">
        <f aca="false">$G4770+(fade_mB-$G4770)*3/3</f>
        <v>0.0982647700722541</v>
      </c>
    </row>
    <row r="4771" customFormat="false" ht="17.15" hidden="false" customHeight="false" outlineLevel="0" collapsed="false">
      <c r="A4771" s="4" t="s">
        <v>583</v>
      </c>
      <c r="B4771" s="0" t="s">
        <v>234</v>
      </c>
      <c r="C4771" s="30" t="n">
        <f aca="false">C4766+C4752-C4750</f>
        <v>-54.587</v>
      </c>
      <c r="D4771" s="30" t="n">
        <f aca="false">D4766+D4752-D4750</f>
        <v>-176.164485935382</v>
      </c>
      <c r="E4771" s="30" t="n">
        <f aca="false">E4766+E4752-E4750</f>
        <v>-154.299213702962</v>
      </c>
      <c r="F4771" s="30" t="n">
        <f aca="false">F4766+F4752-F4750</f>
        <v>-62.2276273143332</v>
      </c>
      <c r="G4771" s="30" t="n">
        <f aca="false">G4766+G4752-G4750</f>
        <v>-54.4169031622238</v>
      </c>
      <c r="K4771" s="4" t="s">
        <v>584</v>
      </c>
    </row>
    <row r="4772" customFormat="false" ht="17.15" hidden="false" customHeight="false" outlineLevel="0" collapsed="false">
      <c r="A4772" s="4" t="s">
        <v>585</v>
      </c>
      <c r="B4772" s="0" t="s">
        <v>76</v>
      </c>
      <c r="D4772" s="21" t="n">
        <f aca="false">(D4760-$C4760)/SUM($D4750:D4750)</f>
        <v>0.164280348537512</v>
      </c>
      <c r="E4772" s="21" t="n">
        <f aca="false">(E4760-$C4760)/SUM($D4750:E4750)</f>
        <v>0.143734249197654</v>
      </c>
      <c r="F4772" s="21" t="n">
        <f aca="false">(F4760-$C4760)/SUM($D4750:F4750)</f>
        <v>0.0841563751490398</v>
      </c>
      <c r="G4772" s="21" t="n">
        <f aca="false">(G4760-$C4760)/SUM($D4750:G4750)</f>
        <v>0.0840371974063913</v>
      </c>
      <c r="K4772" s="4" t="s">
        <v>586</v>
      </c>
    </row>
    <row r="4775" customFormat="false" ht="17.15" hidden="false" customHeight="false" outlineLevel="0" collapsed="false">
      <c r="A4775" s="1" t="s">
        <v>1011</v>
      </c>
    </row>
    <row r="4776" customFormat="false" ht="17.15" hidden="false" customHeight="false" outlineLevel="0" collapsed="false">
      <c r="A4776" s="5" t="s">
        <v>21</v>
      </c>
      <c r="B4776" s="5" t="s">
        <v>22</v>
      </c>
      <c r="C4776" s="15" t="s">
        <v>424</v>
      </c>
      <c r="D4776" s="15" t="s">
        <v>524</v>
      </c>
      <c r="E4776" s="15" t="s">
        <v>525</v>
      </c>
      <c r="F4776" s="15" t="s">
        <v>526</v>
      </c>
      <c r="G4776" s="15" t="s">
        <v>527</v>
      </c>
      <c r="H4776" s="15" t="s">
        <v>528</v>
      </c>
      <c r="I4776" s="15" t="s">
        <v>529</v>
      </c>
      <c r="J4776" s="15" t="s">
        <v>530</v>
      </c>
      <c r="K4776" s="5" t="s">
        <v>382</v>
      </c>
    </row>
    <row r="4777" customFormat="false" ht="17.15" hidden="false" customHeight="false" outlineLevel="0" collapsed="false">
      <c r="A4777" s="6" t="s">
        <v>548</v>
      </c>
    </row>
    <row r="4778" customFormat="false" ht="17.15" hidden="false" customHeight="false" outlineLevel="0" collapsed="false">
      <c r="A4778" s="0" t="s">
        <v>549</v>
      </c>
      <c r="B4778" s="4" t="s">
        <v>32</v>
      </c>
      <c r="D4778" s="19" t="n">
        <f aca="false">units_26</f>
        <v>15.2</v>
      </c>
      <c r="E4778" s="19" t="n">
        <f aca="false">units_27*1</f>
        <v>23.7</v>
      </c>
      <c r="F4778" s="19" t="n">
        <f aca="false">units_28*um28_C*1</f>
        <v>15.9</v>
      </c>
      <c r="G4778" s="19" t="n">
        <f aca="false">units_29*um29_C*1</f>
        <v>18.09</v>
      </c>
    </row>
    <row r="4779" customFormat="false" ht="17.15" hidden="false" customHeight="false" outlineLevel="0" collapsed="false">
      <c r="A4779" s="4" t="s">
        <v>497</v>
      </c>
      <c r="B4779" s="0" t="s">
        <v>45</v>
      </c>
      <c r="D4779" s="22" t="n">
        <f aca="false">ar_26</f>
        <v>1</v>
      </c>
      <c r="E4779" s="22" t="n">
        <f aca="false">ar_27</f>
        <v>1.278156</v>
      </c>
      <c r="F4779" s="22" t="n">
        <f aca="false">ar_28</f>
        <v>1.428615</v>
      </c>
      <c r="G4779" s="22" t="n">
        <f aca="false">ar_29</f>
        <v>1.431796</v>
      </c>
    </row>
    <row r="4780" customFormat="false" ht="17.15" hidden="false" customHeight="false" outlineLevel="0" collapsed="false">
      <c r="A4780" s="4" t="s">
        <v>550</v>
      </c>
      <c r="B4780" s="0" t="s">
        <v>45</v>
      </c>
      <c r="D4780" s="19" t="n">
        <f aca="false">1</f>
        <v>1</v>
      </c>
      <c r="E4780" s="19" t="n">
        <f aca="false">rel27_C</f>
        <v>1</v>
      </c>
      <c r="F4780" s="19" t="n">
        <f aca="false">rel28_C</f>
        <v>0.95</v>
      </c>
      <c r="G4780" s="19" t="n">
        <f aca="false">rel29_C</f>
        <v>0.92</v>
      </c>
    </row>
    <row r="4781" customFormat="false" ht="17.15" hidden="false" customHeight="false" outlineLevel="0" collapsed="false">
      <c r="A4781" s="4" t="s">
        <v>551</v>
      </c>
      <c r="B4781" s="0" t="s">
        <v>502</v>
      </c>
      <c r="D4781" s="23" t="n">
        <f aca="false">D4782*1000/D4778</f>
        <v>236.842105263158</v>
      </c>
      <c r="E4781" s="23" t="n">
        <f aca="false">$D4781*E4779^el</f>
        <v>267.763172119488</v>
      </c>
      <c r="F4781" s="23" t="n">
        <f aca="false">$D4781*F4779^el</f>
        <v>283.084777049615</v>
      </c>
      <c r="G4781" s="23" t="n">
        <f aca="false">$D4781*G4779^el</f>
        <v>283.399764630809</v>
      </c>
      <c r="K4781" s="8" t="s">
        <v>552</v>
      </c>
    </row>
    <row r="4782" customFormat="false" ht="17.15" hidden="false" customHeight="false" outlineLevel="0" collapsed="false">
      <c r="A4782" s="0" t="s">
        <v>553</v>
      </c>
      <c r="B4782" s="0" t="s">
        <v>120</v>
      </c>
      <c r="D4782" s="22" t="n">
        <f aca="false">leap26-D4783-D4784</f>
        <v>3.6</v>
      </c>
      <c r="E4782" s="22" t="n">
        <f aca="false">E4778*E4780*E4781/1000</f>
        <v>6.34598717923185</v>
      </c>
      <c r="F4782" s="22" t="n">
        <f aca="false">F4778*F4780*F4781/1000</f>
        <v>4.27599555733443</v>
      </c>
      <c r="G4782" s="22" t="n">
        <f aca="false">G4778*G4780*G4781/1000</f>
        <v>4.71656560279762</v>
      </c>
      <c r="K4782" s="8" t="s">
        <v>554</v>
      </c>
    </row>
    <row r="4783" customFormat="false" ht="17.15" hidden="false" customHeight="false" outlineLevel="0" collapsed="false">
      <c r="A4783" s="4" t="s">
        <v>555</v>
      </c>
      <c r="B4783" s="0" t="s">
        <v>120</v>
      </c>
      <c r="D4783" s="22" t="n">
        <f aca="false">fp26</f>
        <v>0.3</v>
      </c>
      <c r="E4783" s="22" t="n">
        <f aca="false">fp27_C</f>
        <v>0.7</v>
      </c>
      <c r="F4783" s="22" t="n">
        <f aca="false">E4783*F4778/E4778*(1+fp_g)</f>
        <v>0.610506329113924</v>
      </c>
      <c r="G4783" s="22" t="n">
        <f aca="false">F4783*G4778/F4778*(1+fp_g)</f>
        <v>0.902973417721519</v>
      </c>
    </row>
    <row r="4784" customFormat="false" ht="17.15" hidden="false" customHeight="false" outlineLevel="0" collapsed="false">
      <c r="A4784" s="0" t="s">
        <v>556</v>
      </c>
      <c r="B4784" s="0" t="s">
        <v>120</v>
      </c>
      <c r="D4784" s="22" t="n">
        <f aca="false">cpo27*cpo_C_26/cpo_A_27</f>
        <v>0.1</v>
      </c>
      <c r="E4784" s="22" t="n">
        <f aca="false">cpo27*cpo_C_27/cpo_A_27</f>
        <v>0.2</v>
      </c>
      <c r="F4784" s="22" t="n">
        <f aca="false">cpo27*cpo_C_28/cpo_A_27*F4778/E4778</f>
        <v>0.20126582278481</v>
      </c>
      <c r="G4784" s="22" t="n">
        <f aca="false">cpo27*cpo_C_29/cpo_A_27*G4778/E4778</f>
        <v>0.381645569620253</v>
      </c>
      <c r="K4784" s="8" t="s">
        <v>557</v>
      </c>
    </row>
    <row r="4785" customFormat="false" ht="17.15" hidden="false" customHeight="false" outlineLevel="0" collapsed="false">
      <c r="A4785" s="0" t="s">
        <v>510</v>
      </c>
      <c r="B4785" s="0" t="s">
        <v>120</v>
      </c>
      <c r="C4785" s="22" t="n">
        <f aca="false">leap25</f>
        <v>1.6</v>
      </c>
      <c r="D4785" s="22" t="n">
        <f aca="false">D4782+D4783+D4784</f>
        <v>4</v>
      </c>
      <c r="E4785" s="22" t="n">
        <f aca="false">E4782+E4783+E4784</f>
        <v>7.24598717923186</v>
      </c>
      <c r="F4785" s="22" t="n">
        <f aca="false">F4782+F4783+F4784</f>
        <v>5.08776770923316</v>
      </c>
      <c r="G4785" s="22" t="n">
        <f aca="false">G4782+G4783+G4784</f>
        <v>6.0011845901394</v>
      </c>
    </row>
    <row r="4786" customFormat="false" ht="17.15" hidden="false" customHeight="false" outlineLevel="0" collapsed="false">
      <c r="A4786" s="4" t="s">
        <v>558</v>
      </c>
      <c r="B4786" s="0" t="s">
        <v>114</v>
      </c>
      <c r="C4786" s="19" t="n">
        <f aca="false">fx25</f>
        <v>31</v>
      </c>
      <c r="D4786" s="19" t="n">
        <f aca="false">a26_leap/D4785</f>
        <v>31.9</v>
      </c>
      <c r="E4786" s="19" t="n">
        <f aca="false">fx</f>
        <v>32</v>
      </c>
      <c r="F4786" s="19" t="n">
        <f aca="false">fx</f>
        <v>32</v>
      </c>
      <c r="G4786" s="19" t="n">
        <f aca="false">fx</f>
        <v>32</v>
      </c>
      <c r="K4786" s="8" t="s">
        <v>559</v>
      </c>
    </row>
    <row r="4787" customFormat="false" ht="17.15" hidden="false" customHeight="false" outlineLevel="0" collapsed="false">
      <c r="A4787" s="6" t="s">
        <v>560</v>
      </c>
    </row>
    <row r="4788" customFormat="false" ht="17.15" hidden="false" customHeight="false" outlineLevel="0" collapsed="false">
      <c r="A4788" s="0" t="s">
        <v>438</v>
      </c>
      <c r="B4788" s="0" t="s">
        <v>234</v>
      </c>
      <c r="C4788" s="30" t="n">
        <f aca="false">a25_leap</f>
        <v>49.6</v>
      </c>
      <c r="D4788" s="30" t="n">
        <f aca="false">a26_leap</f>
        <v>127.6</v>
      </c>
      <c r="E4788" s="30" t="n">
        <f aca="false">E4785*E4786</f>
        <v>231.871589735419</v>
      </c>
      <c r="F4788" s="30" t="n">
        <f aca="false">F4785*F4786</f>
        <v>162.808566695461</v>
      </c>
      <c r="G4788" s="30" t="n">
        <f aca="false">G4785*G4786</f>
        <v>192.037906884461</v>
      </c>
    </row>
    <row r="4789" customFormat="false" ht="15" hidden="false" customHeight="false" outlineLevel="0" collapsed="false">
      <c r="A4789" s="4" t="s">
        <v>561</v>
      </c>
      <c r="B4789" s="0" t="s">
        <v>234</v>
      </c>
      <c r="C4789" s="30" t="n">
        <f aca="false">a25_ms</f>
        <v>339.628</v>
      </c>
      <c r="D4789" s="30" t="n">
        <f aca="false">a26_ms</f>
        <v>432.1302</v>
      </c>
      <c r="E4789" s="30" t="n">
        <f aca="false">D4789*(1+g_ms27)</f>
        <v>496.94973</v>
      </c>
      <c r="F4789" s="30" t="n">
        <f aca="false">E4789*(1+g_msL)</f>
        <v>531.7362111</v>
      </c>
      <c r="G4789" s="30" t="n">
        <f aca="false">F4789*(1+g_msL)</f>
        <v>568.957745877</v>
      </c>
    </row>
    <row r="4790" customFormat="false" ht="17.15" hidden="false" customHeight="false" outlineLevel="0" collapsed="false">
      <c r="A4790" s="4" t="s">
        <v>562</v>
      </c>
      <c r="B4790" s="0" t="s">
        <v>234</v>
      </c>
      <c r="C4790" s="30" t="n">
        <f aca="false">C4788+C4789</f>
        <v>389.228</v>
      </c>
      <c r="D4790" s="30" t="n">
        <f aca="false">D4788+D4789</f>
        <v>559.7302</v>
      </c>
      <c r="E4790" s="30" t="n">
        <f aca="false">E4788+E4789</f>
        <v>728.821319735419</v>
      </c>
      <c r="F4790" s="30" t="n">
        <f aca="false">F4788+F4789</f>
        <v>694.544777795461</v>
      </c>
      <c r="G4790" s="30" t="n">
        <f aca="false">G4788+G4789</f>
        <v>760.995652761461</v>
      </c>
    </row>
    <row r="4791" customFormat="false" ht="17.15" hidden="false" customHeight="false" outlineLevel="0" collapsed="false">
      <c r="A4791" s="0" t="s">
        <v>563</v>
      </c>
      <c r="B4791" s="0" t="s">
        <v>234</v>
      </c>
      <c r="C4791" s="30" t="n">
        <f aca="false">a25_ems</f>
        <v>259.079</v>
      </c>
      <c r="D4791" s="30" t="n">
        <f aca="false">a26_ems</f>
        <v>314.602</v>
      </c>
      <c r="E4791" s="30" t="n">
        <f aca="false">D4791*(1+g_ems27)</f>
        <v>346.0622</v>
      </c>
      <c r="F4791" s="30" t="n">
        <f aca="false">E4791*(1+g_emsL)</f>
        <v>363.36531</v>
      </c>
      <c r="G4791" s="30" t="n">
        <f aca="false">F4791*(1+g_emsL)</f>
        <v>381.5335755</v>
      </c>
    </row>
    <row r="4792" customFormat="false" ht="17.15" hidden="false" customHeight="false" outlineLevel="0" collapsed="false">
      <c r="A4792" s="4" t="s">
        <v>564</v>
      </c>
      <c r="B4792" s="0" t="s">
        <v>234</v>
      </c>
      <c r="C4792" s="30" t="n">
        <f aca="false">a25_elim</f>
        <v>-2.91899999999998</v>
      </c>
      <c r="D4792" s="30" t="n">
        <f aca="false">a26_elim</f>
        <v>-3.16484905982349</v>
      </c>
      <c r="E4792" s="30" t="n">
        <f aca="false">$D4792/($D4790+$D4791)*(E4790+E4791)</f>
        <v>-3.89079127687897</v>
      </c>
      <c r="F4792" s="30" t="n">
        <f aca="false">$D4792/($D4790+$D4791)*(F4790+F4791)</f>
        <v>-3.8293519862785</v>
      </c>
      <c r="G4792" s="30" t="n">
        <f aca="false">$D4792/($D4790+$D4791)*(G4790+G4791)</f>
        <v>-4.135650675892</v>
      </c>
      <c r="K4792" s="4" t="s">
        <v>565</v>
      </c>
    </row>
    <row r="4793" customFormat="false" ht="17.15" hidden="false" customHeight="false" outlineLevel="0" collapsed="false">
      <c r="A4793" s="4" t="s">
        <v>431</v>
      </c>
      <c r="B4793" s="0" t="s">
        <v>234</v>
      </c>
      <c r="C4793" s="30" t="n">
        <f aca="false">C4790+C4791+C4792</f>
        <v>645.388</v>
      </c>
      <c r="D4793" s="30" t="n">
        <f aca="false">D4790+D4791+D4792</f>
        <v>871.167350940177</v>
      </c>
      <c r="E4793" s="30" t="n">
        <f aca="false">E4790+E4791+E4792</f>
        <v>1070.99272845854</v>
      </c>
      <c r="F4793" s="30" t="n">
        <f aca="false">F4790+F4791+F4792</f>
        <v>1054.08073580918</v>
      </c>
      <c r="G4793" s="30" t="n">
        <f aca="false">G4790+G4791+G4792</f>
        <v>1138.39357758557</v>
      </c>
      <c r="H4793" s="31" t="n">
        <f aca="false">G4793*(1+H4794)</f>
        <v>1206.68738805437</v>
      </c>
      <c r="I4793" s="31" t="n">
        <f aca="false">H4793*(1+I4794)</f>
        <v>1254.9496874</v>
      </c>
      <c r="J4793" s="31" t="n">
        <f aca="false">I4793*(1+J4794)</f>
        <v>1280.048681148</v>
      </c>
      <c r="K4793" s="8" t="s">
        <v>566</v>
      </c>
    </row>
    <row r="4794" customFormat="false" ht="15" hidden="false" customHeight="false" outlineLevel="0" collapsed="false">
      <c r="A4794" s="4" t="s">
        <v>567</v>
      </c>
      <c r="B4794" s="0" t="s">
        <v>76</v>
      </c>
      <c r="D4794" s="21" t="n">
        <f aca="false">D4793/C4793-1</f>
        <v>0.349835061916516</v>
      </c>
      <c r="E4794" s="21" t="n">
        <f aca="false">E4793/D4793-1</f>
        <v>0.229376568466104</v>
      </c>
      <c r="F4794" s="21" t="n">
        <f aca="false">F4793/E4793-1</f>
        <v>-0.0157909500223209</v>
      </c>
      <c r="G4794" s="21" t="n">
        <f aca="false">G4793/F4793-1</f>
        <v>0.079987081550885</v>
      </c>
      <c r="H4794" s="26" t="n">
        <f aca="false">$G4794+(fade_gC-$G4794)*1/3</f>
        <v>0.05999138770059</v>
      </c>
      <c r="I4794" s="26" t="n">
        <f aca="false">$G4794+(fade_gC-$G4794)*2/3</f>
        <v>0.039995693850295</v>
      </c>
      <c r="J4794" s="26" t="n">
        <f aca="false">$G4794+(fade_gC-$G4794)*3/3</f>
        <v>0.02</v>
      </c>
    </row>
    <row r="4795" customFormat="false" ht="17.15" hidden="false" customHeight="false" outlineLevel="0" collapsed="false">
      <c r="A4795" s="0" t="s">
        <v>475</v>
      </c>
      <c r="B4795" s="0" t="s">
        <v>76</v>
      </c>
      <c r="C4795" s="21" t="n">
        <f aca="false">C4788/C4790</f>
        <v>0.127431736668482</v>
      </c>
      <c r="D4795" s="21" t="n">
        <f aca="false">D4788/D4790</f>
        <v>0.227966974088588</v>
      </c>
      <c r="E4795" s="21" t="n">
        <f aca="false">E4788/E4790</f>
        <v>0.31814600294568</v>
      </c>
      <c r="F4795" s="21" t="n">
        <f aca="false">F4788/F4790</f>
        <v>0.234410468411019</v>
      </c>
      <c r="G4795" s="21" t="n">
        <f aca="false">G4788/G4790</f>
        <v>0.252350859282315</v>
      </c>
    </row>
    <row r="4796" customFormat="false" ht="15" hidden="false" customHeight="false" outlineLevel="0" collapsed="false">
      <c r="A4796" s="4" t="s">
        <v>568</v>
      </c>
      <c r="B4796" s="0" t="s">
        <v>76</v>
      </c>
      <c r="D4796" s="21" t="n">
        <f aca="false">D4790/C4790-1</f>
        <v>0.438052247012034</v>
      </c>
      <c r="E4796" s="21" t="n">
        <f aca="false">E4790/D4790-1</f>
        <v>0.302093972659362</v>
      </c>
      <c r="F4796" s="21" t="n">
        <f aca="false">F4790/E4790-1</f>
        <v>-0.047030103280186</v>
      </c>
      <c r="G4796" s="21" t="n">
        <f aca="false">G4790/F4790-1</f>
        <v>0.0956754367614998</v>
      </c>
    </row>
    <row r="4797" customFormat="false" ht="17.15" hidden="false" customHeight="false" outlineLevel="0" collapsed="false">
      <c r="A4797" s="6" t="s">
        <v>569</v>
      </c>
    </row>
    <row r="4798" customFormat="false" ht="17.15" hidden="false" customHeight="false" outlineLevel="0" collapsed="false">
      <c r="A4798" s="4" t="s">
        <v>570</v>
      </c>
      <c r="B4798" s="0" t="s">
        <v>120</v>
      </c>
      <c r="C4798" s="19" t="n">
        <f aca="false">capex25</f>
        <v>5.5</v>
      </c>
      <c r="D4798" s="19" t="n">
        <f aca="false">capex26</f>
        <v>11.5</v>
      </c>
      <c r="E4798" s="19" t="n">
        <f aca="false">capex27</f>
        <v>13</v>
      </c>
      <c r="F4798" s="19" t="n">
        <f aca="false">capi*F4793/F4786</f>
        <v>9.88200689821109</v>
      </c>
      <c r="G4798" s="19" t="n">
        <f aca="false">capi*G4793/G4786</f>
        <v>10.6724397898647</v>
      </c>
      <c r="K4798" s="8" t="s">
        <v>571</v>
      </c>
    </row>
    <row r="4799" customFormat="false" ht="15" hidden="false" customHeight="false" outlineLevel="0" collapsed="false">
      <c r="A4799" s="4" t="s">
        <v>572</v>
      </c>
      <c r="B4799" s="0" t="s">
        <v>234</v>
      </c>
      <c r="C4799" s="30" t="n">
        <f aca="false">C4798*C4786</f>
        <v>170.5</v>
      </c>
      <c r="D4799" s="30" t="n">
        <f aca="false">D4798*31.9</f>
        <v>366.85</v>
      </c>
      <c r="E4799" s="30" t="n">
        <f aca="false">E4798*E4786</f>
        <v>416</v>
      </c>
      <c r="F4799" s="30" t="n">
        <f aca="false">F4798*F4786</f>
        <v>316.224220742755</v>
      </c>
      <c r="G4799" s="30" t="n">
        <f aca="false">G4798*G4786</f>
        <v>341.518073275671</v>
      </c>
    </row>
    <row r="4800" customFormat="false" ht="17.15" hidden="false" customHeight="false" outlineLevel="0" collapsed="false">
      <c r="A4800" s="4" t="s">
        <v>473</v>
      </c>
      <c r="B4800" s="0" t="s">
        <v>76</v>
      </c>
      <c r="C4800" s="21" t="n">
        <f aca="false">C4799/C4793</f>
        <v>0.264182166386732</v>
      </c>
      <c r="D4800" s="21" t="n">
        <f aca="false">D4799/D4793</f>
        <v>0.421101639775745</v>
      </c>
      <c r="E4800" s="21" t="n">
        <f aca="false">E4799/E4793</f>
        <v>0.388424672685445</v>
      </c>
      <c r="F4800" s="21" t="n">
        <f aca="false">F4799/F4793</f>
        <v>0.3</v>
      </c>
      <c r="G4800" s="21" t="n">
        <f aca="false">G4799/G4793</f>
        <v>0.3</v>
      </c>
    </row>
    <row r="4801" customFormat="false" ht="17.15" hidden="false" customHeight="false" outlineLevel="0" collapsed="false">
      <c r="A4801" s="4" t="s">
        <v>573</v>
      </c>
      <c r="B4801" s="0" t="s">
        <v>234</v>
      </c>
      <c r="C4801" s="30" t="n">
        <f aca="false">a25_da</f>
        <v>75.255</v>
      </c>
      <c r="D4801" s="30" t="n">
        <f aca="false">a26_da</f>
        <v>97.124</v>
      </c>
      <c r="E4801" s="30" t="n">
        <f aca="false">D4801*(1-1/life)+D4799/life</f>
        <v>130.83975</v>
      </c>
      <c r="F4801" s="30" t="n">
        <f aca="false">E4801*(1-1/life)+E4799/life</f>
        <v>166.48478125</v>
      </c>
      <c r="G4801" s="30" t="n">
        <f aca="false">F4801*(1-1/life)+F4799/life</f>
        <v>185.202211186594</v>
      </c>
      <c r="K4801" s="4" t="s">
        <v>574</v>
      </c>
    </row>
    <row r="4802" customFormat="false" ht="17.15" hidden="false" customHeight="false" outlineLevel="0" collapsed="false">
      <c r="A4802" s="4" t="s">
        <v>575</v>
      </c>
      <c r="B4802" s="0" t="s">
        <v>234</v>
      </c>
      <c r="C4802" s="30" t="n">
        <f aca="false">a25_agp</f>
        <v>91.38</v>
      </c>
      <c r="D4802" s="30" t="n">
        <f aca="false">a26_agp</f>
        <v>164.623388</v>
      </c>
      <c r="E4802" s="30" t="n">
        <f aca="false">$D4802+ft*(E4790-$D4790)-(E4801-$D4801)</f>
        <v>215.45319786771</v>
      </c>
      <c r="F4802" s="30" t="n">
        <f aca="false">$D4802+ft*(F4790-$D4790)-(F4801-$D4801)</f>
        <v>162.669895647731</v>
      </c>
      <c r="G4802" s="30" t="n">
        <f aca="false">$D4802+ft*(G4790-$D4790)-(G4801-$D4801)</f>
        <v>177.177903194136</v>
      </c>
      <c r="K4802" s="4" t="s">
        <v>576</v>
      </c>
    </row>
    <row r="4803" customFormat="false" ht="15" hidden="false" customHeight="false" outlineLevel="0" collapsed="false">
      <c r="A4803" s="4" t="s">
        <v>447</v>
      </c>
      <c r="B4803" s="0" t="s">
        <v>76</v>
      </c>
      <c r="C4803" s="14" t="n">
        <f aca="false">C4802/C4790</f>
        <v>0.234772421305764</v>
      </c>
      <c r="D4803" s="14" t="n">
        <f aca="false">D4802/D4790</f>
        <v>0.294112034690999</v>
      </c>
      <c r="E4803" s="14" t="n">
        <f aca="false">E4802/E4790</f>
        <v>0.295618681882035</v>
      </c>
      <c r="F4803" s="14" t="n">
        <f aca="false">F4802/F4790</f>
        <v>0.234210810948802</v>
      </c>
      <c r="G4803" s="14" t="n">
        <f aca="false">G4802/G4790</f>
        <v>0.232823804644878</v>
      </c>
    </row>
    <row r="4804" customFormat="false" ht="17.15" hidden="false" customHeight="false" outlineLevel="0" collapsed="false">
      <c r="A4804" s="0" t="s">
        <v>449</v>
      </c>
      <c r="B4804" s="0" t="s">
        <v>234</v>
      </c>
      <c r="C4804" s="30" t="n">
        <f aca="false">a25_egp</f>
        <v>23.695</v>
      </c>
      <c r="D4804" s="30" t="n">
        <f aca="false">a26_egp</f>
        <v>27.00552</v>
      </c>
      <c r="E4804" s="30" t="n">
        <f aca="false">E4791*ems_gm</f>
        <v>29.415287</v>
      </c>
      <c r="F4804" s="30" t="n">
        <f aca="false">F4791*ems_gm</f>
        <v>30.88605135</v>
      </c>
      <c r="G4804" s="30" t="n">
        <f aca="false">G4791*ems_gm</f>
        <v>32.4303539175</v>
      </c>
    </row>
    <row r="4805" customFormat="false" ht="15" hidden="false" customHeight="false" outlineLevel="0" collapsed="false">
      <c r="A4805" s="4" t="s">
        <v>577</v>
      </c>
      <c r="B4805" s="0" t="s">
        <v>234</v>
      </c>
      <c r="C4805" s="30" t="n">
        <f aca="false">a25_lgp</f>
        <v>-0.881999999999998</v>
      </c>
      <c r="D4805" s="30" t="n">
        <f aca="false">a26_lgp</f>
        <v>-0.948662139013863</v>
      </c>
      <c r="E4805" s="30" t="n">
        <f aca="false">$D4805/$D4792*E4792</f>
        <v>-1.16626300509458</v>
      </c>
      <c r="F4805" s="30" t="n">
        <f aca="false">$D4805/$D4792*F4792</f>
        <v>-1.14784660426825</v>
      </c>
      <c r="G4805" s="30" t="n">
        <f aca="false">$D4805/$D4792*G4792</f>
        <v>-1.23965950421176</v>
      </c>
    </row>
    <row r="4806" customFormat="false" ht="15" hidden="false" customHeight="false" outlineLevel="0" collapsed="false">
      <c r="A4806" s="4" t="s">
        <v>451</v>
      </c>
      <c r="B4806" s="0" t="s">
        <v>234</v>
      </c>
      <c r="C4806" s="30" t="n">
        <f aca="false">C4802+C4804+C4805</f>
        <v>114.193</v>
      </c>
      <c r="D4806" s="30" t="n">
        <f aca="false">D4802+D4804+D4805</f>
        <v>190.680245860986</v>
      </c>
      <c r="E4806" s="30" t="n">
        <f aca="false">E4802+E4804+E4805</f>
        <v>243.702221862615</v>
      </c>
      <c r="F4806" s="30" t="n">
        <f aca="false">F4802+F4804+F4805</f>
        <v>192.408100393462</v>
      </c>
      <c r="G4806" s="30" t="n">
        <f aca="false">G4802+G4804+G4805</f>
        <v>208.368597607424</v>
      </c>
    </row>
    <row r="4807" customFormat="false" ht="15" hidden="false" customHeight="false" outlineLevel="0" collapsed="false">
      <c r="A4807" s="4" t="s">
        <v>452</v>
      </c>
      <c r="B4807" s="0" t="s">
        <v>76</v>
      </c>
      <c r="C4807" s="14" t="n">
        <f aca="false">C4806/C4793</f>
        <v>0.176936974347214</v>
      </c>
      <c r="D4807" s="14" t="n">
        <f aca="false">D4806/D4793</f>
        <v>0.218879008327391</v>
      </c>
      <c r="E4807" s="14" t="n">
        <f aca="false">E4806/E4793</f>
        <v>0.227547970576207</v>
      </c>
      <c r="F4807" s="14" t="n">
        <f aca="false">F4806/F4793</f>
        <v>0.182536397694202</v>
      </c>
      <c r="G4807" s="14" t="n">
        <f aca="false">G4806/G4793</f>
        <v>0.183037397355452</v>
      </c>
    </row>
    <row r="4808" customFormat="false" ht="15" hidden="false" customHeight="false" outlineLevel="0" collapsed="false">
      <c r="A4808" s="4" t="s">
        <v>578</v>
      </c>
      <c r="B4808" s="0" t="s">
        <v>234</v>
      </c>
      <c r="C4808" s="30" t="n">
        <f aca="false">a25_opx</f>
        <v>63.437</v>
      </c>
      <c r="D4808" s="30" t="n">
        <f aca="false">a26_opx</f>
        <v>79.658</v>
      </c>
      <c r="E4808" s="30" t="n">
        <f aca="false">D4808*(1+phi*E4794)</f>
        <v>90.6210072145237</v>
      </c>
      <c r="F4808" s="30" t="n">
        <f aca="false">E4808*(1+phi*F4794)</f>
        <v>89.7624121369856</v>
      </c>
      <c r="G4808" s="30" t="n">
        <f aca="false">F4808*(1+phi*G4794)</f>
        <v>94.0703121648687</v>
      </c>
    </row>
    <row r="4809" customFormat="false" ht="15" hidden="false" customHeight="false" outlineLevel="0" collapsed="false">
      <c r="A4809" s="4" t="s">
        <v>455</v>
      </c>
      <c r="B4809" s="0" t="s">
        <v>234</v>
      </c>
      <c r="C4809" s="30" t="n">
        <f aca="false">C4806-C4808</f>
        <v>50.756</v>
      </c>
      <c r="D4809" s="30" t="n">
        <f aca="false">D4806-D4808</f>
        <v>111.022245860986</v>
      </c>
      <c r="E4809" s="30" t="n">
        <f aca="false">E4806-E4808</f>
        <v>153.081214648091</v>
      </c>
      <c r="F4809" s="30" t="n">
        <f aca="false">F4806-F4808</f>
        <v>102.645688256477</v>
      </c>
      <c r="G4809" s="30" t="n">
        <f aca="false">G4806-G4808</f>
        <v>114.298285442556</v>
      </c>
    </row>
    <row r="4810" customFormat="false" ht="15" hidden="false" customHeight="false" outlineLevel="0" collapsed="false">
      <c r="A4810" s="4" t="s">
        <v>537</v>
      </c>
      <c r="B4810" s="0" t="s">
        <v>76</v>
      </c>
      <c r="C4810" s="14" t="n">
        <f aca="false">C4809/C4793</f>
        <v>0.0786441644406156</v>
      </c>
      <c r="D4810" s="14" t="n">
        <f aca="false">D4809/D4793</f>
        <v>0.127440779020437</v>
      </c>
      <c r="E4810" s="14" t="n">
        <f aca="false">E4809/E4793</f>
        <v>0.142933943975902</v>
      </c>
      <c r="F4810" s="14" t="n">
        <f aca="false">F4809/F4793</f>
        <v>0.0973793417993538</v>
      </c>
      <c r="G4810" s="14" t="n">
        <f aca="false">G4809/G4793</f>
        <v>0.100403136220227</v>
      </c>
    </row>
    <row r="4811" customFormat="false" ht="15" hidden="false" customHeight="false" outlineLevel="0" collapsed="false">
      <c r="A4811" s="4" t="s">
        <v>456</v>
      </c>
      <c r="B4811" s="0" t="s">
        <v>234</v>
      </c>
      <c r="C4811" s="30" t="n">
        <f aca="false">a25_nonop</f>
        <v>0.545</v>
      </c>
      <c r="D4811" s="30" t="n">
        <f aca="false">a26_nonop</f>
        <v>4.302</v>
      </c>
      <c r="E4811" s="30" t="n">
        <f aca="false">nonop_f_hi</f>
        <v>-2</v>
      </c>
      <c r="F4811" s="30" t="n">
        <f aca="false">nonop_f_hi</f>
        <v>-2</v>
      </c>
      <c r="G4811" s="30" t="n">
        <f aca="false">nonop_f_hi</f>
        <v>-2</v>
      </c>
    </row>
    <row r="4812" customFormat="false" ht="15" hidden="false" customHeight="false" outlineLevel="0" collapsed="false">
      <c r="A4812" s="4" t="s">
        <v>459</v>
      </c>
      <c r="B4812" s="0" t="s">
        <v>234</v>
      </c>
      <c r="C4812" s="30" t="n">
        <f aca="false">C4809+C4811</f>
        <v>51.301</v>
      </c>
      <c r="D4812" s="30" t="n">
        <f aca="false">D4809+D4811</f>
        <v>115.324245860986</v>
      </c>
      <c r="E4812" s="30" t="n">
        <f aca="false">E4809+E4811</f>
        <v>151.081214648091</v>
      </c>
      <c r="F4812" s="30" t="n">
        <f aca="false">F4809+F4811</f>
        <v>100.645688256477</v>
      </c>
      <c r="G4812" s="30" t="n">
        <f aca="false">G4809+G4811</f>
        <v>112.298285442556</v>
      </c>
    </row>
    <row r="4813" customFormat="false" ht="15" hidden="false" customHeight="false" outlineLevel="0" collapsed="false">
      <c r="A4813" s="4" t="s">
        <v>460</v>
      </c>
      <c r="B4813" s="0" t="s">
        <v>234</v>
      </c>
      <c r="C4813" s="30" t="n">
        <f aca="false">a25_tax</f>
        <v>9.461</v>
      </c>
      <c r="D4813" s="30" t="n">
        <f aca="false">a26_tax</f>
        <v>19.2197317963676</v>
      </c>
      <c r="E4813" s="30" t="n">
        <f aca="false">E4812*tax</f>
        <v>25.6838064901755</v>
      </c>
      <c r="F4813" s="30" t="n">
        <f aca="false">F4812*tax</f>
        <v>17.1097670036011</v>
      </c>
      <c r="G4813" s="30" t="n">
        <f aca="false">G4812*tax</f>
        <v>19.0907085252344</v>
      </c>
    </row>
    <row r="4814" customFormat="false" ht="15" hidden="false" customHeight="false" outlineLevel="0" collapsed="false">
      <c r="A4814" s="4" t="s">
        <v>461</v>
      </c>
      <c r="B4814" s="0" t="s">
        <v>234</v>
      </c>
      <c r="C4814" s="30" t="n">
        <f aca="false">a25_nci</f>
        <v>1.182</v>
      </c>
      <c r="D4814" s="30" t="n">
        <f aca="false">a26_nci</f>
        <v>2.543</v>
      </c>
      <c r="E4814" s="30" t="n">
        <f aca="false">nci</f>
        <v>3</v>
      </c>
      <c r="F4814" s="30" t="n">
        <f aca="false">nci</f>
        <v>3</v>
      </c>
      <c r="G4814" s="30" t="n">
        <f aca="false">nci</f>
        <v>3</v>
      </c>
    </row>
    <row r="4815" customFormat="false" ht="15" hidden="false" customHeight="false" outlineLevel="0" collapsed="false">
      <c r="A4815" s="4" t="s">
        <v>462</v>
      </c>
      <c r="B4815" s="0" t="s">
        <v>234</v>
      </c>
      <c r="C4815" s="30" t="n">
        <f aca="false">C4812-C4813-C4814</f>
        <v>40.658</v>
      </c>
      <c r="D4815" s="30" t="n">
        <f aca="false">D4812-D4813-D4814</f>
        <v>93.5615140646185</v>
      </c>
      <c r="E4815" s="30" t="n">
        <f aca="false">E4812-E4813-E4814</f>
        <v>122.397408157916</v>
      </c>
      <c r="F4815" s="30" t="n">
        <f aca="false">F4812-F4813-F4814</f>
        <v>80.5359212528757</v>
      </c>
      <c r="G4815" s="30" t="n">
        <f aca="false">G4812-G4813-G4814</f>
        <v>90.2075769173211</v>
      </c>
      <c r="H4815" s="31" t="n">
        <f aca="false">H4793*H4819</f>
        <v>88.5408033804191</v>
      </c>
      <c r="I4815" s="31" t="n">
        <f aca="false">I4793*I4819</f>
        <v>84.7204954189813</v>
      </c>
      <c r="J4815" s="31" t="n">
        <f aca="false">J4793*J4819</f>
        <v>78.9061153241268</v>
      </c>
    </row>
    <row r="4816" customFormat="false" ht="15" hidden="false" customHeight="false" outlineLevel="0" collapsed="false">
      <c r="A4816" s="4" t="s">
        <v>579</v>
      </c>
      <c r="B4816" s="4" t="s">
        <v>580</v>
      </c>
      <c r="C4816" s="18" t="n">
        <f aca="false">a25_sh</f>
        <v>4339.16755602988</v>
      </c>
      <c r="D4816" s="18" t="n">
        <f aca="false">a26_sh</f>
        <v>4392.90105184664</v>
      </c>
      <c r="E4816" s="18" t="n">
        <f aca="false">D4816*(1+sh_g)</f>
        <v>4414.86555710588</v>
      </c>
      <c r="F4816" s="18" t="n">
        <f aca="false">E4816*(1+sh_g)</f>
        <v>4436.9398848914</v>
      </c>
      <c r="G4816" s="18" t="n">
        <f aca="false">F4816*(1+sh_g)</f>
        <v>4459.12458431586</v>
      </c>
      <c r="H4816" s="25" t="n">
        <f aca="false">G4816*(1+sh_g)</f>
        <v>4481.42020723744</v>
      </c>
      <c r="I4816" s="25" t="n">
        <f aca="false">H4816*(1+sh_g)</f>
        <v>4503.82730827363</v>
      </c>
      <c r="J4816" s="25" t="n">
        <f aca="false">I4816*(1+sh_g)</f>
        <v>4526.34644481499</v>
      </c>
    </row>
    <row r="4817" customFormat="false" ht="17.15" hidden="false" customHeight="false" outlineLevel="0" collapsed="false">
      <c r="A4817" s="0" t="s">
        <v>465</v>
      </c>
      <c r="B4817" s="0" t="s">
        <v>304</v>
      </c>
      <c r="C4817" s="19" t="n">
        <f aca="false">a25_eps</f>
        <v>9.37</v>
      </c>
      <c r="D4817" s="19" t="n">
        <f aca="false">a26_eps</f>
        <v>21.2828697294455</v>
      </c>
      <c r="E4817" s="19" t="n">
        <f aca="false">E4815/E4816*1000</f>
        <v>27.7239264876171</v>
      </c>
      <c r="F4817" s="19" t="n">
        <f aca="false">F4815/F4816*1000</f>
        <v>18.1512311057257</v>
      </c>
      <c r="G4817" s="19" t="n">
        <f aca="false">G4815/G4816*1000</f>
        <v>20.2298848600484</v>
      </c>
      <c r="H4817" s="28" t="n">
        <f aca="false">H4815/H4816*1000</f>
        <v>19.757308907883</v>
      </c>
      <c r="I4817" s="28" t="n">
        <f aca="false">I4815/I4816*1000</f>
        <v>18.8107779495337</v>
      </c>
      <c r="J4817" s="28" t="n">
        <f aca="false">J4815/J4816*1000</f>
        <v>17.4326283430017</v>
      </c>
    </row>
    <row r="4818" customFormat="false" ht="17.15" hidden="false" customHeight="false" outlineLevel="0" collapsed="false">
      <c r="A4818" s="0" t="s">
        <v>581</v>
      </c>
      <c r="B4818" s="0" t="s">
        <v>76</v>
      </c>
      <c r="D4818" s="21" t="n">
        <f aca="false">D4817/C4817-1</f>
        <v>1.27138417603474</v>
      </c>
      <c r="E4818" s="21" t="n">
        <f aca="false">E4817/D4817-1</f>
        <v>0.302640425847278</v>
      </c>
      <c r="F4818" s="21" t="n">
        <f aca="false">F4817/E4817-1</f>
        <v>-0.345286422042962</v>
      </c>
      <c r="G4818" s="21" t="n">
        <f aca="false">G4817/F4817-1</f>
        <v>0.114518609906688</v>
      </c>
      <c r="H4818" s="26" t="n">
        <f aca="false">H4817/G4817-1</f>
        <v>-0.0233602887725127</v>
      </c>
      <c r="I4818" s="26" t="n">
        <f aca="false">I4817/H4817-1</f>
        <v>-0.0479078888102833</v>
      </c>
      <c r="J4818" s="26" t="n">
        <f aca="false">J4817/I4817-1</f>
        <v>-0.0732638283344466</v>
      </c>
    </row>
    <row r="4819" customFormat="false" ht="17.15" hidden="false" customHeight="false" outlineLevel="0" collapsed="false">
      <c r="A4819" s="4" t="s">
        <v>582</v>
      </c>
      <c r="B4819" s="0" t="s">
        <v>76</v>
      </c>
      <c r="C4819" s="14" t="n">
        <f aca="false">C4815/C4793</f>
        <v>0.0629977625862272</v>
      </c>
      <c r="D4819" s="14" t="n">
        <f aca="false">D4815/D4793</f>
        <v>0.107397865592237</v>
      </c>
      <c r="E4819" s="14" t="n">
        <f aca="false">E4815/E4793</f>
        <v>0.114284070195397</v>
      </c>
      <c r="F4819" s="14" t="n">
        <f aca="false">F4815/F4793</f>
        <v>0.0764039399610609</v>
      </c>
      <c r="G4819" s="14" t="n">
        <f aca="false">G4815/G4793</f>
        <v>0.0792411154573125</v>
      </c>
      <c r="H4819" s="27" t="n">
        <f aca="false">$G4819+(fade_mC-$G4819)*1/3</f>
        <v>0.0733750963645855</v>
      </c>
      <c r="I4819" s="27" t="n">
        <f aca="false">$G4819+(fade_mC-$G4819)*2/3</f>
        <v>0.0675090772718585</v>
      </c>
      <c r="J4819" s="27" t="n">
        <f aca="false">$G4819+(fade_mC-$G4819)*3/3</f>
        <v>0.0616430581791315</v>
      </c>
    </row>
    <row r="4820" customFormat="false" ht="17.15" hidden="false" customHeight="false" outlineLevel="0" collapsed="false">
      <c r="A4820" s="4" t="s">
        <v>583</v>
      </c>
      <c r="B4820" s="0" t="s">
        <v>234</v>
      </c>
      <c r="C4820" s="30" t="n">
        <f aca="false">C4815+C4801-C4799</f>
        <v>-54.587</v>
      </c>
      <c r="D4820" s="30" t="n">
        <f aca="false">D4815+D4801-D4799</f>
        <v>-176.164485935382</v>
      </c>
      <c r="E4820" s="30" t="n">
        <f aca="false">E4815+E4801-E4799</f>
        <v>-162.762841842084</v>
      </c>
      <c r="F4820" s="30" t="n">
        <f aca="false">F4815+F4801-F4799</f>
        <v>-69.2035182398791</v>
      </c>
      <c r="G4820" s="30" t="n">
        <f aca="false">G4815+G4801-G4799</f>
        <v>-66.1082851717552</v>
      </c>
      <c r="K4820" s="4" t="s">
        <v>584</v>
      </c>
    </row>
    <row r="4821" customFormat="false" ht="17.15" hidden="false" customHeight="false" outlineLevel="0" collapsed="false">
      <c r="A4821" s="4" t="s">
        <v>585</v>
      </c>
      <c r="B4821" s="0" t="s">
        <v>76</v>
      </c>
      <c r="D4821" s="21" t="n">
        <f aca="false">(D4809-$C4809)/SUM($D4799:D4799)</f>
        <v>0.164280348537512</v>
      </c>
      <c r="E4821" s="21" t="n">
        <f aca="false">(E4809-$C4809)/SUM($D4799:E4799)</f>
        <v>0.130708583570405</v>
      </c>
      <c r="F4821" s="21" t="n">
        <f aca="false">(F4809-$C4809)/SUM($D4799:F4799)</f>
        <v>0.047212178465445</v>
      </c>
      <c r="G4821" s="21" t="n">
        <f aca="false">(G4809-$C4809)/SUM($D4799:G4799)</f>
        <v>0.044108444635164</v>
      </c>
      <c r="K4821" s="4" t="s">
        <v>586</v>
      </c>
    </row>
    <row r="4824" customFormat="false" ht="17.15" hidden="false" customHeight="false" outlineLevel="0" collapsed="false">
      <c r="A4824" s="1" t="s">
        <v>1012</v>
      </c>
    </row>
    <row r="4825" customFormat="false" ht="17.15" hidden="false" customHeight="false" outlineLevel="0" collapsed="false">
      <c r="A4825" s="5" t="s">
        <v>21</v>
      </c>
      <c r="B4825" s="5" t="s">
        <v>22</v>
      </c>
      <c r="C4825" s="15" t="s">
        <v>424</v>
      </c>
      <c r="D4825" s="15" t="s">
        <v>524</v>
      </c>
      <c r="E4825" s="15" t="s">
        <v>525</v>
      </c>
      <c r="F4825" s="15" t="s">
        <v>526</v>
      </c>
      <c r="G4825" s="15" t="s">
        <v>527</v>
      </c>
      <c r="H4825" s="15" t="s">
        <v>528</v>
      </c>
      <c r="I4825" s="15" t="s">
        <v>529</v>
      </c>
      <c r="J4825" s="15" t="s">
        <v>530</v>
      </c>
      <c r="K4825" s="5" t="s">
        <v>382</v>
      </c>
    </row>
    <row r="4826" customFormat="false" ht="17.15" hidden="false" customHeight="false" outlineLevel="0" collapsed="false">
      <c r="A4826" s="6" t="s">
        <v>548</v>
      </c>
    </row>
    <row r="4827" customFormat="false" ht="17.15" hidden="false" customHeight="false" outlineLevel="0" collapsed="false">
      <c r="A4827" s="0" t="s">
        <v>549</v>
      </c>
      <c r="B4827" s="4" t="s">
        <v>32</v>
      </c>
      <c r="D4827" s="19" t="n">
        <f aca="false">units_26</f>
        <v>15.2</v>
      </c>
      <c r="E4827" s="19" t="n">
        <f aca="false">units_27*1</f>
        <v>23.7</v>
      </c>
      <c r="F4827" s="19" t="n">
        <f aca="false">units_28*um28_A*1</f>
        <v>26.5</v>
      </c>
      <c r="G4827" s="19" t="n">
        <f aca="false">units_29*um29_A*1</f>
        <v>30.15</v>
      </c>
    </row>
    <row r="4828" customFormat="false" ht="17.15" hidden="false" customHeight="false" outlineLevel="0" collapsed="false">
      <c r="A4828" s="4" t="s">
        <v>497</v>
      </c>
      <c r="B4828" s="0" t="s">
        <v>45</v>
      </c>
      <c r="D4828" s="22" t="n">
        <f aca="false">ar_26</f>
        <v>1</v>
      </c>
      <c r="E4828" s="22" t="n">
        <f aca="false">ar_27</f>
        <v>1.278156</v>
      </c>
      <c r="F4828" s="22" t="n">
        <f aca="false">ar_28</f>
        <v>1.428615</v>
      </c>
      <c r="G4828" s="22" t="n">
        <f aca="false">ar_29</f>
        <v>1.431796</v>
      </c>
    </row>
    <row r="4829" customFormat="false" ht="17.15" hidden="false" customHeight="false" outlineLevel="0" collapsed="false">
      <c r="A4829" s="4" t="s">
        <v>550</v>
      </c>
      <c r="B4829" s="0" t="s">
        <v>45</v>
      </c>
      <c r="D4829" s="19" t="n">
        <f aca="false">1</f>
        <v>1</v>
      </c>
      <c r="E4829" s="19" t="n">
        <f aca="false">rel27_A</f>
        <v>1.1</v>
      </c>
      <c r="F4829" s="19" t="n">
        <f aca="false">rel28_A</f>
        <v>1.15</v>
      </c>
      <c r="G4829" s="19" t="n">
        <f aca="false">rel29_A</f>
        <v>1.2</v>
      </c>
    </row>
    <row r="4830" customFormat="false" ht="17.15" hidden="false" customHeight="false" outlineLevel="0" collapsed="false">
      <c r="A4830" s="4" t="s">
        <v>551</v>
      </c>
      <c r="B4830" s="0" t="s">
        <v>502</v>
      </c>
      <c r="D4830" s="23" t="n">
        <f aca="false">D4831*1000/D4827</f>
        <v>236.842105263158</v>
      </c>
      <c r="E4830" s="23" t="n">
        <f aca="false">$D4830*E4828^el</f>
        <v>267.763172119488</v>
      </c>
      <c r="F4830" s="23" t="n">
        <f aca="false">$D4830*F4828^el</f>
        <v>283.084777049615</v>
      </c>
      <c r="G4830" s="23" t="n">
        <f aca="false">$D4830*G4828^el</f>
        <v>283.399764630809</v>
      </c>
      <c r="K4830" s="8" t="s">
        <v>552</v>
      </c>
    </row>
    <row r="4831" customFormat="false" ht="17.15" hidden="false" customHeight="false" outlineLevel="0" collapsed="false">
      <c r="A4831" s="0" t="s">
        <v>553</v>
      </c>
      <c r="B4831" s="0" t="s">
        <v>120</v>
      </c>
      <c r="D4831" s="22" t="n">
        <f aca="false">leap26-D4832-D4833</f>
        <v>3.6</v>
      </c>
      <c r="E4831" s="22" t="n">
        <f aca="false">E4827*E4829*E4830/1000</f>
        <v>6.98058589715504</v>
      </c>
      <c r="F4831" s="22" t="n">
        <f aca="false">F4827*F4829*F4830/1000</f>
        <v>8.627008580587</v>
      </c>
      <c r="G4831" s="22" t="n">
        <f aca="false">G4827*G4829*G4830/1000</f>
        <v>10.2534034843427</v>
      </c>
      <c r="K4831" s="8" t="s">
        <v>554</v>
      </c>
    </row>
    <row r="4832" customFormat="false" ht="17.15" hidden="false" customHeight="false" outlineLevel="0" collapsed="false">
      <c r="A4832" s="4" t="s">
        <v>555</v>
      </c>
      <c r="B4832" s="0" t="s">
        <v>120</v>
      </c>
      <c r="D4832" s="22" t="n">
        <f aca="false">fp26</f>
        <v>0.3</v>
      </c>
      <c r="E4832" s="22" t="n">
        <f aca="false">fp27_A</f>
        <v>1.2</v>
      </c>
      <c r="F4832" s="22" t="n">
        <f aca="false">E4832*F4827/E4827*(1+fp_g)</f>
        <v>1.74430379746835</v>
      </c>
      <c r="G4832" s="22" t="n">
        <f aca="false">F4832*G4827/F4827*(1+fp_g)</f>
        <v>2.57992405063291</v>
      </c>
    </row>
    <row r="4833" customFormat="false" ht="17.15" hidden="false" customHeight="false" outlineLevel="0" collapsed="false">
      <c r="A4833" s="0" t="s">
        <v>556</v>
      </c>
      <c r="B4833" s="0" t="s">
        <v>120</v>
      </c>
      <c r="D4833" s="22" t="n">
        <f aca="false">cpo27*cpo_A_26/cpo_A_27</f>
        <v>0.1</v>
      </c>
      <c r="E4833" s="22" t="n">
        <f aca="false">cpo27*cpo_A_27/cpo_A_27</f>
        <v>0.5</v>
      </c>
      <c r="F4833" s="22" t="n">
        <f aca="false">cpo27*cpo_A_28/cpo_A_27*F4827/E4827</f>
        <v>1.11814345991561</v>
      </c>
      <c r="G4833" s="22" t="n">
        <f aca="false">cpo27*cpo_A_29/cpo_A_27*G4827/E4827</f>
        <v>2.03544303797468</v>
      </c>
      <c r="K4833" s="8" t="s">
        <v>557</v>
      </c>
    </row>
    <row r="4834" customFormat="false" ht="17.15" hidden="false" customHeight="false" outlineLevel="0" collapsed="false">
      <c r="A4834" s="0" t="s">
        <v>510</v>
      </c>
      <c r="B4834" s="0" t="s">
        <v>120</v>
      </c>
      <c r="C4834" s="22" t="n">
        <f aca="false">leap25</f>
        <v>1.6</v>
      </c>
      <c r="D4834" s="22" t="n">
        <f aca="false">D4831+D4832+D4833</f>
        <v>4</v>
      </c>
      <c r="E4834" s="22" t="n">
        <f aca="false">E4831+E4832+E4833</f>
        <v>8.68058589715504</v>
      </c>
      <c r="F4834" s="22" t="n">
        <f aca="false">F4831+F4832+F4833</f>
        <v>11.489455837971</v>
      </c>
      <c r="G4834" s="22" t="n">
        <f aca="false">G4831+G4832+G4833</f>
        <v>14.8687705729503</v>
      </c>
    </row>
    <row r="4835" customFormat="false" ht="17.15" hidden="false" customHeight="false" outlineLevel="0" collapsed="false">
      <c r="A4835" s="4" t="s">
        <v>558</v>
      </c>
      <c r="B4835" s="0" t="s">
        <v>114</v>
      </c>
      <c r="C4835" s="19" t="n">
        <f aca="false">fx25</f>
        <v>31</v>
      </c>
      <c r="D4835" s="19" t="n">
        <f aca="false">a26_leap/D4834</f>
        <v>31.9</v>
      </c>
      <c r="E4835" s="19" t="n">
        <f aca="false">fx</f>
        <v>32</v>
      </c>
      <c r="F4835" s="19" t="n">
        <f aca="false">fx</f>
        <v>32</v>
      </c>
      <c r="G4835" s="19" t="n">
        <f aca="false">fx</f>
        <v>32</v>
      </c>
      <c r="K4835" s="8" t="s">
        <v>559</v>
      </c>
    </row>
    <row r="4836" customFormat="false" ht="17.15" hidden="false" customHeight="false" outlineLevel="0" collapsed="false">
      <c r="A4836" s="6" t="s">
        <v>560</v>
      </c>
    </row>
    <row r="4837" customFormat="false" ht="17.15" hidden="false" customHeight="false" outlineLevel="0" collapsed="false">
      <c r="A4837" s="0" t="s">
        <v>438</v>
      </c>
      <c r="B4837" s="0" t="s">
        <v>234</v>
      </c>
      <c r="C4837" s="30" t="n">
        <f aca="false">a25_leap</f>
        <v>49.6</v>
      </c>
      <c r="D4837" s="30" t="n">
        <f aca="false">a26_leap</f>
        <v>127.6</v>
      </c>
      <c r="E4837" s="30" t="n">
        <f aca="false">E4834*E4835</f>
        <v>277.778748708961</v>
      </c>
      <c r="F4837" s="30" t="n">
        <f aca="false">F4834*F4835</f>
        <v>367.662586815071</v>
      </c>
      <c r="G4837" s="30" t="n">
        <f aca="false">G4834*G4835</f>
        <v>475.800658334408</v>
      </c>
    </row>
    <row r="4838" customFormat="false" ht="15" hidden="false" customHeight="false" outlineLevel="0" collapsed="false">
      <c r="A4838" s="4" t="s">
        <v>561</v>
      </c>
      <c r="B4838" s="0" t="s">
        <v>234</v>
      </c>
      <c r="C4838" s="30" t="n">
        <f aca="false">a25_ms</f>
        <v>339.628</v>
      </c>
      <c r="D4838" s="30" t="n">
        <f aca="false">a26_ms</f>
        <v>432.1302</v>
      </c>
      <c r="E4838" s="30" t="n">
        <f aca="false">D4838*(1+g_ms27)</f>
        <v>496.94973</v>
      </c>
      <c r="F4838" s="30" t="n">
        <f aca="false">E4838*(1+g_msL)</f>
        <v>531.7362111</v>
      </c>
      <c r="G4838" s="30" t="n">
        <f aca="false">F4838*(1+g_msL)</f>
        <v>568.957745877</v>
      </c>
    </row>
    <row r="4839" customFormat="false" ht="17.15" hidden="false" customHeight="false" outlineLevel="0" collapsed="false">
      <c r="A4839" s="4" t="s">
        <v>562</v>
      </c>
      <c r="B4839" s="0" t="s">
        <v>234</v>
      </c>
      <c r="C4839" s="30" t="n">
        <f aca="false">C4837+C4838</f>
        <v>389.228</v>
      </c>
      <c r="D4839" s="30" t="n">
        <f aca="false">D4837+D4838</f>
        <v>559.7302</v>
      </c>
      <c r="E4839" s="30" t="n">
        <f aca="false">E4837+E4838</f>
        <v>774.728478708961</v>
      </c>
      <c r="F4839" s="30" t="n">
        <f aca="false">F4837+F4838</f>
        <v>899.398797915071</v>
      </c>
      <c r="G4839" s="30" t="n">
        <f aca="false">G4837+G4838</f>
        <v>1044.75840421141</v>
      </c>
    </row>
    <row r="4840" customFormat="false" ht="17.15" hidden="false" customHeight="false" outlineLevel="0" collapsed="false">
      <c r="A4840" s="0" t="s">
        <v>563</v>
      </c>
      <c r="B4840" s="0" t="s">
        <v>234</v>
      </c>
      <c r="C4840" s="30" t="n">
        <f aca="false">a25_ems</f>
        <v>259.079</v>
      </c>
      <c r="D4840" s="30" t="n">
        <f aca="false">a26_ems</f>
        <v>314.602</v>
      </c>
      <c r="E4840" s="30" t="n">
        <f aca="false">D4840*(1+g_ems27)</f>
        <v>346.0622</v>
      </c>
      <c r="F4840" s="30" t="n">
        <f aca="false">E4840*(1+g_emsL)</f>
        <v>363.36531</v>
      </c>
      <c r="G4840" s="30" t="n">
        <f aca="false">F4840*(1+g_emsL)</f>
        <v>381.5335755</v>
      </c>
    </row>
    <row r="4841" customFormat="false" ht="17.15" hidden="false" customHeight="false" outlineLevel="0" collapsed="false">
      <c r="A4841" s="4" t="s">
        <v>564</v>
      </c>
      <c r="B4841" s="0" t="s">
        <v>234</v>
      </c>
      <c r="C4841" s="30" t="n">
        <f aca="false">a25_elim</f>
        <v>-2.91899999999998</v>
      </c>
      <c r="D4841" s="30" t="n">
        <f aca="false">a26_elim</f>
        <v>-3.16484905982349</v>
      </c>
      <c r="E4841" s="30" t="n">
        <f aca="false">$D4841/($D4839+$D4840)*(E4839+E4840)</f>
        <v>-4.05696293213379</v>
      </c>
      <c r="F4841" s="30" t="n">
        <f aca="false">$D4841/($D4839+$D4840)*(F4839+F4840)</f>
        <v>-4.57086882962089</v>
      </c>
      <c r="G4841" s="30" t="n">
        <f aca="false">$D4841/($D4839+$D4840)*(G4839+G4840)</f>
        <v>-5.16279605283144</v>
      </c>
      <c r="K4841" s="4" t="s">
        <v>565</v>
      </c>
    </row>
    <row r="4842" customFormat="false" ht="17.15" hidden="false" customHeight="false" outlineLevel="0" collapsed="false">
      <c r="A4842" s="4" t="s">
        <v>431</v>
      </c>
      <c r="B4842" s="0" t="s">
        <v>234</v>
      </c>
      <c r="C4842" s="30" t="n">
        <f aca="false">C4839+C4840+C4841</f>
        <v>645.388</v>
      </c>
      <c r="D4842" s="30" t="n">
        <f aca="false">D4839+D4840+D4841</f>
        <v>871.167350940177</v>
      </c>
      <c r="E4842" s="30" t="n">
        <f aca="false">E4839+E4840+E4841</f>
        <v>1116.73371577683</v>
      </c>
      <c r="F4842" s="30" t="n">
        <f aca="false">F4839+F4840+F4841</f>
        <v>1258.19323908545</v>
      </c>
      <c r="G4842" s="30" t="n">
        <f aca="false">G4839+G4840+G4841</f>
        <v>1421.12918365858</v>
      </c>
      <c r="H4842" s="31" t="n">
        <f aca="false">G4842*(1+H4843)</f>
        <v>1572.24252669828</v>
      </c>
      <c r="I4842" s="31" t="n">
        <f aca="false">H4842*(1+I4843)</f>
        <v>1703.00066355907</v>
      </c>
      <c r="J4842" s="31" t="n">
        <f aca="false">I4842*(1+J4843)</f>
        <v>1805.18070337261</v>
      </c>
      <c r="K4842" s="8" t="s">
        <v>566</v>
      </c>
    </row>
    <row r="4843" customFormat="false" ht="15" hidden="false" customHeight="false" outlineLevel="0" collapsed="false">
      <c r="A4843" s="4" t="s">
        <v>567</v>
      </c>
      <c r="B4843" s="0" t="s">
        <v>76</v>
      </c>
      <c r="D4843" s="21" t="n">
        <f aca="false">D4842/C4842-1</f>
        <v>0.349835061916516</v>
      </c>
      <c r="E4843" s="21" t="n">
        <f aca="false">E4842/D4842-1</f>
        <v>0.281881965126026</v>
      </c>
      <c r="F4843" s="21" t="n">
        <f aca="false">F4842/E4842-1</f>
        <v>0.126672564202309</v>
      </c>
      <c r="G4843" s="21" t="n">
        <f aca="false">G4842/F4842-1</f>
        <v>0.129499936505429</v>
      </c>
      <c r="H4843" s="26" t="n">
        <f aca="false">$G4843+(fade_gA-$G4843)*1/3</f>
        <v>0.10633329100362</v>
      </c>
      <c r="I4843" s="26" t="n">
        <f aca="false">$G4843+(fade_gA-$G4843)*2/3</f>
        <v>0.0831666455018098</v>
      </c>
      <c r="J4843" s="26" t="n">
        <f aca="false">$G4843+(fade_gA-$G4843)*3/3</f>
        <v>0.06</v>
      </c>
    </row>
    <row r="4844" customFormat="false" ht="17.15" hidden="false" customHeight="false" outlineLevel="0" collapsed="false">
      <c r="A4844" s="0" t="s">
        <v>475</v>
      </c>
      <c r="B4844" s="0" t="s">
        <v>76</v>
      </c>
      <c r="C4844" s="21" t="n">
        <f aca="false">C4837/C4839</f>
        <v>0.127431736668482</v>
      </c>
      <c r="D4844" s="21" t="n">
        <f aca="false">D4837/D4839</f>
        <v>0.227966974088588</v>
      </c>
      <c r="E4844" s="21" t="n">
        <f aca="false">E4837/E4839</f>
        <v>0.35854980982739</v>
      </c>
      <c r="F4844" s="21" t="n">
        <f aca="false">F4837/F4839</f>
        <v>0.408787056050512</v>
      </c>
      <c r="G4844" s="21" t="n">
        <f aca="false">G4837/G4839</f>
        <v>0.455416923583923</v>
      </c>
    </row>
    <row r="4845" customFormat="false" ht="15" hidden="false" customHeight="false" outlineLevel="0" collapsed="false">
      <c r="A4845" s="4" t="s">
        <v>568</v>
      </c>
      <c r="B4845" s="0" t="s">
        <v>76</v>
      </c>
      <c r="D4845" s="21" t="n">
        <f aca="false">D4839/C4839-1</f>
        <v>0.438052247012034</v>
      </c>
      <c r="E4845" s="21" t="n">
        <f aca="false">E4839/D4839-1</f>
        <v>0.384110556673485</v>
      </c>
      <c r="F4845" s="21" t="n">
        <f aca="false">F4839/E4839-1</f>
        <v>0.160921306796241</v>
      </c>
      <c r="G4845" s="21" t="n">
        <f aca="false">G4839/F4839-1</f>
        <v>0.161618635285371</v>
      </c>
    </row>
    <row r="4846" customFormat="false" ht="17.15" hidden="false" customHeight="false" outlineLevel="0" collapsed="false">
      <c r="A4846" s="6" t="s">
        <v>569</v>
      </c>
    </row>
    <row r="4847" customFormat="false" ht="17.15" hidden="false" customHeight="false" outlineLevel="0" collapsed="false">
      <c r="A4847" s="4" t="s">
        <v>570</v>
      </c>
      <c r="B4847" s="0" t="s">
        <v>120</v>
      </c>
      <c r="C4847" s="19" t="n">
        <f aca="false">capex25</f>
        <v>5.5</v>
      </c>
      <c r="D4847" s="19" t="n">
        <f aca="false">capex26</f>
        <v>11.5</v>
      </c>
      <c r="E4847" s="19" t="n">
        <f aca="false">capex27</f>
        <v>13</v>
      </c>
      <c r="F4847" s="19" t="n">
        <f aca="false">capi*F4842/F4835</f>
        <v>11.7955616164261</v>
      </c>
      <c r="G4847" s="19" t="n">
        <f aca="false">capi*G4842/G4835</f>
        <v>13.3230860967992</v>
      </c>
      <c r="K4847" s="8" t="s">
        <v>571</v>
      </c>
    </row>
    <row r="4848" customFormat="false" ht="15" hidden="false" customHeight="false" outlineLevel="0" collapsed="false">
      <c r="A4848" s="4" t="s">
        <v>572</v>
      </c>
      <c r="B4848" s="0" t="s">
        <v>234</v>
      </c>
      <c r="C4848" s="30" t="n">
        <f aca="false">C4847*C4835</f>
        <v>170.5</v>
      </c>
      <c r="D4848" s="30" t="n">
        <f aca="false">D4847*31.9</f>
        <v>366.85</v>
      </c>
      <c r="E4848" s="30" t="n">
        <f aca="false">E4847*E4835</f>
        <v>416</v>
      </c>
      <c r="F4848" s="30" t="n">
        <f aca="false">F4847*F4835</f>
        <v>377.457971725635</v>
      </c>
      <c r="G4848" s="30" t="n">
        <f aca="false">G4847*G4835</f>
        <v>426.338755097573</v>
      </c>
    </row>
    <row r="4849" customFormat="false" ht="17.15" hidden="false" customHeight="false" outlineLevel="0" collapsed="false">
      <c r="A4849" s="4" t="s">
        <v>473</v>
      </c>
      <c r="B4849" s="0" t="s">
        <v>76</v>
      </c>
      <c r="C4849" s="21" t="n">
        <f aca="false">C4848/C4842</f>
        <v>0.264182166386732</v>
      </c>
      <c r="D4849" s="21" t="n">
        <f aca="false">D4848/D4842</f>
        <v>0.421101639775745</v>
      </c>
      <c r="E4849" s="21" t="n">
        <f aca="false">E4848/E4842</f>
        <v>0.372514946153139</v>
      </c>
      <c r="F4849" s="21" t="n">
        <f aca="false">F4848/F4842</f>
        <v>0.3</v>
      </c>
      <c r="G4849" s="21" t="n">
        <f aca="false">G4848/G4842</f>
        <v>0.3</v>
      </c>
    </row>
    <row r="4850" customFormat="false" ht="17.15" hidden="false" customHeight="false" outlineLevel="0" collapsed="false">
      <c r="A4850" s="4" t="s">
        <v>573</v>
      </c>
      <c r="B4850" s="0" t="s">
        <v>234</v>
      </c>
      <c r="C4850" s="30" t="n">
        <f aca="false">a25_da</f>
        <v>75.255</v>
      </c>
      <c r="D4850" s="30" t="n">
        <f aca="false">a26_da</f>
        <v>97.124</v>
      </c>
      <c r="E4850" s="30" t="n">
        <f aca="false">D4850*(1-1/life)+D4848/life</f>
        <v>130.83975</v>
      </c>
      <c r="F4850" s="30" t="n">
        <f aca="false">E4850*(1-1/life)+E4848/life</f>
        <v>166.48478125</v>
      </c>
      <c r="G4850" s="30" t="n">
        <f aca="false">F4850*(1-1/life)+F4848/life</f>
        <v>192.856430059454</v>
      </c>
      <c r="K4850" s="4" t="s">
        <v>574</v>
      </c>
    </row>
    <row r="4851" customFormat="false" ht="17.15" hidden="false" customHeight="false" outlineLevel="0" collapsed="false">
      <c r="A4851" s="4" t="s">
        <v>575</v>
      </c>
      <c r="B4851" s="0" t="s">
        <v>234</v>
      </c>
      <c r="C4851" s="30" t="n">
        <f aca="false">a25_agp</f>
        <v>91.38</v>
      </c>
      <c r="D4851" s="30" t="n">
        <f aca="false">a26_agp</f>
        <v>164.623388</v>
      </c>
      <c r="E4851" s="30" t="n">
        <f aca="false">$D4851+ft*(E4839-$D4839)-(E4850-$D4850)</f>
        <v>238.406777354481</v>
      </c>
      <c r="F4851" s="30" t="n">
        <f aca="false">$D4851+ft*(F4839-$D4839)-(F4850-$D4850)</f>
        <v>265.096905707536</v>
      </c>
      <c r="G4851" s="30" t="n">
        <f aca="false">$D4851+ft*(G4839-$D4839)-(G4850-$D4850)</f>
        <v>311.40506004625</v>
      </c>
      <c r="K4851" s="4" t="s">
        <v>576</v>
      </c>
    </row>
    <row r="4852" customFormat="false" ht="15" hidden="false" customHeight="false" outlineLevel="0" collapsed="false">
      <c r="A4852" s="4" t="s">
        <v>447</v>
      </c>
      <c r="B4852" s="0" t="s">
        <v>76</v>
      </c>
      <c r="C4852" s="14" t="n">
        <f aca="false">C4851/C4839</f>
        <v>0.234772421305764</v>
      </c>
      <c r="D4852" s="14" t="n">
        <f aca="false">D4851/D4839</f>
        <v>0.294112034690999</v>
      </c>
      <c r="E4852" s="14" t="n">
        <f aca="false">E4851/E4839</f>
        <v>0.307729461232368</v>
      </c>
      <c r="F4852" s="14" t="n">
        <f aca="false">F4851/F4839</f>
        <v>0.294749010474626</v>
      </c>
      <c r="G4852" s="14" t="n">
        <f aca="false">G4851/G4839</f>
        <v>0.298064182868479</v>
      </c>
    </row>
    <row r="4853" customFormat="false" ht="17.15" hidden="false" customHeight="false" outlineLevel="0" collapsed="false">
      <c r="A4853" s="0" t="s">
        <v>449</v>
      </c>
      <c r="B4853" s="0" t="s">
        <v>234</v>
      </c>
      <c r="C4853" s="30" t="n">
        <f aca="false">a25_egp</f>
        <v>23.695</v>
      </c>
      <c r="D4853" s="30" t="n">
        <f aca="false">a26_egp</f>
        <v>27.00552</v>
      </c>
      <c r="E4853" s="30" t="n">
        <f aca="false">E4840*ems_gm</f>
        <v>29.415287</v>
      </c>
      <c r="F4853" s="30" t="n">
        <f aca="false">F4840*ems_gm</f>
        <v>30.88605135</v>
      </c>
      <c r="G4853" s="30" t="n">
        <f aca="false">G4840*ems_gm</f>
        <v>32.4303539175</v>
      </c>
    </row>
    <row r="4854" customFormat="false" ht="15" hidden="false" customHeight="false" outlineLevel="0" collapsed="false">
      <c r="A4854" s="4" t="s">
        <v>577</v>
      </c>
      <c r="B4854" s="0" t="s">
        <v>234</v>
      </c>
      <c r="C4854" s="30" t="n">
        <f aca="false">a25_lgp</f>
        <v>-0.881999999999998</v>
      </c>
      <c r="D4854" s="30" t="n">
        <f aca="false">a26_lgp</f>
        <v>-0.948662139013863</v>
      </c>
      <c r="E4854" s="30" t="n">
        <f aca="false">$D4854/$D4841*E4841</f>
        <v>-1.21607288699975</v>
      </c>
      <c r="F4854" s="30" t="n">
        <f aca="false">$D4854/$D4841*F4841</f>
        <v>-1.37011595785291</v>
      </c>
      <c r="G4854" s="30" t="n">
        <f aca="false">$D4854/$D4841*G4841</f>
        <v>-1.54754588739994</v>
      </c>
    </row>
    <row r="4855" customFormat="false" ht="15" hidden="false" customHeight="false" outlineLevel="0" collapsed="false">
      <c r="A4855" s="4" t="s">
        <v>451</v>
      </c>
      <c r="B4855" s="0" t="s">
        <v>234</v>
      </c>
      <c r="C4855" s="30" t="n">
        <f aca="false">C4851+C4853+C4854</f>
        <v>114.193</v>
      </c>
      <c r="D4855" s="30" t="n">
        <f aca="false">D4851+D4853+D4854</f>
        <v>190.680245860986</v>
      </c>
      <c r="E4855" s="30" t="n">
        <f aca="false">E4851+E4853+E4854</f>
        <v>266.605991467481</v>
      </c>
      <c r="F4855" s="30" t="n">
        <f aca="false">F4851+F4853+F4854</f>
        <v>294.612841099683</v>
      </c>
      <c r="G4855" s="30" t="n">
        <f aca="false">G4851+G4853+G4854</f>
        <v>342.28786807635</v>
      </c>
    </row>
    <row r="4856" customFormat="false" ht="15" hidden="false" customHeight="false" outlineLevel="0" collapsed="false">
      <c r="A4856" s="4" t="s">
        <v>452</v>
      </c>
      <c r="B4856" s="0" t="s">
        <v>76</v>
      </c>
      <c r="C4856" s="14" t="n">
        <f aca="false">C4855/C4842</f>
        <v>0.176936974347214</v>
      </c>
      <c r="D4856" s="14" t="n">
        <f aca="false">D4855/D4842</f>
        <v>0.218879008327391</v>
      </c>
      <c r="E4856" s="14" t="n">
        <f aca="false">E4855/E4842</f>
        <v>0.238737299412531</v>
      </c>
      <c r="F4856" s="14" t="n">
        <f aca="false">F4855/F4842</f>
        <v>0.234155479418908</v>
      </c>
      <c r="G4856" s="14" t="n">
        <f aca="false">G4855/G4842</f>
        <v>0.24085626557549</v>
      </c>
    </row>
    <row r="4857" customFormat="false" ht="15" hidden="false" customHeight="false" outlineLevel="0" collapsed="false">
      <c r="A4857" s="4" t="s">
        <v>578</v>
      </c>
      <c r="B4857" s="0" t="s">
        <v>234</v>
      </c>
      <c r="C4857" s="30" t="n">
        <f aca="false">a25_opx</f>
        <v>63.437</v>
      </c>
      <c r="D4857" s="30" t="n">
        <f aca="false">a26_opx</f>
        <v>79.658</v>
      </c>
      <c r="E4857" s="30" t="n">
        <f aca="false">D4857*(1+phi*E4843)</f>
        <v>93.1304921468054</v>
      </c>
      <c r="F4857" s="30" t="n">
        <f aca="false">E4857*(1+phi*F4843)</f>
        <v>100.208739094201</v>
      </c>
      <c r="G4857" s="30" t="n">
        <f aca="false">F4857*(1+phi*G4843)</f>
        <v>107.994954304194</v>
      </c>
    </row>
    <row r="4858" customFormat="false" ht="15" hidden="false" customHeight="false" outlineLevel="0" collapsed="false">
      <c r="A4858" s="4" t="s">
        <v>455</v>
      </c>
      <c r="B4858" s="0" t="s">
        <v>234</v>
      </c>
      <c r="C4858" s="30" t="n">
        <f aca="false">C4855-C4857</f>
        <v>50.756</v>
      </c>
      <c r="D4858" s="30" t="n">
        <f aca="false">D4855-D4857</f>
        <v>111.022245860986</v>
      </c>
      <c r="E4858" s="30" t="n">
        <f aca="false">E4855-E4857</f>
        <v>173.475499320676</v>
      </c>
      <c r="F4858" s="30" t="n">
        <f aca="false">F4855-F4857</f>
        <v>194.404102005482</v>
      </c>
      <c r="G4858" s="30" t="n">
        <f aca="false">G4855-G4857</f>
        <v>234.292913772156</v>
      </c>
    </row>
    <row r="4859" customFormat="false" ht="15" hidden="false" customHeight="false" outlineLevel="0" collapsed="false">
      <c r="A4859" s="4" t="s">
        <v>537</v>
      </c>
      <c r="B4859" s="0" t="s">
        <v>76</v>
      </c>
      <c r="C4859" s="14" t="n">
        <f aca="false">C4858/C4842</f>
        <v>0.0786441644406156</v>
      </c>
      <c r="D4859" s="14" t="n">
        <f aca="false">D4858/D4842</f>
        <v>0.127440779020437</v>
      </c>
      <c r="E4859" s="14" t="n">
        <f aca="false">E4858/E4842</f>
        <v>0.155341866077717</v>
      </c>
      <c r="F4859" s="14" t="n">
        <f aca="false">F4858/F4842</f>
        <v>0.154510528245081</v>
      </c>
      <c r="G4859" s="14" t="n">
        <f aca="false">G4858/G4842</f>
        <v>0.164863909957143</v>
      </c>
    </row>
    <row r="4860" customFormat="false" ht="15" hidden="false" customHeight="false" outlineLevel="0" collapsed="false">
      <c r="A4860" s="4" t="s">
        <v>456</v>
      </c>
      <c r="B4860" s="0" t="s">
        <v>234</v>
      </c>
      <c r="C4860" s="30" t="n">
        <f aca="false">a25_nonop</f>
        <v>0.545</v>
      </c>
      <c r="D4860" s="30" t="n">
        <f aca="false">a26_nonop</f>
        <v>4.302</v>
      </c>
      <c r="E4860" s="30" t="n">
        <f aca="false">nonop_f</f>
        <v>-5</v>
      </c>
      <c r="F4860" s="30" t="n">
        <f aca="false">nonop_f</f>
        <v>-5</v>
      </c>
      <c r="G4860" s="30" t="n">
        <f aca="false">nonop_f</f>
        <v>-5</v>
      </c>
    </row>
    <row r="4861" customFormat="false" ht="15" hidden="false" customHeight="false" outlineLevel="0" collapsed="false">
      <c r="A4861" s="4" t="s">
        <v>459</v>
      </c>
      <c r="B4861" s="0" t="s">
        <v>234</v>
      </c>
      <c r="C4861" s="30" t="n">
        <f aca="false">C4858+C4860</f>
        <v>51.301</v>
      </c>
      <c r="D4861" s="30" t="n">
        <f aca="false">D4858+D4860</f>
        <v>115.324245860986</v>
      </c>
      <c r="E4861" s="30" t="n">
        <f aca="false">E4858+E4860</f>
        <v>168.475499320676</v>
      </c>
      <c r="F4861" s="30" t="n">
        <f aca="false">F4858+F4860</f>
        <v>189.404102005482</v>
      </c>
      <c r="G4861" s="30" t="n">
        <f aca="false">G4858+G4860</f>
        <v>229.292913772156</v>
      </c>
    </row>
    <row r="4862" customFormat="false" ht="15" hidden="false" customHeight="false" outlineLevel="0" collapsed="false">
      <c r="A4862" s="4" t="s">
        <v>460</v>
      </c>
      <c r="B4862" s="0" t="s">
        <v>234</v>
      </c>
      <c r="C4862" s="30" t="n">
        <f aca="false">a25_tax</f>
        <v>9.461</v>
      </c>
      <c r="D4862" s="30" t="n">
        <f aca="false">a26_tax</f>
        <v>19.2197317963676</v>
      </c>
      <c r="E4862" s="30" t="n">
        <f aca="false">E4861*tax_lo</f>
        <v>25.2713248981013</v>
      </c>
      <c r="F4862" s="30" t="n">
        <f aca="false">F4861*tax_lo</f>
        <v>28.4106153008223</v>
      </c>
      <c r="G4862" s="30" t="n">
        <f aca="false">G4861*tax_lo</f>
        <v>34.3939370658234</v>
      </c>
    </row>
    <row r="4863" customFormat="false" ht="15" hidden="false" customHeight="false" outlineLevel="0" collapsed="false">
      <c r="A4863" s="4" t="s">
        <v>461</v>
      </c>
      <c r="B4863" s="0" t="s">
        <v>234</v>
      </c>
      <c r="C4863" s="30" t="n">
        <f aca="false">a25_nci</f>
        <v>1.182</v>
      </c>
      <c r="D4863" s="30" t="n">
        <f aca="false">a26_nci</f>
        <v>2.543</v>
      </c>
      <c r="E4863" s="30" t="n">
        <f aca="false">nci</f>
        <v>3</v>
      </c>
      <c r="F4863" s="30" t="n">
        <f aca="false">nci</f>
        <v>3</v>
      </c>
      <c r="G4863" s="30" t="n">
        <f aca="false">nci</f>
        <v>3</v>
      </c>
    </row>
    <row r="4864" customFormat="false" ht="15" hidden="false" customHeight="false" outlineLevel="0" collapsed="false">
      <c r="A4864" s="4" t="s">
        <v>462</v>
      </c>
      <c r="B4864" s="0" t="s">
        <v>234</v>
      </c>
      <c r="C4864" s="30" t="n">
        <f aca="false">C4861-C4862-C4863</f>
        <v>40.658</v>
      </c>
      <c r="D4864" s="30" t="n">
        <f aca="false">D4861-D4862-D4863</f>
        <v>93.5615140646185</v>
      </c>
      <c r="E4864" s="30" t="n">
        <f aca="false">E4861-E4862-E4863</f>
        <v>140.204174422574</v>
      </c>
      <c r="F4864" s="30" t="n">
        <f aca="false">F4861-F4862-F4863</f>
        <v>157.99348670466</v>
      </c>
      <c r="G4864" s="30" t="n">
        <f aca="false">G4861-G4862-G4863</f>
        <v>191.898976706333</v>
      </c>
      <c r="H4864" s="31" t="n">
        <f aca="false">H4842*H4868</f>
        <v>210.613063880428</v>
      </c>
      <c r="I4864" s="31" t="n">
        <f aca="false">I4842*I4868</f>
        <v>226.29723502585</v>
      </c>
      <c r="J4864" s="31" t="n">
        <f aca="false">J4842*J4868</f>
        <v>237.933349598446</v>
      </c>
    </row>
    <row r="4865" customFormat="false" ht="15" hidden="false" customHeight="false" outlineLevel="0" collapsed="false">
      <c r="A4865" s="4" t="s">
        <v>579</v>
      </c>
      <c r="B4865" s="4" t="s">
        <v>580</v>
      </c>
      <c r="C4865" s="18" t="n">
        <f aca="false">a25_sh</f>
        <v>4339.16755602988</v>
      </c>
      <c r="D4865" s="18" t="n">
        <f aca="false">a26_sh</f>
        <v>4392.90105184664</v>
      </c>
      <c r="E4865" s="18" t="n">
        <f aca="false">D4865*(1+sh_g)</f>
        <v>4414.86555710588</v>
      </c>
      <c r="F4865" s="18" t="n">
        <f aca="false">E4865*(1+sh_g)</f>
        <v>4436.9398848914</v>
      </c>
      <c r="G4865" s="18" t="n">
        <f aca="false">F4865*(1+sh_g)</f>
        <v>4459.12458431586</v>
      </c>
      <c r="H4865" s="25" t="n">
        <f aca="false">G4865*(1+sh_g)</f>
        <v>4481.42020723744</v>
      </c>
      <c r="I4865" s="25" t="n">
        <f aca="false">H4865*(1+sh_g)</f>
        <v>4503.82730827363</v>
      </c>
      <c r="J4865" s="25" t="n">
        <f aca="false">I4865*(1+sh_g)</f>
        <v>4526.34644481499</v>
      </c>
    </row>
    <row r="4866" customFormat="false" ht="17.15" hidden="false" customHeight="false" outlineLevel="0" collapsed="false">
      <c r="A4866" s="0" t="s">
        <v>465</v>
      </c>
      <c r="B4866" s="0" t="s">
        <v>304</v>
      </c>
      <c r="C4866" s="19" t="n">
        <f aca="false">a25_eps</f>
        <v>9.37</v>
      </c>
      <c r="D4866" s="19" t="n">
        <f aca="false">a26_eps</f>
        <v>21.2828697294455</v>
      </c>
      <c r="E4866" s="19" t="n">
        <f aca="false">E4864/E4865*1000</f>
        <v>31.7572919512602</v>
      </c>
      <c r="F4866" s="19" t="n">
        <f aca="false">F4864/F4865*1000</f>
        <v>35.6086606543074</v>
      </c>
      <c r="G4866" s="19" t="n">
        <f aca="false">G4864/G4865*1000</f>
        <v>43.0351233919998</v>
      </c>
      <c r="H4866" s="28" t="n">
        <f aca="false">H4864/H4865*1000</f>
        <v>46.9969460887178</v>
      </c>
      <c r="I4866" s="28" t="n">
        <f aca="false">I4864/I4865*1000</f>
        <v>50.2455399677818</v>
      </c>
      <c r="J4866" s="28" t="n">
        <f aca="false">J4864/J4865*1000</f>
        <v>52.5663142446825</v>
      </c>
    </row>
    <row r="4867" customFormat="false" ht="17.15" hidden="false" customHeight="false" outlineLevel="0" collapsed="false">
      <c r="A4867" s="0" t="s">
        <v>581</v>
      </c>
      <c r="B4867" s="0" t="s">
        <v>76</v>
      </c>
      <c r="D4867" s="21" t="n">
        <f aca="false">D4866/C4866-1</f>
        <v>1.27138417603474</v>
      </c>
      <c r="E4867" s="21" t="n">
        <f aca="false">E4866/D4866-1</f>
        <v>0.492152719768</v>
      </c>
      <c r="F4867" s="21" t="n">
        <f aca="false">F4866/E4866-1</f>
        <v>0.121275098297365</v>
      </c>
      <c r="G4867" s="21" t="n">
        <f aca="false">G4866/F4866-1</f>
        <v>0.208557766600358</v>
      </c>
      <c r="H4867" s="26" t="n">
        <f aca="false">H4866/G4866-1</f>
        <v>0.0920602146444527</v>
      </c>
      <c r="I4867" s="26" t="n">
        <f aca="false">I4866/H4866-1</f>
        <v>0.0691235101304575</v>
      </c>
      <c r="J4867" s="26" t="n">
        <f aca="false">J4866/I4866-1</f>
        <v>0.0461886622850254</v>
      </c>
    </row>
    <row r="4868" customFormat="false" ht="17.15" hidden="false" customHeight="false" outlineLevel="0" collapsed="false">
      <c r="A4868" s="4" t="s">
        <v>582</v>
      </c>
      <c r="B4868" s="0" t="s">
        <v>76</v>
      </c>
      <c r="C4868" s="14" t="n">
        <f aca="false">C4864/C4842</f>
        <v>0.0629977625862272</v>
      </c>
      <c r="D4868" s="14" t="n">
        <f aca="false">D4864/D4842</f>
        <v>0.107397865592237</v>
      </c>
      <c r="E4868" s="14" t="n">
        <f aca="false">E4864/E4842</f>
        <v>0.125548438666997</v>
      </c>
      <c r="F4868" s="14" t="n">
        <f aca="false">F4864/F4842</f>
        <v>0.125571718076868</v>
      </c>
      <c r="G4868" s="14" t="n">
        <f aca="false">G4864/G4842</f>
        <v>0.135032746433583</v>
      </c>
      <c r="H4868" s="27" t="n">
        <f aca="false">$G4868+(fade_mA-$G4868)*1/3</f>
        <v>0.13395710922711</v>
      </c>
      <c r="I4868" s="27" t="n">
        <f aca="false">$G4868+(fade_mA-$G4868)*2/3</f>
        <v>0.132881472020637</v>
      </c>
      <c r="J4868" s="27" t="n">
        <f aca="false">$G4868+(fade_mA-$G4868)*3/3</f>
        <v>0.131805834814164</v>
      </c>
    </row>
    <row r="4869" customFormat="false" ht="17.15" hidden="false" customHeight="false" outlineLevel="0" collapsed="false">
      <c r="A4869" s="4" t="s">
        <v>583</v>
      </c>
      <c r="B4869" s="0" t="s">
        <v>234</v>
      </c>
      <c r="C4869" s="30" t="n">
        <f aca="false">C4864+C4850-C4848</f>
        <v>-54.587</v>
      </c>
      <c r="D4869" s="30" t="n">
        <f aca="false">D4864+D4850-D4848</f>
        <v>-176.164485935382</v>
      </c>
      <c r="E4869" s="30" t="n">
        <f aca="false">E4864+E4850-E4848</f>
        <v>-144.956075577426</v>
      </c>
      <c r="F4869" s="30" t="n">
        <f aca="false">F4864+F4850-F4848</f>
        <v>-52.9797037709754</v>
      </c>
      <c r="G4869" s="30" t="n">
        <f aca="false">G4864+G4850-G4848</f>
        <v>-41.5833483317859</v>
      </c>
      <c r="K4869" s="4" t="s">
        <v>584</v>
      </c>
    </row>
    <row r="4870" customFormat="false" ht="17.15" hidden="false" customHeight="false" outlineLevel="0" collapsed="false">
      <c r="A4870" s="4" t="s">
        <v>585</v>
      </c>
      <c r="B4870" s="0" t="s">
        <v>76</v>
      </c>
      <c r="D4870" s="21" t="n">
        <f aca="false">(D4858-$C4858)/SUM($D4848:D4848)</f>
        <v>0.164280348537512</v>
      </c>
      <c r="E4870" s="21" t="n">
        <f aca="false">(E4858-$C4858)/SUM($D4848:E4848)</f>
        <v>0.156759914824903</v>
      </c>
      <c r="F4870" s="21" t="n">
        <f aca="false">(F4858-$C4858)/SUM($D4848:F4848)</f>
        <v>0.123801702225527</v>
      </c>
      <c r="G4870" s="21" t="n">
        <f aca="false">(G4858-$C4858)/SUM($D4848:G4848)</f>
        <v>0.115675979201517</v>
      </c>
      <c r="K4870" s="4" t="s">
        <v>586</v>
      </c>
    </row>
    <row r="4873" customFormat="false" ht="17.15" hidden="false" customHeight="false" outlineLevel="0" collapsed="false">
      <c r="A4873" s="1" t="s">
        <v>1013</v>
      </c>
    </row>
    <row r="4874" customFormat="false" ht="17.15" hidden="false" customHeight="false" outlineLevel="0" collapsed="false">
      <c r="A4874" s="5" t="s">
        <v>21</v>
      </c>
      <c r="B4874" s="5" t="s">
        <v>22</v>
      </c>
      <c r="C4874" s="15" t="s">
        <v>424</v>
      </c>
      <c r="D4874" s="15" t="s">
        <v>524</v>
      </c>
      <c r="E4874" s="15" t="s">
        <v>525</v>
      </c>
      <c r="F4874" s="15" t="s">
        <v>526</v>
      </c>
      <c r="G4874" s="15" t="s">
        <v>527</v>
      </c>
      <c r="H4874" s="15" t="s">
        <v>528</v>
      </c>
      <c r="I4874" s="15" t="s">
        <v>529</v>
      </c>
      <c r="J4874" s="15" t="s">
        <v>530</v>
      </c>
      <c r="K4874" s="5" t="s">
        <v>382</v>
      </c>
    </row>
    <row r="4875" customFormat="false" ht="17.15" hidden="false" customHeight="false" outlineLevel="0" collapsed="false">
      <c r="A4875" s="6" t="s">
        <v>548</v>
      </c>
    </row>
    <row r="4876" customFormat="false" ht="17.15" hidden="false" customHeight="false" outlineLevel="0" collapsed="false">
      <c r="A4876" s="0" t="s">
        <v>549</v>
      </c>
      <c r="B4876" s="4" t="s">
        <v>32</v>
      </c>
      <c r="D4876" s="19" t="n">
        <f aca="false">units_26</f>
        <v>15.2</v>
      </c>
      <c r="E4876" s="19" t="n">
        <f aca="false">units_27*1</f>
        <v>23.7</v>
      </c>
      <c r="F4876" s="19" t="n">
        <f aca="false">units_28*um28_B*1</f>
        <v>21.2</v>
      </c>
      <c r="G4876" s="19" t="n">
        <f aca="false">units_29*um29_B*1</f>
        <v>25.6275</v>
      </c>
    </row>
    <row r="4877" customFormat="false" ht="17.15" hidden="false" customHeight="false" outlineLevel="0" collapsed="false">
      <c r="A4877" s="4" t="s">
        <v>497</v>
      </c>
      <c r="B4877" s="0" t="s">
        <v>45</v>
      </c>
      <c r="D4877" s="22" t="n">
        <f aca="false">ar_26</f>
        <v>1</v>
      </c>
      <c r="E4877" s="22" t="n">
        <f aca="false">ar_27</f>
        <v>1.278156</v>
      </c>
      <c r="F4877" s="22" t="n">
        <f aca="false">ar_28</f>
        <v>1.428615</v>
      </c>
      <c r="G4877" s="22" t="n">
        <f aca="false">ar_29</f>
        <v>1.431796</v>
      </c>
    </row>
    <row r="4878" customFormat="false" ht="17.15" hidden="false" customHeight="false" outlineLevel="0" collapsed="false">
      <c r="A4878" s="4" t="s">
        <v>550</v>
      </c>
      <c r="B4878" s="0" t="s">
        <v>45</v>
      </c>
      <c r="D4878" s="19" t="n">
        <f aca="false">1</f>
        <v>1</v>
      </c>
      <c r="E4878" s="19" t="n">
        <f aca="false">rel27_B</f>
        <v>1.05</v>
      </c>
      <c r="F4878" s="19" t="n">
        <f aca="false">rel28_B</f>
        <v>1.08</v>
      </c>
      <c r="G4878" s="19" t="n">
        <f aca="false">rel29_B</f>
        <v>1.1</v>
      </c>
    </row>
    <row r="4879" customFormat="false" ht="17.15" hidden="false" customHeight="false" outlineLevel="0" collapsed="false">
      <c r="A4879" s="4" t="s">
        <v>551</v>
      </c>
      <c r="B4879" s="0" t="s">
        <v>502</v>
      </c>
      <c r="D4879" s="23" t="n">
        <f aca="false">D4880*1000/D4876</f>
        <v>236.842105263158</v>
      </c>
      <c r="E4879" s="23" t="n">
        <f aca="false">$D4879*E4877^el</f>
        <v>267.763172119488</v>
      </c>
      <c r="F4879" s="23" t="n">
        <f aca="false">$D4879*F4877^el</f>
        <v>283.084777049615</v>
      </c>
      <c r="G4879" s="23" t="n">
        <f aca="false">$D4879*G4877^el</f>
        <v>283.399764630809</v>
      </c>
      <c r="K4879" s="8" t="s">
        <v>552</v>
      </c>
    </row>
    <row r="4880" customFormat="false" ht="17.15" hidden="false" customHeight="false" outlineLevel="0" collapsed="false">
      <c r="A4880" s="0" t="s">
        <v>553</v>
      </c>
      <c r="B4880" s="0" t="s">
        <v>120</v>
      </c>
      <c r="D4880" s="22" t="n">
        <f aca="false">leap26-D4881-D4882</f>
        <v>3.6</v>
      </c>
      <c r="E4880" s="22" t="n">
        <f aca="false">E4876*E4878*E4879/1000</f>
        <v>6.66328653819345</v>
      </c>
      <c r="F4880" s="22" t="n">
        <f aca="false">F4876*F4878*F4879/1000</f>
        <v>6.48150905532798</v>
      </c>
      <c r="G4880" s="22" t="n">
        <f aca="false">G4876*G4878*G4879/1000</f>
        <v>7.98911021488366</v>
      </c>
      <c r="K4880" s="8" t="s">
        <v>554</v>
      </c>
    </row>
    <row r="4881" customFormat="false" ht="17.15" hidden="false" customHeight="false" outlineLevel="0" collapsed="false">
      <c r="A4881" s="4" t="s">
        <v>555</v>
      </c>
      <c r="B4881" s="0" t="s">
        <v>120</v>
      </c>
      <c r="D4881" s="22" t="n">
        <f aca="false">fp26</f>
        <v>0.3</v>
      </c>
      <c r="E4881" s="22" t="n">
        <f aca="false">fp27_B</f>
        <v>1</v>
      </c>
      <c r="F4881" s="22" t="n">
        <f aca="false">E4881*F4876/E4876*(1+fp_g)</f>
        <v>1.16286919831224</v>
      </c>
      <c r="G4881" s="22" t="n">
        <f aca="false">F4881*G4876/F4876*(1+fp_g)</f>
        <v>1.82744620253165</v>
      </c>
    </row>
    <row r="4882" customFormat="false" ht="17.15" hidden="false" customHeight="false" outlineLevel="0" collapsed="false">
      <c r="A4882" s="0" t="s">
        <v>556</v>
      </c>
      <c r="B4882" s="0" t="s">
        <v>120</v>
      </c>
      <c r="D4882" s="22" t="n">
        <f aca="false">cpo27*cpo_B_26/cpo_A_27</f>
        <v>0.1</v>
      </c>
      <c r="E4882" s="22" t="n">
        <f aca="false">cpo27*cpo_B_27/cpo_A_27</f>
        <v>0.3</v>
      </c>
      <c r="F4882" s="22" t="n">
        <f aca="false">cpo27*cpo_B_28/cpo_A_27*F4876/E4876</f>
        <v>0.447257383966245</v>
      </c>
      <c r="G4882" s="22" t="n">
        <f aca="false">cpo27*cpo_B_29/cpo_A_27*G4876/E4876</f>
        <v>0.86506329113924</v>
      </c>
      <c r="K4882" s="8" t="s">
        <v>557</v>
      </c>
    </row>
    <row r="4883" customFormat="false" ht="17.15" hidden="false" customHeight="false" outlineLevel="0" collapsed="false">
      <c r="A4883" s="0" t="s">
        <v>510</v>
      </c>
      <c r="B4883" s="0" t="s">
        <v>120</v>
      </c>
      <c r="C4883" s="22" t="n">
        <f aca="false">leap25</f>
        <v>1.6</v>
      </c>
      <c r="D4883" s="22" t="n">
        <f aca="false">D4880+D4881+D4882</f>
        <v>4</v>
      </c>
      <c r="E4883" s="22" t="n">
        <f aca="false">E4880+E4881+E4882</f>
        <v>7.96328653819345</v>
      </c>
      <c r="F4883" s="22" t="n">
        <f aca="false">F4880+F4881+F4882</f>
        <v>8.09163563760646</v>
      </c>
      <c r="G4883" s="22" t="n">
        <f aca="false">G4880+G4881+G4882</f>
        <v>10.6816197085545</v>
      </c>
    </row>
    <row r="4884" customFormat="false" ht="17.15" hidden="false" customHeight="false" outlineLevel="0" collapsed="false">
      <c r="A4884" s="4" t="s">
        <v>558</v>
      </c>
      <c r="B4884" s="0" t="s">
        <v>114</v>
      </c>
      <c r="C4884" s="19" t="n">
        <f aca="false">fx25</f>
        <v>31</v>
      </c>
      <c r="D4884" s="19" t="n">
        <f aca="false">a26_leap/D4883</f>
        <v>31.9</v>
      </c>
      <c r="E4884" s="19" t="n">
        <f aca="false">fx</f>
        <v>32</v>
      </c>
      <c r="F4884" s="19" t="n">
        <f aca="false">fx</f>
        <v>32</v>
      </c>
      <c r="G4884" s="19" t="n">
        <f aca="false">fx</f>
        <v>32</v>
      </c>
      <c r="K4884" s="8" t="s">
        <v>559</v>
      </c>
    </row>
    <row r="4885" customFormat="false" ht="17.15" hidden="false" customHeight="false" outlineLevel="0" collapsed="false">
      <c r="A4885" s="6" t="s">
        <v>560</v>
      </c>
    </row>
    <row r="4886" customFormat="false" ht="17.15" hidden="false" customHeight="false" outlineLevel="0" collapsed="false">
      <c r="A4886" s="0" t="s">
        <v>438</v>
      </c>
      <c r="B4886" s="0" t="s">
        <v>234</v>
      </c>
      <c r="C4886" s="30" t="n">
        <f aca="false">a25_leap</f>
        <v>49.6</v>
      </c>
      <c r="D4886" s="30" t="n">
        <f aca="false">a26_leap</f>
        <v>127.6</v>
      </c>
      <c r="E4886" s="30" t="n">
        <f aca="false">E4883*E4884</f>
        <v>254.82516922219</v>
      </c>
      <c r="F4886" s="30" t="n">
        <f aca="false">F4883*F4884</f>
        <v>258.932340403407</v>
      </c>
      <c r="G4886" s="30" t="n">
        <f aca="false">G4883*G4884</f>
        <v>341.811830673745</v>
      </c>
    </row>
    <row r="4887" customFormat="false" ht="15" hidden="false" customHeight="false" outlineLevel="0" collapsed="false">
      <c r="A4887" s="4" t="s">
        <v>561</v>
      </c>
      <c r="B4887" s="0" t="s">
        <v>234</v>
      </c>
      <c r="C4887" s="30" t="n">
        <f aca="false">a25_ms</f>
        <v>339.628</v>
      </c>
      <c r="D4887" s="30" t="n">
        <f aca="false">a26_ms</f>
        <v>432.1302</v>
      </c>
      <c r="E4887" s="30" t="n">
        <f aca="false">D4887*(1+g_ms27)</f>
        <v>496.94973</v>
      </c>
      <c r="F4887" s="30" t="n">
        <f aca="false">E4887*(1+g_msL)</f>
        <v>531.7362111</v>
      </c>
      <c r="G4887" s="30" t="n">
        <f aca="false">F4887*(1+g_msL)</f>
        <v>568.957745877</v>
      </c>
    </row>
    <row r="4888" customFormat="false" ht="17.15" hidden="false" customHeight="false" outlineLevel="0" collapsed="false">
      <c r="A4888" s="4" t="s">
        <v>562</v>
      </c>
      <c r="B4888" s="0" t="s">
        <v>234</v>
      </c>
      <c r="C4888" s="30" t="n">
        <f aca="false">C4886+C4887</f>
        <v>389.228</v>
      </c>
      <c r="D4888" s="30" t="n">
        <f aca="false">D4886+D4887</f>
        <v>559.7302</v>
      </c>
      <c r="E4888" s="30" t="n">
        <f aca="false">E4886+E4887</f>
        <v>751.77489922219</v>
      </c>
      <c r="F4888" s="30" t="n">
        <f aca="false">F4886+F4887</f>
        <v>790.668551503407</v>
      </c>
      <c r="G4888" s="30" t="n">
        <f aca="false">G4886+G4887</f>
        <v>910.769576550745</v>
      </c>
    </row>
    <row r="4889" customFormat="false" ht="17.15" hidden="false" customHeight="false" outlineLevel="0" collapsed="false">
      <c r="A4889" s="0" t="s">
        <v>563</v>
      </c>
      <c r="B4889" s="0" t="s">
        <v>234</v>
      </c>
      <c r="C4889" s="30" t="n">
        <f aca="false">a25_ems</f>
        <v>259.079</v>
      </c>
      <c r="D4889" s="30" t="n">
        <f aca="false">a26_ems</f>
        <v>314.602</v>
      </c>
      <c r="E4889" s="30" t="n">
        <f aca="false">D4889*(1+g_ems27)</f>
        <v>346.0622</v>
      </c>
      <c r="F4889" s="30" t="n">
        <f aca="false">E4889*(1+g_emsL)</f>
        <v>363.36531</v>
      </c>
      <c r="G4889" s="30" t="n">
        <f aca="false">F4889*(1+g_emsL)</f>
        <v>381.5335755</v>
      </c>
    </row>
    <row r="4890" customFormat="false" ht="17.15" hidden="false" customHeight="false" outlineLevel="0" collapsed="false">
      <c r="A4890" s="4" t="s">
        <v>564</v>
      </c>
      <c r="B4890" s="0" t="s">
        <v>234</v>
      </c>
      <c r="C4890" s="30" t="n">
        <f aca="false">a25_elim</f>
        <v>-2.91899999999998</v>
      </c>
      <c r="D4890" s="30" t="n">
        <f aca="false">a26_elim</f>
        <v>-3.16484905982349</v>
      </c>
      <c r="E4890" s="30" t="n">
        <f aca="false">$D4890/($D4888+$D4889)*(E4888+E4889)</f>
        <v>-3.97387710450638</v>
      </c>
      <c r="F4890" s="30" t="n">
        <f aca="false">$D4890/($D4888+$D4889)*(F4888+F4889)</f>
        <v>-4.17729437573445</v>
      </c>
      <c r="G4890" s="30" t="n">
        <f aca="false">$D4890/($D4888+$D4889)*(G4888+G4889)</f>
        <v>-4.67779228052533</v>
      </c>
      <c r="K4890" s="4" t="s">
        <v>565</v>
      </c>
    </row>
    <row r="4891" customFormat="false" ht="17.15" hidden="false" customHeight="false" outlineLevel="0" collapsed="false">
      <c r="A4891" s="4" t="s">
        <v>431</v>
      </c>
      <c r="B4891" s="0" t="s">
        <v>234</v>
      </c>
      <c r="C4891" s="30" t="n">
        <f aca="false">C4888+C4889+C4890</f>
        <v>645.388</v>
      </c>
      <c r="D4891" s="30" t="n">
        <f aca="false">D4888+D4889+D4890</f>
        <v>871.167350940177</v>
      </c>
      <c r="E4891" s="30" t="n">
        <f aca="false">E4888+E4889+E4890</f>
        <v>1093.86322211768</v>
      </c>
      <c r="F4891" s="30" t="n">
        <f aca="false">F4888+F4889+F4890</f>
        <v>1149.85656712767</v>
      </c>
      <c r="G4891" s="30" t="n">
        <f aca="false">G4888+G4889+G4890</f>
        <v>1287.62535977022</v>
      </c>
      <c r="H4891" s="31" t="n">
        <f aca="false">G4891*(1+H4892)</f>
        <v>1407.64396999115</v>
      </c>
      <c r="I4891" s="31" t="n">
        <f aca="false">H4891*(1+I4892)</f>
        <v>1501.39957757674</v>
      </c>
      <c r="J4891" s="31" t="n">
        <f aca="false">I4891*(1+J4892)</f>
        <v>1561.45556067981</v>
      </c>
      <c r="K4891" s="8" t="s">
        <v>566</v>
      </c>
    </row>
    <row r="4892" customFormat="false" ht="15" hidden="false" customHeight="false" outlineLevel="0" collapsed="false">
      <c r="A4892" s="4" t="s">
        <v>567</v>
      </c>
      <c r="B4892" s="0" t="s">
        <v>76</v>
      </c>
      <c r="D4892" s="21" t="n">
        <f aca="false">D4891/C4891-1</f>
        <v>0.349835061916516</v>
      </c>
      <c r="E4892" s="21" t="n">
        <f aca="false">E4891/D4891-1</f>
        <v>0.255629266796065</v>
      </c>
      <c r="F4892" s="21" t="n">
        <f aca="false">F4891/E4891-1</f>
        <v>0.0511886165270159</v>
      </c>
      <c r="G4892" s="21" t="n">
        <f aca="false">G4891/F4891-1</f>
        <v>0.11981389382042</v>
      </c>
      <c r="H4892" s="26" t="n">
        <f aca="false">$G4892+(fade_gB-$G4892)*1/3</f>
        <v>0.0932092625469469</v>
      </c>
      <c r="I4892" s="26" t="n">
        <f aca="false">$G4892+(fade_gB-$G4892)*2/3</f>
        <v>0.0666046312734734</v>
      </c>
      <c r="J4892" s="26" t="n">
        <f aca="false">$G4892+(fade_gB-$G4892)*3/3</f>
        <v>0.04</v>
      </c>
    </row>
    <row r="4893" customFormat="false" ht="17.15" hidden="false" customHeight="false" outlineLevel="0" collapsed="false">
      <c r="A4893" s="0" t="s">
        <v>475</v>
      </c>
      <c r="B4893" s="0" t="s">
        <v>76</v>
      </c>
      <c r="C4893" s="21" t="n">
        <f aca="false">C4886/C4888</f>
        <v>0.127431736668482</v>
      </c>
      <c r="D4893" s="21" t="n">
        <f aca="false">D4886/D4888</f>
        <v>0.227966974088588</v>
      </c>
      <c r="E4893" s="21" t="n">
        <f aca="false">E4886/E4888</f>
        <v>0.338964721335922</v>
      </c>
      <c r="F4893" s="21" t="n">
        <f aca="false">F4886/F4888</f>
        <v>0.327485315953269</v>
      </c>
      <c r="G4893" s="21" t="n">
        <f aca="false">G4886/G4888</f>
        <v>0.375300009436251</v>
      </c>
    </row>
    <row r="4894" customFormat="false" ht="15" hidden="false" customHeight="false" outlineLevel="0" collapsed="false">
      <c r="A4894" s="4" t="s">
        <v>568</v>
      </c>
      <c r="B4894" s="0" t="s">
        <v>76</v>
      </c>
      <c r="D4894" s="21" t="n">
        <f aca="false">D4888/C4888-1</f>
        <v>0.438052247012034</v>
      </c>
      <c r="E4894" s="21" t="n">
        <f aca="false">E4888/D4888-1</f>
        <v>0.343102264666424</v>
      </c>
      <c r="F4894" s="21" t="n">
        <f aca="false">F4888/E4888-1</f>
        <v>0.0517357686741828</v>
      </c>
      <c r="G4894" s="21" t="n">
        <f aca="false">G4888/F4888-1</f>
        <v>0.151898067551788</v>
      </c>
    </row>
    <row r="4895" customFormat="false" ht="17.15" hidden="false" customHeight="false" outlineLevel="0" collapsed="false">
      <c r="A4895" s="6" t="s">
        <v>569</v>
      </c>
    </row>
    <row r="4896" customFormat="false" ht="17.15" hidden="false" customHeight="false" outlineLevel="0" collapsed="false">
      <c r="A4896" s="4" t="s">
        <v>570</v>
      </c>
      <c r="B4896" s="0" t="s">
        <v>120</v>
      </c>
      <c r="C4896" s="19" t="n">
        <f aca="false">capex25</f>
        <v>5.5</v>
      </c>
      <c r="D4896" s="19" t="n">
        <f aca="false">capex26</f>
        <v>11.5</v>
      </c>
      <c r="E4896" s="19" t="n">
        <f aca="false">capex27</f>
        <v>13</v>
      </c>
      <c r="F4896" s="19" t="n">
        <f aca="false">capi*F4891/F4884</f>
        <v>10.7799053168219</v>
      </c>
      <c r="G4896" s="19" t="n">
        <f aca="false">capi*G4891/G4884</f>
        <v>12.0714877478458</v>
      </c>
      <c r="K4896" s="8" t="s">
        <v>571</v>
      </c>
    </row>
    <row r="4897" customFormat="false" ht="15" hidden="false" customHeight="false" outlineLevel="0" collapsed="false">
      <c r="A4897" s="4" t="s">
        <v>572</v>
      </c>
      <c r="B4897" s="0" t="s">
        <v>234</v>
      </c>
      <c r="C4897" s="30" t="n">
        <f aca="false">C4896*C4884</f>
        <v>170.5</v>
      </c>
      <c r="D4897" s="30" t="n">
        <f aca="false">D4896*31.9</f>
        <v>366.85</v>
      </c>
      <c r="E4897" s="30" t="n">
        <f aca="false">E4896*E4884</f>
        <v>416</v>
      </c>
      <c r="F4897" s="30" t="n">
        <f aca="false">F4896*F4884</f>
        <v>344.956970138302</v>
      </c>
      <c r="G4897" s="30" t="n">
        <f aca="false">G4896*G4884</f>
        <v>386.287607931066</v>
      </c>
    </row>
    <row r="4898" customFormat="false" ht="17.15" hidden="false" customHeight="false" outlineLevel="0" collapsed="false">
      <c r="A4898" s="4" t="s">
        <v>473</v>
      </c>
      <c r="B4898" s="0" t="s">
        <v>76</v>
      </c>
      <c r="C4898" s="21" t="n">
        <f aca="false">C4897/C4891</f>
        <v>0.264182166386732</v>
      </c>
      <c r="D4898" s="21" t="n">
        <f aca="false">D4897/D4891</f>
        <v>0.421101639775745</v>
      </c>
      <c r="E4898" s="21" t="n">
        <f aca="false">E4897/E4891</f>
        <v>0.380303489127861</v>
      </c>
      <c r="F4898" s="21" t="n">
        <f aca="false">F4897/F4891</f>
        <v>0.3</v>
      </c>
      <c r="G4898" s="21" t="n">
        <f aca="false">G4897/G4891</f>
        <v>0.3</v>
      </c>
    </row>
    <row r="4899" customFormat="false" ht="17.15" hidden="false" customHeight="false" outlineLevel="0" collapsed="false">
      <c r="A4899" s="4" t="s">
        <v>573</v>
      </c>
      <c r="B4899" s="0" t="s">
        <v>234</v>
      </c>
      <c r="C4899" s="30" t="n">
        <f aca="false">a25_da</f>
        <v>75.255</v>
      </c>
      <c r="D4899" s="30" t="n">
        <f aca="false">a26_da</f>
        <v>97.124</v>
      </c>
      <c r="E4899" s="30" t="n">
        <f aca="false">D4899*(1-1/life)+D4897/life</f>
        <v>130.83975</v>
      </c>
      <c r="F4899" s="30" t="n">
        <f aca="false">E4899*(1-1/life)+E4897/life</f>
        <v>166.48478125</v>
      </c>
      <c r="G4899" s="30" t="n">
        <f aca="false">F4899*(1-1/life)+F4897/life</f>
        <v>188.793804861038</v>
      </c>
      <c r="K4899" s="4" t="s">
        <v>574</v>
      </c>
    </row>
    <row r="4900" customFormat="false" ht="17.15" hidden="false" customHeight="false" outlineLevel="0" collapsed="false">
      <c r="A4900" s="4" t="s">
        <v>575</v>
      </c>
      <c r="B4900" s="0" t="s">
        <v>234</v>
      </c>
      <c r="C4900" s="30" t="n">
        <f aca="false">a25_agp</f>
        <v>91.38</v>
      </c>
      <c r="D4900" s="30" t="n">
        <f aca="false">a26_agp</f>
        <v>164.623388</v>
      </c>
      <c r="E4900" s="30" t="n">
        <f aca="false">$D4900+ft*(E4888-$D4888)-(E4899-$D4899)</f>
        <v>226.929987611095</v>
      </c>
      <c r="F4900" s="30" t="n">
        <f aca="false">$D4900+ft*(F4888-$D4888)-(F4899-$D4899)</f>
        <v>210.731782501703</v>
      </c>
      <c r="G4900" s="30" t="n">
        <f aca="false">$D4900+ft*(G4888-$D4888)-(G4899-$D4899)</f>
        <v>248.473271414335</v>
      </c>
      <c r="K4900" s="4" t="s">
        <v>576</v>
      </c>
    </row>
    <row r="4901" customFormat="false" ht="15" hidden="false" customHeight="false" outlineLevel="0" collapsed="false">
      <c r="A4901" s="4" t="s">
        <v>447</v>
      </c>
      <c r="B4901" s="0" t="s">
        <v>76</v>
      </c>
      <c r="C4901" s="14" t="n">
        <f aca="false">C4900/C4888</f>
        <v>0.234772421305764</v>
      </c>
      <c r="D4901" s="14" t="n">
        <f aca="false">D4900/D4888</f>
        <v>0.294112034690999</v>
      </c>
      <c r="E4901" s="14" t="n">
        <f aca="false">E4900/E4888</f>
        <v>0.301858957842147</v>
      </c>
      <c r="F4901" s="14" t="n">
        <f aca="false">F4900/F4888</f>
        <v>0.26652354150296</v>
      </c>
      <c r="G4901" s="14" t="n">
        <f aca="false">G4900/G4888</f>
        <v>0.272816832941818</v>
      </c>
    </row>
    <row r="4902" customFormat="false" ht="17.15" hidden="false" customHeight="false" outlineLevel="0" collapsed="false">
      <c r="A4902" s="0" t="s">
        <v>449</v>
      </c>
      <c r="B4902" s="0" t="s">
        <v>234</v>
      </c>
      <c r="C4902" s="30" t="n">
        <f aca="false">a25_egp</f>
        <v>23.695</v>
      </c>
      <c r="D4902" s="30" t="n">
        <f aca="false">a26_egp</f>
        <v>27.00552</v>
      </c>
      <c r="E4902" s="30" t="n">
        <f aca="false">E4889*ems_gm</f>
        <v>29.415287</v>
      </c>
      <c r="F4902" s="30" t="n">
        <f aca="false">F4889*ems_gm</f>
        <v>30.88605135</v>
      </c>
      <c r="G4902" s="30" t="n">
        <f aca="false">G4889*ems_gm</f>
        <v>32.4303539175</v>
      </c>
    </row>
    <row r="4903" customFormat="false" ht="15" hidden="false" customHeight="false" outlineLevel="0" collapsed="false">
      <c r="A4903" s="4" t="s">
        <v>577</v>
      </c>
      <c r="B4903" s="0" t="s">
        <v>234</v>
      </c>
      <c r="C4903" s="30" t="n">
        <f aca="false">a25_lgp</f>
        <v>-0.881999999999998</v>
      </c>
      <c r="D4903" s="30" t="n">
        <f aca="false">a26_lgp</f>
        <v>-0.948662139013863</v>
      </c>
      <c r="E4903" s="30" t="n">
        <f aca="false">$D4903/$D4890*E4890</f>
        <v>-1.19116794604716</v>
      </c>
      <c r="F4903" s="30" t="n">
        <f aca="false">$D4903/$D4890*F4890</f>
        <v>-1.25214218525664</v>
      </c>
      <c r="G4903" s="30" t="n">
        <f aca="false">$D4903/$D4890*G4890</f>
        <v>-1.40216621608905</v>
      </c>
    </row>
    <row r="4904" customFormat="false" ht="15" hidden="false" customHeight="false" outlineLevel="0" collapsed="false">
      <c r="A4904" s="4" t="s">
        <v>451</v>
      </c>
      <c r="B4904" s="0" t="s">
        <v>234</v>
      </c>
      <c r="C4904" s="30" t="n">
        <f aca="false">C4900+C4902+C4903</f>
        <v>114.193</v>
      </c>
      <c r="D4904" s="30" t="n">
        <f aca="false">D4900+D4902+D4903</f>
        <v>190.680245860986</v>
      </c>
      <c r="E4904" s="30" t="n">
        <f aca="false">E4900+E4902+E4903</f>
        <v>255.154106665048</v>
      </c>
      <c r="F4904" s="30" t="n">
        <f aca="false">F4900+F4902+F4903</f>
        <v>240.365691666447</v>
      </c>
      <c r="G4904" s="30" t="n">
        <f aca="false">G4900+G4902+G4903</f>
        <v>279.501459115746</v>
      </c>
    </row>
    <row r="4905" customFormat="false" ht="15" hidden="false" customHeight="false" outlineLevel="0" collapsed="false">
      <c r="A4905" s="4" t="s">
        <v>452</v>
      </c>
      <c r="B4905" s="0" t="s">
        <v>76</v>
      </c>
      <c r="C4905" s="14" t="n">
        <f aca="false">C4904/C4891</f>
        <v>0.176936974347214</v>
      </c>
      <c r="D4905" s="14" t="n">
        <f aca="false">D4904/D4891</f>
        <v>0.218879008327391</v>
      </c>
      <c r="E4905" s="14" t="n">
        <f aca="false">E4904/E4891</f>
        <v>0.233259608245241</v>
      </c>
      <c r="F4905" s="14" t="n">
        <f aca="false">F4904/F4891</f>
        <v>0.209039717246541</v>
      </c>
      <c r="G4905" s="14" t="n">
        <f aca="false">G4904/G4891</f>
        <v>0.217067376776133</v>
      </c>
    </row>
    <row r="4906" customFormat="false" ht="15" hidden="false" customHeight="false" outlineLevel="0" collapsed="false">
      <c r="A4906" s="4" t="s">
        <v>578</v>
      </c>
      <c r="B4906" s="0" t="s">
        <v>234</v>
      </c>
      <c r="C4906" s="30" t="n">
        <f aca="false">a25_opx</f>
        <v>63.437</v>
      </c>
      <c r="D4906" s="30" t="n">
        <f aca="false">a26_opx</f>
        <v>79.658</v>
      </c>
      <c r="E4906" s="30" t="n">
        <f aca="false">D4906*(1+phi*E4892)</f>
        <v>91.8757496806646</v>
      </c>
      <c r="F4906" s="30" t="n">
        <f aca="false">E4906*(1+phi*F4892)</f>
        <v>94.6975451917859</v>
      </c>
      <c r="G4906" s="30" t="n">
        <f aca="false">F4906*(1+phi*G4892)</f>
        <v>101.505194166584</v>
      </c>
    </row>
    <row r="4907" customFormat="false" ht="15" hidden="false" customHeight="false" outlineLevel="0" collapsed="false">
      <c r="A4907" s="4" t="s">
        <v>455</v>
      </c>
      <c r="B4907" s="0" t="s">
        <v>234</v>
      </c>
      <c r="C4907" s="30" t="n">
        <f aca="false">C4904-C4906</f>
        <v>50.756</v>
      </c>
      <c r="D4907" s="30" t="n">
        <f aca="false">D4904-D4906</f>
        <v>111.022245860986</v>
      </c>
      <c r="E4907" s="30" t="n">
        <f aca="false">E4904-E4906</f>
        <v>163.278356984383</v>
      </c>
      <c r="F4907" s="30" t="n">
        <f aca="false">F4904-F4906</f>
        <v>145.668146474661</v>
      </c>
      <c r="G4907" s="30" t="n">
        <f aca="false">G4904-G4906</f>
        <v>177.996264949162</v>
      </c>
    </row>
    <row r="4908" customFormat="false" ht="15" hidden="false" customHeight="false" outlineLevel="0" collapsed="false">
      <c r="A4908" s="4" t="s">
        <v>537</v>
      </c>
      <c r="B4908" s="0" t="s">
        <v>76</v>
      </c>
      <c r="C4908" s="14" t="n">
        <f aca="false">C4907/C4891</f>
        <v>0.0786441644406156</v>
      </c>
      <c r="D4908" s="14" t="n">
        <f aca="false">D4907/D4891</f>
        <v>0.127440779020437</v>
      </c>
      <c r="E4908" s="14" t="n">
        <f aca="false">E4907/E4891</f>
        <v>0.149267617452465</v>
      </c>
      <c r="F4908" s="14" t="n">
        <f aca="false">F4907/F4891</f>
        <v>0.126683753990759</v>
      </c>
      <c r="G4908" s="14" t="n">
        <f aca="false">G4907/G4891</f>
        <v>0.138236066569026</v>
      </c>
    </row>
    <row r="4909" customFormat="false" ht="15" hidden="false" customHeight="false" outlineLevel="0" collapsed="false">
      <c r="A4909" s="4" t="s">
        <v>456</v>
      </c>
      <c r="B4909" s="0" t="s">
        <v>234</v>
      </c>
      <c r="C4909" s="30" t="n">
        <f aca="false">a25_nonop</f>
        <v>0.545</v>
      </c>
      <c r="D4909" s="30" t="n">
        <f aca="false">a26_nonop</f>
        <v>4.302</v>
      </c>
      <c r="E4909" s="30" t="n">
        <f aca="false">nonop_f</f>
        <v>-5</v>
      </c>
      <c r="F4909" s="30" t="n">
        <f aca="false">nonop_f</f>
        <v>-5</v>
      </c>
      <c r="G4909" s="30" t="n">
        <f aca="false">nonop_f</f>
        <v>-5</v>
      </c>
    </row>
    <row r="4910" customFormat="false" ht="15" hidden="false" customHeight="false" outlineLevel="0" collapsed="false">
      <c r="A4910" s="4" t="s">
        <v>459</v>
      </c>
      <c r="B4910" s="0" t="s">
        <v>234</v>
      </c>
      <c r="C4910" s="30" t="n">
        <f aca="false">C4907+C4909</f>
        <v>51.301</v>
      </c>
      <c r="D4910" s="30" t="n">
        <f aca="false">D4907+D4909</f>
        <v>115.324245860986</v>
      </c>
      <c r="E4910" s="30" t="n">
        <f aca="false">E4907+E4909</f>
        <v>158.278356984383</v>
      </c>
      <c r="F4910" s="30" t="n">
        <f aca="false">F4907+F4909</f>
        <v>140.668146474661</v>
      </c>
      <c r="G4910" s="30" t="n">
        <f aca="false">G4907+G4909</f>
        <v>172.996264949162</v>
      </c>
    </row>
    <row r="4911" customFormat="false" ht="15" hidden="false" customHeight="false" outlineLevel="0" collapsed="false">
      <c r="A4911" s="4" t="s">
        <v>460</v>
      </c>
      <c r="B4911" s="0" t="s">
        <v>234</v>
      </c>
      <c r="C4911" s="30" t="n">
        <f aca="false">a25_tax</f>
        <v>9.461</v>
      </c>
      <c r="D4911" s="30" t="n">
        <f aca="false">a26_tax</f>
        <v>19.2197317963676</v>
      </c>
      <c r="E4911" s="30" t="n">
        <f aca="false">E4910*tax_lo</f>
        <v>23.7417535476575</v>
      </c>
      <c r="F4911" s="30" t="n">
        <f aca="false">F4910*tax_lo</f>
        <v>21.1002219711991</v>
      </c>
      <c r="G4911" s="30" t="n">
        <f aca="false">G4910*tax_lo</f>
        <v>25.9494397423743</v>
      </c>
    </row>
    <row r="4912" customFormat="false" ht="15" hidden="false" customHeight="false" outlineLevel="0" collapsed="false">
      <c r="A4912" s="4" t="s">
        <v>461</v>
      </c>
      <c r="B4912" s="0" t="s">
        <v>234</v>
      </c>
      <c r="C4912" s="30" t="n">
        <f aca="false">a25_nci</f>
        <v>1.182</v>
      </c>
      <c r="D4912" s="30" t="n">
        <f aca="false">a26_nci</f>
        <v>2.543</v>
      </c>
      <c r="E4912" s="30" t="n">
        <f aca="false">nci</f>
        <v>3</v>
      </c>
      <c r="F4912" s="30" t="n">
        <f aca="false">nci</f>
        <v>3</v>
      </c>
      <c r="G4912" s="30" t="n">
        <f aca="false">nci</f>
        <v>3</v>
      </c>
    </row>
    <row r="4913" customFormat="false" ht="15" hidden="false" customHeight="false" outlineLevel="0" collapsed="false">
      <c r="A4913" s="4" t="s">
        <v>462</v>
      </c>
      <c r="B4913" s="0" t="s">
        <v>234</v>
      </c>
      <c r="C4913" s="30" t="n">
        <f aca="false">C4910-C4911-C4912</f>
        <v>40.658</v>
      </c>
      <c r="D4913" s="30" t="n">
        <f aca="false">D4910-D4911-D4912</f>
        <v>93.5615140646185</v>
      </c>
      <c r="E4913" s="30" t="n">
        <f aca="false">E4910-E4911-E4912</f>
        <v>131.536603436726</v>
      </c>
      <c r="F4913" s="30" t="n">
        <f aca="false">F4910-F4911-F4912</f>
        <v>116.567924503462</v>
      </c>
      <c r="G4913" s="30" t="n">
        <f aca="false">G4910-G4911-G4912</f>
        <v>144.046825206788</v>
      </c>
      <c r="H4913" s="31" t="n">
        <f aca="false">H4891*H4917</f>
        <v>151.089486055953</v>
      </c>
      <c r="I4913" s="31" t="n">
        <f aca="false">I4891*I4917</f>
        <v>154.343714920583</v>
      </c>
      <c r="J4913" s="31" t="n">
        <f aca="false">J4891*J4917</f>
        <v>153.436071648244</v>
      </c>
    </row>
    <row r="4914" customFormat="false" ht="15" hidden="false" customHeight="false" outlineLevel="0" collapsed="false">
      <c r="A4914" s="4" t="s">
        <v>579</v>
      </c>
      <c r="B4914" s="4" t="s">
        <v>580</v>
      </c>
      <c r="C4914" s="18" t="n">
        <f aca="false">a25_sh</f>
        <v>4339.16755602988</v>
      </c>
      <c r="D4914" s="18" t="n">
        <f aca="false">a26_sh</f>
        <v>4392.90105184664</v>
      </c>
      <c r="E4914" s="18" t="n">
        <f aca="false">D4914*(1+sh_g)</f>
        <v>4414.86555710588</v>
      </c>
      <c r="F4914" s="18" t="n">
        <f aca="false">E4914*(1+sh_g)</f>
        <v>4436.9398848914</v>
      </c>
      <c r="G4914" s="18" t="n">
        <f aca="false">F4914*(1+sh_g)</f>
        <v>4459.12458431586</v>
      </c>
      <c r="H4914" s="25" t="n">
        <f aca="false">G4914*(1+sh_g)</f>
        <v>4481.42020723744</v>
      </c>
      <c r="I4914" s="25" t="n">
        <f aca="false">H4914*(1+sh_g)</f>
        <v>4503.82730827363</v>
      </c>
      <c r="J4914" s="25" t="n">
        <f aca="false">I4914*(1+sh_g)</f>
        <v>4526.34644481499</v>
      </c>
    </row>
    <row r="4915" customFormat="false" ht="17.15" hidden="false" customHeight="false" outlineLevel="0" collapsed="false">
      <c r="A4915" s="0" t="s">
        <v>465</v>
      </c>
      <c r="B4915" s="0" t="s">
        <v>304</v>
      </c>
      <c r="C4915" s="19" t="n">
        <f aca="false">a25_eps</f>
        <v>9.37</v>
      </c>
      <c r="D4915" s="19" t="n">
        <f aca="false">a26_eps</f>
        <v>21.2828697294455</v>
      </c>
      <c r="E4915" s="19" t="n">
        <f aca="false">E4913/E4914*1000</f>
        <v>29.7940224306521</v>
      </c>
      <c r="F4915" s="19" t="n">
        <f aca="false">F4913/F4914*1000</f>
        <v>26.2721442092098</v>
      </c>
      <c r="G4915" s="19" t="n">
        <f aca="false">G4913/G4914*1000</f>
        <v>32.3038350875967</v>
      </c>
      <c r="H4915" s="28" t="n">
        <f aca="false">H4913/H4914*1000</f>
        <v>33.7146438113402</v>
      </c>
      <c r="I4915" s="28" t="n">
        <f aca="false">I4913/I4914*1000</f>
        <v>34.2694566989836</v>
      </c>
      <c r="J4915" s="28" t="n">
        <f aca="false">J4913/J4914*1000</f>
        <v>33.8984374083887</v>
      </c>
    </row>
    <row r="4916" customFormat="false" ht="17.15" hidden="false" customHeight="false" outlineLevel="0" collapsed="false">
      <c r="A4916" s="0" t="s">
        <v>581</v>
      </c>
      <c r="B4916" s="0" t="s">
        <v>76</v>
      </c>
      <c r="D4916" s="21" t="n">
        <f aca="false">D4915/C4915-1</f>
        <v>1.27138417603474</v>
      </c>
      <c r="E4916" s="21" t="n">
        <f aca="false">E4915/D4915-1</f>
        <v>0.399906253686792</v>
      </c>
      <c r="F4916" s="21" t="n">
        <f aca="false">F4915/E4915-1</f>
        <v>-0.118207544135397</v>
      </c>
      <c r="G4916" s="21" t="n">
        <f aca="false">G4915/F4915-1</f>
        <v>0.229585024745429</v>
      </c>
      <c r="H4916" s="26" t="n">
        <f aca="false">H4915/G4915-1</f>
        <v>0.0436731032064113</v>
      </c>
      <c r="I4916" s="26" t="n">
        <f aca="false">I4915/H4915-1</f>
        <v>0.0164561396747354</v>
      </c>
      <c r="J4916" s="26" t="n">
        <f aca="false">J4915/I4915-1</f>
        <v>-0.0108265296953443</v>
      </c>
    </row>
    <row r="4917" customFormat="false" ht="17.15" hidden="false" customHeight="false" outlineLevel="0" collapsed="false">
      <c r="A4917" s="4" t="s">
        <v>582</v>
      </c>
      <c r="B4917" s="0" t="s">
        <v>76</v>
      </c>
      <c r="C4917" s="14" t="n">
        <f aca="false">C4913/C4891</f>
        <v>0.0629977625862272</v>
      </c>
      <c r="D4917" s="14" t="n">
        <f aca="false">D4913/D4891</f>
        <v>0.107397865592237</v>
      </c>
      <c r="E4917" s="14" t="n">
        <f aca="false">E4913/E4891</f>
        <v>0.120249589507247</v>
      </c>
      <c r="F4917" s="14" t="n">
        <f aca="false">F4913/F4891</f>
        <v>0.101376056663004</v>
      </c>
      <c r="G4917" s="14" t="n">
        <f aca="false">G4913/G4891</f>
        <v>0.111870136848263</v>
      </c>
      <c r="H4917" s="27" t="n">
        <f aca="false">$G4917+(fade_mB-$G4917)*1/3</f>
        <v>0.107335014589593</v>
      </c>
      <c r="I4917" s="27" t="n">
        <f aca="false">$G4917+(fade_mB-$G4917)*2/3</f>
        <v>0.102799892330924</v>
      </c>
      <c r="J4917" s="27" t="n">
        <f aca="false">$G4917+(fade_mB-$G4917)*3/3</f>
        <v>0.0982647700722541</v>
      </c>
    </row>
    <row r="4918" customFormat="false" ht="17.15" hidden="false" customHeight="false" outlineLevel="0" collapsed="false">
      <c r="A4918" s="4" t="s">
        <v>583</v>
      </c>
      <c r="B4918" s="0" t="s">
        <v>234</v>
      </c>
      <c r="C4918" s="30" t="n">
        <f aca="false">C4913+C4899-C4897</f>
        <v>-54.587</v>
      </c>
      <c r="D4918" s="30" t="n">
        <f aca="false">D4913+D4899-D4897</f>
        <v>-176.164485935382</v>
      </c>
      <c r="E4918" s="30" t="n">
        <f aca="false">E4913+E4899-E4897</f>
        <v>-153.623646563274</v>
      </c>
      <c r="F4918" s="30" t="n">
        <f aca="false">F4913+F4899-F4897</f>
        <v>-61.90426438484</v>
      </c>
      <c r="G4918" s="30" t="n">
        <f aca="false">G4913+G4899-G4897</f>
        <v>-53.4469778632405</v>
      </c>
      <c r="K4918" s="4" t="s">
        <v>584</v>
      </c>
    </row>
    <row r="4919" customFormat="false" ht="17.15" hidden="false" customHeight="false" outlineLevel="0" collapsed="false">
      <c r="A4919" s="4" t="s">
        <v>585</v>
      </c>
      <c r="B4919" s="0" t="s">
        <v>76</v>
      </c>
      <c r="D4919" s="21" t="n">
        <f aca="false">(D4907-$C4907)/SUM($D4897:D4897)</f>
        <v>0.164280348537512</v>
      </c>
      <c r="E4919" s="21" t="n">
        <f aca="false">(E4907-$C4907)/SUM($D4897:E4897)</f>
        <v>0.143734249197654</v>
      </c>
      <c r="F4919" s="21" t="n">
        <f aca="false">(F4907-$C4907)/SUM($D4897:F4897)</f>
        <v>0.0841563751490398</v>
      </c>
      <c r="G4919" s="21" t="n">
        <f aca="false">(G4907-$C4907)/SUM($D4897:G4897)</f>
        <v>0.0840371974063913</v>
      </c>
      <c r="K4919" s="4" t="s">
        <v>586</v>
      </c>
    </row>
    <row r="4922" customFormat="false" ht="17.15" hidden="false" customHeight="false" outlineLevel="0" collapsed="false">
      <c r="A4922" s="1" t="s">
        <v>1014</v>
      </c>
    </row>
    <row r="4923" customFormat="false" ht="17.15" hidden="false" customHeight="false" outlineLevel="0" collapsed="false">
      <c r="A4923" s="5" t="s">
        <v>21</v>
      </c>
      <c r="B4923" s="5" t="s">
        <v>22</v>
      </c>
      <c r="C4923" s="15" t="s">
        <v>424</v>
      </c>
      <c r="D4923" s="15" t="s">
        <v>524</v>
      </c>
      <c r="E4923" s="15" t="s">
        <v>525</v>
      </c>
      <c r="F4923" s="15" t="s">
        <v>526</v>
      </c>
      <c r="G4923" s="15" t="s">
        <v>527</v>
      </c>
      <c r="H4923" s="15" t="s">
        <v>528</v>
      </c>
      <c r="I4923" s="15" t="s">
        <v>529</v>
      </c>
      <c r="J4923" s="15" t="s">
        <v>530</v>
      </c>
      <c r="K4923" s="5" t="s">
        <v>382</v>
      </c>
    </row>
    <row r="4924" customFormat="false" ht="17.15" hidden="false" customHeight="false" outlineLevel="0" collapsed="false">
      <c r="A4924" s="6" t="s">
        <v>548</v>
      </c>
    </row>
    <row r="4925" customFormat="false" ht="17.15" hidden="false" customHeight="false" outlineLevel="0" collapsed="false">
      <c r="A4925" s="0" t="s">
        <v>549</v>
      </c>
      <c r="B4925" s="4" t="s">
        <v>32</v>
      </c>
      <c r="D4925" s="19" t="n">
        <f aca="false">units_26</f>
        <v>15.2</v>
      </c>
      <c r="E4925" s="19" t="n">
        <f aca="false">units_27*1</f>
        <v>23.7</v>
      </c>
      <c r="F4925" s="19" t="n">
        <f aca="false">units_28*um28_C*1</f>
        <v>15.9</v>
      </c>
      <c r="G4925" s="19" t="n">
        <f aca="false">units_29*um29_C*1</f>
        <v>18.09</v>
      </c>
    </row>
    <row r="4926" customFormat="false" ht="17.15" hidden="false" customHeight="false" outlineLevel="0" collapsed="false">
      <c r="A4926" s="4" t="s">
        <v>497</v>
      </c>
      <c r="B4926" s="0" t="s">
        <v>45</v>
      </c>
      <c r="D4926" s="22" t="n">
        <f aca="false">ar_26</f>
        <v>1</v>
      </c>
      <c r="E4926" s="22" t="n">
        <f aca="false">ar_27</f>
        <v>1.278156</v>
      </c>
      <c r="F4926" s="22" t="n">
        <f aca="false">ar_28</f>
        <v>1.428615</v>
      </c>
      <c r="G4926" s="22" t="n">
        <f aca="false">ar_29</f>
        <v>1.431796</v>
      </c>
    </row>
    <row r="4927" customFormat="false" ht="17.15" hidden="false" customHeight="false" outlineLevel="0" collapsed="false">
      <c r="A4927" s="4" t="s">
        <v>550</v>
      </c>
      <c r="B4927" s="0" t="s">
        <v>45</v>
      </c>
      <c r="D4927" s="19" t="n">
        <f aca="false">1</f>
        <v>1</v>
      </c>
      <c r="E4927" s="19" t="n">
        <f aca="false">rel27_C</f>
        <v>1</v>
      </c>
      <c r="F4927" s="19" t="n">
        <f aca="false">rel28_C</f>
        <v>0.95</v>
      </c>
      <c r="G4927" s="19" t="n">
        <f aca="false">rel29_C</f>
        <v>0.92</v>
      </c>
    </row>
    <row r="4928" customFormat="false" ht="17.15" hidden="false" customHeight="false" outlineLevel="0" collapsed="false">
      <c r="A4928" s="4" t="s">
        <v>551</v>
      </c>
      <c r="B4928" s="0" t="s">
        <v>502</v>
      </c>
      <c r="D4928" s="23" t="n">
        <f aca="false">D4929*1000/D4925</f>
        <v>236.842105263158</v>
      </c>
      <c r="E4928" s="23" t="n">
        <f aca="false">$D4928*E4926^el</f>
        <v>267.763172119488</v>
      </c>
      <c r="F4928" s="23" t="n">
        <f aca="false">$D4928*F4926^el</f>
        <v>283.084777049615</v>
      </c>
      <c r="G4928" s="23" t="n">
        <f aca="false">$D4928*G4926^el</f>
        <v>283.399764630809</v>
      </c>
      <c r="K4928" s="8" t="s">
        <v>552</v>
      </c>
    </row>
    <row r="4929" customFormat="false" ht="17.15" hidden="false" customHeight="false" outlineLevel="0" collapsed="false">
      <c r="A4929" s="0" t="s">
        <v>553</v>
      </c>
      <c r="B4929" s="0" t="s">
        <v>120</v>
      </c>
      <c r="D4929" s="22" t="n">
        <f aca="false">leap26-D4930-D4931</f>
        <v>3.6</v>
      </c>
      <c r="E4929" s="22" t="n">
        <f aca="false">E4925*E4927*E4928/1000</f>
        <v>6.34598717923185</v>
      </c>
      <c r="F4929" s="22" t="n">
        <f aca="false">F4925*F4927*F4928/1000</f>
        <v>4.27599555733443</v>
      </c>
      <c r="G4929" s="22" t="n">
        <f aca="false">G4925*G4927*G4928/1000</f>
        <v>4.71656560279762</v>
      </c>
      <c r="K4929" s="8" t="s">
        <v>554</v>
      </c>
    </row>
    <row r="4930" customFormat="false" ht="17.15" hidden="false" customHeight="false" outlineLevel="0" collapsed="false">
      <c r="A4930" s="4" t="s">
        <v>555</v>
      </c>
      <c r="B4930" s="0" t="s">
        <v>120</v>
      </c>
      <c r="D4930" s="22" t="n">
        <f aca="false">fp26</f>
        <v>0.3</v>
      </c>
      <c r="E4930" s="22" t="n">
        <f aca="false">fp27_C</f>
        <v>0.7</v>
      </c>
      <c r="F4930" s="22" t="n">
        <f aca="false">E4930*F4925/E4925*(1+fp_g)</f>
        <v>0.610506329113924</v>
      </c>
      <c r="G4930" s="22" t="n">
        <f aca="false">F4930*G4925/F4925*(1+fp_g)</f>
        <v>0.902973417721519</v>
      </c>
    </row>
    <row r="4931" customFormat="false" ht="17.15" hidden="false" customHeight="false" outlineLevel="0" collapsed="false">
      <c r="A4931" s="0" t="s">
        <v>556</v>
      </c>
      <c r="B4931" s="0" t="s">
        <v>120</v>
      </c>
      <c r="D4931" s="22" t="n">
        <f aca="false">cpo27*cpo_C_26/cpo_A_27</f>
        <v>0.1</v>
      </c>
      <c r="E4931" s="22" t="n">
        <f aca="false">cpo27*cpo_C_27/cpo_A_27</f>
        <v>0.2</v>
      </c>
      <c r="F4931" s="22" t="n">
        <f aca="false">cpo27*cpo_C_28/cpo_A_27*F4925/E4925</f>
        <v>0.20126582278481</v>
      </c>
      <c r="G4931" s="22" t="n">
        <f aca="false">cpo27*cpo_C_29/cpo_A_27*G4925/E4925</f>
        <v>0.381645569620253</v>
      </c>
      <c r="K4931" s="8" t="s">
        <v>557</v>
      </c>
    </row>
    <row r="4932" customFormat="false" ht="17.15" hidden="false" customHeight="false" outlineLevel="0" collapsed="false">
      <c r="A4932" s="0" t="s">
        <v>510</v>
      </c>
      <c r="B4932" s="0" t="s">
        <v>120</v>
      </c>
      <c r="C4932" s="22" t="n">
        <f aca="false">leap25</f>
        <v>1.6</v>
      </c>
      <c r="D4932" s="22" t="n">
        <f aca="false">D4929+D4930+D4931</f>
        <v>4</v>
      </c>
      <c r="E4932" s="22" t="n">
        <f aca="false">E4929+E4930+E4931</f>
        <v>7.24598717923186</v>
      </c>
      <c r="F4932" s="22" t="n">
        <f aca="false">F4929+F4930+F4931</f>
        <v>5.08776770923316</v>
      </c>
      <c r="G4932" s="22" t="n">
        <f aca="false">G4929+G4930+G4931</f>
        <v>6.0011845901394</v>
      </c>
    </row>
    <row r="4933" customFormat="false" ht="17.15" hidden="false" customHeight="false" outlineLevel="0" collapsed="false">
      <c r="A4933" s="4" t="s">
        <v>558</v>
      </c>
      <c r="B4933" s="0" t="s">
        <v>114</v>
      </c>
      <c r="C4933" s="19" t="n">
        <f aca="false">fx25</f>
        <v>31</v>
      </c>
      <c r="D4933" s="19" t="n">
        <f aca="false">a26_leap/D4932</f>
        <v>31.9</v>
      </c>
      <c r="E4933" s="19" t="n">
        <f aca="false">fx</f>
        <v>32</v>
      </c>
      <c r="F4933" s="19" t="n">
        <f aca="false">fx</f>
        <v>32</v>
      </c>
      <c r="G4933" s="19" t="n">
        <f aca="false">fx</f>
        <v>32</v>
      </c>
      <c r="K4933" s="8" t="s">
        <v>559</v>
      </c>
    </row>
    <row r="4934" customFormat="false" ht="17.15" hidden="false" customHeight="false" outlineLevel="0" collapsed="false">
      <c r="A4934" s="6" t="s">
        <v>560</v>
      </c>
    </row>
    <row r="4935" customFormat="false" ht="17.15" hidden="false" customHeight="false" outlineLevel="0" collapsed="false">
      <c r="A4935" s="0" t="s">
        <v>438</v>
      </c>
      <c r="B4935" s="0" t="s">
        <v>234</v>
      </c>
      <c r="C4935" s="30" t="n">
        <f aca="false">a25_leap</f>
        <v>49.6</v>
      </c>
      <c r="D4935" s="30" t="n">
        <f aca="false">a26_leap</f>
        <v>127.6</v>
      </c>
      <c r="E4935" s="30" t="n">
        <f aca="false">E4932*E4933</f>
        <v>231.871589735419</v>
      </c>
      <c r="F4935" s="30" t="n">
        <f aca="false">F4932*F4933</f>
        <v>162.808566695461</v>
      </c>
      <c r="G4935" s="30" t="n">
        <f aca="false">G4932*G4933</f>
        <v>192.037906884461</v>
      </c>
    </row>
    <row r="4936" customFormat="false" ht="15" hidden="false" customHeight="false" outlineLevel="0" collapsed="false">
      <c r="A4936" s="4" t="s">
        <v>561</v>
      </c>
      <c r="B4936" s="0" t="s">
        <v>234</v>
      </c>
      <c r="C4936" s="30" t="n">
        <f aca="false">a25_ms</f>
        <v>339.628</v>
      </c>
      <c r="D4936" s="30" t="n">
        <f aca="false">a26_ms</f>
        <v>432.1302</v>
      </c>
      <c r="E4936" s="30" t="n">
        <f aca="false">D4936*(1+g_ms27)</f>
        <v>496.94973</v>
      </c>
      <c r="F4936" s="30" t="n">
        <f aca="false">E4936*(1+g_msL)</f>
        <v>531.7362111</v>
      </c>
      <c r="G4936" s="30" t="n">
        <f aca="false">F4936*(1+g_msL)</f>
        <v>568.957745877</v>
      </c>
    </row>
    <row r="4937" customFormat="false" ht="17.15" hidden="false" customHeight="false" outlineLevel="0" collapsed="false">
      <c r="A4937" s="4" t="s">
        <v>562</v>
      </c>
      <c r="B4937" s="0" t="s">
        <v>234</v>
      </c>
      <c r="C4937" s="30" t="n">
        <f aca="false">C4935+C4936</f>
        <v>389.228</v>
      </c>
      <c r="D4937" s="30" t="n">
        <f aca="false">D4935+D4936</f>
        <v>559.7302</v>
      </c>
      <c r="E4937" s="30" t="n">
        <f aca="false">E4935+E4936</f>
        <v>728.821319735419</v>
      </c>
      <c r="F4937" s="30" t="n">
        <f aca="false">F4935+F4936</f>
        <v>694.544777795461</v>
      </c>
      <c r="G4937" s="30" t="n">
        <f aca="false">G4935+G4936</f>
        <v>760.995652761461</v>
      </c>
    </row>
    <row r="4938" customFormat="false" ht="17.15" hidden="false" customHeight="false" outlineLevel="0" collapsed="false">
      <c r="A4938" s="0" t="s">
        <v>563</v>
      </c>
      <c r="B4938" s="0" t="s">
        <v>234</v>
      </c>
      <c r="C4938" s="30" t="n">
        <f aca="false">a25_ems</f>
        <v>259.079</v>
      </c>
      <c r="D4938" s="30" t="n">
        <f aca="false">a26_ems</f>
        <v>314.602</v>
      </c>
      <c r="E4938" s="30" t="n">
        <f aca="false">D4938*(1+g_ems27)</f>
        <v>346.0622</v>
      </c>
      <c r="F4938" s="30" t="n">
        <f aca="false">E4938*(1+g_emsL)</f>
        <v>363.36531</v>
      </c>
      <c r="G4938" s="30" t="n">
        <f aca="false">F4938*(1+g_emsL)</f>
        <v>381.5335755</v>
      </c>
    </row>
    <row r="4939" customFormat="false" ht="17.15" hidden="false" customHeight="false" outlineLevel="0" collapsed="false">
      <c r="A4939" s="4" t="s">
        <v>564</v>
      </c>
      <c r="B4939" s="0" t="s">
        <v>234</v>
      </c>
      <c r="C4939" s="30" t="n">
        <f aca="false">a25_elim</f>
        <v>-2.91899999999998</v>
      </c>
      <c r="D4939" s="30" t="n">
        <f aca="false">a26_elim</f>
        <v>-3.16484905982349</v>
      </c>
      <c r="E4939" s="30" t="n">
        <f aca="false">$D4939/($D4937+$D4938)*(E4937+E4938)</f>
        <v>-3.89079127687897</v>
      </c>
      <c r="F4939" s="30" t="n">
        <f aca="false">$D4939/($D4937+$D4938)*(F4937+F4938)</f>
        <v>-3.8293519862785</v>
      </c>
      <c r="G4939" s="30" t="n">
        <f aca="false">$D4939/($D4937+$D4938)*(G4937+G4938)</f>
        <v>-4.135650675892</v>
      </c>
      <c r="K4939" s="4" t="s">
        <v>565</v>
      </c>
    </row>
    <row r="4940" customFormat="false" ht="17.15" hidden="false" customHeight="false" outlineLevel="0" collapsed="false">
      <c r="A4940" s="4" t="s">
        <v>431</v>
      </c>
      <c r="B4940" s="0" t="s">
        <v>234</v>
      </c>
      <c r="C4940" s="30" t="n">
        <f aca="false">C4937+C4938+C4939</f>
        <v>645.388</v>
      </c>
      <c r="D4940" s="30" t="n">
        <f aca="false">D4937+D4938+D4939</f>
        <v>871.167350940177</v>
      </c>
      <c r="E4940" s="30" t="n">
        <f aca="false">E4937+E4938+E4939</f>
        <v>1070.99272845854</v>
      </c>
      <c r="F4940" s="30" t="n">
        <f aca="false">F4937+F4938+F4939</f>
        <v>1054.08073580918</v>
      </c>
      <c r="G4940" s="30" t="n">
        <f aca="false">G4937+G4938+G4939</f>
        <v>1138.39357758557</v>
      </c>
      <c r="H4940" s="31" t="n">
        <f aca="false">G4940*(1+H4941)</f>
        <v>1206.68738805437</v>
      </c>
      <c r="I4940" s="31" t="n">
        <f aca="false">H4940*(1+I4941)</f>
        <v>1254.9496874</v>
      </c>
      <c r="J4940" s="31" t="n">
        <f aca="false">I4940*(1+J4941)</f>
        <v>1280.048681148</v>
      </c>
      <c r="K4940" s="8" t="s">
        <v>566</v>
      </c>
    </row>
    <row r="4941" customFormat="false" ht="15" hidden="false" customHeight="false" outlineLevel="0" collapsed="false">
      <c r="A4941" s="4" t="s">
        <v>567</v>
      </c>
      <c r="B4941" s="0" t="s">
        <v>76</v>
      </c>
      <c r="D4941" s="21" t="n">
        <f aca="false">D4940/C4940-1</f>
        <v>0.349835061916516</v>
      </c>
      <c r="E4941" s="21" t="n">
        <f aca="false">E4940/D4940-1</f>
        <v>0.229376568466104</v>
      </c>
      <c r="F4941" s="21" t="n">
        <f aca="false">F4940/E4940-1</f>
        <v>-0.0157909500223209</v>
      </c>
      <c r="G4941" s="21" t="n">
        <f aca="false">G4940/F4940-1</f>
        <v>0.079987081550885</v>
      </c>
      <c r="H4941" s="26" t="n">
        <f aca="false">$G4941+(fade_gC-$G4941)*1/3</f>
        <v>0.05999138770059</v>
      </c>
      <c r="I4941" s="26" t="n">
        <f aca="false">$G4941+(fade_gC-$G4941)*2/3</f>
        <v>0.039995693850295</v>
      </c>
      <c r="J4941" s="26" t="n">
        <f aca="false">$G4941+(fade_gC-$G4941)*3/3</f>
        <v>0.02</v>
      </c>
    </row>
    <row r="4942" customFormat="false" ht="17.15" hidden="false" customHeight="false" outlineLevel="0" collapsed="false">
      <c r="A4942" s="0" t="s">
        <v>475</v>
      </c>
      <c r="B4942" s="0" t="s">
        <v>76</v>
      </c>
      <c r="C4942" s="21" t="n">
        <f aca="false">C4935/C4937</f>
        <v>0.127431736668482</v>
      </c>
      <c r="D4942" s="21" t="n">
        <f aca="false">D4935/D4937</f>
        <v>0.227966974088588</v>
      </c>
      <c r="E4942" s="21" t="n">
        <f aca="false">E4935/E4937</f>
        <v>0.31814600294568</v>
      </c>
      <c r="F4942" s="21" t="n">
        <f aca="false">F4935/F4937</f>
        <v>0.234410468411019</v>
      </c>
      <c r="G4942" s="21" t="n">
        <f aca="false">G4935/G4937</f>
        <v>0.252350859282315</v>
      </c>
    </row>
    <row r="4943" customFormat="false" ht="15" hidden="false" customHeight="false" outlineLevel="0" collapsed="false">
      <c r="A4943" s="4" t="s">
        <v>568</v>
      </c>
      <c r="B4943" s="0" t="s">
        <v>76</v>
      </c>
      <c r="D4943" s="21" t="n">
        <f aca="false">D4937/C4937-1</f>
        <v>0.438052247012034</v>
      </c>
      <c r="E4943" s="21" t="n">
        <f aca="false">E4937/D4937-1</f>
        <v>0.302093972659362</v>
      </c>
      <c r="F4943" s="21" t="n">
        <f aca="false">F4937/E4937-1</f>
        <v>-0.047030103280186</v>
      </c>
      <c r="G4943" s="21" t="n">
        <f aca="false">G4937/F4937-1</f>
        <v>0.0956754367614998</v>
      </c>
    </row>
    <row r="4944" customFormat="false" ht="17.15" hidden="false" customHeight="false" outlineLevel="0" collapsed="false">
      <c r="A4944" s="6" t="s">
        <v>569</v>
      </c>
    </row>
    <row r="4945" customFormat="false" ht="17.15" hidden="false" customHeight="false" outlineLevel="0" collapsed="false">
      <c r="A4945" s="4" t="s">
        <v>570</v>
      </c>
      <c r="B4945" s="0" t="s">
        <v>120</v>
      </c>
      <c r="C4945" s="19" t="n">
        <f aca="false">capex25</f>
        <v>5.5</v>
      </c>
      <c r="D4945" s="19" t="n">
        <f aca="false">capex26</f>
        <v>11.5</v>
      </c>
      <c r="E4945" s="19" t="n">
        <f aca="false">capex27</f>
        <v>13</v>
      </c>
      <c r="F4945" s="19" t="n">
        <f aca="false">capi*F4940/F4933</f>
        <v>9.88200689821109</v>
      </c>
      <c r="G4945" s="19" t="n">
        <f aca="false">capi*G4940/G4933</f>
        <v>10.6724397898647</v>
      </c>
      <c r="K4945" s="8" t="s">
        <v>571</v>
      </c>
    </row>
    <row r="4946" customFormat="false" ht="15" hidden="false" customHeight="false" outlineLevel="0" collapsed="false">
      <c r="A4946" s="4" t="s">
        <v>572</v>
      </c>
      <c r="B4946" s="0" t="s">
        <v>234</v>
      </c>
      <c r="C4946" s="30" t="n">
        <f aca="false">C4945*C4933</f>
        <v>170.5</v>
      </c>
      <c r="D4946" s="30" t="n">
        <f aca="false">D4945*31.9</f>
        <v>366.85</v>
      </c>
      <c r="E4946" s="30" t="n">
        <f aca="false">E4945*E4933</f>
        <v>416</v>
      </c>
      <c r="F4946" s="30" t="n">
        <f aca="false">F4945*F4933</f>
        <v>316.224220742755</v>
      </c>
      <c r="G4946" s="30" t="n">
        <f aca="false">G4945*G4933</f>
        <v>341.518073275671</v>
      </c>
    </row>
    <row r="4947" customFormat="false" ht="17.15" hidden="false" customHeight="false" outlineLevel="0" collapsed="false">
      <c r="A4947" s="4" t="s">
        <v>473</v>
      </c>
      <c r="B4947" s="0" t="s">
        <v>76</v>
      </c>
      <c r="C4947" s="21" t="n">
        <f aca="false">C4946/C4940</f>
        <v>0.264182166386732</v>
      </c>
      <c r="D4947" s="21" t="n">
        <f aca="false">D4946/D4940</f>
        <v>0.421101639775745</v>
      </c>
      <c r="E4947" s="21" t="n">
        <f aca="false">E4946/E4940</f>
        <v>0.388424672685445</v>
      </c>
      <c r="F4947" s="21" t="n">
        <f aca="false">F4946/F4940</f>
        <v>0.3</v>
      </c>
      <c r="G4947" s="21" t="n">
        <f aca="false">G4946/G4940</f>
        <v>0.3</v>
      </c>
    </row>
    <row r="4948" customFormat="false" ht="17.15" hidden="false" customHeight="false" outlineLevel="0" collapsed="false">
      <c r="A4948" s="4" t="s">
        <v>573</v>
      </c>
      <c r="B4948" s="0" t="s">
        <v>234</v>
      </c>
      <c r="C4948" s="30" t="n">
        <f aca="false">a25_da</f>
        <v>75.255</v>
      </c>
      <c r="D4948" s="30" t="n">
        <f aca="false">a26_da</f>
        <v>97.124</v>
      </c>
      <c r="E4948" s="30" t="n">
        <f aca="false">D4948*(1-1/life)+D4946/life</f>
        <v>130.83975</v>
      </c>
      <c r="F4948" s="30" t="n">
        <f aca="false">E4948*(1-1/life)+E4946/life</f>
        <v>166.48478125</v>
      </c>
      <c r="G4948" s="30" t="n">
        <f aca="false">F4948*(1-1/life)+F4946/life</f>
        <v>185.202211186594</v>
      </c>
      <c r="K4948" s="4" t="s">
        <v>574</v>
      </c>
    </row>
    <row r="4949" customFormat="false" ht="17.15" hidden="false" customHeight="false" outlineLevel="0" collapsed="false">
      <c r="A4949" s="4" t="s">
        <v>575</v>
      </c>
      <c r="B4949" s="0" t="s">
        <v>234</v>
      </c>
      <c r="C4949" s="30" t="n">
        <f aca="false">a25_agp</f>
        <v>91.38</v>
      </c>
      <c r="D4949" s="30" t="n">
        <f aca="false">a26_agp</f>
        <v>164.623388</v>
      </c>
      <c r="E4949" s="30" t="n">
        <f aca="false">$D4949+ft*(E4937-$D4937)-(E4948-$D4948)</f>
        <v>215.45319786771</v>
      </c>
      <c r="F4949" s="30" t="n">
        <f aca="false">$D4949+ft*(F4937-$D4937)-(F4948-$D4948)</f>
        <v>162.669895647731</v>
      </c>
      <c r="G4949" s="30" t="n">
        <f aca="false">$D4949+ft*(G4937-$D4937)-(G4948-$D4948)</f>
        <v>177.177903194136</v>
      </c>
      <c r="K4949" s="4" t="s">
        <v>576</v>
      </c>
    </row>
    <row r="4950" customFormat="false" ht="15" hidden="false" customHeight="false" outlineLevel="0" collapsed="false">
      <c r="A4950" s="4" t="s">
        <v>447</v>
      </c>
      <c r="B4950" s="0" t="s">
        <v>76</v>
      </c>
      <c r="C4950" s="14" t="n">
        <f aca="false">C4949/C4937</f>
        <v>0.234772421305764</v>
      </c>
      <c r="D4950" s="14" t="n">
        <f aca="false">D4949/D4937</f>
        <v>0.294112034690999</v>
      </c>
      <c r="E4950" s="14" t="n">
        <f aca="false">E4949/E4937</f>
        <v>0.295618681882035</v>
      </c>
      <c r="F4950" s="14" t="n">
        <f aca="false">F4949/F4937</f>
        <v>0.234210810948802</v>
      </c>
      <c r="G4950" s="14" t="n">
        <f aca="false">G4949/G4937</f>
        <v>0.232823804644878</v>
      </c>
    </row>
    <row r="4951" customFormat="false" ht="17.15" hidden="false" customHeight="false" outlineLevel="0" collapsed="false">
      <c r="A4951" s="0" t="s">
        <v>449</v>
      </c>
      <c r="B4951" s="0" t="s">
        <v>234</v>
      </c>
      <c r="C4951" s="30" t="n">
        <f aca="false">a25_egp</f>
        <v>23.695</v>
      </c>
      <c r="D4951" s="30" t="n">
        <f aca="false">a26_egp</f>
        <v>27.00552</v>
      </c>
      <c r="E4951" s="30" t="n">
        <f aca="false">E4938*ems_gm</f>
        <v>29.415287</v>
      </c>
      <c r="F4951" s="30" t="n">
        <f aca="false">F4938*ems_gm</f>
        <v>30.88605135</v>
      </c>
      <c r="G4951" s="30" t="n">
        <f aca="false">G4938*ems_gm</f>
        <v>32.4303539175</v>
      </c>
    </row>
    <row r="4952" customFormat="false" ht="15" hidden="false" customHeight="false" outlineLevel="0" collapsed="false">
      <c r="A4952" s="4" t="s">
        <v>577</v>
      </c>
      <c r="B4952" s="0" t="s">
        <v>234</v>
      </c>
      <c r="C4952" s="30" t="n">
        <f aca="false">a25_lgp</f>
        <v>-0.881999999999998</v>
      </c>
      <c r="D4952" s="30" t="n">
        <f aca="false">a26_lgp</f>
        <v>-0.948662139013863</v>
      </c>
      <c r="E4952" s="30" t="n">
        <f aca="false">$D4952/$D4939*E4939</f>
        <v>-1.16626300509458</v>
      </c>
      <c r="F4952" s="30" t="n">
        <f aca="false">$D4952/$D4939*F4939</f>
        <v>-1.14784660426825</v>
      </c>
      <c r="G4952" s="30" t="n">
        <f aca="false">$D4952/$D4939*G4939</f>
        <v>-1.23965950421176</v>
      </c>
    </row>
    <row r="4953" customFormat="false" ht="15" hidden="false" customHeight="false" outlineLevel="0" collapsed="false">
      <c r="A4953" s="4" t="s">
        <v>451</v>
      </c>
      <c r="B4953" s="0" t="s">
        <v>234</v>
      </c>
      <c r="C4953" s="30" t="n">
        <f aca="false">C4949+C4951+C4952</f>
        <v>114.193</v>
      </c>
      <c r="D4953" s="30" t="n">
        <f aca="false">D4949+D4951+D4952</f>
        <v>190.680245860986</v>
      </c>
      <c r="E4953" s="30" t="n">
        <f aca="false">E4949+E4951+E4952</f>
        <v>243.702221862615</v>
      </c>
      <c r="F4953" s="30" t="n">
        <f aca="false">F4949+F4951+F4952</f>
        <v>192.408100393462</v>
      </c>
      <c r="G4953" s="30" t="n">
        <f aca="false">G4949+G4951+G4952</f>
        <v>208.368597607424</v>
      </c>
    </row>
    <row r="4954" customFormat="false" ht="15" hidden="false" customHeight="false" outlineLevel="0" collapsed="false">
      <c r="A4954" s="4" t="s">
        <v>452</v>
      </c>
      <c r="B4954" s="0" t="s">
        <v>76</v>
      </c>
      <c r="C4954" s="14" t="n">
        <f aca="false">C4953/C4940</f>
        <v>0.176936974347214</v>
      </c>
      <c r="D4954" s="14" t="n">
        <f aca="false">D4953/D4940</f>
        <v>0.218879008327391</v>
      </c>
      <c r="E4954" s="14" t="n">
        <f aca="false">E4953/E4940</f>
        <v>0.227547970576207</v>
      </c>
      <c r="F4954" s="14" t="n">
        <f aca="false">F4953/F4940</f>
        <v>0.182536397694202</v>
      </c>
      <c r="G4954" s="14" t="n">
        <f aca="false">G4953/G4940</f>
        <v>0.183037397355452</v>
      </c>
    </row>
    <row r="4955" customFormat="false" ht="15" hidden="false" customHeight="false" outlineLevel="0" collapsed="false">
      <c r="A4955" s="4" t="s">
        <v>578</v>
      </c>
      <c r="B4955" s="0" t="s">
        <v>234</v>
      </c>
      <c r="C4955" s="30" t="n">
        <f aca="false">a25_opx</f>
        <v>63.437</v>
      </c>
      <c r="D4955" s="30" t="n">
        <f aca="false">a26_opx</f>
        <v>79.658</v>
      </c>
      <c r="E4955" s="30" t="n">
        <f aca="false">D4955*(1+phi*E4941)</f>
        <v>90.6210072145237</v>
      </c>
      <c r="F4955" s="30" t="n">
        <f aca="false">E4955*(1+phi*F4941)</f>
        <v>89.7624121369856</v>
      </c>
      <c r="G4955" s="30" t="n">
        <f aca="false">F4955*(1+phi*G4941)</f>
        <v>94.0703121648687</v>
      </c>
    </row>
    <row r="4956" customFormat="false" ht="15" hidden="false" customHeight="false" outlineLevel="0" collapsed="false">
      <c r="A4956" s="4" t="s">
        <v>455</v>
      </c>
      <c r="B4956" s="0" t="s">
        <v>234</v>
      </c>
      <c r="C4956" s="30" t="n">
        <f aca="false">C4953-C4955</f>
        <v>50.756</v>
      </c>
      <c r="D4956" s="30" t="n">
        <f aca="false">D4953-D4955</f>
        <v>111.022245860986</v>
      </c>
      <c r="E4956" s="30" t="n">
        <f aca="false">E4953-E4955</f>
        <v>153.081214648091</v>
      </c>
      <c r="F4956" s="30" t="n">
        <f aca="false">F4953-F4955</f>
        <v>102.645688256477</v>
      </c>
      <c r="G4956" s="30" t="n">
        <f aca="false">G4953-G4955</f>
        <v>114.298285442556</v>
      </c>
    </row>
    <row r="4957" customFormat="false" ht="15" hidden="false" customHeight="false" outlineLevel="0" collapsed="false">
      <c r="A4957" s="4" t="s">
        <v>537</v>
      </c>
      <c r="B4957" s="0" t="s">
        <v>76</v>
      </c>
      <c r="C4957" s="14" t="n">
        <f aca="false">C4956/C4940</f>
        <v>0.0786441644406156</v>
      </c>
      <c r="D4957" s="14" t="n">
        <f aca="false">D4956/D4940</f>
        <v>0.127440779020437</v>
      </c>
      <c r="E4957" s="14" t="n">
        <f aca="false">E4956/E4940</f>
        <v>0.142933943975902</v>
      </c>
      <c r="F4957" s="14" t="n">
        <f aca="false">F4956/F4940</f>
        <v>0.0973793417993538</v>
      </c>
      <c r="G4957" s="14" t="n">
        <f aca="false">G4956/G4940</f>
        <v>0.100403136220227</v>
      </c>
    </row>
    <row r="4958" customFormat="false" ht="15" hidden="false" customHeight="false" outlineLevel="0" collapsed="false">
      <c r="A4958" s="4" t="s">
        <v>456</v>
      </c>
      <c r="B4958" s="0" t="s">
        <v>234</v>
      </c>
      <c r="C4958" s="30" t="n">
        <f aca="false">a25_nonop</f>
        <v>0.545</v>
      </c>
      <c r="D4958" s="30" t="n">
        <f aca="false">a26_nonop</f>
        <v>4.302</v>
      </c>
      <c r="E4958" s="30" t="n">
        <f aca="false">nonop_f</f>
        <v>-5</v>
      </c>
      <c r="F4958" s="30" t="n">
        <f aca="false">nonop_f</f>
        <v>-5</v>
      </c>
      <c r="G4958" s="30" t="n">
        <f aca="false">nonop_f</f>
        <v>-5</v>
      </c>
    </row>
    <row r="4959" customFormat="false" ht="15" hidden="false" customHeight="false" outlineLevel="0" collapsed="false">
      <c r="A4959" s="4" t="s">
        <v>459</v>
      </c>
      <c r="B4959" s="0" t="s">
        <v>234</v>
      </c>
      <c r="C4959" s="30" t="n">
        <f aca="false">C4956+C4958</f>
        <v>51.301</v>
      </c>
      <c r="D4959" s="30" t="n">
        <f aca="false">D4956+D4958</f>
        <v>115.324245860986</v>
      </c>
      <c r="E4959" s="30" t="n">
        <f aca="false">E4956+E4958</f>
        <v>148.081214648091</v>
      </c>
      <c r="F4959" s="30" t="n">
        <f aca="false">F4956+F4958</f>
        <v>97.6456882564768</v>
      </c>
      <c r="G4959" s="30" t="n">
        <f aca="false">G4956+G4958</f>
        <v>109.298285442556</v>
      </c>
    </row>
    <row r="4960" customFormat="false" ht="15" hidden="false" customHeight="false" outlineLevel="0" collapsed="false">
      <c r="A4960" s="4" t="s">
        <v>460</v>
      </c>
      <c r="B4960" s="0" t="s">
        <v>234</v>
      </c>
      <c r="C4960" s="30" t="n">
        <f aca="false">a25_tax</f>
        <v>9.461</v>
      </c>
      <c r="D4960" s="30" t="n">
        <f aca="false">a26_tax</f>
        <v>19.2197317963676</v>
      </c>
      <c r="E4960" s="30" t="n">
        <f aca="false">E4959*tax_lo</f>
        <v>22.2121821972137</v>
      </c>
      <c r="F4960" s="30" t="n">
        <f aca="false">F4959*tax_lo</f>
        <v>14.6468532384715</v>
      </c>
      <c r="G4960" s="30" t="n">
        <f aca="false">G4959*tax_lo</f>
        <v>16.3947428163833</v>
      </c>
    </row>
    <row r="4961" customFormat="false" ht="15" hidden="false" customHeight="false" outlineLevel="0" collapsed="false">
      <c r="A4961" s="4" t="s">
        <v>461</v>
      </c>
      <c r="B4961" s="0" t="s">
        <v>234</v>
      </c>
      <c r="C4961" s="30" t="n">
        <f aca="false">a25_nci</f>
        <v>1.182</v>
      </c>
      <c r="D4961" s="30" t="n">
        <f aca="false">a26_nci</f>
        <v>2.543</v>
      </c>
      <c r="E4961" s="30" t="n">
        <f aca="false">nci</f>
        <v>3</v>
      </c>
      <c r="F4961" s="30" t="n">
        <f aca="false">nci</f>
        <v>3</v>
      </c>
      <c r="G4961" s="30" t="n">
        <f aca="false">nci</f>
        <v>3</v>
      </c>
    </row>
    <row r="4962" customFormat="false" ht="15" hidden="false" customHeight="false" outlineLevel="0" collapsed="false">
      <c r="A4962" s="4" t="s">
        <v>462</v>
      </c>
      <c r="B4962" s="0" t="s">
        <v>234</v>
      </c>
      <c r="C4962" s="30" t="n">
        <f aca="false">C4959-C4960-C4961</f>
        <v>40.658</v>
      </c>
      <c r="D4962" s="30" t="n">
        <f aca="false">D4959-D4960-D4961</f>
        <v>93.5615140646185</v>
      </c>
      <c r="E4962" s="30" t="n">
        <f aca="false">E4959-E4960-E4961</f>
        <v>122.869032450878</v>
      </c>
      <c r="F4962" s="30" t="n">
        <f aca="false">F4959-F4960-F4961</f>
        <v>79.9988350180053</v>
      </c>
      <c r="G4962" s="30" t="n">
        <f aca="false">G4959-G4960-G4961</f>
        <v>89.9035426261722</v>
      </c>
      <c r="H4962" s="31" t="n">
        <f aca="false">H4940*H4966</f>
        <v>88.3259542269635</v>
      </c>
      <c r="I4962" s="31" t="n">
        <f aca="false">I4940*I4966</f>
        <v>84.6087743217707</v>
      </c>
      <c r="J4962" s="31" t="n">
        <f aca="false">J4940*J4966</f>
        <v>78.9061153241268</v>
      </c>
    </row>
    <row r="4963" customFormat="false" ht="15" hidden="false" customHeight="false" outlineLevel="0" collapsed="false">
      <c r="A4963" s="4" t="s">
        <v>579</v>
      </c>
      <c r="B4963" s="4" t="s">
        <v>580</v>
      </c>
      <c r="C4963" s="18" t="n">
        <f aca="false">a25_sh</f>
        <v>4339.16755602988</v>
      </c>
      <c r="D4963" s="18" t="n">
        <f aca="false">a26_sh</f>
        <v>4392.90105184664</v>
      </c>
      <c r="E4963" s="18" t="n">
        <f aca="false">D4963*(1+sh_g)</f>
        <v>4414.86555710588</v>
      </c>
      <c r="F4963" s="18" t="n">
        <f aca="false">E4963*(1+sh_g)</f>
        <v>4436.9398848914</v>
      </c>
      <c r="G4963" s="18" t="n">
        <f aca="false">F4963*(1+sh_g)</f>
        <v>4459.12458431586</v>
      </c>
      <c r="H4963" s="25" t="n">
        <f aca="false">G4963*(1+sh_g)</f>
        <v>4481.42020723744</v>
      </c>
      <c r="I4963" s="25" t="n">
        <f aca="false">H4963*(1+sh_g)</f>
        <v>4503.82730827363</v>
      </c>
      <c r="J4963" s="25" t="n">
        <f aca="false">I4963*(1+sh_g)</f>
        <v>4526.34644481499</v>
      </c>
    </row>
    <row r="4964" customFormat="false" ht="17.15" hidden="false" customHeight="false" outlineLevel="0" collapsed="false">
      <c r="A4964" s="0" t="s">
        <v>465</v>
      </c>
      <c r="B4964" s="0" t="s">
        <v>304</v>
      </c>
      <c r="C4964" s="19" t="n">
        <f aca="false">a25_eps</f>
        <v>9.37</v>
      </c>
      <c r="D4964" s="19" t="n">
        <f aca="false">a26_eps</f>
        <v>21.2828697294455</v>
      </c>
      <c r="E4964" s="19" t="n">
        <f aca="false">E4962/E4963*1000</f>
        <v>27.8307529100441</v>
      </c>
      <c r="F4964" s="19" t="n">
        <f aca="false">F4962/F4963*1000</f>
        <v>18.0301823088512</v>
      </c>
      <c r="G4964" s="19" t="n">
        <f aca="false">G4962/G4963*1000</f>
        <v>20.1617023535048</v>
      </c>
      <c r="H4964" s="28" t="n">
        <f aca="false">H4962/H4963*1000</f>
        <v>19.7093667057417</v>
      </c>
      <c r="I4964" s="28" t="n">
        <f aca="false">I4962/I4963*1000</f>
        <v>18.7859721367075</v>
      </c>
      <c r="J4964" s="28" t="n">
        <f aca="false">J4962/J4963*1000</f>
        <v>17.4326283430017</v>
      </c>
    </row>
    <row r="4965" customFormat="false" ht="17.15" hidden="false" customHeight="false" outlineLevel="0" collapsed="false">
      <c r="A4965" s="0" t="s">
        <v>581</v>
      </c>
      <c r="B4965" s="0" t="s">
        <v>76</v>
      </c>
      <c r="D4965" s="21" t="n">
        <f aca="false">D4964/C4964-1</f>
        <v>1.27138417603474</v>
      </c>
      <c r="E4965" s="21" t="n">
        <f aca="false">E4964/D4964-1</f>
        <v>0.307659787605585</v>
      </c>
      <c r="F4965" s="21" t="n">
        <f aca="false">F4964/E4964-1</f>
        <v>-0.352148956690851</v>
      </c>
      <c r="G4965" s="21" t="n">
        <f aca="false">G4964/F4964-1</f>
        <v>0.118219550315208</v>
      </c>
      <c r="H4965" s="26" t="n">
        <f aca="false">H4964/G4964-1</f>
        <v>-0.0224353896229655</v>
      </c>
      <c r="I4965" s="26" t="n">
        <f aca="false">I4964/H4964-1</f>
        <v>-0.0468505448612487</v>
      </c>
      <c r="J4965" s="26" t="n">
        <f aca="false">J4964/I4964-1</f>
        <v>-0.0720401256776808</v>
      </c>
    </row>
    <row r="4966" customFormat="false" ht="17.15" hidden="false" customHeight="false" outlineLevel="0" collapsed="false">
      <c r="A4966" s="4" t="s">
        <v>582</v>
      </c>
      <c r="B4966" s="0" t="s">
        <v>76</v>
      </c>
      <c r="C4966" s="14" t="n">
        <f aca="false">C4962/C4940</f>
        <v>0.0629977625862272</v>
      </c>
      <c r="D4966" s="14" t="n">
        <f aca="false">D4962/D4940</f>
        <v>0.107397865592237</v>
      </c>
      <c r="E4966" s="14" t="n">
        <f aca="false">E4962/E4940</f>
        <v>0.114724432002186</v>
      </c>
      <c r="F4966" s="14" t="n">
        <f aca="false">F4962/F4940</f>
        <v>0.0758944095080087</v>
      </c>
      <c r="G4966" s="14" t="n">
        <f aca="false">G4962/G4940</f>
        <v>0.0789740423666564</v>
      </c>
      <c r="H4966" s="27" t="n">
        <f aca="false">$G4966+(fade_mC-$G4966)*1/3</f>
        <v>0.0731970476374814</v>
      </c>
      <c r="I4966" s="27" t="n">
        <f aca="false">$G4966+(fade_mC-$G4966)*2/3</f>
        <v>0.0674200529083065</v>
      </c>
      <c r="J4966" s="27" t="n">
        <f aca="false">$G4966+(fade_mC-$G4966)*3/3</f>
        <v>0.0616430581791315</v>
      </c>
    </row>
    <row r="4967" customFormat="false" ht="17.15" hidden="false" customHeight="false" outlineLevel="0" collapsed="false">
      <c r="A4967" s="4" t="s">
        <v>583</v>
      </c>
      <c r="B4967" s="0" t="s">
        <v>234</v>
      </c>
      <c r="C4967" s="30" t="n">
        <f aca="false">C4962+C4948-C4946</f>
        <v>-54.587</v>
      </c>
      <c r="D4967" s="30" t="n">
        <f aca="false">D4962+D4948-D4946</f>
        <v>-176.164485935382</v>
      </c>
      <c r="E4967" s="30" t="n">
        <f aca="false">E4962+E4948-E4946</f>
        <v>-162.291217549122</v>
      </c>
      <c r="F4967" s="30" t="n">
        <f aca="false">F4962+F4948-F4946</f>
        <v>-69.7406044747496</v>
      </c>
      <c r="G4967" s="30" t="n">
        <f aca="false">G4962+G4948-G4946</f>
        <v>-66.4123194629041</v>
      </c>
      <c r="K4967" s="4" t="s">
        <v>584</v>
      </c>
    </row>
    <row r="4968" customFormat="false" ht="17.15" hidden="false" customHeight="false" outlineLevel="0" collapsed="false">
      <c r="A4968" s="4" t="s">
        <v>585</v>
      </c>
      <c r="B4968" s="0" t="s">
        <v>76</v>
      </c>
      <c r="D4968" s="21" t="n">
        <f aca="false">(D4956-$C4956)/SUM($D4946:D4946)</f>
        <v>0.164280348537512</v>
      </c>
      <c r="E4968" s="21" t="n">
        <f aca="false">(E4956-$C4956)/SUM($D4946:E4946)</f>
        <v>0.130708583570405</v>
      </c>
      <c r="F4968" s="21" t="n">
        <f aca="false">(F4956-$C4956)/SUM($D4946:F4946)</f>
        <v>0.047212178465445</v>
      </c>
      <c r="G4968" s="21" t="n">
        <f aca="false">(G4956-$C4956)/SUM($D4946:G4946)</f>
        <v>0.044108444635164</v>
      </c>
      <c r="K4968" s="4" t="s">
        <v>586</v>
      </c>
    </row>
    <row r="4971" customFormat="false" ht="17.15" hidden="false" customHeight="false" outlineLevel="0" collapsed="false">
      <c r="A4971" s="1" t="s">
        <v>1015</v>
      </c>
    </row>
    <row r="4972" customFormat="false" ht="17.15" hidden="false" customHeight="false" outlineLevel="0" collapsed="false">
      <c r="A4972" s="5" t="s">
        <v>21</v>
      </c>
      <c r="B4972" s="5" t="s">
        <v>22</v>
      </c>
      <c r="C4972" s="15" t="s">
        <v>424</v>
      </c>
      <c r="D4972" s="15" t="s">
        <v>524</v>
      </c>
      <c r="E4972" s="15" t="s">
        <v>525</v>
      </c>
      <c r="F4972" s="15" t="s">
        <v>526</v>
      </c>
      <c r="G4972" s="15" t="s">
        <v>527</v>
      </c>
      <c r="H4972" s="15" t="s">
        <v>528</v>
      </c>
      <c r="I4972" s="15" t="s">
        <v>529</v>
      </c>
      <c r="J4972" s="15" t="s">
        <v>530</v>
      </c>
      <c r="K4972" s="5" t="s">
        <v>382</v>
      </c>
    </row>
    <row r="4973" customFormat="false" ht="17.15" hidden="false" customHeight="false" outlineLevel="0" collapsed="false">
      <c r="A4973" s="6" t="s">
        <v>548</v>
      </c>
    </row>
    <row r="4974" customFormat="false" ht="17.15" hidden="false" customHeight="false" outlineLevel="0" collapsed="false">
      <c r="A4974" s="0" t="s">
        <v>549</v>
      </c>
      <c r="B4974" s="4" t="s">
        <v>32</v>
      </c>
      <c r="D4974" s="19" t="n">
        <f aca="false">units_26</f>
        <v>15.2</v>
      </c>
      <c r="E4974" s="19" t="n">
        <f aca="false">units_27*1</f>
        <v>23.7</v>
      </c>
      <c r="F4974" s="19" t="n">
        <f aca="false">units_28*um28_A*1</f>
        <v>26.5</v>
      </c>
      <c r="G4974" s="19" t="n">
        <f aca="false">units_29*um29_A*1</f>
        <v>30.15</v>
      </c>
    </row>
    <row r="4975" customFormat="false" ht="17.15" hidden="false" customHeight="false" outlineLevel="0" collapsed="false">
      <c r="A4975" s="4" t="s">
        <v>497</v>
      </c>
      <c r="B4975" s="0" t="s">
        <v>45</v>
      </c>
      <c r="D4975" s="22" t="n">
        <f aca="false">ar_26</f>
        <v>1</v>
      </c>
      <c r="E4975" s="22" t="n">
        <f aca="false">ar_27</f>
        <v>1.278156</v>
      </c>
      <c r="F4975" s="22" t="n">
        <f aca="false">ar_28</f>
        <v>1.428615</v>
      </c>
      <c r="G4975" s="22" t="n">
        <f aca="false">ar_29</f>
        <v>1.431796</v>
      </c>
    </row>
    <row r="4976" customFormat="false" ht="17.15" hidden="false" customHeight="false" outlineLevel="0" collapsed="false">
      <c r="A4976" s="4" t="s">
        <v>550</v>
      </c>
      <c r="B4976" s="0" t="s">
        <v>45</v>
      </c>
      <c r="D4976" s="19" t="n">
        <f aca="false">1</f>
        <v>1</v>
      </c>
      <c r="E4976" s="19" t="n">
        <f aca="false">rel27_A</f>
        <v>1.1</v>
      </c>
      <c r="F4976" s="19" t="n">
        <f aca="false">rel28_A</f>
        <v>1.15</v>
      </c>
      <c r="G4976" s="19" t="n">
        <f aca="false">rel29_A</f>
        <v>1.2</v>
      </c>
    </row>
    <row r="4977" customFormat="false" ht="17.15" hidden="false" customHeight="false" outlineLevel="0" collapsed="false">
      <c r="A4977" s="4" t="s">
        <v>551</v>
      </c>
      <c r="B4977" s="0" t="s">
        <v>502</v>
      </c>
      <c r="D4977" s="23" t="n">
        <f aca="false">D4978*1000/D4974</f>
        <v>236.842105263158</v>
      </c>
      <c r="E4977" s="23" t="n">
        <f aca="false">$D4977*E4975^el</f>
        <v>267.763172119488</v>
      </c>
      <c r="F4977" s="23" t="n">
        <f aca="false">$D4977*F4975^el</f>
        <v>283.084777049615</v>
      </c>
      <c r="G4977" s="23" t="n">
        <f aca="false">$D4977*G4975^el</f>
        <v>283.399764630809</v>
      </c>
      <c r="K4977" s="8" t="s">
        <v>552</v>
      </c>
    </row>
    <row r="4978" customFormat="false" ht="17.15" hidden="false" customHeight="false" outlineLevel="0" collapsed="false">
      <c r="A4978" s="0" t="s">
        <v>553</v>
      </c>
      <c r="B4978" s="0" t="s">
        <v>120</v>
      </c>
      <c r="D4978" s="22" t="n">
        <f aca="false">leap26-D4979-D4980</f>
        <v>3.6</v>
      </c>
      <c r="E4978" s="22" t="n">
        <f aca="false">E4974*E4976*E4977/1000</f>
        <v>6.98058589715504</v>
      </c>
      <c r="F4978" s="22" t="n">
        <f aca="false">F4974*F4976*F4977/1000</f>
        <v>8.627008580587</v>
      </c>
      <c r="G4978" s="22" t="n">
        <f aca="false">G4974*G4976*G4977/1000</f>
        <v>10.2534034843427</v>
      </c>
      <c r="K4978" s="8" t="s">
        <v>554</v>
      </c>
    </row>
    <row r="4979" customFormat="false" ht="17.15" hidden="false" customHeight="false" outlineLevel="0" collapsed="false">
      <c r="A4979" s="4" t="s">
        <v>555</v>
      </c>
      <c r="B4979" s="0" t="s">
        <v>120</v>
      </c>
      <c r="D4979" s="22" t="n">
        <f aca="false">fp26</f>
        <v>0.3</v>
      </c>
      <c r="E4979" s="22" t="n">
        <f aca="false">fp27_A</f>
        <v>1.2</v>
      </c>
      <c r="F4979" s="22" t="n">
        <f aca="false">E4979*F4974/E4974*(1+fp_g)</f>
        <v>1.74430379746835</v>
      </c>
      <c r="G4979" s="22" t="n">
        <f aca="false">F4979*G4974/F4974*(1+fp_g)</f>
        <v>2.57992405063291</v>
      </c>
    </row>
    <row r="4980" customFormat="false" ht="17.15" hidden="false" customHeight="false" outlineLevel="0" collapsed="false">
      <c r="A4980" s="0" t="s">
        <v>556</v>
      </c>
      <c r="B4980" s="0" t="s">
        <v>120</v>
      </c>
      <c r="D4980" s="22" t="n">
        <f aca="false">cpo27*cpo_A_26/cpo_A_27</f>
        <v>0.1</v>
      </c>
      <c r="E4980" s="22" t="n">
        <f aca="false">cpo27*cpo_A_27/cpo_A_27</f>
        <v>0.5</v>
      </c>
      <c r="F4980" s="22" t="n">
        <f aca="false">cpo27*cpo_A_28/cpo_A_27*F4974/E4974</f>
        <v>1.11814345991561</v>
      </c>
      <c r="G4980" s="22" t="n">
        <f aca="false">cpo27*cpo_A_29/cpo_A_27*G4974/E4974</f>
        <v>2.03544303797468</v>
      </c>
      <c r="K4980" s="8" t="s">
        <v>557</v>
      </c>
    </row>
    <row r="4981" customFormat="false" ht="17.15" hidden="false" customHeight="false" outlineLevel="0" collapsed="false">
      <c r="A4981" s="0" t="s">
        <v>510</v>
      </c>
      <c r="B4981" s="0" t="s">
        <v>120</v>
      </c>
      <c r="C4981" s="22" t="n">
        <f aca="false">leap25</f>
        <v>1.6</v>
      </c>
      <c r="D4981" s="22" t="n">
        <f aca="false">D4978+D4979+D4980</f>
        <v>4</v>
      </c>
      <c r="E4981" s="22" t="n">
        <f aca="false">E4978+E4979+E4980</f>
        <v>8.68058589715504</v>
      </c>
      <c r="F4981" s="22" t="n">
        <f aca="false">F4978+F4979+F4980</f>
        <v>11.489455837971</v>
      </c>
      <c r="G4981" s="22" t="n">
        <f aca="false">G4978+G4979+G4980</f>
        <v>14.8687705729503</v>
      </c>
    </row>
    <row r="4982" customFormat="false" ht="17.15" hidden="false" customHeight="false" outlineLevel="0" collapsed="false">
      <c r="A4982" s="4" t="s">
        <v>558</v>
      </c>
      <c r="B4982" s="0" t="s">
        <v>114</v>
      </c>
      <c r="C4982" s="19" t="n">
        <f aca="false">fx25</f>
        <v>31</v>
      </c>
      <c r="D4982" s="19" t="n">
        <f aca="false">a26_leap/D4981</f>
        <v>31.9</v>
      </c>
      <c r="E4982" s="19" t="n">
        <f aca="false">fx</f>
        <v>32</v>
      </c>
      <c r="F4982" s="19" t="n">
        <f aca="false">fx</f>
        <v>32</v>
      </c>
      <c r="G4982" s="19" t="n">
        <f aca="false">fx</f>
        <v>32</v>
      </c>
      <c r="K4982" s="8" t="s">
        <v>559</v>
      </c>
    </row>
    <row r="4983" customFormat="false" ht="17.15" hidden="false" customHeight="false" outlineLevel="0" collapsed="false">
      <c r="A4983" s="6" t="s">
        <v>560</v>
      </c>
    </row>
    <row r="4984" customFormat="false" ht="17.15" hidden="false" customHeight="false" outlineLevel="0" collapsed="false">
      <c r="A4984" s="0" t="s">
        <v>438</v>
      </c>
      <c r="B4984" s="0" t="s">
        <v>234</v>
      </c>
      <c r="C4984" s="30" t="n">
        <f aca="false">a25_leap</f>
        <v>49.6</v>
      </c>
      <c r="D4984" s="30" t="n">
        <f aca="false">a26_leap</f>
        <v>127.6</v>
      </c>
      <c r="E4984" s="30" t="n">
        <f aca="false">E4981*E4982</f>
        <v>277.778748708961</v>
      </c>
      <c r="F4984" s="30" t="n">
        <f aca="false">F4981*F4982</f>
        <v>367.662586815071</v>
      </c>
      <c r="G4984" s="30" t="n">
        <f aca="false">G4981*G4982</f>
        <v>475.800658334408</v>
      </c>
    </row>
    <row r="4985" customFormat="false" ht="15" hidden="false" customHeight="false" outlineLevel="0" collapsed="false">
      <c r="A4985" s="4" t="s">
        <v>561</v>
      </c>
      <c r="B4985" s="0" t="s">
        <v>234</v>
      </c>
      <c r="C4985" s="30" t="n">
        <f aca="false">a25_ms</f>
        <v>339.628</v>
      </c>
      <c r="D4985" s="30" t="n">
        <f aca="false">a26_ms</f>
        <v>432.1302</v>
      </c>
      <c r="E4985" s="30" t="n">
        <f aca="false">D4985*(1+g_ms27)</f>
        <v>496.94973</v>
      </c>
      <c r="F4985" s="30" t="n">
        <f aca="false">E4985*(1+g_msL)</f>
        <v>531.7362111</v>
      </c>
      <c r="G4985" s="30" t="n">
        <f aca="false">F4985*(1+g_msL)</f>
        <v>568.957745877</v>
      </c>
    </row>
    <row r="4986" customFormat="false" ht="17.15" hidden="false" customHeight="false" outlineLevel="0" collapsed="false">
      <c r="A4986" s="4" t="s">
        <v>562</v>
      </c>
      <c r="B4986" s="0" t="s">
        <v>234</v>
      </c>
      <c r="C4986" s="30" t="n">
        <f aca="false">C4984+C4985</f>
        <v>389.228</v>
      </c>
      <c r="D4986" s="30" t="n">
        <f aca="false">D4984+D4985</f>
        <v>559.7302</v>
      </c>
      <c r="E4986" s="30" t="n">
        <f aca="false">E4984+E4985</f>
        <v>774.728478708961</v>
      </c>
      <c r="F4986" s="30" t="n">
        <f aca="false">F4984+F4985</f>
        <v>899.398797915071</v>
      </c>
      <c r="G4986" s="30" t="n">
        <f aca="false">G4984+G4985</f>
        <v>1044.75840421141</v>
      </c>
    </row>
    <row r="4987" customFormat="false" ht="17.15" hidden="false" customHeight="false" outlineLevel="0" collapsed="false">
      <c r="A4987" s="0" t="s">
        <v>563</v>
      </c>
      <c r="B4987" s="0" t="s">
        <v>234</v>
      </c>
      <c r="C4987" s="30" t="n">
        <f aca="false">a25_ems</f>
        <v>259.079</v>
      </c>
      <c r="D4987" s="30" t="n">
        <f aca="false">a26_ems</f>
        <v>314.602</v>
      </c>
      <c r="E4987" s="30" t="n">
        <f aca="false">D4987*(1+g_ems27)</f>
        <v>346.0622</v>
      </c>
      <c r="F4987" s="30" t="n">
        <f aca="false">E4987*(1+g_emsL)</f>
        <v>363.36531</v>
      </c>
      <c r="G4987" s="30" t="n">
        <f aca="false">F4987*(1+g_emsL)</f>
        <v>381.5335755</v>
      </c>
    </row>
    <row r="4988" customFormat="false" ht="17.15" hidden="false" customHeight="false" outlineLevel="0" collapsed="false">
      <c r="A4988" s="4" t="s">
        <v>564</v>
      </c>
      <c r="B4988" s="0" t="s">
        <v>234</v>
      </c>
      <c r="C4988" s="30" t="n">
        <f aca="false">a25_elim</f>
        <v>-2.91899999999998</v>
      </c>
      <c r="D4988" s="30" t="n">
        <f aca="false">a26_elim</f>
        <v>-3.16484905982349</v>
      </c>
      <c r="E4988" s="30" t="n">
        <f aca="false">$D4988/($D4986+$D4987)*(E4986+E4987)</f>
        <v>-4.05696293213379</v>
      </c>
      <c r="F4988" s="30" t="n">
        <f aca="false">$D4988/($D4986+$D4987)*(F4986+F4987)</f>
        <v>-4.57086882962089</v>
      </c>
      <c r="G4988" s="30" t="n">
        <f aca="false">$D4988/($D4986+$D4987)*(G4986+G4987)</f>
        <v>-5.16279605283144</v>
      </c>
      <c r="K4988" s="4" t="s">
        <v>565</v>
      </c>
    </row>
    <row r="4989" customFormat="false" ht="17.15" hidden="false" customHeight="false" outlineLevel="0" collapsed="false">
      <c r="A4989" s="4" t="s">
        <v>431</v>
      </c>
      <c r="B4989" s="0" t="s">
        <v>234</v>
      </c>
      <c r="C4989" s="30" t="n">
        <f aca="false">C4986+C4987+C4988</f>
        <v>645.388</v>
      </c>
      <c r="D4989" s="30" t="n">
        <f aca="false">D4986+D4987+D4988</f>
        <v>871.167350940177</v>
      </c>
      <c r="E4989" s="30" t="n">
        <f aca="false">E4986+E4987+E4988</f>
        <v>1116.73371577683</v>
      </c>
      <c r="F4989" s="30" t="n">
        <f aca="false">F4986+F4987+F4988</f>
        <v>1258.19323908545</v>
      </c>
      <c r="G4989" s="30" t="n">
        <f aca="false">G4986+G4987+G4988</f>
        <v>1421.12918365858</v>
      </c>
      <c r="H4989" s="31" t="n">
        <f aca="false">G4989*(1+H4990)</f>
        <v>1572.24252669828</v>
      </c>
      <c r="I4989" s="31" t="n">
        <f aca="false">H4989*(1+I4990)</f>
        <v>1703.00066355907</v>
      </c>
      <c r="J4989" s="31" t="n">
        <f aca="false">I4989*(1+J4990)</f>
        <v>1805.18070337261</v>
      </c>
      <c r="K4989" s="8" t="s">
        <v>566</v>
      </c>
    </row>
    <row r="4990" customFormat="false" ht="15" hidden="false" customHeight="false" outlineLevel="0" collapsed="false">
      <c r="A4990" s="4" t="s">
        <v>567</v>
      </c>
      <c r="B4990" s="0" t="s">
        <v>76</v>
      </c>
      <c r="D4990" s="21" t="n">
        <f aca="false">D4989/C4989-1</f>
        <v>0.349835061916516</v>
      </c>
      <c r="E4990" s="21" t="n">
        <f aca="false">E4989/D4989-1</f>
        <v>0.281881965126026</v>
      </c>
      <c r="F4990" s="21" t="n">
        <f aca="false">F4989/E4989-1</f>
        <v>0.126672564202309</v>
      </c>
      <c r="G4990" s="21" t="n">
        <f aca="false">G4989/F4989-1</f>
        <v>0.129499936505429</v>
      </c>
      <c r="H4990" s="26" t="n">
        <f aca="false">$G4990+(fade_gA-$G4990)*1/3</f>
        <v>0.10633329100362</v>
      </c>
      <c r="I4990" s="26" t="n">
        <f aca="false">$G4990+(fade_gA-$G4990)*2/3</f>
        <v>0.0831666455018098</v>
      </c>
      <c r="J4990" s="26" t="n">
        <f aca="false">$G4990+(fade_gA-$G4990)*3/3</f>
        <v>0.06</v>
      </c>
    </row>
    <row r="4991" customFormat="false" ht="17.15" hidden="false" customHeight="false" outlineLevel="0" collapsed="false">
      <c r="A4991" s="0" t="s">
        <v>475</v>
      </c>
      <c r="B4991" s="0" t="s">
        <v>76</v>
      </c>
      <c r="C4991" s="21" t="n">
        <f aca="false">C4984/C4986</f>
        <v>0.127431736668482</v>
      </c>
      <c r="D4991" s="21" t="n">
        <f aca="false">D4984/D4986</f>
        <v>0.227966974088588</v>
      </c>
      <c r="E4991" s="21" t="n">
        <f aca="false">E4984/E4986</f>
        <v>0.35854980982739</v>
      </c>
      <c r="F4991" s="21" t="n">
        <f aca="false">F4984/F4986</f>
        <v>0.408787056050512</v>
      </c>
      <c r="G4991" s="21" t="n">
        <f aca="false">G4984/G4986</f>
        <v>0.455416923583923</v>
      </c>
    </row>
    <row r="4992" customFormat="false" ht="15" hidden="false" customHeight="false" outlineLevel="0" collapsed="false">
      <c r="A4992" s="4" t="s">
        <v>568</v>
      </c>
      <c r="B4992" s="0" t="s">
        <v>76</v>
      </c>
      <c r="D4992" s="21" t="n">
        <f aca="false">D4986/C4986-1</f>
        <v>0.438052247012034</v>
      </c>
      <c r="E4992" s="21" t="n">
        <f aca="false">E4986/D4986-1</f>
        <v>0.384110556673485</v>
      </c>
      <c r="F4992" s="21" t="n">
        <f aca="false">F4986/E4986-1</f>
        <v>0.160921306796241</v>
      </c>
      <c r="G4992" s="21" t="n">
        <f aca="false">G4986/F4986-1</f>
        <v>0.161618635285371</v>
      </c>
    </row>
    <row r="4993" customFormat="false" ht="17.15" hidden="false" customHeight="false" outlineLevel="0" collapsed="false">
      <c r="A4993" s="6" t="s">
        <v>569</v>
      </c>
    </row>
    <row r="4994" customFormat="false" ht="17.15" hidden="false" customHeight="false" outlineLevel="0" collapsed="false">
      <c r="A4994" s="4" t="s">
        <v>570</v>
      </c>
      <c r="B4994" s="0" t="s">
        <v>120</v>
      </c>
      <c r="C4994" s="19" t="n">
        <f aca="false">capex25</f>
        <v>5.5</v>
      </c>
      <c r="D4994" s="19" t="n">
        <f aca="false">capex26</f>
        <v>11.5</v>
      </c>
      <c r="E4994" s="19" t="n">
        <f aca="false">capex27</f>
        <v>13</v>
      </c>
      <c r="F4994" s="19" t="n">
        <f aca="false">capi*F4989/F4982</f>
        <v>11.7955616164261</v>
      </c>
      <c r="G4994" s="19" t="n">
        <f aca="false">capi*G4989/G4982</f>
        <v>13.3230860967992</v>
      </c>
      <c r="K4994" s="8" t="s">
        <v>571</v>
      </c>
    </row>
    <row r="4995" customFormat="false" ht="15" hidden="false" customHeight="false" outlineLevel="0" collapsed="false">
      <c r="A4995" s="4" t="s">
        <v>572</v>
      </c>
      <c r="B4995" s="0" t="s">
        <v>234</v>
      </c>
      <c r="C4995" s="30" t="n">
        <f aca="false">C4994*C4982</f>
        <v>170.5</v>
      </c>
      <c r="D4995" s="30" t="n">
        <f aca="false">D4994*31.9</f>
        <v>366.85</v>
      </c>
      <c r="E4995" s="30" t="n">
        <f aca="false">E4994*E4982</f>
        <v>416</v>
      </c>
      <c r="F4995" s="30" t="n">
        <f aca="false">F4994*F4982</f>
        <v>377.457971725635</v>
      </c>
      <c r="G4995" s="30" t="n">
        <f aca="false">G4994*G4982</f>
        <v>426.338755097573</v>
      </c>
    </row>
    <row r="4996" customFormat="false" ht="17.15" hidden="false" customHeight="false" outlineLevel="0" collapsed="false">
      <c r="A4996" s="4" t="s">
        <v>473</v>
      </c>
      <c r="B4996" s="0" t="s">
        <v>76</v>
      </c>
      <c r="C4996" s="21" t="n">
        <f aca="false">C4995/C4989</f>
        <v>0.264182166386732</v>
      </c>
      <c r="D4996" s="21" t="n">
        <f aca="false">D4995/D4989</f>
        <v>0.421101639775745</v>
      </c>
      <c r="E4996" s="21" t="n">
        <f aca="false">E4995/E4989</f>
        <v>0.372514946153139</v>
      </c>
      <c r="F4996" s="21" t="n">
        <f aca="false">F4995/F4989</f>
        <v>0.3</v>
      </c>
      <c r="G4996" s="21" t="n">
        <f aca="false">G4995/G4989</f>
        <v>0.3</v>
      </c>
    </row>
    <row r="4997" customFormat="false" ht="17.15" hidden="false" customHeight="false" outlineLevel="0" collapsed="false">
      <c r="A4997" s="4" t="s">
        <v>573</v>
      </c>
      <c r="B4997" s="0" t="s">
        <v>234</v>
      </c>
      <c r="C4997" s="30" t="n">
        <f aca="false">a25_da</f>
        <v>75.255</v>
      </c>
      <c r="D4997" s="30" t="n">
        <f aca="false">a26_da</f>
        <v>97.124</v>
      </c>
      <c r="E4997" s="30" t="n">
        <f aca="false">D4997*(1-1/life)+D4995/life</f>
        <v>130.83975</v>
      </c>
      <c r="F4997" s="30" t="n">
        <f aca="false">E4997*(1-1/life)+E4995/life</f>
        <v>166.48478125</v>
      </c>
      <c r="G4997" s="30" t="n">
        <f aca="false">F4997*(1-1/life)+F4995/life</f>
        <v>192.856430059454</v>
      </c>
      <c r="K4997" s="4" t="s">
        <v>574</v>
      </c>
    </row>
    <row r="4998" customFormat="false" ht="17.15" hidden="false" customHeight="false" outlineLevel="0" collapsed="false">
      <c r="A4998" s="4" t="s">
        <v>575</v>
      </c>
      <c r="B4998" s="0" t="s">
        <v>234</v>
      </c>
      <c r="C4998" s="30" t="n">
        <f aca="false">a25_agp</f>
        <v>91.38</v>
      </c>
      <c r="D4998" s="30" t="n">
        <f aca="false">a26_agp</f>
        <v>164.623388</v>
      </c>
      <c r="E4998" s="30" t="n">
        <f aca="false">$D4998+ft*(E4986-$D4986)-(E4997-$D4997)</f>
        <v>238.406777354481</v>
      </c>
      <c r="F4998" s="30" t="n">
        <f aca="false">$D4998+ft*(F4986-$D4986)-(F4997-$D4997)</f>
        <v>265.096905707536</v>
      </c>
      <c r="G4998" s="30" t="n">
        <f aca="false">$D4998+ft*(G4986-$D4986)-(G4997-$D4997)</f>
        <v>311.40506004625</v>
      </c>
      <c r="K4998" s="4" t="s">
        <v>576</v>
      </c>
    </row>
    <row r="4999" customFormat="false" ht="15" hidden="false" customHeight="false" outlineLevel="0" collapsed="false">
      <c r="A4999" s="4" t="s">
        <v>447</v>
      </c>
      <c r="B4999" s="0" t="s">
        <v>76</v>
      </c>
      <c r="C4999" s="14" t="n">
        <f aca="false">C4998/C4986</f>
        <v>0.234772421305764</v>
      </c>
      <c r="D4999" s="14" t="n">
        <f aca="false">D4998/D4986</f>
        <v>0.294112034690999</v>
      </c>
      <c r="E4999" s="14" t="n">
        <f aca="false">E4998/E4986</f>
        <v>0.307729461232368</v>
      </c>
      <c r="F4999" s="14" t="n">
        <f aca="false">F4998/F4986</f>
        <v>0.294749010474626</v>
      </c>
      <c r="G4999" s="14" t="n">
        <f aca="false">G4998/G4986</f>
        <v>0.298064182868479</v>
      </c>
    </row>
    <row r="5000" customFormat="false" ht="17.15" hidden="false" customHeight="false" outlineLevel="0" collapsed="false">
      <c r="A5000" s="0" t="s">
        <v>449</v>
      </c>
      <c r="B5000" s="0" t="s">
        <v>234</v>
      </c>
      <c r="C5000" s="30" t="n">
        <f aca="false">a25_egp</f>
        <v>23.695</v>
      </c>
      <c r="D5000" s="30" t="n">
        <f aca="false">a26_egp</f>
        <v>27.00552</v>
      </c>
      <c r="E5000" s="30" t="n">
        <f aca="false">E4987*ems_gm</f>
        <v>29.415287</v>
      </c>
      <c r="F5000" s="30" t="n">
        <f aca="false">F4987*ems_gm</f>
        <v>30.88605135</v>
      </c>
      <c r="G5000" s="30" t="n">
        <f aca="false">G4987*ems_gm</f>
        <v>32.4303539175</v>
      </c>
    </row>
    <row r="5001" customFormat="false" ht="15" hidden="false" customHeight="false" outlineLevel="0" collapsed="false">
      <c r="A5001" s="4" t="s">
        <v>577</v>
      </c>
      <c r="B5001" s="0" t="s">
        <v>234</v>
      </c>
      <c r="C5001" s="30" t="n">
        <f aca="false">a25_lgp</f>
        <v>-0.881999999999998</v>
      </c>
      <c r="D5001" s="30" t="n">
        <f aca="false">a26_lgp</f>
        <v>-0.948662139013863</v>
      </c>
      <c r="E5001" s="30" t="n">
        <f aca="false">$D5001/$D4988*E4988</f>
        <v>-1.21607288699975</v>
      </c>
      <c r="F5001" s="30" t="n">
        <f aca="false">$D5001/$D4988*F4988</f>
        <v>-1.37011595785291</v>
      </c>
      <c r="G5001" s="30" t="n">
        <f aca="false">$D5001/$D4988*G4988</f>
        <v>-1.54754588739994</v>
      </c>
    </row>
    <row r="5002" customFormat="false" ht="15" hidden="false" customHeight="false" outlineLevel="0" collapsed="false">
      <c r="A5002" s="4" t="s">
        <v>451</v>
      </c>
      <c r="B5002" s="0" t="s">
        <v>234</v>
      </c>
      <c r="C5002" s="30" t="n">
        <f aca="false">C4998+C5000+C5001</f>
        <v>114.193</v>
      </c>
      <c r="D5002" s="30" t="n">
        <f aca="false">D4998+D5000+D5001</f>
        <v>190.680245860986</v>
      </c>
      <c r="E5002" s="30" t="n">
        <f aca="false">E4998+E5000+E5001</f>
        <v>266.605991467481</v>
      </c>
      <c r="F5002" s="30" t="n">
        <f aca="false">F4998+F5000+F5001</f>
        <v>294.612841099683</v>
      </c>
      <c r="G5002" s="30" t="n">
        <f aca="false">G4998+G5000+G5001</f>
        <v>342.28786807635</v>
      </c>
    </row>
    <row r="5003" customFormat="false" ht="15" hidden="false" customHeight="false" outlineLevel="0" collapsed="false">
      <c r="A5003" s="4" t="s">
        <v>452</v>
      </c>
      <c r="B5003" s="0" t="s">
        <v>76</v>
      </c>
      <c r="C5003" s="14" t="n">
        <f aca="false">C5002/C4989</f>
        <v>0.176936974347214</v>
      </c>
      <c r="D5003" s="14" t="n">
        <f aca="false">D5002/D4989</f>
        <v>0.218879008327391</v>
      </c>
      <c r="E5003" s="14" t="n">
        <f aca="false">E5002/E4989</f>
        <v>0.238737299412531</v>
      </c>
      <c r="F5003" s="14" t="n">
        <f aca="false">F5002/F4989</f>
        <v>0.234155479418908</v>
      </c>
      <c r="G5003" s="14" t="n">
        <f aca="false">G5002/G4989</f>
        <v>0.24085626557549</v>
      </c>
    </row>
    <row r="5004" customFormat="false" ht="15" hidden="false" customHeight="false" outlineLevel="0" collapsed="false">
      <c r="A5004" s="4" t="s">
        <v>578</v>
      </c>
      <c r="B5004" s="0" t="s">
        <v>234</v>
      </c>
      <c r="C5004" s="30" t="n">
        <f aca="false">a25_opx</f>
        <v>63.437</v>
      </c>
      <c r="D5004" s="30" t="n">
        <f aca="false">a26_opx</f>
        <v>79.658</v>
      </c>
      <c r="E5004" s="30" t="n">
        <f aca="false">D5004*(1+phi*E4990)</f>
        <v>93.1304921468054</v>
      </c>
      <c r="F5004" s="30" t="n">
        <f aca="false">E5004*(1+phi*F4990)</f>
        <v>100.208739094201</v>
      </c>
      <c r="G5004" s="30" t="n">
        <f aca="false">F5004*(1+phi*G4990)</f>
        <v>107.994954304194</v>
      </c>
    </row>
    <row r="5005" customFormat="false" ht="15" hidden="false" customHeight="false" outlineLevel="0" collapsed="false">
      <c r="A5005" s="4" t="s">
        <v>455</v>
      </c>
      <c r="B5005" s="0" t="s">
        <v>234</v>
      </c>
      <c r="C5005" s="30" t="n">
        <f aca="false">C5002-C5004</f>
        <v>50.756</v>
      </c>
      <c r="D5005" s="30" t="n">
        <f aca="false">D5002-D5004</f>
        <v>111.022245860986</v>
      </c>
      <c r="E5005" s="30" t="n">
        <f aca="false">E5002-E5004</f>
        <v>173.475499320676</v>
      </c>
      <c r="F5005" s="30" t="n">
        <f aca="false">F5002-F5004</f>
        <v>194.404102005482</v>
      </c>
      <c r="G5005" s="30" t="n">
        <f aca="false">G5002-G5004</f>
        <v>234.292913772156</v>
      </c>
    </row>
    <row r="5006" customFormat="false" ht="15" hidden="false" customHeight="false" outlineLevel="0" collapsed="false">
      <c r="A5006" s="4" t="s">
        <v>537</v>
      </c>
      <c r="B5006" s="0" t="s">
        <v>76</v>
      </c>
      <c r="C5006" s="14" t="n">
        <f aca="false">C5005/C4989</f>
        <v>0.0786441644406156</v>
      </c>
      <c r="D5006" s="14" t="n">
        <f aca="false">D5005/D4989</f>
        <v>0.127440779020437</v>
      </c>
      <c r="E5006" s="14" t="n">
        <f aca="false">E5005/E4989</f>
        <v>0.155341866077717</v>
      </c>
      <c r="F5006" s="14" t="n">
        <f aca="false">F5005/F4989</f>
        <v>0.154510528245081</v>
      </c>
      <c r="G5006" s="14" t="n">
        <f aca="false">G5005/G4989</f>
        <v>0.164863909957143</v>
      </c>
    </row>
    <row r="5007" customFormat="false" ht="15" hidden="false" customHeight="false" outlineLevel="0" collapsed="false">
      <c r="A5007" s="4" t="s">
        <v>456</v>
      </c>
      <c r="B5007" s="0" t="s">
        <v>234</v>
      </c>
      <c r="C5007" s="30" t="n">
        <f aca="false">a25_nonop</f>
        <v>0.545</v>
      </c>
      <c r="D5007" s="30" t="n">
        <f aca="false">a26_nonop</f>
        <v>4.302</v>
      </c>
      <c r="E5007" s="30" t="n">
        <f aca="false">nonop_f</f>
        <v>-5</v>
      </c>
      <c r="F5007" s="30" t="n">
        <f aca="false">nonop_f</f>
        <v>-5</v>
      </c>
      <c r="G5007" s="30" t="n">
        <f aca="false">nonop_f</f>
        <v>-5</v>
      </c>
    </row>
    <row r="5008" customFormat="false" ht="15" hidden="false" customHeight="false" outlineLevel="0" collapsed="false">
      <c r="A5008" s="4" t="s">
        <v>459</v>
      </c>
      <c r="B5008" s="0" t="s">
        <v>234</v>
      </c>
      <c r="C5008" s="30" t="n">
        <f aca="false">C5005+C5007</f>
        <v>51.301</v>
      </c>
      <c r="D5008" s="30" t="n">
        <f aca="false">D5005+D5007</f>
        <v>115.324245860986</v>
      </c>
      <c r="E5008" s="30" t="n">
        <f aca="false">E5005+E5007</f>
        <v>168.475499320676</v>
      </c>
      <c r="F5008" s="30" t="n">
        <f aca="false">F5005+F5007</f>
        <v>189.404102005482</v>
      </c>
      <c r="G5008" s="30" t="n">
        <f aca="false">G5005+G5007</f>
        <v>229.292913772156</v>
      </c>
    </row>
    <row r="5009" customFormat="false" ht="15" hidden="false" customHeight="false" outlineLevel="0" collapsed="false">
      <c r="A5009" s="4" t="s">
        <v>460</v>
      </c>
      <c r="B5009" s="0" t="s">
        <v>234</v>
      </c>
      <c r="C5009" s="30" t="n">
        <f aca="false">a25_tax</f>
        <v>9.461</v>
      </c>
      <c r="D5009" s="30" t="n">
        <f aca="false">a26_tax</f>
        <v>19.2197317963676</v>
      </c>
      <c r="E5009" s="30" t="n">
        <f aca="false">E5008*tax_hi</f>
        <v>33.6950998641351</v>
      </c>
      <c r="F5009" s="30" t="n">
        <f aca="false">F5008*tax_hi</f>
        <v>37.8808204010964</v>
      </c>
      <c r="G5009" s="30" t="n">
        <f aca="false">G5008*tax_hi</f>
        <v>45.8585827544313</v>
      </c>
    </row>
    <row r="5010" customFormat="false" ht="15" hidden="false" customHeight="false" outlineLevel="0" collapsed="false">
      <c r="A5010" s="4" t="s">
        <v>461</v>
      </c>
      <c r="B5010" s="0" t="s">
        <v>234</v>
      </c>
      <c r="C5010" s="30" t="n">
        <f aca="false">a25_nci</f>
        <v>1.182</v>
      </c>
      <c r="D5010" s="30" t="n">
        <f aca="false">a26_nci</f>
        <v>2.543</v>
      </c>
      <c r="E5010" s="30" t="n">
        <f aca="false">nci</f>
        <v>3</v>
      </c>
      <c r="F5010" s="30" t="n">
        <f aca="false">nci</f>
        <v>3</v>
      </c>
      <c r="G5010" s="30" t="n">
        <f aca="false">nci</f>
        <v>3</v>
      </c>
    </row>
    <row r="5011" customFormat="false" ht="15" hidden="false" customHeight="false" outlineLevel="0" collapsed="false">
      <c r="A5011" s="4" t="s">
        <v>462</v>
      </c>
      <c r="B5011" s="0" t="s">
        <v>234</v>
      </c>
      <c r="C5011" s="30" t="n">
        <f aca="false">C5008-C5009-C5010</f>
        <v>40.658</v>
      </c>
      <c r="D5011" s="30" t="n">
        <f aca="false">D5008-D5009-D5010</f>
        <v>93.5615140646185</v>
      </c>
      <c r="E5011" s="30" t="n">
        <f aca="false">E5008-E5009-E5010</f>
        <v>131.78039945654</v>
      </c>
      <c r="F5011" s="30" t="n">
        <f aca="false">F5008-F5009-F5010</f>
        <v>148.523281604386</v>
      </c>
      <c r="G5011" s="30" t="n">
        <f aca="false">G5008-G5009-G5010</f>
        <v>180.434331017725</v>
      </c>
      <c r="H5011" s="31" t="n">
        <f aca="false">H4989*H5015</f>
        <v>202.15725108385</v>
      </c>
      <c r="I5011" s="31" t="n">
        <f aca="false">I4989*I5015</f>
        <v>221.717707834919</v>
      </c>
      <c r="J5011" s="31" t="n">
        <f aca="false">J4989*J5015</f>
        <v>237.933349598446</v>
      </c>
    </row>
    <row r="5012" customFormat="false" ht="15" hidden="false" customHeight="false" outlineLevel="0" collapsed="false">
      <c r="A5012" s="4" t="s">
        <v>579</v>
      </c>
      <c r="B5012" s="4" t="s">
        <v>580</v>
      </c>
      <c r="C5012" s="18" t="n">
        <f aca="false">a25_sh</f>
        <v>4339.16755602988</v>
      </c>
      <c r="D5012" s="18" t="n">
        <f aca="false">a26_sh</f>
        <v>4392.90105184664</v>
      </c>
      <c r="E5012" s="18" t="n">
        <f aca="false">D5012*(1+sh_g)</f>
        <v>4414.86555710588</v>
      </c>
      <c r="F5012" s="18" t="n">
        <f aca="false">E5012*(1+sh_g)</f>
        <v>4436.9398848914</v>
      </c>
      <c r="G5012" s="18" t="n">
        <f aca="false">F5012*(1+sh_g)</f>
        <v>4459.12458431586</v>
      </c>
      <c r="H5012" s="25" t="n">
        <f aca="false">G5012*(1+sh_g)</f>
        <v>4481.42020723744</v>
      </c>
      <c r="I5012" s="25" t="n">
        <f aca="false">H5012*(1+sh_g)</f>
        <v>4503.82730827363</v>
      </c>
      <c r="J5012" s="25" t="n">
        <f aca="false">I5012*(1+sh_g)</f>
        <v>4526.34644481499</v>
      </c>
    </row>
    <row r="5013" customFormat="false" ht="17.15" hidden="false" customHeight="false" outlineLevel="0" collapsed="false">
      <c r="A5013" s="0" t="s">
        <v>465</v>
      </c>
      <c r="B5013" s="0" t="s">
        <v>304</v>
      </c>
      <c r="C5013" s="19" t="n">
        <f aca="false">a25_eps</f>
        <v>9.37</v>
      </c>
      <c r="D5013" s="19" t="n">
        <f aca="false">a26_eps</f>
        <v>21.2828697294455</v>
      </c>
      <c r="E5013" s="19" t="n">
        <f aca="false">E5011/E5012*1000</f>
        <v>29.8492440487651</v>
      </c>
      <c r="F5013" s="19" t="n">
        <f aca="false">F5011/F5012*1000</f>
        <v>33.4742605168338</v>
      </c>
      <c r="G5013" s="19" t="n">
        <f aca="false">G5011/G5012*1000</f>
        <v>40.4640703810719</v>
      </c>
      <c r="H5013" s="28" t="n">
        <f aca="false">H5011/H5012*1000</f>
        <v>45.1100860297297</v>
      </c>
      <c r="I5013" s="28" t="n">
        <f aca="false">I5011/I5012*1000</f>
        <v>49.2287320669731</v>
      </c>
      <c r="J5013" s="28" t="n">
        <f aca="false">J5011/J5012*1000</f>
        <v>52.5663142446825</v>
      </c>
    </row>
    <row r="5014" customFormat="false" ht="17.15" hidden="false" customHeight="false" outlineLevel="0" collapsed="false">
      <c r="A5014" s="0" t="s">
        <v>581</v>
      </c>
      <c r="B5014" s="0" t="s">
        <v>76</v>
      </c>
      <c r="D5014" s="21" t="n">
        <f aca="false">D5013/C5013-1</f>
        <v>1.27138417603474</v>
      </c>
      <c r="E5014" s="21" t="n">
        <f aca="false">E5013/D5013-1</f>
        <v>0.402500904634477</v>
      </c>
      <c r="F5014" s="21" t="n">
        <f aca="false">F5013/E5013-1</f>
        <v>0.12144416328087</v>
      </c>
      <c r="G5014" s="21" t="n">
        <f aca="false">G5013/F5013-1</f>
        <v>0.208811479516417</v>
      </c>
      <c r="H5014" s="26" t="n">
        <f aca="false">H5013/G5013-1</f>
        <v>0.114818296946</v>
      </c>
      <c r="I5014" s="26" t="n">
        <f aca="false">I5013/H5013-1</f>
        <v>0.0913021100099227</v>
      </c>
      <c r="J5014" s="26" t="n">
        <f aca="false">J5013/I5013-1</f>
        <v>0.067797443435446</v>
      </c>
    </row>
    <row r="5015" customFormat="false" ht="17.15" hidden="false" customHeight="false" outlineLevel="0" collapsed="false">
      <c r="A5015" s="4" t="s">
        <v>582</v>
      </c>
      <c r="B5015" s="0" t="s">
        <v>76</v>
      </c>
      <c r="C5015" s="14" t="n">
        <f aca="false">C5011/C4989</f>
        <v>0.0629977625862272</v>
      </c>
      <c r="D5015" s="14" t="n">
        <f aca="false">D5011/D4989</f>
        <v>0.107397865592237</v>
      </c>
      <c r="E5015" s="14" t="n">
        <f aca="false">E5011/E4989</f>
        <v>0.118005212518251</v>
      </c>
      <c r="F5015" s="14" t="n">
        <f aca="false">F5011/F4989</f>
        <v>0.11804488928294</v>
      </c>
      <c r="G5015" s="14" t="n">
        <f aca="false">G5011/G4989</f>
        <v>0.126965467385035</v>
      </c>
      <c r="H5015" s="27" t="n">
        <f aca="false">$G5015+(fade_mA-$G5015)*1/3</f>
        <v>0.128578923194745</v>
      </c>
      <c r="I5015" s="27" t="n">
        <f aca="false">$G5015+(fade_mA-$G5015)*2/3</f>
        <v>0.130192379004454</v>
      </c>
      <c r="J5015" s="27" t="n">
        <f aca="false">$G5015+(fade_mA-$G5015)*3/3</f>
        <v>0.131805834814164</v>
      </c>
    </row>
    <row r="5016" customFormat="false" ht="17.15" hidden="false" customHeight="false" outlineLevel="0" collapsed="false">
      <c r="A5016" s="4" t="s">
        <v>583</v>
      </c>
      <c r="B5016" s="0" t="s">
        <v>234</v>
      </c>
      <c r="C5016" s="30" t="n">
        <f aca="false">C5011+C4997-C4995</f>
        <v>-54.587</v>
      </c>
      <c r="D5016" s="30" t="n">
        <f aca="false">D5011+D4997-D4995</f>
        <v>-176.164485935382</v>
      </c>
      <c r="E5016" s="30" t="n">
        <f aca="false">E5011+E4997-E4995</f>
        <v>-153.37985054346</v>
      </c>
      <c r="F5016" s="30" t="n">
        <f aca="false">F5011+F4997-F4995</f>
        <v>-62.4499088712495</v>
      </c>
      <c r="G5016" s="30" t="n">
        <f aca="false">G5011+G4997-G4995</f>
        <v>-53.0479940203937</v>
      </c>
      <c r="K5016" s="4" t="s">
        <v>584</v>
      </c>
    </row>
    <row r="5017" customFormat="false" ht="17.15" hidden="false" customHeight="false" outlineLevel="0" collapsed="false">
      <c r="A5017" s="4" t="s">
        <v>585</v>
      </c>
      <c r="B5017" s="0" t="s">
        <v>76</v>
      </c>
      <c r="D5017" s="21" t="n">
        <f aca="false">(D5005-$C5005)/SUM($D4995:D4995)</f>
        <v>0.164280348537512</v>
      </c>
      <c r="E5017" s="21" t="n">
        <f aca="false">(E5005-$C5005)/SUM($D4995:E4995)</f>
        <v>0.156759914824903</v>
      </c>
      <c r="F5017" s="21" t="n">
        <f aca="false">(F5005-$C5005)/SUM($D4995:F4995)</f>
        <v>0.123801702225527</v>
      </c>
      <c r="G5017" s="21" t="n">
        <f aca="false">(G5005-$C5005)/SUM($D4995:G4995)</f>
        <v>0.115675979201517</v>
      </c>
      <c r="K5017" s="4" t="s">
        <v>586</v>
      </c>
    </row>
    <row r="5020" customFormat="false" ht="17.15" hidden="false" customHeight="false" outlineLevel="0" collapsed="false">
      <c r="A5020" s="1" t="s">
        <v>1016</v>
      </c>
    </row>
    <row r="5021" customFormat="false" ht="17.15" hidden="false" customHeight="false" outlineLevel="0" collapsed="false">
      <c r="A5021" s="5" t="s">
        <v>21</v>
      </c>
      <c r="B5021" s="5" t="s">
        <v>22</v>
      </c>
      <c r="C5021" s="15" t="s">
        <v>424</v>
      </c>
      <c r="D5021" s="15" t="s">
        <v>524</v>
      </c>
      <c r="E5021" s="15" t="s">
        <v>525</v>
      </c>
      <c r="F5021" s="15" t="s">
        <v>526</v>
      </c>
      <c r="G5021" s="15" t="s">
        <v>527</v>
      </c>
      <c r="H5021" s="15" t="s">
        <v>528</v>
      </c>
      <c r="I5021" s="15" t="s">
        <v>529</v>
      </c>
      <c r="J5021" s="15" t="s">
        <v>530</v>
      </c>
      <c r="K5021" s="5" t="s">
        <v>382</v>
      </c>
    </row>
    <row r="5022" customFormat="false" ht="17.15" hidden="false" customHeight="false" outlineLevel="0" collapsed="false">
      <c r="A5022" s="6" t="s">
        <v>548</v>
      </c>
    </row>
    <row r="5023" customFormat="false" ht="17.15" hidden="false" customHeight="false" outlineLevel="0" collapsed="false">
      <c r="A5023" s="0" t="s">
        <v>549</v>
      </c>
      <c r="B5023" s="4" t="s">
        <v>32</v>
      </c>
      <c r="D5023" s="19" t="n">
        <f aca="false">units_26</f>
        <v>15.2</v>
      </c>
      <c r="E5023" s="19" t="n">
        <f aca="false">units_27*1</f>
        <v>23.7</v>
      </c>
      <c r="F5023" s="19" t="n">
        <f aca="false">units_28*um28_B*1</f>
        <v>21.2</v>
      </c>
      <c r="G5023" s="19" t="n">
        <f aca="false">units_29*um29_B*1</f>
        <v>25.6275</v>
      </c>
    </row>
    <row r="5024" customFormat="false" ht="17.15" hidden="false" customHeight="false" outlineLevel="0" collapsed="false">
      <c r="A5024" s="4" t="s">
        <v>497</v>
      </c>
      <c r="B5024" s="0" t="s">
        <v>45</v>
      </c>
      <c r="D5024" s="22" t="n">
        <f aca="false">ar_26</f>
        <v>1</v>
      </c>
      <c r="E5024" s="22" t="n">
        <f aca="false">ar_27</f>
        <v>1.278156</v>
      </c>
      <c r="F5024" s="22" t="n">
        <f aca="false">ar_28</f>
        <v>1.428615</v>
      </c>
      <c r="G5024" s="22" t="n">
        <f aca="false">ar_29</f>
        <v>1.431796</v>
      </c>
    </row>
    <row r="5025" customFormat="false" ht="17.15" hidden="false" customHeight="false" outlineLevel="0" collapsed="false">
      <c r="A5025" s="4" t="s">
        <v>550</v>
      </c>
      <c r="B5025" s="0" t="s">
        <v>45</v>
      </c>
      <c r="D5025" s="19" t="n">
        <f aca="false">1</f>
        <v>1</v>
      </c>
      <c r="E5025" s="19" t="n">
        <f aca="false">rel27_B</f>
        <v>1.05</v>
      </c>
      <c r="F5025" s="19" t="n">
        <f aca="false">rel28_B</f>
        <v>1.08</v>
      </c>
      <c r="G5025" s="19" t="n">
        <f aca="false">rel29_B</f>
        <v>1.1</v>
      </c>
    </row>
    <row r="5026" customFormat="false" ht="17.15" hidden="false" customHeight="false" outlineLevel="0" collapsed="false">
      <c r="A5026" s="4" t="s">
        <v>551</v>
      </c>
      <c r="B5026" s="0" t="s">
        <v>502</v>
      </c>
      <c r="D5026" s="23" t="n">
        <f aca="false">D5027*1000/D5023</f>
        <v>236.842105263158</v>
      </c>
      <c r="E5026" s="23" t="n">
        <f aca="false">$D5026*E5024^el</f>
        <v>267.763172119488</v>
      </c>
      <c r="F5026" s="23" t="n">
        <f aca="false">$D5026*F5024^el</f>
        <v>283.084777049615</v>
      </c>
      <c r="G5026" s="23" t="n">
        <f aca="false">$D5026*G5024^el</f>
        <v>283.399764630809</v>
      </c>
      <c r="K5026" s="8" t="s">
        <v>552</v>
      </c>
    </row>
    <row r="5027" customFormat="false" ht="17.15" hidden="false" customHeight="false" outlineLevel="0" collapsed="false">
      <c r="A5027" s="0" t="s">
        <v>553</v>
      </c>
      <c r="B5027" s="0" t="s">
        <v>120</v>
      </c>
      <c r="D5027" s="22" t="n">
        <f aca="false">leap26-D5028-D5029</f>
        <v>3.6</v>
      </c>
      <c r="E5027" s="22" t="n">
        <f aca="false">E5023*E5025*E5026/1000</f>
        <v>6.66328653819345</v>
      </c>
      <c r="F5027" s="22" t="n">
        <f aca="false">F5023*F5025*F5026/1000</f>
        <v>6.48150905532798</v>
      </c>
      <c r="G5027" s="22" t="n">
        <f aca="false">G5023*G5025*G5026/1000</f>
        <v>7.98911021488366</v>
      </c>
      <c r="K5027" s="8" t="s">
        <v>554</v>
      </c>
    </row>
    <row r="5028" customFormat="false" ht="17.15" hidden="false" customHeight="false" outlineLevel="0" collapsed="false">
      <c r="A5028" s="4" t="s">
        <v>555</v>
      </c>
      <c r="B5028" s="0" t="s">
        <v>120</v>
      </c>
      <c r="D5028" s="22" t="n">
        <f aca="false">fp26</f>
        <v>0.3</v>
      </c>
      <c r="E5028" s="22" t="n">
        <f aca="false">fp27_B</f>
        <v>1</v>
      </c>
      <c r="F5028" s="22" t="n">
        <f aca="false">E5028*F5023/E5023*(1+fp_g)</f>
        <v>1.16286919831224</v>
      </c>
      <c r="G5028" s="22" t="n">
        <f aca="false">F5028*G5023/F5023*(1+fp_g)</f>
        <v>1.82744620253165</v>
      </c>
    </row>
    <row r="5029" customFormat="false" ht="17.15" hidden="false" customHeight="false" outlineLevel="0" collapsed="false">
      <c r="A5029" s="0" t="s">
        <v>556</v>
      </c>
      <c r="B5029" s="0" t="s">
        <v>120</v>
      </c>
      <c r="D5029" s="22" t="n">
        <f aca="false">cpo27*cpo_B_26/cpo_A_27</f>
        <v>0.1</v>
      </c>
      <c r="E5029" s="22" t="n">
        <f aca="false">cpo27*cpo_B_27/cpo_A_27</f>
        <v>0.3</v>
      </c>
      <c r="F5029" s="22" t="n">
        <f aca="false">cpo27*cpo_B_28/cpo_A_27*F5023/E5023</f>
        <v>0.447257383966245</v>
      </c>
      <c r="G5029" s="22" t="n">
        <f aca="false">cpo27*cpo_B_29/cpo_A_27*G5023/E5023</f>
        <v>0.86506329113924</v>
      </c>
      <c r="K5029" s="8" t="s">
        <v>557</v>
      </c>
    </row>
    <row r="5030" customFormat="false" ht="17.15" hidden="false" customHeight="false" outlineLevel="0" collapsed="false">
      <c r="A5030" s="0" t="s">
        <v>510</v>
      </c>
      <c r="B5030" s="0" t="s">
        <v>120</v>
      </c>
      <c r="C5030" s="22" t="n">
        <f aca="false">leap25</f>
        <v>1.6</v>
      </c>
      <c r="D5030" s="22" t="n">
        <f aca="false">D5027+D5028+D5029</f>
        <v>4</v>
      </c>
      <c r="E5030" s="22" t="n">
        <f aca="false">E5027+E5028+E5029</f>
        <v>7.96328653819345</v>
      </c>
      <c r="F5030" s="22" t="n">
        <f aca="false">F5027+F5028+F5029</f>
        <v>8.09163563760646</v>
      </c>
      <c r="G5030" s="22" t="n">
        <f aca="false">G5027+G5028+G5029</f>
        <v>10.6816197085545</v>
      </c>
    </row>
    <row r="5031" customFormat="false" ht="17.15" hidden="false" customHeight="false" outlineLevel="0" collapsed="false">
      <c r="A5031" s="4" t="s">
        <v>558</v>
      </c>
      <c r="B5031" s="0" t="s">
        <v>114</v>
      </c>
      <c r="C5031" s="19" t="n">
        <f aca="false">fx25</f>
        <v>31</v>
      </c>
      <c r="D5031" s="19" t="n">
        <f aca="false">a26_leap/D5030</f>
        <v>31.9</v>
      </c>
      <c r="E5031" s="19" t="n">
        <f aca="false">fx</f>
        <v>32</v>
      </c>
      <c r="F5031" s="19" t="n">
        <f aca="false">fx</f>
        <v>32</v>
      </c>
      <c r="G5031" s="19" t="n">
        <f aca="false">fx</f>
        <v>32</v>
      </c>
      <c r="K5031" s="8" t="s">
        <v>559</v>
      </c>
    </row>
    <row r="5032" customFormat="false" ht="17.15" hidden="false" customHeight="false" outlineLevel="0" collapsed="false">
      <c r="A5032" s="6" t="s">
        <v>560</v>
      </c>
    </row>
    <row r="5033" customFormat="false" ht="17.15" hidden="false" customHeight="false" outlineLevel="0" collapsed="false">
      <c r="A5033" s="0" t="s">
        <v>438</v>
      </c>
      <c r="B5033" s="0" t="s">
        <v>234</v>
      </c>
      <c r="C5033" s="30" t="n">
        <f aca="false">a25_leap</f>
        <v>49.6</v>
      </c>
      <c r="D5033" s="30" t="n">
        <f aca="false">a26_leap</f>
        <v>127.6</v>
      </c>
      <c r="E5033" s="30" t="n">
        <f aca="false">E5030*E5031</f>
        <v>254.82516922219</v>
      </c>
      <c r="F5033" s="30" t="n">
        <f aca="false">F5030*F5031</f>
        <v>258.932340403407</v>
      </c>
      <c r="G5033" s="30" t="n">
        <f aca="false">G5030*G5031</f>
        <v>341.811830673745</v>
      </c>
    </row>
    <row r="5034" customFormat="false" ht="15" hidden="false" customHeight="false" outlineLevel="0" collapsed="false">
      <c r="A5034" s="4" t="s">
        <v>561</v>
      </c>
      <c r="B5034" s="0" t="s">
        <v>234</v>
      </c>
      <c r="C5034" s="30" t="n">
        <f aca="false">a25_ms</f>
        <v>339.628</v>
      </c>
      <c r="D5034" s="30" t="n">
        <f aca="false">a26_ms</f>
        <v>432.1302</v>
      </c>
      <c r="E5034" s="30" t="n">
        <f aca="false">D5034*(1+g_ms27)</f>
        <v>496.94973</v>
      </c>
      <c r="F5034" s="30" t="n">
        <f aca="false">E5034*(1+g_msL)</f>
        <v>531.7362111</v>
      </c>
      <c r="G5034" s="30" t="n">
        <f aca="false">F5034*(1+g_msL)</f>
        <v>568.957745877</v>
      </c>
    </row>
    <row r="5035" customFormat="false" ht="17.15" hidden="false" customHeight="false" outlineLevel="0" collapsed="false">
      <c r="A5035" s="4" t="s">
        <v>562</v>
      </c>
      <c r="B5035" s="0" t="s">
        <v>234</v>
      </c>
      <c r="C5035" s="30" t="n">
        <f aca="false">C5033+C5034</f>
        <v>389.228</v>
      </c>
      <c r="D5035" s="30" t="n">
        <f aca="false">D5033+D5034</f>
        <v>559.7302</v>
      </c>
      <c r="E5035" s="30" t="n">
        <f aca="false">E5033+E5034</f>
        <v>751.77489922219</v>
      </c>
      <c r="F5035" s="30" t="n">
        <f aca="false">F5033+F5034</f>
        <v>790.668551503407</v>
      </c>
      <c r="G5035" s="30" t="n">
        <f aca="false">G5033+G5034</f>
        <v>910.769576550745</v>
      </c>
    </row>
    <row r="5036" customFormat="false" ht="17.15" hidden="false" customHeight="false" outlineLevel="0" collapsed="false">
      <c r="A5036" s="0" t="s">
        <v>563</v>
      </c>
      <c r="B5036" s="0" t="s">
        <v>234</v>
      </c>
      <c r="C5036" s="30" t="n">
        <f aca="false">a25_ems</f>
        <v>259.079</v>
      </c>
      <c r="D5036" s="30" t="n">
        <f aca="false">a26_ems</f>
        <v>314.602</v>
      </c>
      <c r="E5036" s="30" t="n">
        <f aca="false">D5036*(1+g_ems27)</f>
        <v>346.0622</v>
      </c>
      <c r="F5036" s="30" t="n">
        <f aca="false">E5036*(1+g_emsL)</f>
        <v>363.36531</v>
      </c>
      <c r="G5036" s="30" t="n">
        <f aca="false">F5036*(1+g_emsL)</f>
        <v>381.5335755</v>
      </c>
    </row>
    <row r="5037" customFormat="false" ht="17.15" hidden="false" customHeight="false" outlineLevel="0" collapsed="false">
      <c r="A5037" s="4" t="s">
        <v>564</v>
      </c>
      <c r="B5037" s="0" t="s">
        <v>234</v>
      </c>
      <c r="C5037" s="30" t="n">
        <f aca="false">a25_elim</f>
        <v>-2.91899999999998</v>
      </c>
      <c r="D5037" s="30" t="n">
        <f aca="false">a26_elim</f>
        <v>-3.16484905982349</v>
      </c>
      <c r="E5037" s="30" t="n">
        <f aca="false">$D5037/($D5035+$D5036)*(E5035+E5036)</f>
        <v>-3.97387710450638</v>
      </c>
      <c r="F5037" s="30" t="n">
        <f aca="false">$D5037/($D5035+$D5036)*(F5035+F5036)</f>
        <v>-4.17729437573445</v>
      </c>
      <c r="G5037" s="30" t="n">
        <f aca="false">$D5037/($D5035+$D5036)*(G5035+G5036)</f>
        <v>-4.67779228052533</v>
      </c>
      <c r="K5037" s="4" t="s">
        <v>565</v>
      </c>
    </row>
    <row r="5038" customFormat="false" ht="17.15" hidden="false" customHeight="false" outlineLevel="0" collapsed="false">
      <c r="A5038" s="4" t="s">
        <v>431</v>
      </c>
      <c r="B5038" s="0" t="s">
        <v>234</v>
      </c>
      <c r="C5038" s="30" t="n">
        <f aca="false">C5035+C5036+C5037</f>
        <v>645.388</v>
      </c>
      <c r="D5038" s="30" t="n">
        <f aca="false">D5035+D5036+D5037</f>
        <v>871.167350940177</v>
      </c>
      <c r="E5038" s="30" t="n">
        <f aca="false">E5035+E5036+E5037</f>
        <v>1093.86322211768</v>
      </c>
      <c r="F5038" s="30" t="n">
        <f aca="false">F5035+F5036+F5037</f>
        <v>1149.85656712767</v>
      </c>
      <c r="G5038" s="30" t="n">
        <f aca="false">G5035+G5036+G5037</f>
        <v>1287.62535977022</v>
      </c>
      <c r="H5038" s="31" t="n">
        <f aca="false">G5038*(1+H5039)</f>
        <v>1407.64396999115</v>
      </c>
      <c r="I5038" s="31" t="n">
        <f aca="false">H5038*(1+I5039)</f>
        <v>1501.39957757674</v>
      </c>
      <c r="J5038" s="31" t="n">
        <f aca="false">I5038*(1+J5039)</f>
        <v>1561.45556067981</v>
      </c>
      <c r="K5038" s="8" t="s">
        <v>566</v>
      </c>
    </row>
    <row r="5039" customFormat="false" ht="15" hidden="false" customHeight="false" outlineLevel="0" collapsed="false">
      <c r="A5039" s="4" t="s">
        <v>567</v>
      </c>
      <c r="B5039" s="0" t="s">
        <v>76</v>
      </c>
      <c r="D5039" s="21" t="n">
        <f aca="false">D5038/C5038-1</f>
        <v>0.349835061916516</v>
      </c>
      <c r="E5039" s="21" t="n">
        <f aca="false">E5038/D5038-1</f>
        <v>0.255629266796065</v>
      </c>
      <c r="F5039" s="21" t="n">
        <f aca="false">F5038/E5038-1</f>
        <v>0.0511886165270159</v>
      </c>
      <c r="G5039" s="21" t="n">
        <f aca="false">G5038/F5038-1</f>
        <v>0.11981389382042</v>
      </c>
      <c r="H5039" s="26" t="n">
        <f aca="false">$G5039+(fade_gB-$G5039)*1/3</f>
        <v>0.0932092625469469</v>
      </c>
      <c r="I5039" s="26" t="n">
        <f aca="false">$G5039+(fade_gB-$G5039)*2/3</f>
        <v>0.0666046312734734</v>
      </c>
      <c r="J5039" s="26" t="n">
        <f aca="false">$G5039+(fade_gB-$G5039)*3/3</f>
        <v>0.04</v>
      </c>
    </row>
    <row r="5040" customFormat="false" ht="17.15" hidden="false" customHeight="false" outlineLevel="0" collapsed="false">
      <c r="A5040" s="0" t="s">
        <v>475</v>
      </c>
      <c r="B5040" s="0" t="s">
        <v>76</v>
      </c>
      <c r="C5040" s="21" t="n">
        <f aca="false">C5033/C5035</f>
        <v>0.127431736668482</v>
      </c>
      <c r="D5040" s="21" t="n">
        <f aca="false">D5033/D5035</f>
        <v>0.227966974088588</v>
      </c>
      <c r="E5040" s="21" t="n">
        <f aca="false">E5033/E5035</f>
        <v>0.338964721335922</v>
      </c>
      <c r="F5040" s="21" t="n">
        <f aca="false">F5033/F5035</f>
        <v>0.327485315953269</v>
      </c>
      <c r="G5040" s="21" t="n">
        <f aca="false">G5033/G5035</f>
        <v>0.375300009436251</v>
      </c>
    </row>
    <row r="5041" customFormat="false" ht="15" hidden="false" customHeight="false" outlineLevel="0" collapsed="false">
      <c r="A5041" s="4" t="s">
        <v>568</v>
      </c>
      <c r="B5041" s="0" t="s">
        <v>76</v>
      </c>
      <c r="D5041" s="21" t="n">
        <f aca="false">D5035/C5035-1</f>
        <v>0.438052247012034</v>
      </c>
      <c r="E5041" s="21" t="n">
        <f aca="false">E5035/D5035-1</f>
        <v>0.343102264666424</v>
      </c>
      <c r="F5041" s="21" t="n">
        <f aca="false">F5035/E5035-1</f>
        <v>0.0517357686741828</v>
      </c>
      <c r="G5041" s="21" t="n">
        <f aca="false">G5035/F5035-1</f>
        <v>0.151898067551788</v>
      </c>
    </row>
    <row r="5042" customFormat="false" ht="17.15" hidden="false" customHeight="false" outlineLevel="0" collapsed="false">
      <c r="A5042" s="6" t="s">
        <v>569</v>
      </c>
    </row>
    <row r="5043" customFormat="false" ht="17.15" hidden="false" customHeight="false" outlineLevel="0" collapsed="false">
      <c r="A5043" s="4" t="s">
        <v>570</v>
      </c>
      <c r="B5043" s="0" t="s">
        <v>120</v>
      </c>
      <c r="C5043" s="19" t="n">
        <f aca="false">capex25</f>
        <v>5.5</v>
      </c>
      <c r="D5043" s="19" t="n">
        <f aca="false">capex26</f>
        <v>11.5</v>
      </c>
      <c r="E5043" s="19" t="n">
        <f aca="false">capex27</f>
        <v>13</v>
      </c>
      <c r="F5043" s="19" t="n">
        <f aca="false">capi*F5038/F5031</f>
        <v>10.7799053168219</v>
      </c>
      <c r="G5043" s="19" t="n">
        <f aca="false">capi*G5038/G5031</f>
        <v>12.0714877478458</v>
      </c>
      <c r="K5043" s="8" t="s">
        <v>571</v>
      </c>
    </row>
    <row r="5044" customFormat="false" ht="15" hidden="false" customHeight="false" outlineLevel="0" collapsed="false">
      <c r="A5044" s="4" t="s">
        <v>572</v>
      </c>
      <c r="B5044" s="0" t="s">
        <v>234</v>
      </c>
      <c r="C5044" s="30" t="n">
        <f aca="false">C5043*C5031</f>
        <v>170.5</v>
      </c>
      <c r="D5044" s="30" t="n">
        <f aca="false">D5043*31.9</f>
        <v>366.85</v>
      </c>
      <c r="E5044" s="30" t="n">
        <f aca="false">E5043*E5031</f>
        <v>416</v>
      </c>
      <c r="F5044" s="30" t="n">
        <f aca="false">F5043*F5031</f>
        <v>344.956970138302</v>
      </c>
      <c r="G5044" s="30" t="n">
        <f aca="false">G5043*G5031</f>
        <v>386.287607931066</v>
      </c>
    </row>
    <row r="5045" customFormat="false" ht="17.15" hidden="false" customHeight="false" outlineLevel="0" collapsed="false">
      <c r="A5045" s="4" t="s">
        <v>473</v>
      </c>
      <c r="B5045" s="0" t="s">
        <v>76</v>
      </c>
      <c r="C5045" s="21" t="n">
        <f aca="false">C5044/C5038</f>
        <v>0.264182166386732</v>
      </c>
      <c r="D5045" s="21" t="n">
        <f aca="false">D5044/D5038</f>
        <v>0.421101639775745</v>
      </c>
      <c r="E5045" s="21" t="n">
        <f aca="false">E5044/E5038</f>
        <v>0.380303489127861</v>
      </c>
      <c r="F5045" s="21" t="n">
        <f aca="false">F5044/F5038</f>
        <v>0.3</v>
      </c>
      <c r="G5045" s="21" t="n">
        <f aca="false">G5044/G5038</f>
        <v>0.3</v>
      </c>
    </row>
    <row r="5046" customFormat="false" ht="17.15" hidden="false" customHeight="false" outlineLevel="0" collapsed="false">
      <c r="A5046" s="4" t="s">
        <v>573</v>
      </c>
      <c r="B5046" s="0" t="s">
        <v>234</v>
      </c>
      <c r="C5046" s="30" t="n">
        <f aca="false">a25_da</f>
        <v>75.255</v>
      </c>
      <c r="D5046" s="30" t="n">
        <f aca="false">a26_da</f>
        <v>97.124</v>
      </c>
      <c r="E5046" s="30" t="n">
        <f aca="false">D5046*(1-1/life)+D5044/life</f>
        <v>130.83975</v>
      </c>
      <c r="F5046" s="30" t="n">
        <f aca="false">E5046*(1-1/life)+E5044/life</f>
        <v>166.48478125</v>
      </c>
      <c r="G5046" s="30" t="n">
        <f aca="false">F5046*(1-1/life)+F5044/life</f>
        <v>188.793804861038</v>
      </c>
      <c r="K5046" s="4" t="s">
        <v>574</v>
      </c>
    </row>
    <row r="5047" customFormat="false" ht="17.15" hidden="false" customHeight="false" outlineLevel="0" collapsed="false">
      <c r="A5047" s="4" t="s">
        <v>575</v>
      </c>
      <c r="B5047" s="0" t="s">
        <v>234</v>
      </c>
      <c r="C5047" s="30" t="n">
        <f aca="false">a25_agp</f>
        <v>91.38</v>
      </c>
      <c r="D5047" s="30" t="n">
        <f aca="false">a26_agp</f>
        <v>164.623388</v>
      </c>
      <c r="E5047" s="30" t="n">
        <f aca="false">$D5047+ft*(E5035-$D5035)-(E5046-$D5046)</f>
        <v>226.929987611095</v>
      </c>
      <c r="F5047" s="30" t="n">
        <f aca="false">$D5047+ft*(F5035-$D5035)-(F5046-$D5046)</f>
        <v>210.731782501703</v>
      </c>
      <c r="G5047" s="30" t="n">
        <f aca="false">$D5047+ft*(G5035-$D5035)-(G5046-$D5046)</f>
        <v>248.473271414335</v>
      </c>
      <c r="K5047" s="4" t="s">
        <v>576</v>
      </c>
    </row>
    <row r="5048" customFormat="false" ht="15" hidden="false" customHeight="false" outlineLevel="0" collapsed="false">
      <c r="A5048" s="4" t="s">
        <v>447</v>
      </c>
      <c r="B5048" s="0" t="s">
        <v>76</v>
      </c>
      <c r="C5048" s="14" t="n">
        <f aca="false">C5047/C5035</f>
        <v>0.234772421305764</v>
      </c>
      <c r="D5048" s="14" t="n">
        <f aca="false">D5047/D5035</f>
        <v>0.294112034690999</v>
      </c>
      <c r="E5048" s="14" t="n">
        <f aca="false">E5047/E5035</f>
        <v>0.301858957842147</v>
      </c>
      <c r="F5048" s="14" t="n">
        <f aca="false">F5047/F5035</f>
        <v>0.26652354150296</v>
      </c>
      <c r="G5048" s="14" t="n">
        <f aca="false">G5047/G5035</f>
        <v>0.272816832941818</v>
      </c>
    </row>
    <row r="5049" customFormat="false" ht="17.15" hidden="false" customHeight="false" outlineLevel="0" collapsed="false">
      <c r="A5049" s="0" t="s">
        <v>449</v>
      </c>
      <c r="B5049" s="0" t="s">
        <v>234</v>
      </c>
      <c r="C5049" s="30" t="n">
        <f aca="false">a25_egp</f>
        <v>23.695</v>
      </c>
      <c r="D5049" s="30" t="n">
        <f aca="false">a26_egp</f>
        <v>27.00552</v>
      </c>
      <c r="E5049" s="30" t="n">
        <f aca="false">E5036*ems_gm</f>
        <v>29.415287</v>
      </c>
      <c r="F5049" s="30" t="n">
        <f aca="false">F5036*ems_gm</f>
        <v>30.88605135</v>
      </c>
      <c r="G5049" s="30" t="n">
        <f aca="false">G5036*ems_gm</f>
        <v>32.4303539175</v>
      </c>
    </row>
    <row r="5050" customFormat="false" ht="15" hidden="false" customHeight="false" outlineLevel="0" collapsed="false">
      <c r="A5050" s="4" t="s">
        <v>577</v>
      </c>
      <c r="B5050" s="0" t="s">
        <v>234</v>
      </c>
      <c r="C5050" s="30" t="n">
        <f aca="false">a25_lgp</f>
        <v>-0.881999999999998</v>
      </c>
      <c r="D5050" s="30" t="n">
        <f aca="false">a26_lgp</f>
        <v>-0.948662139013863</v>
      </c>
      <c r="E5050" s="30" t="n">
        <f aca="false">$D5050/$D5037*E5037</f>
        <v>-1.19116794604716</v>
      </c>
      <c r="F5050" s="30" t="n">
        <f aca="false">$D5050/$D5037*F5037</f>
        <v>-1.25214218525664</v>
      </c>
      <c r="G5050" s="30" t="n">
        <f aca="false">$D5050/$D5037*G5037</f>
        <v>-1.40216621608905</v>
      </c>
    </row>
    <row r="5051" customFormat="false" ht="15" hidden="false" customHeight="false" outlineLevel="0" collapsed="false">
      <c r="A5051" s="4" t="s">
        <v>451</v>
      </c>
      <c r="B5051" s="0" t="s">
        <v>234</v>
      </c>
      <c r="C5051" s="30" t="n">
        <f aca="false">C5047+C5049+C5050</f>
        <v>114.193</v>
      </c>
      <c r="D5051" s="30" t="n">
        <f aca="false">D5047+D5049+D5050</f>
        <v>190.680245860986</v>
      </c>
      <c r="E5051" s="30" t="n">
        <f aca="false">E5047+E5049+E5050</f>
        <v>255.154106665048</v>
      </c>
      <c r="F5051" s="30" t="n">
        <f aca="false">F5047+F5049+F5050</f>
        <v>240.365691666447</v>
      </c>
      <c r="G5051" s="30" t="n">
        <f aca="false">G5047+G5049+G5050</f>
        <v>279.501459115746</v>
      </c>
    </row>
    <row r="5052" customFormat="false" ht="15" hidden="false" customHeight="false" outlineLevel="0" collapsed="false">
      <c r="A5052" s="4" t="s">
        <v>452</v>
      </c>
      <c r="B5052" s="0" t="s">
        <v>76</v>
      </c>
      <c r="C5052" s="14" t="n">
        <f aca="false">C5051/C5038</f>
        <v>0.176936974347214</v>
      </c>
      <c r="D5052" s="14" t="n">
        <f aca="false">D5051/D5038</f>
        <v>0.218879008327391</v>
      </c>
      <c r="E5052" s="14" t="n">
        <f aca="false">E5051/E5038</f>
        <v>0.233259608245241</v>
      </c>
      <c r="F5052" s="14" t="n">
        <f aca="false">F5051/F5038</f>
        <v>0.209039717246541</v>
      </c>
      <c r="G5052" s="14" t="n">
        <f aca="false">G5051/G5038</f>
        <v>0.217067376776133</v>
      </c>
    </row>
    <row r="5053" customFormat="false" ht="15" hidden="false" customHeight="false" outlineLevel="0" collapsed="false">
      <c r="A5053" s="4" t="s">
        <v>578</v>
      </c>
      <c r="B5053" s="0" t="s">
        <v>234</v>
      </c>
      <c r="C5053" s="30" t="n">
        <f aca="false">a25_opx</f>
        <v>63.437</v>
      </c>
      <c r="D5053" s="30" t="n">
        <f aca="false">a26_opx</f>
        <v>79.658</v>
      </c>
      <c r="E5053" s="30" t="n">
        <f aca="false">D5053*(1+phi*E5039)</f>
        <v>91.8757496806646</v>
      </c>
      <c r="F5053" s="30" t="n">
        <f aca="false">E5053*(1+phi*F5039)</f>
        <v>94.6975451917859</v>
      </c>
      <c r="G5053" s="30" t="n">
        <f aca="false">F5053*(1+phi*G5039)</f>
        <v>101.505194166584</v>
      </c>
    </row>
    <row r="5054" customFormat="false" ht="15" hidden="false" customHeight="false" outlineLevel="0" collapsed="false">
      <c r="A5054" s="4" t="s">
        <v>455</v>
      </c>
      <c r="B5054" s="0" t="s">
        <v>234</v>
      </c>
      <c r="C5054" s="30" t="n">
        <f aca="false">C5051-C5053</f>
        <v>50.756</v>
      </c>
      <c r="D5054" s="30" t="n">
        <f aca="false">D5051-D5053</f>
        <v>111.022245860986</v>
      </c>
      <c r="E5054" s="30" t="n">
        <f aca="false">E5051-E5053</f>
        <v>163.278356984383</v>
      </c>
      <c r="F5054" s="30" t="n">
        <f aca="false">F5051-F5053</f>
        <v>145.668146474661</v>
      </c>
      <c r="G5054" s="30" t="n">
        <f aca="false">G5051-G5053</f>
        <v>177.996264949162</v>
      </c>
    </row>
    <row r="5055" customFormat="false" ht="15" hidden="false" customHeight="false" outlineLevel="0" collapsed="false">
      <c r="A5055" s="4" t="s">
        <v>537</v>
      </c>
      <c r="B5055" s="0" t="s">
        <v>76</v>
      </c>
      <c r="C5055" s="14" t="n">
        <f aca="false">C5054/C5038</f>
        <v>0.0786441644406156</v>
      </c>
      <c r="D5055" s="14" t="n">
        <f aca="false">D5054/D5038</f>
        <v>0.127440779020437</v>
      </c>
      <c r="E5055" s="14" t="n">
        <f aca="false">E5054/E5038</f>
        <v>0.149267617452465</v>
      </c>
      <c r="F5055" s="14" t="n">
        <f aca="false">F5054/F5038</f>
        <v>0.126683753990759</v>
      </c>
      <c r="G5055" s="14" t="n">
        <f aca="false">G5054/G5038</f>
        <v>0.138236066569026</v>
      </c>
    </row>
    <row r="5056" customFormat="false" ht="15" hidden="false" customHeight="false" outlineLevel="0" collapsed="false">
      <c r="A5056" s="4" t="s">
        <v>456</v>
      </c>
      <c r="B5056" s="0" t="s">
        <v>234</v>
      </c>
      <c r="C5056" s="30" t="n">
        <f aca="false">a25_nonop</f>
        <v>0.545</v>
      </c>
      <c r="D5056" s="30" t="n">
        <f aca="false">a26_nonop</f>
        <v>4.302</v>
      </c>
      <c r="E5056" s="30" t="n">
        <f aca="false">nonop_f</f>
        <v>-5</v>
      </c>
      <c r="F5056" s="30" t="n">
        <f aca="false">nonop_f</f>
        <v>-5</v>
      </c>
      <c r="G5056" s="30" t="n">
        <f aca="false">nonop_f</f>
        <v>-5</v>
      </c>
    </row>
    <row r="5057" customFormat="false" ht="15" hidden="false" customHeight="false" outlineLevel="0" collapsed="false">
      <c r="A5057" s="4" t="s">
        <v>459</v>
      </c>
      <c r="B5057" s="0" t="s">
        <v>234</v>
      </c>
      <c r="C5057" s="30" t="n">
        <f aca="false">C5054+C5056</f>
        <v>51.301</v>
      </c>
      <c r="D5057" s="30" t="n">
        <f aca="false">D5054+D5056</f>
        <v>115.324245860986</v>
      </c>
      <c r="E5057" s="30" t="n">
        <f aca="false">E5054+E5056</f>
        <v>158.278356984383</v>
      </c>
      <c r="F5057" s="30" t="n">
        <f aca="false">F5054+F5056</f>
        <v>140.668146474661</v>
      </c>
      <c r="G5057" s="30" t="n">
        <f aca="false">G5054+G5056</f>
        <v>172.996264949162</v>
      </c>
    </row>
    <row r="5058" customFormat="false" ht="15" hidden="false" customHeight="false" outlineLevel="0" collapsed="false">
      <c r="A5058" s="4" t="s">
        <v>460</v>
      </c>
      <c r="B5058" s="0" t="s">
        <v>234</v>
      </c>
      <c r="C5058" s="30" t="n">
        <f aca="false">a25_tax</f>
        <v>9.461</v>
      </c>
      <c r="D5058" s="30" t="n">
        <f aca="false">a26_tax</f>
        <v>19.2197317963676</v>
      </c>
      <c r="E5058" s="30" t="n">
        <f aca="false">E5057*tax_hi</f>
        <v>31.6556713968767</v>
      </c>
      <c r="F5058" s="30" t="n">
        <f aca="false">F5057*tax_hi</f>
        <v>28.1336292949322</v>
      </c>
      <c r="G5058" s="30" t="n">
        <f aca="false">G5057*tax_hi</f>
        <v>34.5992529898324</v>
      </c>
    </row>
    <row r="5059" customFormat="false" ht="15" hidden="false" customHeight="false" outlineLevel="0" collapsed="false">
      <c r="A5059" s="4" t="s">
        <v>461</v>
      </c>
      <c r="B5059" s="0" t="s">
        <v>234</v>
      </c>
      <c r="C5059" s="30" t="n">
        <f aca="false">a25_nci</f>
        <v>1.182</v>
      </c>
      <c r="D5059" s="30" t="n">
        <f aca="false">a26_nci</f>
        <v>2.543</v>
      </c>
      <c r="E5059" s="30" t="n">
        <f aca="false">nci</f>
        <v>3</v>
      </c>
      <c r="F5059" s="30" t="n">
        <f aca="false">nci</f>
        <v>3</v>
      </c>
      <c r="G5059" s="30" t="n">
        <f aca="false">nci</f>
        <v>3</v>
      </c>
    </row>
    <row r="5060" customFormat="false" ht="15" hidden="false" customHeight="false" outlineLevel="0" collapsed="false">
      <c r="A5060" s="4" t="s">
        <v>462</v>
      </c>
      <c r="B5060" s="0" t="s">
        <v>234</v>
      </c>
      <c r="C5060" s="30" t="n">
        <f aca="false">C5057-C5058-C5059</f>
        <v>40.658</v>
      </c>
      <c r="D5060" s="30" t="n">
        <f aca="false">D5057-D5058-D5059</f>
        <v>93.5615140646185</v>
      </c>
      <c r="E5060" s="30" t="n">
        <f aca="false">E5057-E5058-E5059</f>
        <v>123.622685587507</v>
      </c>
      <c r="F5060" s="30" t="n">
        <f aca="false">F5057-F5058-F5059</f>
        <v>109.534517179729</v>
      </c>
      <c r="G5060" s="30" t="n">
        <f aca="false">G5057-G5058-G5059</f>
        <v>135.39701195933</v>
      </c>
      <c r="H5060" s="31" t="n">
        <f aca="false">H5038*H5064</f>
        <v>144.785448748338</v>
      </c>
      <c r="I5060" s="31" t="n">
        <f aca="false">I5038*I5064</f>
        <v>150.981757226571</v>
      </c>
      <c r="J5060" s="31" t="n">
        <f aca="false">J5038*J5064</f>
        <v>153.436071648244</v>
      </c>
    </row>
    <row r="5061" customFormat="false" ht="15" hidden="false" customHeight="false" outlineLevel="0" collapsed="false">
      <c r="A5061" s="4" t="s">
        <v>579</v>
      </c>
      <c r="B5061" s="4" t="s">
        <v>580</v>
      </c>
      <c r="C5061" s="18" t="n">
        <f aca="false">a25_sh</f>
        <v>4339.16755602988</v>
      </c>
      <c r="D5061" s="18" t="n">
        <f aca="false">a26_sh</f>
        <v>4392.90105184664</v>
      </c>
      <c r="E5061" s="18" t="n">
        <f aca="false">D5061*(1+sh_g)</f>
        <v>4414.86555710588</v>
      </c>
      <c r="F5061" s="18" t="n">
        <f aca="false">E5061*(1+sh_g)</f>
        <v>4436.9398848914</v>
      </c>
      <c r="G5061" s="18" t="n">
        <f aca="false">F5061*(1+sh_g)</f>
        <v>4459.12458431586</v>
      </c>
      <c r="H5061" s="25" t="n">
        <f aca="false">G5061*(1+sh_g)</f>
        <v>4481.42020723744</v>
      </c>
      <c r="I5061" s="25" t="n">
        <f aca="false">H5061*(1+sh_g)</f>
        <v>4503.82730827363</v>
      </c>
      <c r="J5061" s="25" t="n">
        <f aca="false">I5061*(1+sh_g)</f>
        <v>4526.34644481499</v>
      </c>
    </row>
    <row r="5062" customFormat="false" ht="17.15" hidden="false" customHeight="false" outlineLevel="0" collapsed="false">
      <c r="A5062" s="0" t="s">
        <v>465</v>
      </c>
      <c r="B5062" s="0" t="s">
        <v>304</v>
      </c>
      <c r="C5062" s="19" t="n">
        <f aca="false">a25_eps</f>
        <v>9.37</v>
      </c>
      <c r="D5062" s="19" t="n">
        <f aca="false">a26_eps</f>
        <v>21.2828697294455</v>
      </c>
      <c r="E5062" s="19" t="n">
        <f aca="false">E5060/E5061*1000</f>
        <v>28.0014609705457</v>
      </c>
      <c r="F5062" s="19" t="n">
        <f aca="false">F5060/F5061*1000</f>
        <v>24.6869509214479</v>
      </c>
      <c r="G5062" s="19" t="n">
        <f aca="false">G5060/G5061*1000</f>
        <v>30.364034329869</v>
      </c>
      <c r="H5062" s="28" t="n">
        <f aca="false">H5060/H5061*1000</f>
        <v>32.3079385669996</v>
      </c>
      <c r="I5062" s="28" t="n">
        <f aca="false">I5060/I5061*1000</f>
        <v>33.5229898689088</v>
      </c>
      <c r="J5062" s="28" t="n">
        <f aca="false">J5060/J5061*1000</f>
        <v>33.8984374083887</v>
      </c>
    </row>
    <row r="5063" customFormat="false" ht="17.15" hidden="false" customHeight="false" outlineLevel="0" collapsed="false">
      <c r="A5063" s="0" t="s">
        <v>581</v>
      </c>
      <c r="B5063" s="0" t="s">
        <v>76</v>
      </c>
      <c r="D5063" s="21" t="n">
        <f aca="false">D5062/C5062-1</f>
        <v>1.27138417603474</v>
      </c>
      <c r="E5063" s="21" t="n">
        <f aca="false">E5062/D5062-1</f>
        <v>0.315680701263928</v>
      </c>
      <c r="F5063" s="21" t="n">
        <f aca="false">F5062/E5062-1</f>
        <v>-0.118369182686015</v>
      </c>
      <c r="G5063" s="21" t="n">
        <f aca="false">G5062/F5062-1</f>
        <v>0.229962923590087</v>
      </c>
      <c r="H5063" s="26" t="n">
        <f aca="false">H5062/G5062-1</f>
        <v>0.0640199591402237</v>
      </c>
      <c r="I5063" s="26" t="n">
        <f aca="false">I5062/H5062-1</f>
        <v>0.0376084441100883</v>
      </c>
      <c r="J5063" s="26" t="n">
        <f aca="false">J5062/I5062-1</f>
        <v>0.0111997032767108</v>
      </c>
    </row>
    <row r="5064" customFormat="false" ht="17.15" hidden="false" customHeight="false" outlineLevel="0" collapsed="false">
      <c r="A5064" s="4" t="s">
        <v>582</v>
      </c>
      <c r="B5064" s="0" t="s">
        <v>76</v>
      </c>
      <c r="C5064" s="14" t="n">
        <f aca="false">C5060/C5038</f>
        <v>0.0629977625862272</v>
      </c>
      <c r="D5064" s="14" t="n">
        <f aca="false">D5060/D5038</f>
        <v>0.107397865592237</v>
      </c>
      <c r="E5064" s="14" t="n">
        <f aca="false">E5060/E5038</f>
        <v>0.113014756404532</v>
      </c>
      <c r="F5064" s="14" t="n">
        <f aca="false">F5060/F5038</f>
        <v>0.0952592873851602</v>
      </c>
      <c r="G5064" s="14" t="n">
        <f aca="false">G5060/G5038</f>
        <v>0.105152489372756</v>
      </c>
      <c r="H5064" s="27" t="n">
        <f aca="false">$G5064+(fade_mB-$G5064)*1/3</f>
        <v>0.102856582939256</v>
      </c>
      <c r="I5064" s="27" t="n">
        <f aca="false">$G5064+(fade_mB-$G5064)*2/3</f>
        <v>0.100560676505755</v>
      </c>
      <c r="J5064" s="27" t="n">
        <f aca="false">$G5064+(fade_mB-$G5064)*3/3</f>
        <v>0.0982647700722541</v>
      </c>
    </row>
    <row r="5065" customFormat="false" ht="17.15" hidden="false" customHeight="false" outlineLevel="0" collapsed="false">
      <c r="A5065" s="4" t="s">
        <v>583</v>
      </c>
      <c r="B5065" s="0" t="s">
        <v>234</v>
      </c>
      <c r="C5065" s="30" t="n">
        <f aca="false">C5060+C5046-C5044</f>
        <v>-54.587</v>
      </c>
      <c r="D5065" s="30" t="n">
        <f aca="false">D5060+D5046-D5044</f>
        <v>-176.164485935382</v>
      </c>
      <c r="E5065" s="30" t="n">
        <f aca="false">E5060+E5046-E5044</f>
        <v>-161.537564412493</v>
      </c>
      <c r="F5065" s="30" t="n">
        <f aca="false">F5060+F5046-F5044</f>
        <v>-68.9376717085731</v>
      </c>
      <c r="G5065" s="30" t="n">
        <f aca="false">G5060+G5046-G5044</f>
        <v>-62.0967911106986</v>
      </c>
      <c r="K5065" s="4" t="s">
        <v>584</v>
      </c>
    </row>
    <row r="5066" customFormat="false" ht="17.15" hidden="false" customHeight="false" outlineLevel="0" collapsed="false">
      <c r="A5066" s="4" t="s">
        <v>585</v>
      </c>
      <c r="B5066" s="0" t="s">
        <v>76</v>
      </c>
      <c r="D5066" s="21" t="n">
        <f aca="false">(D5054-$C5054)/SUM($D5044:D5044)</f>
        <v>0.164280348537512</v>
      </c>
      <c r="E5066" s="21" t="n">
        <f aca="false">(E5054-$C5054)/SUM($D5044:E5044)</f>
        <v>0.143734249197654</v>
      </c>
      <c r="F5066" s="21" t="n">
        <f aca="false">(F5054-$C5054)/SUM($D5044:F5044)</f>
        <v>0.0841563751490398</v>
      </c>
      <c r="G5066" s="21" t="n">
        <f aca="false">(G5054-$C5054)/SUM($D5044:G5044)</f>
        <v>0.0840371974063913</v>
      </c>
      <c r="K5066" s="4" t="s">
        <v>586</v>
      </c>
    </row>
    <row r="5069" customFormat="false" ht="17.15" hidden="false" customHeight="false" outlineLevel="0" collapsed="false">
      <c r="A5069" s="1" t="s">
        <v>1017</v>
      </c>
    </row>
    <row r="5070" customFormat="false" ht="17.15" hidden="false" customHeight="false" outlineLevel="0" collapsed="false">
      <c r="A5070" s="5" t="s">
        <v>21</v>
      </c>
      <c r="B5070" s="5" t="s">
        <v>22</v>
      </c>
      <c r="C5070" s="15" t="s">
        <v>424</v>
      </c>
      <c r="D5070" s="15" t="s">
        <v>524</v>
      </c>
      <c r="E5070" s="15" t="s">
        <v>525</v>
      </c>
      <c r="F5070" s="15" t="s">
        <v>526</v>
      </c>
      <c r="G5070" s="15" t="s">
        <v>527</v>
      </c>
      <c r="H5070" s="15" t="s">
        <v>528</v>
      </c>
      <c r="I5070" s="15" t="s">
        <v>529</v>
      </c>
      <c r="J5070" s="15" t="s">
        <v>530</v>
      </c>
      <c r="K5070" s="5" t="s">
        <v>382</v>
      </c>
    </row>
    <row r="5071" customFormat="false" ht="17.15" hidden="false" customHeight="false" outlineLevel="0" collapsed="false">
      <c r="A5071" s="6" t="s">
        <v>548</v>
      </c>
    </row>
    <row r="5072" customFormat="false" ht="17.15" hidden="false" customHeight="false" outlineLevel="0" collapsed="false">
      <c r="A5072" s="0" t="s">
        <v>549</v>
      </c>
      <c r="B5072" s="4" t="s">
        <v>32</v>
      </c>
      <c r="D5072" s="19" t="n">
        <f aca="false">units_26</f>
        <v>15.2</v>
      </c>
      <c r="E5072" s="19" t="n">
        <f aca="false">units_27*1</f>
        <v>23.7</v>
      </c>
      <c r="F5072" s="19" t="n">
        <f aca="false">units_28*um28_C*1</f>
        <v>15.9</v>
      </c>
      <c r="G5072" s="19" t="n">
        <f aca="false">units_29*um29_C*1</f>
        <v>18.09</v>
      </c>
    </row>
    <row r="5073" customFormat="false" ht="17.15" hidden="false" customHeight="false" outlineLevel="0" collapsed="false">
      <c r="A5073" s="4" t="s">
        <v>497</v>
      </c>
      <c r="B5073" s="0" t="s">
        <v>45</v>
      </c>
      <c r="D5073" s="22" t="n">
        <f aca="false">ar_26</f>
        <v>1</v>
      </c>
      <c r="E5073" s="22" t="n">
        <f aca="false">ar_27</f>
        <v>1.278156</v>
      </c>
      <c r="F5073" s="22" t="n">
        <f aca="false">ar_28</f>
        <v>1.428615</v>
      </c>
      <c r="G5073" s="22" t="n">
        <f aca="false">ar_29</f>
        <v>1.431796</v>
      </c>
    </row>
    <row r="5074" customFormat="false" ht="17.15" hidden="false" customHeight="false" outlineLevel="0" collapsed="false">
      <c r="A5074" s="4" t="s">
        <v>550</v>
      </c>
      <c r="B5074" s="0" t="s">
        <v>45</v>
      </c>
      <c r="D5074" s="19" t="n">
        <f aca="false">1</f>
        <v>1</v>
      </c>
      <c r="E5074" s="19" t="n">
        <f aca="false">rel27_C</f>
        <v>1</v>
      </c>
      <c r="F5074" s="19" t="n">
        <f aca="false">rel28_C</f>
        <v>0.95</v>
      </c>
      <c r="G5074" s="19" t="n">
        <f aca="false">rel29_C</f>
        <v>0.92</v>
      </c>
    </row>
    <row r="5075" customFormat="false" ht="17.15" hidden="false" customHeight="false" outlineLevel="0" collapsed="false">
      <c r="A5075" s="4" t="s">
        <v>551</v>
      </c>
      <c r="B5075" s="0" t="s">
        <v>502</v>
      </c>
      <c r="D5075" s="23" t="n">
        <f aca="false">D5076*1000/D5072</f>
        <v>236.842105263158</v>
      </c>
      <c r="E5075" s="23" t="n">
        <f aca="false">$D5075*E5073^el</f>
        <v>267.763172119488</v>
      </c>
      <c r="F5075" s="23" t="n">
        <f aca="false">$D5075*F5073^el</f>
        <v>283.084777049615</v>
      </c>
      <c r="G5075" s="23" t="n">
        <f aca="false">$D5075*G5073^el</f>
        <v>283.399764630809</v>
      </c>
      <c r="K5075" s="8" t="s">
        <v>552</v>
      </c>
    </row>
    <row r="5076" customFormat="false" ht="17.15" hidden="false" customHeight="false" outlineLevel="0" collapsed="false">
      <c r="A5076" s="0" t="s">
        <v>553</v>
      </c>
      <c r="B5076" s="0" t="s">
        <v>120</v>
      </c>
      <c r="D5076" s="22" t="n">
        <f aca="false">leap26-D5077-D5078</f>
        <v>3.6</v>
      </c>
      <c r="E5076" s="22" t="n">
        <f aca="false">E5072*E5074*E5075/1000</f>
        <v>6.34598717923185</v>
      </c>
      <c r="F5076" s="22" t="n">
        <f aca="false">F5072*F5074*F5075/1000</f>
        <v>4.27599555733443</v>
      </c>
      <c r="G5076" s="22" t="n">
        <f aca="false">G5072*G5074*G5075/1000</f>
        <v>4.71656560279762</v>
      </c>
      <c r="K5076" s="8" t="s">
        <v>554</v>
      </c>
    </row>
    <row r="5077" customFormat="false" ht="17.15" hidden="false" customHeight="false" outlineLevel="0" collapsed="false">
      <c r="A5077" s="4" t="s">
        <v>555</v>
      </c>
      <c r="B5077" s="0" t="s">
        <v>120</v>
      </c>
      <c r="D5077" s="22" t="n">
        <f aca="false">fp26</f>
        <v>0.3</v>
      </c>
      <c r="E5077" s="22" t="n">
        <f aca="false">fp27_C</f>
        <v>0.7</v>
      </c>
      <c r="F5077" s="22" t="n">
        <f aca="false">E5077*F5072/E5072*(1+fp_g)</f>
        <v>0.610506329113924</v>
      </c>
      <c r="G5077" s="22" t="n">
        <f aca="false">F5077*G5072/F5072*(1+fp_g)</f>
        <v>0.902973417721519</v>
      </c>
    </row>
    <row r="5078" customFormat="false" ht="17.15" hidden="false" customHeight="false" outlineLevel="0" collapsed="false">
      <c r="A5078" s="0" t="s">
        <v>556</v>
      </c>
      <c r="B5078" s="0" t="s">
        <v>120</v>
      </c>
      <c r="D5078" s="22" t="n">
        <f aca="false">cpo27*cpo_C_26/cpo_A_27</f>
        <v>0.1</v>
      </c>
      <c r="E5078" s="22" t="n">
        <f aca="false">cpo27*cpo_C_27/cpo_A_27</f>
        <v>0.2</v>
      </c>
      <c r="F5078" s="22" t="n">
        <f aca="false">cpo27*cpo_C_28/cpo_A_27*F5072/E5072</f>
        <v>0.20126582278481</v>
      </c>
      <c r="G5078" s="22" t="n">
        <f aca="false">cpo27*cpo_C_29/cpo_A_27*G5072/E5072</f>
        <v>0.381645569620253</v>
      </c>
      <c r="K5078" s="8" t="s">
        <v>557</v>
      </c>
    </row>
    <row r="5079" customFormat="false" ht="17.15" hidden="false" customHeight="false" outlineLevel="0" collapsed="false">
      <c r="A5079" s="0" t="s">
        <v>510</v>
      </c>
      <c r="B5079" s="0" t="s">
        <v>120</v>
      </c>
      <c r="C5079" s="22" t="n">
        <f aca="false">leap25</f>
        <v>1.6</v>
      </c>
      <c r="D5079" s="22" t="n">
        <f aca="false">D5076+D5077+D5078</f>
        <v>4</v>
      </c>
      <c r="E5079" s="22" t="n">
        <f aca="false">E5076+E5077+E5078</f>
        <v>7.24598717923186</v>
      </c>
      <c r="F5079" s="22" t="n">
        <f aca="false">F5076+F5077+F5078</f>
        <v>5.08776770923316</v>
      </c>
      <c r="G5079" s="22" t="n">
        <f aca="false">G5076+G5077+G5078</f>
        <v>6.0011845901394</v>
      </c>
    </row>
    <row r="5080" customFormat="false" ht="17.15" hidden="false" customHeight="false" outlineLevel="0" collapsed="false">
      <c r="A5080" s="4" t="s">
        <v>558</v>
      </c>
      <c r="B5080" s="0" t="s">
        <v>114</v>
      </c>
      <c r="C5080" s="19" t="n">
        <f aca="false">fx25</f>
        <v>31</v>
      </c>
      <c r="D5080" s="19" t="n">
        <f aca="false">a26_leap/D5079</f>
        <v>31.9</v>
      </c>
      <c r="E5080" s="19" t="n">
        <f aca="false">fx</f>
        <v>32</v>
      </c>
      <c r="F5080" s="19" t="n">
        <f aca="false">fx</f>
        <v>32</v>
      </c>
      <c r="G5080" s="19" t="n">
        <f aca="false">fx</f>
        <v>32</v>
      </c>
      <c r="K5080" s="8" t="s">
        <v>559</v>
      </c>
    </row>
    <row r="5081" customFormat="false" ht="17.15" hidden="false" customHeight="false" outlineLevel="0" collapsed="false">
      <c r="A5081" s="6" t="s">
        <v>560</v>
      </c>
    </row>
    <row r="5082" customFormat="false" ht="17.15" hidden="false" customHeight="false" outlineLevel="0" collapsed="false">
      <c r="A5082" s="0" t="s">
        <v>438</v>
      </c>
      <c r="B5082" s="0" t="s">
        <v>234</v>
      </c>
      <c r="C5082" s="30" t="n">
        <f aca="false">a25_leap</f>
        <v>49.6</v>
      </c>
      <c r="D5082" s="30" t="n">
        <f aca="false">a26_leap</f>
        <v>127.6</v>
      </c>
      <c r="E5082" s="30" t="n">
        <f aca="false">E5079*E5080</f>
        <v>231.871589735419</v>
      </c>
      <c r="F5082" s="30" t="n">
        <f aca="false">F5079*F5080</f>
        <v>162.808566695461</v>
      </c>
      <c r="G5082" s="30" t="n">
        <f aca="false">G5079*G5080</f>
        <v>192.037906884461</v>
      </c>
    </row>
    <row r="5083" customFormat="false" ht="15" hidden="false" customHeight="false" outlineLevel="0" collapsed="false">
      <c r="A5083" s="4" t="s">
        <v>561</v>
      </c>
      <c r="B5083" s="0" t="s">
        <v>234</v>
      </c>
      <c r="C5083" s="30" t="n">
        <f aca="false">a25_ms</f>
        <v>339.628</v>
      </c>
      <c r="D5083" s="30" t="n">
        <f aca="false">a26_ms</f>
        <v>432.1302</v>
      </c>
      <c r="E5083" s="30" t="n">
        <f aca="false">D5083*(1+g_ms27)</f>
        <v>496.94973</v>
      </c>
      <c r="F5083" s="30" t="n">
        <f aca="false">E5083*(1+g_msL)</f>
        <v>531.7362111</v>
      </c>
      <c r="G5083" s="30" t="n">
        <f aca="false">F5083*(1+g_msL)</f>
        <v>568.957745877</v>
      </c>
    </row>
    <row r="5084" customFormat="false" ht="17.15" hidden="false" customHeight="false" outlineLevel="0" collapsed="false">
      <c r="A5084" s="4" t="s">
        <v>562</v>
      </c>
      <c r="B5084" s="0" t="s">
        <v>234</v>
      </c>
      <c r="C5084" s="30" t="n">
        <f aca="false">C5082+C5083</f>
        <v>389.228</v>
      </c>
      <c r="D5084" s="30" t="n">
        <f aca="false">D5082+D5083</f>
        <v>559.7302</v>
      </c>
      <c r="E5084" s="30" t="n">
        <f aca="false">E5082+E5083</f>
        <v>728.821319735419</v>
      </c>
      <c r="F5084" s="30" t="n">
        <f aca="false">F5082+F5083</f>
        <v>694.544777795461</v>
      </c>
      <c r="G5084" s="30" t="n">
        <f aca="false">G5082+G5083</f>
        <v>760.995652761461</v>
      </c>
    </row>
    <row r="5085" customFormat="false" ht="17.15" hidden="false" customHeight="false" outlineLevel="0" collapsed="false">
      <c r="A5085" s="0" t="s">
        <v>563</v>
      </c>
      <c r="B5085" s="0" t="s">
        <v>234</v>
      </c>
      <c r="C5085" s="30" t="n">
        <f aca="false">a25_ems</f>
        <v>259.079</v>
      </c>
      <c r="D5085" s="30" t="n">
        <f aca="false">a26_ems</f>
        <v>314.602</v>
      </c>
      <c r="E5085" s="30" t="n">
        <f aca="false">D5085*(1+g_ems27)</f>
        <v>346.0622</v>
      </c>
      <c r="F5085" s="30" t="n">
        <f aca="false">E5085*(1+g_emsL)</f>
        <v>363.36531</v>
      </c>
      <c r="G5085" s="30" t="n">
        <f aca="false">F5085*(1+g_emsL)</f>
        <v>381.5335755</v>
      </c>
    </row>
    <row r="5086" customFormat="false" ht="17.15" hidden="false" customHeight="false" outlineLevel="0" collapsed="false">
      <c r="A5086" s="4" t="s">
        <v>564</v>
      </c>
      <c r="B5086" s="0" t="s">
        <v>234</v>
      </c>
      <c r="C5086" s="30" t="n">
        <f aca="false">a25_elim</f>
        <v>-2.91899999999998</v>
      </c>
      <c r="D5086" s="30" t="n">
        <f aca="false">a26_elim</f>
        <v>-3.16484905982349</v>
      </c>
      <c r="E5086" s="30" t="n">
        <f aca="false">$D5086/($D5084+$D5085)*(E5084+E5085)</f>
        <v>-3.89079127687897</v>
      </c>
      <c r="F5086" s="30" t="n">
        <f aca="false">$D5086/($D5084+$D5085)*(F5084+F5085)</f>
        <v>-3.8293519862785</v>
      </c>
      <c r="G5086" s="30" t="n">
        <f aca="false">$D5086/($D5084+$D5085)*(G5084+G5085)</f>
        <v>-4.135650675892</v>
      </c>
      <c r="K5086" s="4" t="s">
        <v>565</v>
      </c>
    </row>
    <row r="5087" customFormat="false" ht="17.15" hidden="false" customHeight="false" outlineLevel="0" collapsed="false">
      <c r="A5087" s="4" t="s">
        <v>431</v>
      </c>
      <c r="B5087" s="0" t="s">
        <v>234</v>
      </c>
      <c r="C5087" s="30" t="n">
        <f aca="false">C5084+C5085+C5086</f>
        <v>645.388</v>
      </c>
      <c r="D5087" s="30" t="n">
        <f aca="false">D5084+D5085+D5086</f>
        <v>871.167350940177</v>
      </c>
      <c r="E5087" s="30" t="n">
        <f aca="false">E5084+E5085+E5086</f>
        <v>1070.99272845854</v>
      </c>
      <c r="F5087" s="30" t="n">
        <f aca="false">F5084+F5085+F5086</f>
        <v>1054.08073580918</v>
      </c>
      <c r="G5087" s="30" t="n">
        <f aca="false">G5084+G5085+G5086</f>
        <v>1138.39357758557</v>
      </c>
      <c r="H5087" s="31" t="n">
        <f aca="false">G5087*(1+H5088)</f>
        <v>1206.68738805437</v>
      </c>
      <c r="I5087" s="31" t="n">
        <f aca="false">H5087*(1+I5088)</f>
        <v>1254.9496874</v>
      </c>
      <c r="J5087" s="31" t="n">
        <f aca="false">I5087*(1+J5088)</f>
        <v>1280.048681148</v>
      </c>
      <c r="K5087" s="8" t="s">
        <v>566</v>
      </c>
    </row>
    <row r="5088" customFormat="false" ht="15" hidden="false" customHeight="false" outlineLevel="0" collapsed="false">
      <c r="A5088" s="4" t="s">
        <v>567</v>
      </c>
      <c r="B5088" s="0" t="s">
        <v>76</v>
      </c>
      <c r="D5088" s="21" t="n">
        <f aca="false">D5087/C5087-1</f>
        <v>0.349835061916516</v>
      </c>
      <c r="E5088" s="21" t="n">
        <f aca="false">E5087/D5087-1</f>
        <v>0.229376568466104</v>
      </c>
      <c r="F5088" s="21" t="n">
        <f aca="false">F5087/E5087-1</f>
        <v>-0.0157909500223209</v>
      </c>
      <c r="G5088" s="21" t="n">
        <f aca="false">G5087/F5087-1</f>
        <v>0.079987081550885</v>
      </c>
      <c r="H5088" s="26" t="n">
        <f aca="false">$G5088+(fade_gC-$G5088)*1/3</f>
        <v>0.05999138770059</v>
      </c>
      <c r="I5088" s="26" t="n">
        <f aca="false">$G5088+(fade_gC-$G5088)*2/3</f>
        <v>0.039995693850295</v>
      </c>
      <c r="J5088" s="26" t="n">
        <f aca="false">$G5088+(fade_gC-$G5088)*3/3</f>
        <v>0.02</v>
      </c>
    </row>
    <row r="5089" customFormat="false" ht="17.15" hidden="false" customHeight="false" outlineLevel="0" collapsed="false">
      <c r="A5089" s="0" t="s">
        <v>475</v>
      </c>
      <c r="B5089" s="0" t="s">
        <v>76</v>
      </c>
      <c r="C5089" s="21" t="n">
        <f aca="false">C5082/C5084</f>
        <v>0.127431736668482</v>
      </c>
      <c r="D5089" s="21" t="n">
        <f aca="false">D5082/D5084</f>
        <v>0.227966974088588</v>
      </c>
      <c r="E5089" s="21" t="n">
        <f aca="false">E5082/E5084</f>
        <v>0.31814600294568</v>
      </c>
      <c r="F5089" s="21" t="n">
        <f aca="false">F5082/F5084</f>
        <v>0.234410468411019</v>
      </c>
      <c r="G5089" s="21" t="n">
        <f aca="false">G5082/G5084</f>
        <v>0.252350859282315</v>
      </c>
    </row>
    <row r="5090" customFormat="false" ht="15" hidden="false" customHeight="false" outlineLevel="0" collapsed="false">
      <c r="A5090" s="4" t="s">
        <v>568</v>
      </c>
      <c r="B5090" s="0" t="s">
        <v>76</v>
      </c>
      <c r="D5090" s="21" t="n">
        <f aca="false">D5084/C5084-1</f>
        <v>0.438052247012034</v>
      </c>
      <c r="E5090" s="21" t="n">
        <f aca="false">E5084/D5084-1</f>
        <v>0.302093972659362</v>
      </c>
      <c r="F5090" s="21" t="n">
        <f aca="false">F5084/E5084-1</f>
        <v>-0.047030103280186</v>
      </c>
      <c r="G5090" s="21" t="n">
        <f aca="false">G5084/F5084-1</f>
        <v>0.0956754367614998</v>
      </c>
    </row>
    <row r="5091" customFormat="false" ht="17.15" hidden="false" customHeight="false" outlineLevel="0" collapsed="false">
      <c r="A5091" s="6" t="s">
        <v>569</v>
      </c>
    </row>
    <row r="5092" customFormat="false" ht="17.15" hidden="false" customHeight="false" outlineLevel="0" collapsed="false">
      <c r="A5092" s="4" t="s">
        <v>570</v>
      </c>
      <c r="B5092" s="0" t="s">
        <v>120</v>
      </c>
      <c r="C5092" s="19" t="n">
        <f aca="false">capex25</f>
        <v>5.5</v>
      </c>
      <c r="D5092" s="19" t="n">
        <f aca="false">capex26</f>
        <v>11.5</v>
      </c>
      <c r="E5092" s="19" t="n">
        <f aca="false">capex27</f>
        <v>13</v>
      </c>
      <c r="F5092" s="19" t="n">
        <f aca="false">capi*F5087/F5080</f>
        <v>9.88200689821109</v>
      </c>
      <c r="G5092" s="19" t="n">
        <f aca="false">capi*G5087/G5080</f>
        <v>10.6724397898647</v>
      </c>
      <c r="K5092" s="8" t="s">
        <v>571</v>
      </c>
    </row>
    <row r="5093" customFormat="false" ht="15" hidden="false" customHeight="false" outlineLevel="0" collapsed="false">
      <c r="A5093" s="4" t="s">
        <v>572</v>
      </c>
      <c r="B5093" s="0" t="s">
        <v>234</v>
      </c>
      <c r="C5093" s="30" t="n">
        <f aca="false">C5092*C5080</f>
        <v>170.5</v>
      </c>
      <c r="D5093" s="30" t="n">
        <f aca="false">D5092*31.9</f>
        <v>366.85</v>
      </c>
      <c r="E5093" s="30" t="n">
        <f aca="false">E5092*E5080</f>
        <v>416</v>
      </c>
      <c r="F5093" s="30" t="n">
        <f aca="false">F5092*F5080</f>
        <v>316.224220742755</v>
      </c>
      <c r="G5093" s="30" t="n">
        <f aca="false">G5092*G5080</f>
        <v>341.518073275671</v>
      </c>
    </row>
    <row r="5094" customFormat="false" ht="17.15" hidden="false" customHeight="false" outlineLevel="0" collapsed="false">
      <c r="A5094" s="4" t="s">
        <v>473</v>
      </c>
      <c r="B5094" s="0" t="s">
        <v>76</v>
      </c>
      <c r="C5094" s="21" t="n">
        <f aca="false">C5093/C5087</f>
        <v>0.264182166386732</v>
      </c>
      <c r="D5094" s="21" t="n">
        <f aca="false">D5093/D5087</f>
        <v>0.421101639775745</v>
      </c>
      <c r="E5094" s="21" t="n">
        <f aca="false">E5093/E5087</f>
        <v>0.388424672685445</v>
      </c>
      <c r="F5094" s="21" t="n">
        <f aca="false">F5093/F5087</f>
        <v>0.3</v>
      </c>
      <c r="G5094" s="21" t="n">
        <f aca="false">G5093/G5087</f>
        <v>0.3</v>
      </c>
    </row>
    <row r="5095" customFormat="false" ht="17.15" hidden="false" customHeight="false" outlineLevel="0" collapsed="false">
      <c r="A5095" s="4" t="s">
        <v>573</v>
      </c>
      <c r="B5095" s="0" t="s">
        <v>234</v>
      </c>
      <c r="C5095" s="30" t="n">
        <f aca="false">a25_da</f>
        <v>75.255</v>
      </c>
      <c r="D5095" s="30" t="n">
        <f aca="false">a26_da</f>
        <v>97.124</v>
      </c>
      <c r="E5095" s="30" t="n">
        <f aca="false">D5095*(1-1/life)+D5093/life</f>
        <v>130.83975</v>
      </c>
      <c r="F5095" s="30" t="n">
        <f aca="false">E5095*(1-1/life)+E5093/life</f>
        <v>166.48478125</v>
      </c>
      <c r="G5095" s="30" t="n">
        <f aca="false">F5095*(1-1/life)+F5093/life</f>
        <v>185.202211186594</v>
      </c>
      <c r="K5095" s="4" t="s">
        <v>574</v>
      </c>
    </row>
    <row r="5096" customFormat="false" ht="17.15" hidden="false" customHeight="false" outlineLevel="0" collapsed="false">
      <c r="A5096" s="4" t="s">
        <v>575</v>
      </c>
      <c r="B5096" s="0" t="s">
        <v>234</v>
      </c>
      <c r="C5096" s="30" t="n">
        <f aca="false">a25_agp</f>
        <v>91.38</v>
      </c>
      <c r="D5096" s="30" t="n">
        <f aca="false">a26_agp</f>
        <v>164.623388</v>
      </c>
      <c r="E5096" s="30" t="n">
        <f aca="false">$D5096+ft*(E5084-$D5084)-(E5095-$D5095)</f>
        <v>215.45319786771</v>
      </c>
      <c r="F5096" s="30" t="n">
        <f aca="false">$D5096+ft*(F5084-$D5084)-(F5095-$D5095)</f>
        <v>162.669895647731</v>
      </c>
      <c r="G5096" s="30" t="n">
        <f aca="false">$D5096+ft*(G5084-$D5084)-(G5095-$D5095)</f>
        <v>177.177903194136</v>
      </c>
      <c r="K5096" s="4" t="s">
        <v>576</v>
      </c>
    </row>
    <row r="5097" customFormat="false" ht="15" hidden="false" customHeight="false" outlineLevel="0" collapsed="false">
      <c r="A5097" s="4" t="s">
        <v>447</v>
      </c>
      <c r="B5097" s="0" t="s">
        <v>76</v>
      </c>
      <c r="C5097" s="14" t="n">
        <f aca="false">C5096/C5084</f>
        <v>0.234772421305764</v>
      </c>
      <c r="D5097" s="14" t="n">
        <f aca="false">D5096/D5084</f>
        <v>0.294112034690999</v>
      </c>
      <c r="E5097" s="14" t="n">
        <f aca="false">E5096/E5084</f>
        <v>0.295618681882035</v>
      </c>
      <c r="F5097" s="14" t="n">
        <f aca="false">F5096/F5084</f>
        <v>0.234210810948802</v>
      </c>
      <c r="G5097" s="14" t="n">
        <f aca="false">G5096/G5084</f>
        <v>0.232823804644878</v>
      </c>
    </row>
    <row r="5098" customFormat="false" ht="17.15" hidden="false" customHeight="false" outlineLevel="0" collapsed="false">
      <c r="A5098" s="0" t="s">
        <v>449</v>
      </c>
      <c r="B5098" s="0" t="s">
        <v>234</v>
      </c>
      <c r="C5098" s="30" t="n">
        <f aca="false">a25_egp</f>
        <v>23.695</v>
      </c>
      <c r="D5098" s="30" t="n">
        <f aca="false">a26_egp</f>
        <v>27.00552</v>
      </c>
      <c r="E5098" s="30" t="n">
        <f aca="false">E5085*ems_gm</f>
        <v>29.415287</v>
      </c>
      <c r="F5098" s="30" t="n">
        <f aca="false">F5085*ems_gm</f>
        <v>30.88605135</v>
      </c>
      <c r="G5098" s="30" t="n">
        <f aca="false">G5085*ems_gm</f>
        <v>32.4303539175</v>
      </c>
    </row>
    <row r="5099" customFormat="false" ht="15" hidden="false" customHeight="false" outlineLevel="0" collapsed="false">
      <c r="A5099" s="4" t="s">
        <v>577</v>
      </c>
      <c r="B5099" s="0" t="s">
        <v>234</v>
      </c>
      <c r="C5099" s="30" t="n">
        <f aca="false">a25_lgp</f>
        <v>-0.881999999999998</v>
      </c>
      <c r="D5099" s="30" t="n">
        <f aca="false">a26_lgp</f>
        <v>-0.948662139013863</v>
      </c>
      <c r="E5099" s="30" t="n">
        <f aca="false">$D5099/$D5086*E5086</f>
        <v>-1.16626300509458</v>
      </c>
      <c r="F5099" s="30" t="n">
        <f aca="false">$D5099/$D5086*F5086</f>
        <v>-1.14784660426825</v>
      </c>
      <c r="G5099" s="30" t="n">
        <f aca="false">$D5099/$D5086*G5086</f>
        <v>-1.23965950421176</v>
      </c>
    </row>
    <row r="5100" customFormat="false" ht="15" hidden="false" customHeight="false" outlineLevel="0" collapsed="false">
      <c r="A5100" s="4" t="s">
        <v>451</v>
      </c>
      <c r="B5100" s="0" t="s">
        <v>234</v>
      </c>
      <c r="C5100" s="30" t="n">
        <f aca="false">C5096+C5098+C5099</f>
        <v>114.193</v>
      </c>
      <c r="D5100" s="30" t="n">
        <f aca="false">D5096+D5098+D5099</f>
        <v>190.680245860986</v>
      </c>
      <c r="E5100" s="30" t="n">
        <f aca="false">E5096+E5098+E5099</f>
        <v>243.702221862615</v>
      </c>
      <c r="F5100" s="30" t="n">
        <f aca="false">F5096+F5098+F5099</f>
        <v>192.408100393462</v>
      </c>
      <c r="G5100" s="30" t="n">
        <f aca="false">G5096+G5098+G5099</f>
        <v>208.368597607424</v>
      </c>
    </row>
    <row r="5101" customFormat="false" ht="15" hidden="false" customHeight="false" outlineLevel="0" collapsed="false">
      <c r="A5101" s="4" t="s">
        <v>452</v>
      </c>
      <c r="B5101" s="0" t="s">
        <v>76</v>
      </c>
      <c r="C5101" s="14" t="n">
        <f aca="false">C5100/C5087</f>
        <v>0.176936974347214</v>
      </c>
      <c r="D5101" s="14" t="n">
        <f aca="false">D5100/D5087</f>
        <v>0.218879008327391</v>
      </c>
      <c r="E5101" s="14" t="n">
        <f aca="false">E5100/E5087</f>
        <v>0.227547970576207</v>
      </c>
      <c r="F5101" s="14" t="n">
        <f aca="false">F5100/F5087</f>
        <v>0.182536397694202</v>
      </c>
      <c r="G5101" s="14" t="n">
        <f aca="false">G5100/G5087</f>
        <v>0.183037397355452</v>
      </c>
    </row>
    <row r="5102" customFormat="false" ht="15" hidden="false" customHeight="false" outlineLevel="0" collapsed="false">
      <c r="A5102" s="4" t="s">
        <v>578</v>
      </c>
      <c r="B5102" s="0" t="s">
        <v>234</v>
      </c>
      <c r="C5102" s="30" t="n">
        <f aca="false">a25_opx</f>
        <v>63.437</v>
      </c>
      <c r="D5102" s="30" t="n">
        <f aca="false">a26_opx</f>
        <v>79.658</v>
      </c>
      <c r="E5102" s="30" t="n">
        <f aca="false">D5102*(1+phi*E5088)</f>
        <v>90.6210072145237</v>
      </c>
      <c r="F5102" s="30" t="n">
        <f aca="false">E5102*(1+phi*F5088)</f>
        <v>89.7624121369856</v>
      </c>
      <c r="G5102" s="30" t="n">
        <f aca="false">F5102*(1+phi*G5088)</f>
        <v>94.0703121648687</v>
      </c>
    </row>
    <row r="5103" customFormat="false" ht="15" hidden="false" customHeight="false" outlineLevel="0" collapsed="false">
      <c r="A5103" s="4" t="s">
        <v>455</v>
      </c>
      <c r="B5103" s="0" t="s">
        <v>234</v>
      </c>
      <c r="C5103" s="30" t="n">
        <f aca="false">C5100-C5102</f>
        <v>50.756</v>
      </c>
      <c r="D5103" s="30" t="n">
        <f aca="false">D5100-D5102</f>
        <v>111.022245860986</v>
      </c>
      <c r="E5103" s="30" t="n">
        <f aca="false">E5100-E5102</f>
        <v>153.081214648091</v>
      </c>
      <c r="F5103" s="30" t="n">
        <f aca="false">F5100-F5102</f>
        <v>102.645688256477</v>
      </c>
      <c r="G5103" s="30" t="n">
        <f aca="false">G5100-G5102</f>
        <v>114.298285442556</v>
      </c>
    </row>
    <row r="5104" customFormat="false" ht="15" hidden="false" customHeight="false" outlineLevel="0" collapsed="false">
      <c r="A5104" s="4" t="s">
        <v>537</v>
      </c>
      <c r="B5104" s="0" t="s">
        <v>76</v>
      </c>
      <c r="C5104" s="14" t="n">
        <f aca="false">C5103/C5087</f>
        <v>0.0786441644406156</v>
      </c>
      <c r="D5104" s="14" t="n">
        <f aca="false">D5103/D5087</f>
        <v>0.127440779020437</v>
      </c>
      <c r="E5104" s="14" t="n">
        <f aca="false">E5103/E5087</f>
        <v>0.142933943975902</v>
      </c>
      <c r="F5104" s="14" t="n">
        <f aca="false">F5103/F5087</f>
        <v>0.0973793417993538</v>
      </c>
      <c r="G5104" s="14" t="n">
        <f aca="false">G5103/G5087</f>
        <v>0.100403136220227</v>
      </c>
    </row>
    <row r="5105" customFormat="false" ht="15" hidden="false" customHeight="false" outlineLevel="0" collapsed="false">
      <c r="A5105" s="4" t="s">
        <v>456</v>
      </c>
      <c r="B5105" s="0" t="s">
        <v>234</v>
      </c>
      <c r="C5105" s="30" t="n">
        <f aca="false">a25_nonop</f>
        <v>0.545</v>
      </c>
      <c r="D5105" s="30" t="n">
        <f aca="false">a26_nonop</f>
        <v>4.302</v>
      </c>
      <c r="E5105" s="30" t="n">
        <f aca="false">nonop_f</f>
        <v>-5</v>
      </c>
      <c r="F5105" s="30" t="n">
        <f aca="false">nonop_f</f>
        <v>-5</v>
      </c>
      <c r="G5105" s="30" t="n">
        <f aca="false">nonop_f</f>
        <v>-5</v>
      </c>
    </row>
    <row r="5106" customFormat="false" ht="15" hidden="false" customHeight="false" outlineLevel="0" collapsed="false">
      <c r="A5106" s="4" t="s">
        <v>459</v>
      </c>
      <c r="B5106" s="0" t="s">
        <v>234</v>
      </c>
      <c r="C5106" s="30" t="n">
        <f aca="false">C5103+C5105</f>
        <v>51.301</v>
      </c>
      <c r="D5106" s="30" t="n">
        <f aca="false">D5103+D5105</f>
        <v>115.324245860986</v>
      </c>
      <c r="E5106" s="30" t="n">
        <f aca="false">E5103+E5105</f>
        <v>148.081214648091</v>
      </c>
      <c r="F5106" s="30" t="n">
        <f aca="false">F5103+F5105</f>
        <v>97.6456882564768</v>
      </c>
      <c r="G5106" s="30" t="n">
        <f aca="false">G5103+G5105</f>
        <v>109.298285442556</v>
      </c>
    </row>
    <row r="5107" customFormat="false" ht="15" hidden="false" customHeight="false" outlineLevel="0" collapsed="false">
      <c r="A5107" s="4" t="s">
        <v>460</v>
      </c>
      <c r="B5107" s="0" t="s">
        <v>234</v>
      </c>
      <c r="C5107" s="30" t="n">
        <f aca="false">a25_tax</f>
        <v>9.461</v>
      </c>
      <c r="D5107" s="30" t="n">
        <f aca="false">a26_tax</f>
        <v>19.2197317963676</v>
      </c>
      <c r="E5107" s="30" t="n">
        <f aca="false">E5106*tax_hi</f>
        <v>29.6162429296183</v>
      </c>
      <c r="F5107" s="30" t="n">
        <f aca="false">F5106*tax_hi</f>
        <v>19.5291376512954</v>
      </c>
      <c r="G5107" s="30" t="n">
        <f aca="false">G5106*tax_hi</f>
        <v>21.8596570885111</v>
      </c>
    </row>
    <row r="5108" customFormat="false" ht="15" hidden="false" customHeight="false" outlineLevel="0" collapsed="false">
      <c r="A5108" s="4" t="s">
        <v>461</v>
      </c>
      <c r="B5108" s="0" t="s">
        <v>234</v>
      </c>
      <c r="C5108" s="30" t="n">
        <f aca="false">a25_nci</f>
        <v>1.182</v>
      </c>
      <c r="D5108" s="30" t="n">
        <f aca="false">a26_nci</f>
        <v>2.543</v>
      </c>
      <c r="E5108" s="30" t="n">
        <f aca="false">nci</f>
        <v>3</v>
      </c>
      <c r="F5108" s="30" t="n">
        <f aca="false">nci</f>
        <v>3</v>
      </c>
      <c r="G5108" s="30" t="n">
        <f aca="false">nci</f>
        <v>3</v>
      </c>
    </row>
    <row r="5109" customFormat="false" ht="15" hidden="false" customHeight="false" outlineLevel="0" collapsed="false">
      <c r="A5109" s="4" t="s">
        <v>462</v>
      </c>
      <c r="B5109" s="0" t="s">
        <v>234</v>
      </c>
      <c r="C5109" s="30" t="n">
        <f aca="false">C5106-C5107-C5108</f>
        <v>40.658</v>
      </c>
      <c r="D5109" s="30" t="n">
        <f aca="false">D5106-D5107-D5108</f>
        <v>93.5615140646185</v>
      </c>
      <c r="E5109" s="30" t="n">
        <f aca="false">E5106-E5107-E5108</f>
        <v>115.464971718473</v>
      </c>
      <c r="F5109" s="30" t="n">
        <f aca="false">F5106-F5107-F5108</f>
        <v>75.1165506051814</v>
      </c>
      <c r="G5109" s="30" t="n">
        <f aca="false">G5106-G5107-G5108</f>
        <v>84.4386283540444</v>
      </c>
      <c r="H5109" s="31" t="n">
        <f aca="false">H5087*H5113</f>
        <v>84.4641128516451</v>
      </c>
      <c r="I5109" s="31" t="n">
        <f aca="false">I5087*I5113</f>
        <v>82.6006251214387</v>
      </c>
      <c r="J5109" s="31" t="n">
        <f aca="false">J5087*J5113</f>
        <v>78.9061153241268</v>
      </c>
    </row>
    <row r="5110" customFormat="false" ht="15" hidden="false" customHeight="false" outlineLevel="0" collapsed="false">
      <c r="A5110" s="4" t="s">
        <v>579</v>
      </c>
      <c r="B5110" s="4" t="s">
        <v>580</v>
      </c>
      <c r="C5110" s="18" t="n">
        <f aca="false">a25_sh</f>
        <v>4339.16755602988</v>
      </c>
      <c r="D5110" s="18" t="n">
        <f aca="false">a26_sh</f>
        <v>4392.90105184664</v>
      </c>
      <c r="E5110" s="18" t="n">
        <f aca="false">D5110*(1+sh_g)</f>
        <v>4414.86555710588</v>
      </c>
      <c r="F5110" s="18" t="n">
        <f aca="false">E5110*(1+sh_g)</f>
        <v>4436.9398848914</v>
      </c>
      <c r="G5110" s="18" t="n">
        <f aca="false">F5110*(1+sh_g)</f>
        <v>4459.12458431586</v>
      </c>
      <c r="H5110" s="25" t="n">
        <f aca="false">G5110*(1+sh_g)</f>
        <v>4481.42020723744</v>
      </c>
      <c r="I5110" s="25" t="n">
        <f aca="false">H5110*(1+sh_g)</f>
        <v>4503.82730827363</v>
      </c>
      <c r="J5110" s="25" t="n">
        <f aca="false">I5110*(1+sh_g)</f>
        <v>4526.34644481499</v>
      </c>
    </row>
    <row r="5111" customFormat="false" ht="17.15" hidden="false" customHeight="false" outlineLevel="0" collapsed="false">
      <c r="A5111" s="0" t="s">
        <v>465</v>
      </c>
      <c r="B5111" s="0" t="s">
        <v>304</v>
      </c>
      <c r="C5111" s="19" t="n">
        <f aca="false">a25_eps</f>
        <v>9.37</v>
      </c>
      <c r="D5111" s="19" t="n">
        <f aca="false">a26_eps</f>
        <v>21.2828697294455</v>
      </c>
      <c r="E5111" s="19" t="n">
        <f aca="false">E5109/E5110*1000</f>
        <v>26.1536778923264</v>
      </c>
      <c r="F5111" s="19" t="n">
        <f aca="false">F5109/F5110*1000</f>
        <v>16.9298103093457</v>
      </c>
      <c r="G5111" s="19" t="n">
        <f aca="false">G5109/G5110*1000</f>
        <v>18.9361446977825</v>
      </c>
      <c r="H5111" s="28" t="n">
        <f aca="false">H5109/H5110*1000</f>
        <v>18.8476217238537</v>
      </c>
      <c r="I5111" s="28" t="n">
        <f aca="false">I5109/I5110*1000</f>
        <v>18.3400959822992</v>
      </c>
      <c r="J5111" s="28" t="n">
        <f aca="false">J5109/J5110*1000</f>
        <v>17.4326283430017</v>
      </c>
    </row>
    <row r="5112" customFormat="false" ht="17.15" hidden="false" customHeight="false" outlineLevel="0" collapsed="false">
      <c r="A5112" s="0" t="s">
        <v>581</v>
      </c>
      <c r="B5112" s="0" t="s">
        <v>76</v>
      </c>
      <c r="D5112" s="21" t="n">
        <f aca="false">D5111/C5111-1</f>
        <v>1.27138417603474</v>
      </c>
      <c r="E5112" s="21" t="n">
        <f aca="false">E5111/D5111-1</f>
        <v>0.22886049789338</v>
      </c>
      <c r="F5112" s="21" t="n">
        <f aca="false">F5111/E5111-1</f>
        <v>-0.352679558911562</v>
      </c>
      <c r="G5112" s="21" t="n">
        <f aca="false">G5111/F5111-1</f>
        <v>0.118508970376904</v>
      </c>
      <c r="H5112" s="26" t="n">
        <f aca="false">H5111/G5111-1</f>
        <v>-0.00467481503450973</v>
      </c>
      <c r="I5112" s="26" t="n">
        <f aca="false">I5111/H5111-1</f>
        <v>-0.0269278399678455</v>
      </c>
      <c r="J5112" s="26" t="n">
        <f aca="false">J5111/I5111-1</f>
        <v>-0.0494799831022361</v>
      </c>
    </row>
    <row r="5113" customFormat="false" ht="17.15" hidden="false" customHeight="false" outlineLevel="0" collapsed="false">
      <c r="A5113" s="4" t="s">
        <v>582</v>
      </c>
      <c r="B5113" s="0" t="s">
        <v>76</v>
      </c>
      <c r="C5113" s="14" t="n">
        <f aca="false">C5109/C5087</f>
        <v>0.0629977625862272</v>
      </c>
      <c r="D5113" s="14" t="n">
        <f aca="false">D5109/D5087</f>
        <v>0.107397865592237</v>
      </c>
      <c r="E5113" s="14" t="n">
        <f aca="false">E5109/E5087</f>
        <v>0.107811163092265</v>
      </c>
      <c r="F5113" s="14" t="n">
        <f aca="false">F5109/F5087</f>
        <v>0.071262615901539</v>
      </c>
      <c r="G5113" s="14" t="n">
        <f aca="false">G5109/G5087</f>
        <v>0.0741734932598014</v>
      </c>
      <c r="H5113" s="27" t="n">
        <f aca="false">$G5113+(fade_mC-$G5113)*1/3</f>
        <v>0.0699966815662448</v>
      </c>
      <c r="I5113" s="27" t="n">
        <f aca="false">$G5113+(fade_mC-$G5113)*2/3</f>
        <v>0.0658198698726882</v>
      </c>
      <c r="J5113" s="27" t="n">
        <f aca="false">$G5113+(fade_mC-$G5113)*3/3</f>
        <v>0.0616430581791315</v>
      </c>
    </row>
    <row r="5114" customFormat="false" ht="17.15" hidden="false" customHeight="false" outlineLevel="0" collapsed="false">
      <c r="A5114" s="4" t="s">
        <v>583</v>
      </c>
      <c r="B5114" s="0" t="s">
        <v>234</v>
      </c>
      <c r="C5114" s="30" t="n">
        <f aca="false">C5109+C5095-C5093</f>
        <v>-54.587</v>
      </c>
      <c r="D5114" s="30" t="n">
        <f aca="false">D5109+D5095-D5093</f>
        <v>-176.164485935382</v>
      </c>
      <c r="E5114" s="30" t="n">
        <f aca="false">E5109+E5095-E5093</f>
        <v>-169.695278281527</v>
      </c>
      <c r="F5114" s="30" t="n">
        <f aca="false">F5109+F5095-F5093</f>
        <v>-74.6228888875734</v>
      </c>
      <c r="G5114" s="30" t="n">
        <f aca="false">G5109+G5095-G5093</f>
        <v>-71.8772337350318</v>
      </c>
      <c r="K5114" s="4" t="s">
        <v>584</v>
      </c>
    </row>
    <row r="5115" customFormat="false" ht="17.15" hidden="false" customHeight="false" outlineLevel="0" collapsed="false">
      <c r="A5115" s="4" t="s">
        <v>585</v>
      </c>
      <c r="B5115" s="0" t="s">
        <v>76</v>
      </c>
      <c r="D5115" s="21" t="n">
        <f aca="false">(D5103-$C5103)/SUM($D5093:D5093)</f>
        <v>0.164280348537512</v>
      </c>
      <c r="E5115" s="21" t="n">
        <f aca="false">(E5103-$C5103)/SUM($D5093:E5093)</f>
        <v>0.130708583570405</v>
      </c>
      <c r="F5115" s="21" t="n">
        <f aca="false">(F5103-$C5103)/SUM($D5093:F5093)</f>
        <v>0.047212178465445</v>
      </c>
      <c r="G5115" s="21" t="n">
        <f aca="false">(G5103-$C5103)/SUM($D5093:G5093)</f>
        <v>0.044108444635164</v>
      </c>
      <c r="K5115" s="4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1018</v>
      </c>
    </row>
    <row r="2" customFormat="false" ht="17.15" hidden="false" customHeight="false" outlineLevel="0" collapsed="false">
      <c r="A2" s="4" t="s">
        <v>1019</v>
      </c>
      <c r="B2" s="0" t="s">
        <v>1020</v>
      </c>
    </row>
    <row r="3" customFormat="false" ht="17.15" hidden="false" customHeight="false" outlineLevel="0" collapsed="false">
      <c r="A3" s="4" t="s">
        <v>1021</v>
      </c>
      <c r="B3" s="0" t="s">
        <v>1022</v>
      </c>
    </row>
    <row r="4" customFormat="false" ht="17.15" hidden="false" customHeight="false" outlineLevel="0" collapsed="false">
      <c r="A4" s="4" t="s">
        <v>1023</v>
      </c>
      <c r="B4" s="0" t="s">
        <v>1024</v>
      </c>
    </row>
    <row r="5" customFormat="false" ht="17.15" hidden="false" customHeight="false" outlineLevel="0" collapsed="false">
      <c r="A5" s="4" t="s">
        <v>1025</v>
      </c>
      <c r="B5" s="0" t="s">
        <v>1026</v>
      </c>
    </row>
    <row r="6" customFormat="false" ht="17.15" hidden="false" customHeight="false" outlineLevel="0" collapsed="false">
      <c r="A6" s="4" t="s">
        <v>1027</v>
      </c>
      <c r="B6" s="0" t="s">
        <v>1028</v>
      </c>
    </row>
    <row r="7" customFormat="false" ht="17.15" hidden="false" customHeight="false" outlineLevel="0" collapsed="false">
      <c r="A7" s="4" t="s">
        <v>1029</v>
      </c>
      <c r="B7" s="0" t="s">
        <v>1030</v>
      </c>
    </row>
    <row r="8" customFormat="false" ht="17.15" hidden="false" customHeight="false" outlineLevel="0" collapsed="false">
      <c r="A8" s="4" t="s">
        <v>1031</v>
      </c>
      <c r="B8" s="0" t="s">
        <v>1032</v>
      </c>
    </row>
    <row r="9" customFormat="false" ht="17.15" hidden="false" customHeight="false" outlineLevel="0" collapsed="false">
      <c r="A9" s="4" t="s">
        <v>1033</v>
      </c>
      <c r="B9" s="0" t="s">
        <v>1034</v>
      </c>
    </row>
    <row r="10" customFormat="false" ht="17.15" hidden="false" customHeight="false" outlineLevel="0" collapsed="false">
      <c r="A10" s="4" t="s">
        <v>1035</v>
      </c>
      <c r="B10" s="0" t="s">
        <v>1036</v>
      </c>
    </row>
    <row r="11" customFormat="false" ht="17.15" hidden="false" customHeight="false" outlineLevel="0" collapsed="false">
      <c r="A11" s="4" t="s">
        <v>1037</v>
      </c>
      <c r="B11" s="0" t="s">
        <v>1038</v>
      </c>
    </row>
    <row r="12" customFormat="false" ht="17.15" hidden="false" customHeight="false" outlineLevel="0" collapsed="false">
      <c r="A12" s="4" t="s">
        <v>1039</v>
      </c>
      <c r="B12" s="0" t="s">
        <v>1040</v>
      </c>
    </row>
    <row r="13" customFormat="false" ht="17.15" hidden="false" customHeight="false" outlineLevel="0" collapsed="false">
      <c r="A13" s="4" t="s">
        <v>1041</v>
      </c>
      <c r="B13" s="0" t="s">
        <v>1042</v>
      </c>
    </row>
    <row r="14" customFormat="false" ht="17.15" hidden="false" customHeight="false" outlineLevel="0" collapsed="false">
      <c r="A14" s="4" t="s">
        <v>1043</v>
      </c>
      <c r="B14" s="4" t="s">
        <v>1044</v>
      </c>
    </row>
    <row r="15" customFormat="false" ht="15" hidden="false" customHeight="false" outlineLevel="0" collapsed="false">
      <c r="A15" s="0" t="s">
        <v>1045</v>
      </c>
      <c r="B15" s="4" t="s">
        <v>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2026-10-31T05:39:32Z</dcterms:created>
  <dc:creator>openpyxl</dc:creator>
  <dc:description/>
  <dc:language>en-US</dc:language>
  <cp:lastModifiedBy/>
  <dcterms:modified xsi:type="dcterms:W3CDTF">2026-10-31T05:39:32Z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