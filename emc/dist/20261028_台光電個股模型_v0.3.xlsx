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In!$E$49</definedName>
    <definedName function="false" hidden="false" name="ai_25_hi" vbProcedure="false">In!$F$49</definedName>
    <definedName function="false" hidden="false" name="ai_25_lo" vbProcedure="false">In!$D$49</definedName>
    <definedName function="false" hidden="false" name="ai_26" vbProcedure="false">In!$E$50</definedName>
    <definedName function="false" hidden="false" name="ai_26_hi" vbProcedure="false">In!$F$50</definedName>
    <definedName function="false" hidden="false" name="ai_26_lo" vbProcedure="false">In!$D$50</definedName>
    <definedName function="false" hidden="false" name="b_eps26c" vbProcedure="false">In!$E$79</definedName>
    <definedName function="false" hidden="false" name="b_eps26k" vbProcedure="false">In!$E$78</definedName>
    <definedName function="false" hidden="false" name="b_eps26l" vbProcedure="false">In!$E$80</definedName>
    <definedName function="false" hidden="false" name="b_eps27c" vbProcedure="false">In!$E$84</definedName>
    <definedName function="false" hidden="false" name="b_eps27k" vbProcedure="false">In!$E$83</definedName>
    <definedName function="false" hidden="false" name="b_eps27l" vbProcedure="false">In!$E$85</definedName>
    <definedName function="false" hidden="false" name="b_rev26k" vbProcedure="false">In!$E$77</definedName>
    <definedName function="false" hidden="false" name="b_rev27k" vbProcedure="false">In!$E$81</definedName>
    <definedName function="false" hidden="false" name="b_rev27l" vbProcedure="false">In!$E$82</definedName>
    <definedName function="false" hidden="false" name="CAPHI_27" vbProcedure="false">In!$F$42</definedName>
    <definedName function="false" hidden="false" name="CAPHI_28" vbProcedure="false">In!$F$43</definedName>
    <definedName function="false" hidden="false" name="CAPHI_29" vbProcedure="false">In!$F$44</definedName>
    <definedName function="false" hidden="false" name="CAPLO_27" vbProcedure="false">In!$D$42</definedName>
    <definedName function="false" hidden="false" name="CAPLO_28" vbProcedure="false">In!$D$43</definedName>
    <definedName function="false" hidden="false" name="CAPLO_29" vbProcedure="false">In!$D$44</definedName>
    <definedName function="false" hidden="false" name="cap_26" vbProcedure="false">In!$E$41</definedName>
    <definedName function="false" hidden="false" name="cap_26_hi" vbProcedure="false">In!$F$41</definedName>
    <definedName function="false" hidden="false" name="cap_26_lo" vbProcedure="false">In!$D$41</definedName>
    <definedName function="false" hidden="false" name="cap_27" vbProcedure="false">In!$E$42</definedName>
    <definedName function="false" hidden="false" name="cap_27_hi" vbProcedure="false">In!$F$42</definedName>
    <definedName function="false" hidden="false" name="cap_27_lo" vbProcedure="false">In!$D$42</definedName>
    <definedName function="false" hidden="false" name="cap_28" vbProcedure="false">In!$E$43</definedName>
    <definedName function="false" hidden="false" name="cap_28_hi" vbProcedure="false">In!$F$43</definedName>
    <definedName function="false" hidden="false" name="cap_28_lo" vbProcedure="false">In!$D$43</definedName>
    <definedName function="false" hidden="false" name="cap_29" vbProcedure="false">In!$E$44</definedName>
    <definedName function="false" hidden="false" name="cap_29_hi" vbProcedure="false">In!$F$44</definedName>
    <definedName function="false" hidden="false" name="cap_29_lo" vbProcedure="false">In!$D$44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ons_feps" vbProcedure="false">In!$E$111</definedName>
    <definedName function="false" hidden="false" name="cons_tp" vbProcedure="false">In!$E$110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d_ai" vbProcedure="false">In!$E$59</definedName>
    <definedName function="false" hidden="false" name="d_ai_hi" vbProcedure="false">In!$F$59</definedName>
    <definedName function="false" hidden="false" name="d_ai_lo" vbProcedure="false">In!$D$59</definedName>
    <definedName function="false" hidden="false" name="fade_gA" vbProcedure="false">In!$E$106</definedName>
    <definedName function="false" hidden="false" name="fade_gB" vbProcedure="false">In!$E$107</definedName>
    <definedName function="false" hidden="false" name="fade_gC" vbProcedure="false">In!$E$108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In!$F$51</definedName>
    <definedName function="false" hidden="false" name="GNHI28" vbProcedure="false">In!$F$52</definedName>
    <definedName function="false" hidden="false" name="GNHI29" vbProcedure="false">In!$F$53</definedName>
    <definedName function="false" hidden="false" name="GNLO27" vbProcedure="false">In!$D$51</definedName>
    <definedName function="false" hidden="false" name="GNLO28" vbProcedure="false">In!$D$52</definedName>
    <definedName function="false" hidden="false" name="GNLO29" vbProcedure="false">In!$D$53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hs_sh25" vbProcedure="false">In!$E$88</definedName>
    <definedName function="false" hidden="false" name="hs_sh25c" vbProcedure="false">In!$E$89</definedName>
    <definedName function="false" hidden="false" name="inf25" vbProcedure="false">In!$E$54</definedName>
    <definedName function="false" hidden="false" name="inf25_hi" vbProcedure="false">In!$F$54</definedName>
    <definedName function="false" hidden="false" name="inf25_lo" vbProcedure="false">In!$D$54</definedName>
    <definedName function="false" hidden="false" name="inf26" vbProcedure="false">In!$E$56</definedName>
    <definedName function="false" hidden="false" name="inf26_hi" vbProcedure="false">In!$F$56</definedName>
    <definedName function="false" hidden="false" name="inf26_lo" vbProcedure="false">In!$D$56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In!$E$75</definedName>
    <definedName function="false" hidden="false" name="mf_hi" vbProcedure="false">In!$F$75</definedName>
    <definedName function="false" hidden="false" name="mf_lo" vbProcedure="false">In!$D$75</definedName>
    <definedName function="false" hidden="false" name="mix_27" vbProcedure="false">In!$E$45</definedName>
    <definedName function="false" hidden="false" name="mix_27_hi" vbProcedure="false">In!$F$45</definedName>
    <definedName function="false" hidden="false" name="mix_27_lo" vbProcedure="false">In!$D$45</definedName>
    <definedName function="false" hidden="false" name="mix_28" vbProcedure="false">In!$E$46</definedName>
    <definedName function="false" hidden="false" name="mix_28_hi" vbProcedure="false">In!$F$46</definedName>
    <definedName function="false" hidden="false" name="mix_28_lo" vbProcedure="false">In!$D$46</definedName>
    <definedName function="false" hidden="false" name="mix_29" vbProcedure="false">In!$E$47</definedName>
    <definedName function="false" hidden="false" name="mix_29_hi" vbProcedure="false">In!$F$47</definedName>
    <definedName function="false" hidden="false" name="mix_29_lo" vbProcedure="false">In!$D$47</definedName>
    <definedName function="false" hidden="false" name="mob25" vbProcedure="false">In!$E$55</definedName>
    <definedName function="false" hidden="false" name="mob25_hi" vbProcedure="false">In!$F$55</definedName>
    <definedName function="false" hidden="false" name="mob25_lo" vbProcedure="false">In!$D$55</definedName>
    <definedName function="false" hidden="false" name="mob26" vbProcedure="false">In!$E$57</definedName>
    <definedName function="false" hidden="false" name="mob26_hi" vbProcedure="false">In!$F$57</definedName>
    <definedName function="false" hidden="false" name="mob26_lo" vbProcedure="false">In!$D$57</definedName>
    <definedName function="false" hidden="false" name="ms_eps28" vbProcedure="false">In!$E$87</definedName>
    <definedName function="false" hidden="false" name="ms_rev28" vbProcedure="false">In!$E$86</definedName>
    <definedName function="false" hidden="false" name="ms_rk_gb" vbProcedure="false">In!$E$90</definedName>
    <definedName function="false" hidden="false" name="ms_rk_vr" vbProcedure="false">In!$E$91</definedName>
    <definedName function="false" hidden="false" name="MXHI_27" vbProcedure="false">In!$F$45</definedName>
    <definedName function="false" hidden="false" name="MXHI_28" vbProcedure="false">In!$F$46</definedName>
    <definedName function="false" hidden="false" name="MXHI_29" vbProcedure="false">In!$F$47</definedName>
    <definedName function="false" hidden="false" name="MXLO_27" vbProcedure="false">In!$D$45</definedName>
    <definedName function="false" hidden="false" name="MXLO_28" vbProcedure="false">In!$D$46</definedName>
    <definedName function="false" hidden="false" name="MXLO_29" vbProcedure="false">In!$D$47</definedName>
    <definedName function="false" hidden="false" name="nim10_f" vbProcedure="false">In!$E$109</definedName>
    <definedName function="false" hidden="false" name="nir_f" vbProcedure="false">In!$E$73</definedName>
    <definedName function="false" hidden="false" name="nir_f_hi" vbProcedure="false">In!$F$73</definedName>
    <definedName function="false" hidden="false" name="nir_f_lo" vbProcedure="false">In!$D$73</definedName>
    <definedName function="false" hidden="false" name="nop_f" vbProcedure="false">In!$E$72</definedName>
    <definedName function="false" hidden="false" name="nop_f_hi" vbProcedure="false">In!$F$72</definedName>
    <definedName function="false" hidden="false" name="nop_f_lo" vbProcedure="false">In!$D$72</definedName>
    <definedName function="false" hidden="false" name="old_rule_px" vbProcedure="false">Val!$B$36</definedName>
    <definedName function="false" hidden="false" name="old_rule_up" vbProcedure="false">Val!$B$37</definedName>
    <definedName function="false" hidden="false" name="opx_adj" vbProcedure="false">In!$E$71</definedName>
    <definedName function="false" hidden="false" name="opx_adj_hi" vbProcedure="false">In!$F$71</definedName>
    <definedName function="false" hidden="false" name="opx_adj_lo" vbProcedure="false">In!$D$71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In!$E$96</definedName>
    <definedName function="false" hidden="false" name="phi" vbProcedure="false">In!$E$70</definedName>
    <definedName function="false" hidden="false" name="phi_hi" vbProcedure="false">In!$F$70</definedName>
    <definedName function="false" hidden="false" name="phi_lo" vbProcedure="false">In!$D$70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In!$E$95</definedName>
    <definedName function="false" hidden="false" name="q3_gm" vbProcedure="false">In!$E$63</definedName>
    <definedName function="false" hidden="false" name="q3_gm_hi" vbProcedure="false">In!$F$63</definedName>
    <definedName function="false" hidden="false" name="q3_gm_lo" vbProcedure="false">In!$D$63</definedName>
    <definedName function="false" hidden="false" name="q3_rev" vbProcedure="false">In!$E$61</definedName>
    <definedName function="false" hidden="false" name="q4g" vbProcedure="false">In!$E$62</definedName>
    <definedName function="false" hidden="false" name="q4g_hi" vbProcedure="false">In!$F$62</definedName>
    <definedName function="false" hidden="false" name="q4g_lo" vbProcedure="false">In!$D$62</definedName>
    <definedName function="false" hidden="false" name="q4_gm" vbProcedure="false">In!$E$64</definedName>
    <definedName function="false" hidden="false" name="q4_gm_hi" vbProcedure="false">In!$F$64</definedName>
    <definedName function="false" hidden="false" name="q4_gm_lo" vbProcedure="false">In!$D$64</definedName>
    <definedName function="false" hidden="false" name="q_nir" vbProcedure="false">In!$E$67</definedName>
    <definedName function="false" hidden="false" name="q_nir_hi" vbProcedure="false">In!$F$67</definedName>
    <definedName function="false" hidden="false" name="q_nir_lo" vbProcedure="false">In!$D$67</definedName>
    <definedName function="false" hidden="false" name="q_nop" vbProcedure="false">In!$E$66</definedName>
    <definedName function="false" hidden="false" name="q_nop_hi" vbProcedure="false">In!$F$66</definedName>
    <definedName function="false" hidden="false" name="q_nop_lo" vbProcedure="false">In!$D$66</definedName>
    <definedName function="false" hidden="false" name="q_opx" vbProcedure="false">In!$E$65</definedName>
    <definedName function="false" hidden="false" name="q_opx_hi" vbProcedure="false">In!$F$65</definedName>
    <definedName function="false" hidden="false" name="q_opx_lo" vbProcedure="false">In!$D$65</definedName>
    <definedName function="false" hidden="false" name="q_sh" vbProcedure="false">In!$E$68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sht_gb" vbProcedure="false">In!$E$92</definedName>
    <definedName function="false" hidden="false" name="sht_vr" vbProcedure="false">In!$E$93</definedName>
    <definedName function="false" hidden="false" name="sh_g" vbProcedure="false">In!$E$74</definedName>
    <definedName function="false" hidden="false" name="sh_g_hi" vbProcedure="false">In!$F$74</definedName>
    <definedName function="false" hidden="false" name="sh_g_lo" vbProcedure="false">In!$D$74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comp" vbProcedure="false">Val!$B$114</definedName>
    <definedName function="false" hidden="false" name="tp_dcf" vbProcedure="false">Val!$B$105</definedName>
    <definedName function="false" hidden="false" name="tp_final" vbProcedure="false">Val!$B$118</definedName>
    <definedName function="false" hidden="false" name="tp_g" vbProcedure="false">In!$E$103</definedName>
    <definedName function="false" hidden="false" name="tp_r" vbProcedure="false">In!$E$102</definedName>
    <definedName function="false" hidden="false" name="tp_roe" vbProcedure="false">In!$E$104</definedName>
    <definedName function="false" hidden="false" name="tp_wA" vbProcedure="false">In!$E$98</definedName>
    <definedName function="false" hidden="false" name="tp_wB" vbProcedure="false">In!$E$99</definedName>
    <definedName function="false" hidden="false" name="tp_wC" vbProcedure="false">In!$E$100</definedName>
    <definedName function="false" hidden="false" name="tp_w_dcf" vbProcedure="false">In!$E$105</definedName>
    <definedName function="false" hidden="false" name="ubbx_27" vbProcedure="false">In!$E$31</definedName>
    <definedName function="false" hidden="false" name="ubbx_27_hi" vbProcedure="false">In!$F$31</definedName>
    <definedName function="false" hidden="false" name="ubbx_27_lo" vbProcedure="false">In!$D$31</definedName>
    <definedName function="false" hidden="false" name="ubbx_28" vbProcedure="false">In!$E$32</definedName>
    <definedName function="false" hidden="false" name="ubbx_28_hi" vbProcedure="false">In!$F$32</definedName>
    <definedName function="false" hidden="false" name="ubbx_28_lo" vbProcedure="false">In!$D$32</definedName>
    <definedName function="false" hidden="false" name="ubbx_29" vbProcedure="false">In!$E$33</definedName>
    <definedName function="false" hidden="false" name="ubbx_29_hi" vbProcedure="false">In!$F$33</definedName>
    <definedName function="false" hidden="false" name="ubbx_29_lo" vbProcedure="false">In!$D$33</definedName>
    <definedName function="false" hidden="false" name="ubb_26" vbProcedure="false">In!$E$24</definedName>
    <definedName function="false" hidden="false" name="ubb_26_hi" vbProcedure="false">In!$F$24</definedName>
    <definedName function="false" hidden="false" name="ubb_26_lo" vbProcedure="false">In!$D$24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XHI_27" vbProcedure="false">In!$F$31</definedName>
    <definedName function="false" hidden="false" name="UXHI_28" vbProcedure="false">In!$F$32</definedName>
    <definedName function="false" hidden="false" name="UXHI_29" vbProcedure="false">In!$F$33</definedName>
    <definedName function="false" hidden="false" name="UXLO_27" vbProcedure="false">In!$D$31</definedName>
    <definedName function="false" hidden="false" name="UXLO_28" vbProcedure="false">In!$D$32</definedName>
    <definedName function="false" hidden="false" name="UXLO_29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<sst xmlns="http://schemas.openxmlformats.org/spreadsheetml/2006/main" count="3689" uniqueCount="904">
  <si>
    <r>
      <rPr>
        <b val="true"/>
        <sz val="11"/>
        <rFont val="Noto Sans CJK SC"/>
        <family val="2"/>
      </rPr>
      <t xml:space="preserve">台光電（</t>
    </r>
    <r>
      <rPr>
        <b val="true"/>
        <sz val="11"/>
        <rFont val="Cambria"/>
        <family val="0"/>
        <charset val="1"/>
      </rPr>
      <t xml:space="preserve">2383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次產業；高速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</si>
  <si>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金額（加速器／運算板、交換器板、</t>
    </r>
    <r>
      <rPr>
        <sz val="11"/>
        <rFont val="Cambria"/>
        <family val="0"/>
        <charset val="1"/>
      </rPr>
      <t xml:space="preserve">UBB</t>
    </r>
    <r>
      <rPr>
        <sz val="11"/>
        <rFont val="Noto Sans CJK SC"/>
        <family val="2"/>
      </rPr>
      <t xml:space="preserve">／中板）、台光電份額與產能在本模型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條）；台燿、聯茂等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廠之後讀這條線。</t>
    </r>
  </si>
  <si>
    <r>
      <rPr>
        <sz val="11"/>
        <rFont val="Noto Sans CJK SC"/>
        <family val="2"/>
      </rPr>
      <t xml:space="preserve">模型命題：台光電的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等級使每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台光電份額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價格指數，但受月產能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每張營收限制（全產全銷）。非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（通用伺服器、低軌衛星、手機、筆電、車用）另依成長率推。股價約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</si>
  <si>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需求超過產能時，擴產（月產能 </t>
    </r>
    <r>
      <rPr>
        <sz val="11"/>
        <rFont val="Cambria"/>
        <family val="0"/>
        <charset val="1"/>
      </rPr>
      <t xml:space="preserve">615 → 945 → 1,110 </t>
    </r>
    <r>
      <rPr>
        <sz val="11"/>
        <rFont val="Noto Sans CJK SC"/>
        <family val="2"/>
      </rPr>
      <t xml:space="preserve">萬張）與 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組合升級能讓營收成長多少；價格與份額回落時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會少多少；現價隱含的路徑合不合理。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</si>
  <si>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</si>
  <si>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</si>
  <si>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US$350M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</si>
  <si>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產能面：平均月產能（公司擴產計畫，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12 × </t>
    </r>
    <r>
      <rPr>
        <sz val="11"/>
        <rFont val="Noto Sans CJK SC"/>
        <family val="2"/>
      </rPr>
      <t xml:space="preserve">每張營收（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組合指數（</t>
    </r>
    <r>
      <rPr>
        <sz val="11"/>
        <rFont val="Cambria"/>
        <family val="0"/>
        <charset val="1"/>
      </rPr>
      <t xml:space="preserve">M8→M9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</si>
  <si>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</si>
  <si>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法說截至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尚未舉行。不用券商數字（只在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</si>
  <si>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目標價（台燿、聯茂、金像電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；循環位置以本模型營收最高年判定（台光電不套設備股見頂年）。本版未做先驗，無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</si>
  <si>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未使用。公司原文＝法說（經轉述）與月營收；券商多為單一來源。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</si>
  <si>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（研調每架金額與張數口徑不一）；水準只影響校準份額，指數影響成長；</t>
    </r>
    <r>
      <rPr>
        <sz val="11"/>
        <rFont val="Cambria"/>
        <family val="0"/>
        <charset val="1"/>
      </rPr>
      <t xml:space="preserve">(2) 2027–28 </t>
    </r>
    <r>
      <rPr>
        <sz val="11"/>
        <rFont val="Noto Sans CJK SC"/>
        <family val="2"/>
      </rPr>
      <t xml:space="preserve">年產能受限，營收主要由擴產進度與每張組合指數（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）決定；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相關占比（基礎設施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伺服器＋交換器）為公司區間的中點，交換器含非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1H26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業外、稅前未找到，以淨利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年缺，且 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財報與法說（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</si>
  <si>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股市、鉅亨、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</si>
  <si>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</si>
  <si>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</si>
  <si>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132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</si>
  <si>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NT$5,477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4,252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6,703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0%–25%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+32.2%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16.1%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32.2%</t>
    </r>
    <r>
      <rPr>
        <sz val="11"/>
        <color theme="1"/>
        <rFont val="Noto Sans CJK SC"/>
        <family val="2"/>
      </rPr>
      <t xml:space="preserve">，兩者相抵；本模型前瞻 </t>
    </r>
    <r>
      <rPr>
        <sz val="11"/>
        <color theme="1"/>
        <rFont val="Calibri"/>
        <family val="2"/>
        <charset val="1"/>
      </rPr>
      <t xml:space="preserve">EPS 254.18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168.32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51.0%</t>
    </r>
    <r>
      <rPr>
        <sz val="11"/>
        <color theme="1"/>
        <rFont val="Noto Sans CJK SC"/>
        <family val="2"/>
      </rPr>
      <t xml:space="preserve">（共識取自 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快取、期間早約一年），同業（台燿、聯茂、金像電）前瞻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26.4 </t>
    </r>
    <r>
      <rPr>
        <sz val="11"/>
        <color theme="1"/>
        <rFont val="Noto Sans CJK SC"/>
        <family val="2"/>
      </rPr>
      <t xml:space="preserve">倍，共識目標價 </t>
    </r>
    <r>
      <rPr>
        <sz val="11"/>
        <color theme="1"/>
        <rFont val="Calibri"/>
        <family val="2"/>
        <charset val="1"/>
      </rPr>
      <t xml:space="preserve">7,803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46.4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</si>
  <si>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：價格是最敏感的變數：價格回落快（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年指數 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−26.2%</t>
    </r>
    <r>
      <rPr>
        <sz val="11"/>
        <color theme="1"/>
        <rFont val="Noto Sans CJK SC"/>
        <family val="2"/>
      </rPr>
      <t xml:space="preserve">、價格延續 </t>
    </r>
    <r>
      <rPr>
        <sz val="11"/>
        <color theme="1"/>
        <rFont val="Calibri"/>
        <family val="2"/>
        <charset val="1"/>
      </rPr>
      <t xml:space="preserve">+23.9%</t>
    </r>
    <r>
      <rPr>
        <sz val="11"/>
        <color theme="1"/>
        <rFont val="Noto Sans CJK SC"/>
        <family val="2"/>
      </rPr>
      <t xml:space="preserve">；每張組合升級慢 −</t>
    </r>
    <r>
      <rPr>
        <sz val="11"/>
        <color theme="1"/>
        <rFont val="Calibri"/>
        <family val="2"/>
        <charset val="1"/>
      </rPr>
      <t xml:space="preserve">19.5%</t>
    </r>
    <r>
      <rPr>
        <sz val="11"/>
        <color theme="1"/>
        <rFont val="Noto Sans CJK SC"/>
        <family val="2"/>
      </rPr>
      <t xml:space="preserve">，顆數情境 </t>
    </r>
    <r>
      <rPr>
        <sz val="11"/>
        <color theme="1"/>
        <rFont val="Calibri"/>
        <family val="2"/>
        <charset val="1"/>
      </rPr>
      <t xml:space="preserve">C −30.7%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</si>
  <si>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209.59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起分歧（</t>
    </r>
    <r>
      <rPr>
        <sz val="11"/>
        <color theme="1"/>
        <rFont val="Calibri"/>
        <family val="2"/>
        <charset val="1"/>
      </rPr>
      <t xml:space="preserve">299.15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263.73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207.44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2,691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5,428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底，確切日期未找到）。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</si>
  <si>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金額為百萬美元；產能：百萬張／月；比例：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</si>
  <si>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未使用。公司原文＝台光電法說（經富果、鉅亨等轉述）與月營收公告；公司的產品組合、份額與毛利率指引為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</si>
  <si>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</si>
  <si>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</si>
  <si>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</si>
  <si>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</si>
  <si>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</si>
  <si>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</si>
  <si>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</si>
  <si>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</si>
  <si>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</si>
  <si>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</si>
  <si>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</si>
  <si>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</si>
  <si>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</si>
  <si>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</si>
  <si>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</si>
  <si>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（與台達電、廣達模型相同）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</si>
  <si>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</si>
  <si>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</si>
  <si>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</si>
  <si>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</si>
  <si>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</si>
  <si>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</si>
  <si>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</si>
  <si>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</si>
  <si>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</si>
  <si>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</si>
  <si>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</si>
  <si>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</si>
  <si>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</si>
  <si>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</si>
  <si>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</si>
  <si>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</si>
  <si>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</si>
  <si>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</si>
  <si>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</si>
  <si>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下半年開始出貨、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</si>
  <si>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</si>
  <si>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</si>
  <si>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</si>
  <si>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</si>
  <si>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</si>
  <si>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</si>
  <si>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</si>
  <si>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</si>
  <si>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</si>
  <si>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</si>
  <si>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</si>
  <si>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</si>
  <si>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</si>
  <si>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</si>
  <si>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</si>
  <si>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</si>
  <si>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</si>
  <si>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</si>
  <si>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</si>
  <si>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</si>
  <si>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</si>
  <si>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</si>
  <si>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</si>
  <si>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</si>
  <si>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</si>
  <si>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</si>
  <si>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</si>
  <si>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</si>
  <si>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</si>
  <si>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</si>
  <si>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</si>
  <si>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與台達電、廣達模型相同（台達電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</si>
  <si>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</si>
  <si>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金額與台光電份額（本專案權威：每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金額、台光電份額，規則第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</si>
  <si>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</si>
  <si>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</si>
  <si>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</si>
  <si>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</si>
  <si>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</si>
  <si>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</si>
  <si>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</si>
  <si>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</si>
  <si>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</si>
  <si>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</si>
  <si>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</si>
  <si>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</si>
  <si>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</si>
  <si>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</si>
  <si>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</si>
  <si>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</si>
  <si>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</si>
  <si>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</si>
  <si>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</si>
  <si>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</si>
  <si>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</si>
  <si>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</si>
  <si>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</si>
  <si>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</si>
  <si>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</si>
  <si>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</si>
  <si>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</si>
  <si>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</si>
  <si>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</si>
  <si>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</si>
  <si>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</si>
  <si>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</si>
  <si>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</si>
  <si>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</si>
  <si>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</si>
  <si>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</si>
  <si>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</si>
  <si>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</si>
  <si>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</si>
  <si>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</si>
  <si>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</si>
  <si>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）、無鹵高速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；公司自估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</si>
  <si>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對手：台燿、斗山、生益、松下（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）；台光電為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首家認證量產（公司，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</si>
  <si>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</si>
  <si>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</si>
  <si>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</si>
  <si>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</si>
  <si>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</si>
  <si>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</si>
  <si>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全產品漲價至少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（銅箔、玻纖布上漲）；下半年不排除再漲（富果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</si>
  <si>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、供給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HVLP4 </t>
    </r>
    <r>
      <rPr>
        <sz val="11"/>
        <color theme="1"/>
        <rFont val="Noto Sans CJK SC"/>
        <family val="2"/>
      </rPr>
      <t xml:space="preserve">銅箔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年仍缺約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</si>
  <si>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</si>
  <si>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</si>
  <si>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</si>
  <si>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</si>
  <si>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</si>
  <si>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產能（全產全銷：營收上限＝平均月產能 </t>
    </r>
    <r>
      <rPr>
        <b val="true"/>
        <sz val="11"/>
        <rFont val="Cambria"/>
        <family val="0"/>
        <charset val="1"/>
      </rPr>
      <t xml:space="preserve">× 12 × </t>
    </r>
    <r>
      <rPr>
        <b val="true"/>
        <sz val="11"/>
        <rFont val="Noto Sans CJK SC"/>
        <family val="2"/>
      </rPr>
      <t xml:space="preserve">每張營收）</t>
    </r>
  </si>
  <si>
    <t xml:space="preserve">cap_26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</si>
  <si>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</si>
  <si>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百萬張／月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</si>
  <si>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萬張／月；</t>
    </r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中山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）；年底 </t>
    </r>
    <r>
      <rPr>
        <sz val="11"/>
        <color theme="1"/>
        <rFont val="Calibri"/>
        <family val="2"/>
        <charset val="1"/>
      </rPr>
      <t xml:space="preserve">615 </t>
    </r>
    <r>
      <rPr>
        <sz val="11"/>
        <color theme="1"/>
        <rFont val="Noto Sans CJK SC"/>
        <family val="2"/>
      </rPr>
      <t xml:space="preserve">萬（本土投顧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</si>
  <si>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萬張／月（公司簡介）</t>
    </r>
  </si>
  <si>
    <t xml:space="preserve">cap_27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</si>
  <si>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</si>
  <si>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萬張（</t>
    </r>
    <r>
      <rPr>
        <sz val="11"/>
        <color theme="1"/>
        <rFont val="Calibri"/>
        <family val="2"/>
        <charset val="1"/>
      </rPr>
      <t xml:space="preserve">Q1 120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Q3 120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90 </t>
    </r>
    <r>
      <rPr>
        <sz val="11"/>
        <color theme="1"/>
        <rFont val="Noto Sans CJK SC"/>
        <family val="2"/>
      </rPr>
      <t xml:space="preserve">萬；台灣、中國、馬來西亞），年底 </t>
    </r>
    <r>
      <rPr>
        <sz val="11"/>
        <color theme="1"/>
        <rFont val="Calibri"/>
        <family val="2"/>
        <charset val="1"/>
      </rPr>
      <t xml:space="preserve">945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</si>
  <si>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依開出月份加權：</t>
    </r>
    <r>
      <rPr>
        <sz val="11"/>
        <color theme="1"/>
        <rFont val="Calibri"/>
        <family val="2"/>
        <charset val="1"/>
      </rPr>
      <t xml:space="preserve">6.15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10.5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0.9 × 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；崑山、中山各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萬已從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（設備交期），低值反映再延遲</t>
    </r>
  </si>
  <si>
    <t xml:space="preserve">cap_28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</si>
  <si>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</si>
  <si>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萬張／月（富果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945 → 1,110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</si>
  <si>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</t>
    </r>
  </si>
  <si>
    <t xml:space="preserve">cap_29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</si>
  <si>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</si>
  <si>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年計畫：未找到</t>
    </r>
  </si>
  <si>
    <r>
      <rPr>
        <sz val="11"/>
        <color theme="1"/>
        <rFont val="Noto Sans CJK SC"/>
        <family val="2"/>
      </rPr>
      <t xml:space="preserve">低值＝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年底不再擴產</t>
    </r>
  </si>
  <si>
    <t xml:space="preserve">mix_27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</si>
  <si>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</si>
  <si>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以上占營收 </t>
    </r>
    <r>
      <rPr>
        <sz val="11"/>
        <color theme="1"/>
        <rFont val="Calibri"/>
        <family val="2"/>
        <charset val="1"/>
      </rPr>
      <t xml:space="preserve">1Q26 55–60% → 2Q26 60–65%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下半年個位數占比、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</si>
  <si>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單價為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</si>
  <si>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mix_28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</si>
  <si>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</si>
  <si>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mix_29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</si>
  <si>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</si>
  <si>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</si>
  <si>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</si>
  <si>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</si>
  <si>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年基礎設施占 </t>
    </r>
    <r>
      <rPr>
        <sz val="11"/>
        <color theme="1"/>
        <rFont val="Calibri"/>
        <family val="2"/>
        <charset val="1"/>
      </rPr>
      <t xml:space="preserve">65–70%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基礎設施中低軌衛星約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（含通用伺服器，富果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</si>
  <si>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讀法：基礎設施 </t>
    </r>
    <r>
      <rPr>
        <sz val="11"/>
        <color theme="1"/>
        <rFont val="Calibri"/>
        <family val="2"/>
        <charset val="1"/>
      </rPr>
      <t xml:space="preserve">67.5% × AI </t>
    </r>
    <r>
      <rPr>
        <sz val="11"/>
        <color theme="1"/>
        <rFont val="Noto Sans CJK SC"/>
        <family val="2"/>
      </rPr>
      <t xml:space="preserve">伺服器＋交換器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拆分比例）；只用於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</si>
  <si>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</si>
  <si>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</si>
  <si>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、通用伺服器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、低軌衛星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</si>
  <si>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公司：下半年基礎設施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以上（富果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）；基準＝</t>
    </r>
    <r>
      <rPr>
        <sz val="11"/>
        <color theme="1"/>
        <rFont val="Calibri"/>
        <family val="2"/>
        <charset val="1"/>
      </rPr>
      <t xml:space="preserve">78%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57.5%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）；交換器含非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企業交換器（未拆）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</si>
  <si>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</si>
  <si>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</si>
  <si>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年增：手持 </t>
    </r>
    <r>
      <rPr>
        <sz val="11"/>
        <color theme="1"/>
        <rFont val="Calibri"/>
        <family val="2"/>
        <charset val="1"/>
      </rPr>
      <t xml:space="preserve">+42%</t>
    </r>
    <r>
      <rPr>
        <sz val="11"/>
        <color theme="1"/>
        <rFont val="Noto Sans CJK SC"/>
        <family val="2"/>
      </rPr>
      <t xml:space="preserve">、車用 </t>
    </r>
    <r>
      <rPr>
        <sz val="11"/>
        <color theme="1"/>
        <rFont val="Calibri"/>
        <family val="2"/>
        <charset val="1"/>
      </rPr>
      <t xml:space="preserve">+58%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，含漲價）；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指引：手持持平、車用個位數季減</t>
    </r>
  </si>
  <si>
    <r>
      <rPr>
        <sz val="11"/>
        <color theme="1"/>
        <rFont val="Noto Sans CJK SC"/>
        <family val="2"/>
      </rPr>
      <t xml:space="preserve">通用伺服器、記憶體模組（</t>
    </r>
    <r>
      <rPr>
        <sz val="11"/>
        <color theme="1"/>
        <rFont val="Calibri"/>
        <family val="2"/>
        <charset val="1"/>
      </rPr>
      <t xml:space="preserve">DDR5 RDIMM</t>
    </r>
    <r>
      <rPr>
        <sz val="11"/>
        <color theme="1"/>
        <rFont val="Noto Sans CJK SC"/>
        <family val="2"/>
      </rPr>
      <t xml:space="preserve">）、低軌衛星持續成長（公司）；手機、筆電成熟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</si>
  <si>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</si>
  <si>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</si>
  <si>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</si>
  <si>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</si>
  <si>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t xml:space="preserve">inf25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</si>
  <si>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代理）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</si>
  <si>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）：基礎設施 </t>
    </r>
    <r>
      <rPr>
        <sz val="11"/>
        <color theme="1"/>
        <rFont val="Calibri"/>
        <family val="2"/>
        <charset val="1"/>
      </rPr>
      <t xml:space="preserve">65–70%</t>
    </r>
    <r>
      <rPr>
        <sz val="11"/>
        <color theme="1"/>
        <rFont val="Noto Sans CJK SC"/>
        <family val="2"/>
      </rPr>
      <t xml:space="preserve">、行動裝置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、車用工業及其他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</si>
  <si>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全年比例未揭露，以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代理；基礎設施內低軌衛星約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、其餘為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</t>
    </r>
  </si>
  <si>
    <t xml:space="preserve">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</si>
  <si>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年行動裝置營收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代理）</t>
    </r>
  </si>
  <si>
    <t xml:space="preserve">inf26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</si>
  <si>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年基礎設施營收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</si>
  <si>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）：基礎設施占比自 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起逐季上升，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達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或更高（公司）</t>
    </r>
  </si>
  <si>
    <r>
      <rPr>
        <sz val="11"/>
        <color theme="1"/>
        <rFont val="Noto Sans CJK SC"/>
        <family val="2"/>
      </rPr>
      <t xml:space="preserve">全年＝</t>
    </r>
    <r>
      <rPr>
        <sz val="11"/>
        <color theme="1"/>
        <rFont val="Calibri"/>
        <family val="2"/>
        <charset val="1"/>
      </rPr>
      <t xml:space="preserve">4Q25 67.5%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2H26 80% </t>
    </r>
    <r>
      <rPr>
        <sz val="11"/>
        <color theme="1"/>
        <rFont val="Noto Sans CJK SC"/>
        <family val="2"/>
      </rPr>
      <t xml:space="preserve">之間（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</si>
  <si>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mob26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</si>
  <si>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年行動裝置營收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</si>
  <si>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4Q25 20–25%</t>
    </r>
    <r>
      <rPr>
        <sz val="11"/>
        <color theme="1"/>
        <rFont val="Noto Sans CJK SC"/>
        <family val="2"/>
      </rPr>
      <t xml:space="preserve">，基礎設施升到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後行動裝置占比下降</t>
    </r>
  </si>
  <si>
    <t xml:space="preserve">車用工業及其他＝差額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</si>
  <si>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</si>
  <si>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</si>
  <si>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相關（高速材料）毛利率高於其他營收的幅度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</si>
  <si>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</si>
  <si>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部門別毛利率未揭露：未找到；毛利率隨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以上占比上升：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29.8% → 2Q26 33.9%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</si>
  <si>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毛利率改善歸因高階產品組合與滿載（富果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</si>
  <si>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法說截至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尚未舉行）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</si>
  <si>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</si>
  <si>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</si>
  <si>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</si>
  <si>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</si>
  <si>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https://finance.technews.tw/2026/10/05/emc-2383-202609-financial-report/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103.7%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</si>
  <si>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803.42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201.46 </t>
    </r>
    <r>
      <rPr>
        <sz val="11"/>
        <color theme="1"/>
        <rFont val="Noto Sans CJK SC"/>
        <family val="2"/>
      </rPr>
      <t xml:space="preserve">億（財報狗）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</si>
  <si>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</si>
  <si>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</si>
  <si>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月底，日期未找到）；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月月營收 </t>
    </r>
    <r>
      <rPr>
        <sz val="11"/>
        <color theme="1"/>
        <rFont val="Calibri"/>
        <family val="2"/>
        <charset val="1"/>
      </rPr>
      <t xml:space="preserve">215.3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646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</si>
  <si>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萬張；崑山、中山延到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（公司）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</si>
  <si>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</si>
  <si>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</si>
  <si>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35% ± 1.5%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</si>
  <si>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34.7%</t>
    </r>
    <r>
      <rPr>
        <sz val="11"/>
        <color theme="1"/>
        <rFont val="Noto Sans CJK SC"/>
        <family val="2"/>
      </rPr>
      <t xml:space="preserve">；本土投顧 </t>
    </r>
    <r>
      <rPr>
        <sz val="11"/>
        <color theme="1"/>
        <rFont val="Calibri"/>
        <family val="2"/>
        <charset val="1"/>
      </rPr>
      <t xml:space="preserve">35.08%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</si>
  <si>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</si>
  <si>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</si>
  <si>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指引；下半年不排除再漲價（公司）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</si>
  <si>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</si>
  <si>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</si>
  <si>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6.9%</t>
    </r>
    <r>
      <rPr>
        <sz val="11"/>
        <color theme="1"/>
        <rFont val="Noto Sans CJK SC"/>
        <family val="2"/>
      </rPr>
      <t xml:space="preserve">（凱基：毛利 </t>
    </r>
    <r>
      <rPr>
        <sz val="11"/>
        <color theme="1"/>
        <rFont val="Calibri"/>
        <family val="2"/>
        <charset val="1"/>
      </rPr>
      <t xml:space="preserve">160.03 −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127.34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FY2025 9.6%</t>
    </r>
    <r>
      <rPr>
        <sz val="11"/>
        <color theme="1"/>
        <rFont val="Noto Sans CJK SC"/>
        <family val="2"/>
      </rPr>
      <t xml:space="preserve">（公司）</t>
    </r>
  </si>
  <si>
    <t xml:space="preserve">營收成長快於費用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</si>
  <si>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</si>
  <si>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</si>
  <si>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（含中國政府補助 </t>
    </r>
    <r>
      <rPr>
        <sz val="11"/>
        <color theme="1"/>
        <rFont val="Calibri"/>
        <family val="2"/>
        <charset val="1"/>
      </rPr>
      <t xml:space="preserve">1.35 </t>
    </r>
    <r>
      <rPr>
        <sz val="11"/>
        <color theme="1"/>
        <rFont val="Noto Sans CJK SC"/>
        <family val="2"/>
      </rPr>
      <t xml:space="preserve">億；凱基）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</si>
  <si>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業外：未找到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</si>
  <si>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</si>
  <si>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</si>
  <si>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2Q26 98.73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127.34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0.52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</si>
  <si>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146.49 ÷ 191.08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</si>
  <si>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</si>
  <si>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</si>
  <si>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</si>
  <si>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152.13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42.46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</si>
  <si>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358.3 </t>
    </r>
    <r>
      <rPr>
        <sz val="11"/>
        <color theme="1"/>
        <rFont val="Noto Sans CJK SC"/>
        <family val="2"/>
      </rPr>
      <t xml:space="preserve">百萬股；現金股利 </t>
    </r>
    <r>
      <rPr>
        <sz val="11"/>
        <color theme="1"/>
        <rFont val="Calibri"/>
        <family val="2"/>
        <charset val="1"/>
      </rPr>
      <t xml:space="preserve">89.6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358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</si>
  <si>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</si>
  <si>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</si>
  <si>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</si>
  <si>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</si>
  <si>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+55%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（擴產期，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</si>
  <si>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</si>
  <si>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</si>
  <si>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</si>
  <si>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個百分點（台光電營業費用率約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</si>
  <si>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</si>
  <si>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</si>
  <si>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（凱基）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</si>
  <si>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</si>
  <si>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</si>
  <si>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</si>
  <si>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</si>
  <si>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</si>
  <si>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1H26 358.3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351.5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</si>
  <si>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</si>
  <si>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</si>
  <si>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</si>
  <si>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</si>
  <si>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共識、研調與市場資料（只作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</si>
  <si>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</si>
  <si>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</si>
  <si>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https://www.kgi.com.hk/zh-hk/-/media/files/kgishk/research-reports/tw-reports/emc-2383-tt20260729en.pdf</t>
  </si>
  <si>
    <t xml:space="preserve">b_eps26k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</si>
  <si>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</si>
  <si>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</si>
  <si>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b_eps26c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</si>
  <si>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</si>
  <si>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共識來源（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或其他）未載明</t>
    </r>
  </si>
  <si>
    <t xml:space="preserve">b_eps26l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</si>
  <si>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</si>
  <si>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https://www.mirrormedia.mg/external/setn_1915172</t>
    </r>
    <r>
      <rPr>
        <sz val="11"/>
        <color theme="1"/>
        <rFont val="Noto Sans CJK SC"/>
        <family val="2"/>
      </rPr>
      <t xml:space="preserve">（三立轉載，未具名本土投顧）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</si>
  <si>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</si>
  <si>
    <t xml:space="preserve">b_rev27k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</si>
  <si>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</si>
  <si>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b_rev27l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</si>
  <si>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</si>
  <si>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https://www.mirrormedia.mg/external/setn_1915172</t>
  </si>
  <si>
    <t xml:space="preserve">b_eps27k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</si>
  <si>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</si>
  <si>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7,625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</si>
  <si>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b_eps27c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</si>
  <si>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</si>
  <si>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b_eps27l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</si>
  <si>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</si>
  <si>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6,145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</si>
  <si>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ms_rev28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</si>
  <si>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</si>
  <si>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</si>
  <si>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942.61 </t>
    </r>
    <r>
      <rPr>
        <sz val="11"/>
        <color theme="1"/>
        <rFont val="Noto Sans CJK SC"/>
        <family val="2"/>
      </rPr>
      <t xml:space="preserve">億推算</t>
    </r>
  </si>
  <si>
    <t xml:space="preserve">ms_eps28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</si>
  <si>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8,400 ÷ 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）</t>
    </r>
  </si>
  <si>
    <t xml:space="preserve">https://www.itiger.com/news/1142209073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</si>
  <si>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117%</t>
    </r>
    <r>
      <rPr>
        <sz val="11"/>
        <color theme="1"/>
        <rFont val="Noto Sans CJK SC"/>
        <family val="2"/>
      </rPr>
      <t xml:space="preserve">（同上）</t>
    </r>
  </si>
  <si>
    <t xml:space="preserve">hs_sh25</t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</si>
  <si>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</si>
  <si>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（公司轉述 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</si>
  <si>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</si>
  <si>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hs_sh25c</t>
  </si>
  <si>
    <r>
      <rPr>
        <sz val="11"/>
        <color theme="1"/>
        <rFont val="Noto Sans CJK SC"/>
        <family val="2"/>
      </rPr>
      <t xml:space="preserve">公司自估：高速材料市占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</si>
  <si>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https://blog.fugle.tw/post/earnings-call-2383-2026-03-12</t>
    </r>
    <r>
      <rPr>
        <sz val="11"/>
        <color theme="1"/>
        <rFont val="Noto Sans CJK SC"/>
        <family val="2"/>
      </rPr>
      <t xml:space="preserve">（「超過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</si>
  <si>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利基市場（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、高速、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伺服器、交換器、低軌衛星）多數超過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</si>
  <si>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</si>
  <si>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</si>
  <si>
    <t xml:space="preserve">US$</t>
  </si>
  <si>
    <r>
      <rPr>
        <sz val="11"/>
        <color theme="1"/>
        <rFont val="Calibri"/>
        <family val="2"/>
        <charset val="1"/>
      </rPr>
      <t xml:space="preserve">VR200 18,750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VR300 35,601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</si>
  <si>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</si>
  <si>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</t>
    </r>
  </si>
  <si>
    <t xml:space="preserve">sht_gb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</si>
  <si>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</si>
  <si>
    <t xml:space="preserve">張</t>
  </si>
  <si>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（源達證券測算）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</si>
  <si>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張</t>
    </r>
  </si>
  <si>
    <t xml:space="preserve">sht_vr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</si>
  <si>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</t>
    </r>
  </si>
  <si>
    <t xml:space="preserve">https://finance.sina.cn/2026-09-28/detail-initkarh2920455.d.html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</si>
  <si>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</si>
  <si>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</si>
  <si>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</si>
  <si>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14:30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</si>
  <si>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</si>
  <si>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</si>
  <si>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</si>
  <si>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股市、財報狗（近四季 </t>
    </r>
    <r>
      <rPr>
        <sz val="11"/>
        <color theme="1"/>
        <rFont val="Calibri"/>
        <family val="2"/>
        <charset val="1"/>
      </rPr>
      <t xml:space="preserve">EPS 63.95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</si>
  <si>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79.28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</si>
  <si>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</si>
  <si>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</si>
  <si>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</si>
  <si>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</si>
  <si>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</si>
  <si>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</si>
  <si>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</si>
  <si>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</si>
  <si>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</si>
  <si>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</si>
  <si>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</si>
  <si>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</si>
  <si>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</si>
  <si>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</si>
  <si>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</si>
  <si>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</si>
  <si>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</si>
  <si>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</si>
  <si>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</si>
  <si>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</si>
  <si>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</si>
  <si>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22.45%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34.24%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</si>
  <si>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48.38%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</si>
  <si>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</si>
  <si>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</si>
  <si>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</si>
  <si>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</si>
  <si>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</si>
  <si>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</si>
  <si>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</si>
  <si>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</si>
  <si>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</si>
  <si>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</si>
  <si>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</si>
  <si>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</si>
  <si>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</si>
  <si>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</si>
  <si>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</si>
  <si>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</si>
  <si>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</si>
  <si>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</si>
  <si>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7,803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7,998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2026-10-22</t>
    </r>
  </si>
  <si>
    <r>
      <rPr>
        <sz val="11"/>
        <color theme="1"/>
        <rFont val="Noto Sans CJK SC"/>
        <family val="2"/>
      </rPr>
      <t xml:space="preserve">第二來源：未找到；個股頁（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快取）</t>
    </r>
    <r>
      <rPr>
        <sz val="11"/>
        <color theme="1"/>
        <rFont val="Calibri"/>
        <family val="2"/>
        <charset val="1"/>
      </rPr>
      <t xml:space="preserve">7,517.81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</si>
  <si>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</si>
  <si>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</si>
  <si>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）：價格 </t>
    </r>
    <r>
      <rPr>
        <sz val="11"/>
        <color theme="1"/>
        <rFont val="Calibri"/>
        <family val="2"/>
        <charset val="1"/>
      </rPr>
      <t xml:space="preserve">5,415 ÷ Forward PE 32.17</t>
    </r>
    <r>
      <rPr>
        <sz val="11"/>
        <color theme="1"/>
        <rFont val="Noto Sans CJK SC"/>
        <family val="2"/>
      </rPr>
      <t xml:space="preserve">；較新資料：未找到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</si>
  <si>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</si>
  <si>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為新台幣；股數為十億股）。藍字＝輸入；黑字＝公式。實績取自台光電法說（經轉述）、券商整理的季報數字與月營收公告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</si>
  <si>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1.7863</t>
    </r>
    <r>
      <rPr>
        <sz val="11"/>
        <color theme="1"/>
        <rFont val="Noto Sans CJK SC"/>
        <family val="2"/>
      </rPr>
      <t xml:space="preserve">；玩股網單季營業利益季增 </t>
    </r>
    <r>
      <rPr>
        <sz val="11"/>
        <color theme="1"/>
        <rFont val="Calibri"/>
        <family val="2"/>
        <charset val="1"/>
      </rPr>
      <t xml:space="preserve">78.63%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的業外、稅前利益：未找到。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</si>
  <si>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</si>
  <si>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</si>
  <si>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</si>
  <si>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</si>
  <si>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</si>
  <si>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</si>
  <si>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</si>
  <si>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年報數字、</t>
    </r>
    <r>
      <rPr>
        <sz val="11"/>
        <color theme="1"/>
        <rFont val="Calibri"/>
        <family val="2"/>
        <charset val="1"/>
      </rPr>
      <t xml:space="preserve">uanalyze 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https://www.kgi.com.hk/zh-hk/-/media/files/kgishk/research-reports/tw-reports/emc-2383-tt20260729en.pdf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</si>
  <si>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943 </t>
    </r>
    <r>
      <rPr>
        <sz val="11"/>
        <color theme="1"/>
        <rFont val="Noto Sans CJK SC"/>
        <family val="2"/>
      </rPr>
      <t xml:space="preserve">億（同值）；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富果：</t>
    </r>
    <r>
      <rPr>
        <sz val="11"/>
        <color theme="1"/>
        <rFont val="Calibri"/>
        <family val="2"/>
        <charset val="1"/>
      </rPr>
      <t xml:space="preserve">2Q26 472.7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</si>
  <si>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</si>
  <si>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</si>
  <si>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32.02%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160.03 </t>
    </r>
    <r>
      <rPr>
        <sz val="11"/>
        <color theme="1"/>
        <rFont val="Noto Sans CJK SC"/>
        <family val="2"/>
      </rPr>
      <t xml:space="preserve">億（凱基）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</si>
  <si>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</si>
  <si>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29.8%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2Q26 33.9%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</si>
  <si>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</si>
  <si>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</si>
  <si>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</si>
  <si>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</si>
  <si>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</si>
  <si>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20.3%</t>
    </r>
    <r>
      <rPr>
        <sz val="11"/>
        <color theme="1"/>
        <rFont val="Noto Sans CJK SC"/>
        <family val="2"/>
      </rPr>
      <t xml:space="preserve">（富果）；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億（凱基）；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由玩股網季增率反推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</si>
  <si>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</si>
  <si>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2Q26 26.9%</t>
    </r>
    <r>
      <rPr>
        <sz val="11"/>
        <color theme="1"/>
        <rFont val="Noto Sans CJK SC"/>
        <family val="2"/>
      </rPr>
      <t xml:space="preserve">（凱基）</t>
    </r>
  </si>
  <si>
    <t xml:space="preserve">業外收益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</si>
  <si>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</si>
  <si>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</si>
  <si>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</si>
  <si>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</si>
  <si>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uanalyze 146.5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2Q26 98.73 </t>
    </r>
    <r>
      <rPr>
        <sz val="11"/>
        <color theme="1"/>
        <rFont val="Noto Sans CJK SC"/>
        <family val="2"/>
      </rPr>
      <t xml:space="preserve">億（凱基）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</si>
  <si>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</si>
  <si>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</si>
  <si>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為加權平均）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</si>
  <si>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</si>
  <si>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</si>
  <si>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</si>
  <si>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14.90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udn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</si>
  <si>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</si>
  <si>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</si>
  <si>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公司產品組合（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</si>
  <si>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</si>
  <si>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</si>
  <si>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通用伺服器、低軌衛星、手持（手機、筆電、記憶體模組）、車用與工業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</si>
  <si>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</si>
  <si>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</si>
  <si>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</si>
  <si>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</si>
  <si>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</si>
  <si>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</si>
  <si>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營收季增（實績；公司指引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</si>
  <si>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472.75 </t>
    </r>
    <r>
      <rPr>
        <sz val="11"/>
        <color theme="1"/>
        <rFont val="Noto Sans CJK SC"/>
        <family val="2"/>
      </rPr>
      <t xml:space="preserve">億＝上半年 </t>
    </r>
    <r>
      <rPr>
        <sz val="11"/>
        <color theme="1"/>
        <rFont val="Calibri"/>
        <family val="2"/>
        <charset val="1"/>
      </rPr>
      <t xml:space="preserve">803.42 − 1Q26 330.7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</si>
  <si>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金額（加速器／運算板、交換器板、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／中板）、台光電份額與產能（本專案權威，規則第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</si>
  <si>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</si>
  <si>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</si>
  <si>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</si>
  <si>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</si>
  <si>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</si>
  <si>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</si>
  <si>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</si>
  <si>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</si>
  <si>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</si>
  <si>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</si>
  <si>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</si>
  <si>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</si>
  <si>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</si>
  <si>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</si>
  <si>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</si>
  <si>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</si>
  <si>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US$18.75K</t>
    </r>
    <r>
      <rPr>
        <sz val="11"/>
        <color theme="1"/>
        <rFont val="Noto Sans CJK SC"/>
        <family val="2"/>
      </rPr>
      <t xml:space="preserve">（口徑較窄）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</si>
  <si>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</si>
  <si>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</si>
  <si>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台光電有效份額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</si>
  <si>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</si>
  <si>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</si>
  <si>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</si>
  <si>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</si>
  <si>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平均月產能</t>
  </si>
  <si>
    <t xml:space="preserve">公司擴產計畫</t>
  </si>
  <si>
    <t xml:space="preserve">每張營收（含組合與價格指數）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</si>
  <si>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／張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</si>
  <si>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</si>
  <si>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</si>
  <si>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</si>
  <si>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（台燿、斗山、生益、松下等）＝ 市場 − 台光電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</si>
  <si>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</si>
  <si>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年需求面高於產能時，營收由月產能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每張營收決定，擴產進度與 </t>
    </r>
    <r>
      <rPr>
        <b val="true"/>
        <sz val="11"/>
        <rFont val="Cambria"/>
        <family val="0"/>
        <charset val="1"/>
      </rPr>
      <t xml:space="preserve">M9 </t>
    </r>
    <r>
      <rPr>
        <b val="true"/>
        <sz val="11"/>
        <rFont val="Noto Sans CJK SC"/>
        <family val="2"/>
      </rPr>
      <t xml:space="preserve">組合比需求更關鍵。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</si>
  <si>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台光電損益（十億新台幣；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</si>
  <si>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</si>
  <si>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</si>
  <si>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</si>
  <si>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</si>
  <si>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</si>
  <si>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</si>
  <si>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</si>
  <si>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</si>
  <si>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</si>
  <si>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</si>
  <si>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</si>
  <si>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</si>
  <si>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</si>
  <si>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</si>
  <si>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</si>
  <si>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</si>
  <si>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</si>
  <si>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</si>
  <si>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</si>
  <si>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</si>
  <si>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</si>
  <si>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</si>
  <si>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</si>
  <si>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</si>
  <si>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</si>
  <si>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</si>
  <si>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</si>
  <si>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台光電有效份額（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</si>
  <si>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</si>
  <si>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</si>
  <si>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</si>
  <si>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</si>
  <si>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每張營收（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（月產能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</si>
  <si>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：全產全銷，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營收全部由產能吸收；含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（膠片）與所有等級</t>
    </r>
  </si>
  <si>
    <r>
      <rPr>
        <sz val="11"/>
        <color theme="1"/>
        <rFont val="Noto Sans CJK SC"/>
        <family val="2"/>
      </rPr>
      <t xml:space="preserve">每張營收組合指數（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</si>
  <si>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月產能 </t>
    </r>
    <r>
      <rPr>
        <sz val="11"/>
        <color theme="1"/>
        <rFont val="Calibri"/>
        <family val="2"/>
        <charset val="1"/>
      </rPr>
      <t xml:space="preserve">× 12 × </t>
    </r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</si>
  <si>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</si>
  <si>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</si>
  <si>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</si>
  <si>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</si>
  <si>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t xml:space="preserve">營收年增</t>
  </si>
  <si>
    <r>
      <rPr>
        <sz val="11"/>
        <color theme="1"/>
        <rFont val="Noto Sans CJK SC"/>
        <family val="2"/>
      </rPr>
      <t xml:space="preserve">  基礎設施：非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（一般伺服器、低軌衛星等）</t>
    </r>
  </si>
  <si>
    <r>
      <rPr>
        <sz val="11"/>
        <color theme="1"/>
        <rFont val="Noto Sans CJK SC"/>
        <family val="2"/>
      </rPr>
      <t xml:space="preserve">基礎設施占比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起占非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比例固定</t>
    </r>
  </si>
  <si>
    <r>
      <rPr>
        <sz val="11"/>
        <color theme="1"/>
        <rFont val="Noto Sans CJK SC"/>
        <family val="2"/>
      </rPr>
      <t xml:space="preserve">基礎設施營收（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</si>
  <si>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公司應用別：基礎設施（伺服器、交換器、低軌衛星）</t>
  </si>
  <si>
    <t xml:space="preserve">行動裝置營收</t>
  </si>
  <si>
    <t xml:space="preserve">公司應用別：行動裝置</t>
  </si>
  <si>
    <t xml:space="preserve">車用、工業及其他營收（差額）</t>
  </si>
  <si>
    <t xml:space="preserve">公司應用別：車用、工業及其他</t>
  </si>
  <si>
    <t xml:space="preserve">檢查：分部合計 − 合併營收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</si>
  <si>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</si>
  <si>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</si>
  <si>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</si>
  <si>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</si>
  <si>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</si>
  <si>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</si>
  <si>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</si>
  <si>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：每張成本不變，價格升降全部落在毛利（組合升級的毛利效果未另計）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</si>
  <si>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</si>
  <si>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</si>
  <si>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</si>
  <si>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</si>
  <si>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</si>
  <si>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</si>
  <si>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</si>
  <si>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</si>
  <si>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</si>
  <si>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</si>
  <si>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</si>
  <si>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</si>
  <si>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</si>
  <si>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</si>
  <si>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</si>
  <si>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</si>
  <si>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</si>
  <si>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</si>
  <si>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</si>
  <si>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</si>
  <si>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</si>
  <si>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</si>
  <si>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</si>
  <si>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</si>
  <si>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</si>
  <si>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</si>
  <si>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</si>
  <si>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</si>
  <si>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</si>
  <si>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循環位置：台光電不是設備股，不套設備市場見頂年；以本模型營收最高的會計年度為見頂年（比照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</si>
  <si>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</si>
  <si>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</si>
  <si>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</si>
  <si>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</si>
  <si>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</si>
  <si>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</si>
  <si>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</si>
  <si>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</si>
  <si>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</si>
  <si>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</si>
  <si>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</si>
  <si>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</si>
  <si>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</si>
  <si>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</si>
  <si>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</si>
  <si>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</si>
  <si>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</si>
  <si>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</si>
  <si>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</si>
  <si>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</si>
  <si>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</si>
  <si>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</si>
  <si>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</si>
  <si>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</si>
  <si>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</si>
  <si>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</si>
  <si>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</si>
  <si>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</si>
  <si>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</si>
  <si>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</si>
  <si>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</si>
  <si>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</si>
  <si>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</si>
  <si>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</si>
  <si>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</si>
  <si>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</si>
  <si>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</si>
  <si>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</si>
  <si>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</si>
  <si>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</si>
  <si>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</si>
  <si>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</si>
  <si>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</si>
  <si>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</si>
  <si>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</si>
  <si>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</si>
  <si>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</si>
  <si>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</si>
  <si>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</si>
  <si>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，一個來源、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材料期低倍數（約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</si>
  <si>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</si>
  <si>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未找到，共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，兩者與採用值同量級，只作核對。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年台光電以手機、筆電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材料為主（約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</si>
  <si>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</si>
  <si>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</si>
  <si>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收盤、</t>
    </r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nstock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</si>
  <si>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</si>
  <si>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</si>
  <si>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</si>
  <si>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</si>
  <si>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</si>
  <si>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</si>
  <si>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</si>
  <si>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</si>
  <si>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</si>
  <si>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</si>
  <si>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</si>
  <si>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</si>
  <si>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</si>
  <si>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</si>
  <si>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</si>
  <si>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</si>
  <si>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</si>
  <si>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</si>
  <si>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</si>
  <si>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</si>
  <si>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</si>
  <si>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</si>
  <si>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</si>
  <si>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</si>
  <si>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</si>
  <si>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</si>
  <si>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</si>
  <si>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</si>
  <si>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</si>
  <si>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</si>
  <si>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</si>
  <si>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</si>
  <si>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</si>
  <si>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</si>
  <si>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</si>
  <si>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</si>
  <si>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</si>
  <si>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</si>
  <si>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</si>
  <si>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</si>
  <si>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</si>
  <si>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</si>
  <si>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</si>
  <si>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</si>
  <si>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</si>
  <si>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</si>
  <si>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</si>
  <si>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</si>
  <si>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</si>
  <si>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</si>
  <si>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</si>
  <si>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</si>
  <si>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</si>
  <si>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</si>
  <si>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</si>
  <si>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</si>
  <si>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</si>
  <si>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</si>
  <si>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</si>
  <si>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</si>
  <si>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</si>
  <si>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</si>
  <si>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</si>
  <si>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</si>
  <si>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</si>
  <si>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台燿（</t>
    </r>
    <r>
      <rPr>
        <sz val="11"/>
        <color theme="1"/>
        <rFont val="Calibri"/>
        <family val="2"/>
        <charset val="1"/>
      </rPr>
      <t xml:space="preserve">Taiwan Union Technology</t>
    </r>
    <r>
      <rPr>
        <sz val="11"/>
        <color theme="1"/>
        <rFont val="Noto Sans CJK SC"/>
        <family val="2"/>
      </rPr>
      <t xml:space="preserve">）</t>
    </r>
  </si>
  <si>
    <t xml:space="preserve">6274.TWO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</si>
  <si>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</si>
  <si>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</si>
  <si>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</si>
  <si>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聯茂（</t>
    </r>
    <r>
      <rPr>
        <sz val="11"/>
        <color theme="1"/>
        <rFont val="Calibri"/>
        <family val="2"/>
        <charset val="1"/>
      </rPr>
      <t xml:space="preserve">ITEQ</t>
    </r>
    <r>
      <rPr>
        <sz val="11"/>
        <color theme="1"/>
        <rFont val="Noto Sans CJK SC"/>
        <family val="2"/>
      </rPr>
      <t xml:space="preserve">）</t>
    </r>
  </si>
  <si>
    <t xml:space="preserve">6213.TW</t>
  </si>
  <si>
    <r>
      <rPr>
        <sz val="11"/>
        <color theme="1"/>
        <rFont val="Noto Sans CJK SC"/>
        <family val="2"/>
      </rPr>
      <t xml:space="preserve">金像電（</t>
    </r>
    <r>
      <rPr>
        <sz val="11"/>
        <color theme="1"/>
        <rFont val="Calibri"/>
        <family val="2"/>
        <charset val="1"/>
      </rPr>
      <t xml:space="preserve">Gold Circuit</t>
    </r>
    <r>
      <rPr>
        <sz val="11"/>
        <color theme="1"/>
        <rFont val="Noto Sans CJK SC"/>
        <family val="2"/>
      </rPr>
      <t xml:space="preserve">）</t>
    </r>
  </si>
  <si>
    <t xml:space="preserve">2368.TW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</si>
  <si>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</si>
  <si>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同業：台燿、聯茂（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）、金像電（下游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）。生益科技（</t>
    </r>
    <r>
      <rPr>
        <sz val="11"/>
        <color theme="1"/>
        <rFont val="Calibri"/>
        <family val="2"/>
        <charset val="1"/>
      </rPr>
      <t xml:space="preserve">600183.SS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</t>
    </r>
    <r>
      <rPr>
        <sz val="11"/>
        <color theme="1"/>
        <rFont val="Calibri"/>
        <family val="2"/>
        <charset val="1"/>
      </rPr>
      <t xml:space="preserve">Doosan </t>
    </r>
    <r>
      <rPr>
        <sz val="11"/>
        <color theme="1"/>
        <rFont val="Noto Sans CJK SC"/>
        <family val="2"/>
      </rPr>
      <t xml:space="preserve">電子材料、松下未單獨上市或為綜合企業，未列。非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</si>
  <si>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</si>
  <si>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</si>
  <si>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</si>
  <si>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</si>
  <si>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</si>
  <si>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</si>
  <si>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</si>
  <si>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</si>
  <si>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</si>
  <si>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</si>
  <si>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</si>
  <si>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</si>
  <si>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</si>
  <si>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</si>
  <si>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</si>
  <si>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</si>
  <si>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</si>
  <si>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</si>
  <si>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</si>
  <si>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</si>
  <si>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</si>
  <si>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</si>
  <si>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高使再投資率低、情境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高淨利率，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：台燿、聯茂、金像電前瞻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中位數（只有三家，台光電歷來享溢價），偏低估。情境對應：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</si>
  <si>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；同規則值；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未找到）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</si>
  <si>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</si>
  <si>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</si>
  <si>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</si>
  <si>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</si>
  <si>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</si>
  <si>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券商估計、研調份額與每架內容。只作事後對照，不為對上數字而調參數。券商多為單一來源；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</si>
  <si>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</si>
  <si>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</si>
  <si>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</si>
  <si>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</si>
  <si>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</si>
  <si>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</si>
  <si>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</si>
  <si>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</si>
  <si>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</si>
  <si>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</si>
  <si>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</si>
  <si>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608.9 </t>
    </r>
    <r>
      <rPr>
        <sz val="11"/>
        <color theme="1"/>
        <rFont val="Noto Sans CJK SC"/>
        <family val="2"/>
      </rPr>
      <t xml:space="preserve">億，高於凱基 </t>
    </r>
    <r>
      <rPr>
        <sz val="11"/>
        <color theme="1"/>
        <rFont val="Calibri"/>
        <family val="2"/>
        <charset val="1"/>
      </rPr>
      <t xml:space="preserve">556.0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</si>
  <si>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</si>
  <si>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</si>
  <si>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t xml:space="preserve">凱基報告所列共識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</si>
  <si>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</si>
  <si>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</si>
  <si>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</si>
  <si>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</si>
  <si>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本土投顧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</si>
  <si>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</si>
  <si>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</si>
  <si>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</si>
  <si>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三個來源區間 </t>
    </r>
    <r>
      <rPr>
        <sz val="11"/>
        <color theme="1"/>
        <rFont val="Calibri"/>
        <family val="2"/>
        <charset val="1"/>
      </rPr>
      <t xml:space="preserve">190.6–204.9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</si>
  <si>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隱含（複合成長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</si>
  <si>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</t>
    </r>
  </si>
  <si>
    <t xml:space="preserve">由成長率推算，非原文數字</t>
  </si>
  <si>
    <r>
      <rPr>
        <sz val="11"/>
        <color theme="1"/>
        <rFont val="Calibri"/>
        <family val="2"/>
        <charset val="1"/>
      </rPr>
      <t xml:space="preserve">FY2028 EPS vs Morgan Stanley </t>
    </r>
    <r>
      <rPr>
        <sz val="11"/>
        <color theme="1"/>
        <rFont val="Noto Sans CJK SC"/>
        <family val="2"/>
      </rPr>
      <t xml:space="preserve">隱含（目標價 </t>
    </r>
    <r>
      <rPr>
        <sz val="11"/>
        <color theme="1"/>
        <rFont val="Calibri"/>
        <family val="2"/>
        <charset val="1"/>
      </rPr>
      <t xml:space="preserve">÷ 20 </t>
    </r>
    <r>
      <rPr>
        <sz val="11"/>
        <color theme="1"/>
        <rFont val="Noto Sans CJK SC"/>
        <family val="2"/>
      </rPr>
      <t xml:space="preserve">倍）</t>
    </r>
  </si>
  <si>
    <t xml:space="preserve">由目標價推算，非原文數字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</si>
  <si>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</si>
  <si>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</si>
  <si>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（公司轉述）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</si>
  <si>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），不含非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</si>
  <si>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公司自估（超過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</si>
  <si>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</si>
  <si>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</si>
  <si>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18,750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</si>
  <si>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</si>
  <si>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每架張數換算</t>
    </r>
  </si>
  <si>
    <r>
      <rPr>
        <sz val="11"/>
        <color theme="1"/>
        <rFont val="Noto Sans CJK SC"/>
        <family val="2"/>
      </rPr>
      <t xml:space="preserve">源達證券：每架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 →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</t>
    </r>
  </si>
  <si>
    <r>
      <rPr>
        <sz val="11"/>
        <color theme="1"/>
        <rFont val="Noto Sans CJK SC"/>
        <family val="2"/>
      </rPr>
      <t xml:space="preserve">張數不含材料等級升級（</t>
    </r>
    <r>
      <rPr>
        <sz val="11"/>
        <color theme="1"/>
        <rFont val="Calibri"/>
        <family val="2"/>
        <charset val="1"/>
      </rPr>
      <t xml:space="preserve">M8 → M9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</si>
  <si>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Morgan Stanley VR200 </t>
    </r>
    <r>
      <rPr>
        <sz val="11"/>
        <color theme="1"/>
        <rFont val="Noto Sans CJK SC"/>
        <family val="2"/>
      </rPr>
      <t xml:space="preserve">每架</t>
    </r>
  </si>
  <si>
    <t xml:space="preserve">Morgan Stanley</t>
  </si>
  <si>
    <r>
      <rPr>
        <sz val="11"/>
        <color theme="1"/>
        <rFont val="Noto Sans CJK SC"/>
        <family val="2"/>
      </rPr>
      <t xml:space="preserve">本模型含交換器（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口徑較窄（未載明），差距不具意義，不列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</si>
  <si>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</si>
  <si>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</si>
  <si>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</si>
  <si>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</si>
  <si>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；校準）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</si>
  <si>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NT$1,343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頁）；漲價與 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組合使每張營收倍增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</si>
  <si>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</si>
  <si>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</si>
  <si>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</si>
  <si>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</si>
  <si>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</si>
  <si>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</si>
  <si>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</si>
  <si>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</si>
  <si>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</si>
  <si>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</si>
  <si>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</si>
  <si>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</si>
  <si>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</si>
  <si>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</si>
  <si>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</si>
  <si>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</si>
  <si>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；有效份額、每張營收、其他營收毛利率在每個案例內依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</si>
  <si>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</si>
  <si>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</si>
  <si>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</si>
  <si>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</si>
  <si>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</si>
  <si>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</si>
  <si>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</si>
  <si>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</si>
  <si>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</si>
  <si>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</si>
  <si>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</si>
  <si>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</si>
  <si>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</si>
  <si>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</si>
  <si>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</si>
  <si>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</si>
  <si>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1.70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</si>
  <si>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</si>
  <si>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</si>
  <si>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</si>
  <si>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2027 2.50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</si>
  <si>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</si>
  <si>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（台燿、斗山、生益追趕）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</si>
  <si>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</si>
  <si>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</si>
  <si>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</si>
  <si>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</si>
  <si>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</si>
  <si>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</si>
  <si>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</si>
  <si>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2027 7.0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2029 11.1 </t>
    </r>
    <r>
      <rPr>
        <sz val="11"/>
        <color theme="1"/>
        <rFont val="Noto Sans CJK SC"/>
        <family val="2"/>
      </rPr>
      <t xml:space="preserve">百萬張</t>
    </r>
  </si>
  <si>
    <t xml:space="preserve">擴產提前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</si>
  <si>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2029 13.0 </t>
    </r>
    <r>
      <rPr>
        <sz val="11"/>
        <color theme="1"/>
        <rFont val="Noto Sans CJK SC"/>
        <family val="2"/>
      </rPr>
      <t xml:space="preserve">百萬張</t>
    </r>
  </si>
  <si>
    <t xml:space="preserve">每張組合升級 慢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</si>
  <si>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2029 1.20</t>
    </r>
  </si>
  <si>
    <t xml:space="preserve">每張組合升級 快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</si>
  <si>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2029 1.85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</si>
  <si>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</si>
  <si>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</si>
  <si>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</si>
  <si>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</si>
  <si>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</si>
  <si>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</si>
  <si>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</si>
  <si>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</si>
  <si>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</si>
  <si>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</si>
  <si>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</si>
  <si>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</si>
  <si>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</si>
  <si>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</si>
  <si>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</si>
  <si>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</si>
  <si>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部署）對營收的影響被產能上限截斷，只有產能與每張組合指數會改變營收；價格指數同時改變產能上限營收與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</si>
  <si>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</si>
  <si>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</si>
  <si>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</si>
  <si>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</si>
  <si>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</si>
  <si>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</si>
  <si>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</si>
  <si>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</si>
  <si>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</si>
  <si>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</si>
  <si>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慢（情境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</si>
  <si>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</si>
  <si>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</si>
  <si>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</si>
  <si>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</si>
  <si>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</si>
  <si>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</si>
  <si>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</si>
  <si>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</si>
  <si>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</si>
  <si>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</si>
  <si>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</si>
  <si>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</si>
  <si>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</si>
  <si>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</si>
  <si>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</si>
  <si>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</si>
  <si>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</si>
  <si>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</si>
  <si>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</si>
  <si>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</si>
  <si>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</si>
  <si>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</si>
  <si>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</si>
  <si>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</si>
  <si>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</si>
  <si>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來源（公司原文＝台光電法說，經富果、</t>
    </r>
    <r>
      <rPr>
        <b val="true"/>
        <sz val="11"/>
        <rFont val="Cambria"/>
        <family val="0"/>
        <charset val="1"/>
      </rPr>
      <t xml:space="preserve">uanalyze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udn </t>
    </r>
    <r>
      <rPr>
        <b val="true"/>
        <sz val="11"/>
        <rFont val="Noto Sans CJK SC"/>
        <family val="2"/>
      </rPr>
      <t xml:space="preserve">轉述；季報細項取自凱基整理；券商與研調皆為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</si>
  <si>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、產品組合、擴產、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、漲價、份額）</t>
    </r>
  </si>
  <si>
    <t xml:space="preserve">https://blog.fugle.tw/post/earnings-call-2383-2026-03-12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</si>
  <si>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指引、基礎設施占比、產能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萬張）</t>
    </r>
  </si>
  <si>
    <t xml:space="preserve">https://blog.fugle.tw/post/earnings-call-2383-2026-08-27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</si>
  <si>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</si>
  <si>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https://uanalyze.com.tw/articles/9219952430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</si>
  <si>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億、股利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元）</t>
    </r>
  </si>
  <si>
    <t xml:space="preserve">https://uanalyze.com.tw/articles/5965248827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</si>
  <si>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udn 1Q26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53.4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14.9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</si>
  <si>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https://udn.com/news/story/7253/9472499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</si>
  <si>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</si>
  <si>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https://finance.technews.tw/2026/10/05/emc-2383-202609-financial-report/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</si>
  <si>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損益細項、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預估、共識、產品組合、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以上占比）</t>
    </r>
  </si>
  <si>
    <r>
      <rPr>
        <sz val="11"/>
        <color theme="1"/>
        <rFont val="Noto Sans CJK SC"/>
        <family val="2"/>
      </rPr>
      <t xml:space="preserve">券商：三立／鏡週刊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、產能路徑、高階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供需）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</si>
  <si>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</t>
    </r>
    <r>
      <rPr>
        <sz val="11"/>
        <color theme="1"/>
        <rFont val="Noto Sans CJK SC"/>
        <family val="2"/>
      </rPr>
      <t xml:space="preserve">／老虎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每架金額、</t>
    </r>
    <r>
      <rPr>
        <sz val="11"/>
        <color theme="1"/>
        <rFont val="Calibri"/>
        <family val="2"/>
        <charset val="1"/>
      </rPr>
      <t xml:space="preserve">TAM</t>
    </r>
    <r>
      <rPr>
        <sz val="11"/>
        <color theme="1"/>
        <rFont val="Noto Sans CJK SC"/>
        <family val="2"/>
      </rPr>
      <t xml:space="preserve">、台光電成長率與目標價）</t>
    </r>
  </si>
  <si>
    <r>
      <rPr>
        <sz val="11"/>
        <color theme="1"/>
        <rFont val="Noto Sans CJK SC"/>
        <family val="2"/>
      </rPr>
      <t xml:space="preserve">研調：源達證券 </t>
    </r>
    <r>
      <rPr>
        <sz val="11"/>
        <color theme="1"/>
        <rFont val="Calibri"/>
        <family val="2"/>
        <charset val="1"/>
      </rPr>
      <t xml:space="preserve">2026-09-28</t>
    </r>
    <r>
      <rPr>
        <sz val="11"/>
        <color theme="1"/>
        <rFont val="Noto Sans CJK SC"/>
        <family val="2"/>
      </rPr>
      <t xml:space="preserve">（新浪轉載；每架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張數、板層數、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</si>
  <si>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</si>
  <si>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https://tw.stock.yahoo.com/quote/2383.TW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</si>
  <si>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</si>
  <si>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https://finance.yahoo.com/quote/2383.TW/history/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</si>
  <si>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、月本益比；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年度財報與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</si>
  <si>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https://histock.tw/stock/2383/%E6%9C%AC%E7%9B%8A%E6%AF%94</t>
  </si>
  <si>
    <r>
      <rPr>
        <sz val="11"/>
        <color theme="1"/>
        <rFont val="Noto Sans CJK SC"/>
        <family val="2"/>
      </rPr>
      <t xml:space="preserve">資料商：玩股網（單季營業利益季增率，用於拆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營業利益）</t>
    </r>
  </si>
  <si>
    <t xml:space="preserve">https://www.wantgoo.com/stock/2383/enterprise-growth/operating-profit-margin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</si>
  <si>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</si>
  <si>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月上旬）；法說原文（公司網站）；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業外；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）；每張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</si>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</sst>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0%"/>
    <numFmt numFmtId="17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tr">
        <f aca="false">"投資建議："&amp;Val!B132&amp;"（依上檔空間固定規則）"</f>
        <v>投資建議：中立（依上檔空間固定規則）</v>
      </c>
    </row>
    <row r="22" customFormat="false" ht="17.15" hidden="false" customHeight="false" outlineLevel="0" collapsed="false">
      <c r="A22" s="3" t="s">
        <v>17</v>
      </c>
    </row>
    <row r="23" customFormat="false" ht="17.15" hidden="false" customHeight="false" outlineLevel="0" collapsed="false">
      <c r="A23" s="3" t="s">
        <v>18</v>
      </c>
    </row>
    <row r="24" customFormat="false" ht="17.15" hidden="false" customHeight="fals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3" t="s">
        <v>21</v>
      </c>
    </row>
    <row r="3" customFormat="false" ht="17.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</row>
    <row r="4" customFormat="false" ht="17.15" hidden="false" customHeight="false" outlineLevel="0" collapsed="false">
      <c r="A4" s="5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6" t="n">
        <v>781.872916666666</v>
      </c>
      <c r="G5" s="7" t="s">
        <v>35</v>
      </c>
      <c r="H5" s="7" t="s">
        <v>36</v>
      </c>
      <c r="I5" s="3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6" t="n">
        <v>1565.35</v>
      </c>
      <c r="G6" s="7" t="s">
        <v>35</v>
      </c>
      <c r="H6" s="7" t="s">
        <v>36</v>
      </c>
      <c r="I6" s="3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6" t="n">
        <v>1984.26388888889</v>
      </c>
      <c r="G7" s="7" t="s">
        <v>35</v>
      </c>
      <c r="H7" s="7" t="s">
        <v>36</v>
      </c>
      <c r="I7" s="3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6" t="n">
        <v>2260.39027777778</v>
      </c>
      <c r="G8" s="7" t="s">
        <v>35</v>
      </c>
      <c r="H8" s="7" t="s">
        <v>36</v>
      </c>
      <c r="I8" s="3" t="s">
        <v>40</v>
      </c>
    </row>
    <row r="9" customFormat="false" ht="17.15" hidden="false" customHeight="false" outlineLevel="0" collapsed="false">
      <c r="A9" s="0" t="s">
        <v>45</v>
      </c>
      <c r="B9" s="3" t="s">
        <v>46</v>
      </c>
      <c r="C9" s="0" t="s">
        <v>34</v>
      </c>
      <c r="E9" s="6" t="n">
        <v>32.237224</v>
      </c>
      <c r="G9" s="7" t="s">
        <v>35</v>
      </c>
      <c r="H9" s="7" t="s">
        <v>47</v>
      </c>
      <c r="I9" s="7" t="s">
        <v>48</v>
      </c>
    </row>
    <row r="10" customFormat="false" ht="17.15" hidden="false" customHeight="false" outlineLevel="0" collapsed="false">
      <c r="A10" s="0" t="s">
        <v>49</v>
      </c>
      <c r="B10" s="3" t="s">
        <v>50</v>
      </c>
      <c r="C10" s="0" t="s">
        <v>34</v>
      </c>
      <c r="E10" s="6" t="n">
        <v>37.586352</v>
      </c>
      <c r="G10" s="7" t="s">
        <v>35</v>
      </c>
      <c r="H10" s="7" t="s">
        <v>47</v>
      </c>
      <c r="I10" s="3" t="s">
        <v>51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54</v>
      </c>
      <c r="D11" s="6" t="n">
        <v>0.15</v>
      </c>
      <c r="E11" s="6" t="n">
        <v>0.22</v>
      </c>
      <c r="F11" s="6" t="n">
        <v>0.3</v>
      </c>
      <c r="G11" s="7" t="s">
        <v>55</v>
      </c>
      <c r="H11" s="7" t="s">
        <v>56</v>
      </c>
      <c r="I11" s="3" t="s">
        <v>57</v>
      </c>
    </row>
    <row r="12" customFormat="false" ht="17.15" hidden="false" customHeight="false" outlineLevel="0" collapsed="false">
      <c r="A12" s="0" t="s">
        <v>58</v>
      </c>
      <c r="B12" s="3" t="s">
        <v>59</v>
      </c>
      <c r="C12" s="3" t="s">
        <v>60</v>
      </c>
      <c r="E12" s="6" t="n">
        <v>6764</v>
      </c>
      <c r="G12" s="7" t="s">
        <v>35</v>
      </c>
      <c r="H12" s="7" t="s">
        <v>61</v>
      </c>
      <c r="I12" s="7" t="s">
        <v>62</v>
      </c>
    </row>
    <row r="13" customFormat="false" ht="17.15" hidden="false" customHeight="false" outlineLevel="0" collapsed="false">
      <c r="A13" s="0" t="s">
        <v>63</v>
      </c>
      <c r="B13" s="3" t="s">
        <v>64</v>
      </c>
      <c r="C13" s="3" t="s">
        <v>60</v>
      </c>
      <c r="E13" s="6" t="n">
        <v>4052</v>
      </c>
      <c r="G13" s="7" t="s">
        <v>35</v>
      </c>
      <c r="H13" s="7" t="s">
        <v>61</v>
      </c>
      <c r="I13" s="3" t="s">
        <v>40</v>
      </c>
    </row>
    <row r="14" customFormat="false" ht="17.15" hidden="false" customHeight="false" outlineLevel="0" collapsed="false">
      <c r="A14" s="0" t="s">
        <v>65</v>
      </c>
      <c r="B14" s="3" t="s">
        <v>66</v>
      </c>
      <c r="C14" s="0" t="s">
        <v>67</v>
      </c>
      <c r="E14" s="6" t="n">
        <v>1</v>
      </c>
      <c r="G14" s="7" t="s">
        <v>68</v>
      </c>
      <c r="H14" s="7" t="s">
        <v>69</v>
      </c>
      <c r="I14" s="7" t="s">
        <v>70</v>
      </c>
    </row>
    <row r="15" customFormat="false" ht="17.15" hidden="false" customHeight="false" outlineLevel="0" collapsed="false">
      <c r="A15" s="0" t="s">
        <v>71</v>
      </c>
      <c r="B15" s="3" t="s">
        <v>72</v>
      </c>
      <c r="C15" s="0" t="s">
        <v>67</v>
      </c>
      <c r="E15" s="6" t="n">
        <v>1</v>
      </c>
      <c r="G15" s="7" t="s">
        <v>68</v>
      </c>
      <c r="H15" s="7" t="s">
        <v>73</v>
      </c>
      <c r="I15" s="3" t="s">
        <v>40</v>
      </c>
    </row>
    <row r="16" customFormat="false" ht="17.15" hidden="false" customHeight="false" outlineLevel="0" collapsed="false">
      <c r="A16" s="0" t="s">
        <v>74</v>
      </c>
      <c r="B16" s="3" t="s">
        <v>75</v>
      </c>
      <c r="C16" s="0" t="s">
        <v>67</v>
      </c>
      <c r="E16" s="6" t="n">
        <v>0.8</v>
      </c>
      <c r="G16" s="7" t="s">
        <v>68</v>
      </c>
      <c r="H16" s="7" t="s">
        <v>76</v>
      </c>
      <c r="I16" s="7" t="s">
        <v>70</v>
      </c>
    </row>
    <row r="17" customFormat="false" ht="17.15" hidden="false" customHeight="false" outlineLevel="0" collapsed="false">
      <c r="A17" s="0" t="s">
        <v>77</v>
      </c>
      <c r="B17" s="3" t="s">
        <v>78</v>
      </c>
      <c r="C17" s="0" t="s">
        <v>67</v>
      </c>
      <c r="E17" s="6" t="n">
        <v>0.85</v>
      </c>
      <c r="G17" s="7" t="s">
        <v>68</v>
      </c>
      <c r="H17" s="7" t="s">
        <v>79</v>
      </c>
      <c r="I17" s="3" t="s">
        <v>40</v>
      </c>
    </row>
    <row r="18" customFormat="false" ht="17.15" hidden="false" customHeight="false" outlineLevel="0" collapsed="false">
      <c r="A18" s="0" t="s">
        <v>80</v>
      </c>
      <c r="B18" s="3" t="s">
        <v>81</v>
      </c>
      <c r="C18" s="0" t="s">
        <v>67</v>
      </c>
      <c r="E18" s="6" t="n">
        <v>0.6</v>
      </c>
      <c r="G18" s="7" t="s">
        <v>68</v>
      </c>
      <c r="H18" s="7" t="s">
        <v>82</v>
      </c>
      <c r="I18" s="7" t="s">
        <v>70</v>
      </c>
    </row>
    <row r="19" customFormat="false" ht="17.15" hidden="false" customHeight="false" outlineLevel="0" collapsed="false">
      <c r="A19" s="0" t="s">
        <v>83</v>
      </c>
      <c r="B19" s="3" t="s">
        <v>84</v>
      </c>
      <c r="C19" s="0" t="s">
        <v>67</v>
      </c>
      <c r="E19" s="6" t="n">
        <v>0.6</v>
      </c>
      <c r="G19" s="7" t="s">
        <v>68</v>
      </c>
      <c r="H19" s="7" t="s">
        <v>85</v>
      </c>
      <c r="I19" s="3" t="s">
        <v>40</v>
      </c>
    </row>
    <row r="20" customFormat="false" ht="17.15" hidden="false" customHeight="false" outlineLevel="0" collapsed="false">
      <c r="A20" s="0" t="s">
        <v>86</v>
      </c>
      <c r="B20" s="3" t="s">
        <v>87</v>
      </c>
      <c r="C20" s="0" t="s">
        <v>88</v>
      </c>
      <c r="D20" s="6" t="n">
        <v>30.5</v>
      </c>
      <c r="E20" s="6" t="n">
        <v>32</v>
      </c>
      <c r="F20" s="6" t="n">
        <v>33</v>
      </c>
      <c r="G20" s="7" t="s">
        <v>35</v>
      </c>
      <c r="H20" s="3" t="s">
        <v>89</v>
      </c>
      <c r="I20" s="7" t="s">
        <v>90</v>
      </c>
    </row>
    <row r="21" customFormat="false" ht="17.15" hidden="false" customHeight="false" outlineLevel="0" collapsed="false">
      <c r="A21" s="5" t="s">
        <v>91</v>
      </c>
    </row>
    <row r="22" customFormat="false" ht="17.15" hidden="false" customHeight="false" outlineLevel="0" collapsed="false">
      <c r="A22" s="0" t="s">
        <v>92</v>
      </c>
      <c r="B22" s="3" t="s">
        <v>93</v>
      </c>
      <c r="C22" s="0" t="s">
        <v>94</v>
      </c>
      <c r="D22" s="6" t="n">
        <v>130</v>
      </c>
      <c r="E22" s="6" t="n">
        <v>190</v>
      </c>
      <c r="F22" s="6" t="n">
        <v>250</v>
      </c>
      <c r="G22" s="7" t="s">
        <v>68</v>
      </c>
      <c r="H22" s="3" t="s">
        <v>95</v>
      </c>
      <c r="I22" s="7" t="s">
        <v>96</v>
      </c>
    </row>
    <row r="23" customFormat="false" ht="17.15" hidden="false" customHeight="false" outlineLevel="0" collapsed="false">
      <c r="A23" s="0" t="s">
        <v>97</v>
      </c>
      <c r="B23" s="3" t="s">
        <v>98</v>
      </c>
      <c r="C23" s="0" t="s">
        <v>94</v>
      </c>
      <c r="D23" s="6" t="n">
        <v>60</v>
      </c>
      <c r="E23" s="6" t="n">
        <v>90</v>
      </c>
      <c r="F23" s="6" t="n">
        <v>120</v>
      </c>
      <c r="G23" s="7" t="s">
        <v>68</v>
      </c>
      <c r="H23" s="3" t="s">
        <v>99</v>
      </c>
      <c r="I23" s="7" t="s">
        <v>100</v>
      </c>
    </row>
    <row r="24" customFormat="false" ht="17.15" hidden="false" customHeight="false" outlineLevel="0" collapsed="false">
      <c r="A24" s="0" t="s">
        <v>101</v>
      </c>
      <c r="B24" s="3" t="s">
        <v>102</v>
      </c>
      <c r="C24" s="0" t="s">
        <v>94</v>
      </c>
      <c r="D24" s="6" t="n">
        <v>40</v>
      </c>
      <c r="E24" s="6" t="n">
        <v>70</v>
      </c>
      <c r="F24" s="6" t="n">
        <v>100</v>
      </c>
      <c r="G24" s="7" t="s">
        <v>68</v>
      </c>
      <c r="H24" s="3" t="s">
        <v>103</v>
      </c>
      <c r="I24" s="7" t="s">
        <v>104</v>
      </c>
    </row>
    <row r="25" customFormat="false" ht="17.15" hidden="false" customHeight="false" outlineLevel="0" collapsed="false">
      <c r="A25" s="0" t="s">
        <v>105</v>
      </c>
      <c r="B25" s="3" t="s">
        <v>106</v>
      </c>
      <c r="C25" s="0" t="s">
        <v>67</v>
      </c>
      <c r="D25" s="6" t="n">
        <v>1.2</v>
      </c>
      <c r="E25" s="6" t="n">
        <v>1.45</v>
      </c>
      <c r="F25" s="6" t="n">
        <v>1.8</v>
      </c>
      <c r="G25" s="7" t="s">
        <v>107</v>
      </c>
      <c r="H25" s="3" t="s">
        <v>108</v>
      </c>
      <c r="I25" s="7" t="s">
        <v>109</v>
      </c>
    </row>
    <row r="26" customFormat="false" ht="17.15" hidden="false" customHeight="false" outlineLevel="0" collapsed="false">
      <c r="A26" s="0" t="s">
        <v>110</v>
      </c>
      <c r="B26" s="3" t="s">
        <v>111</v>
      </c>
      <c r="C26" s="0" t="s">
        <v>67</v>
      </c>
      <c r="D26" s="6" t="n">
        <v>1.3</v>
      </c>
      <c r="E26" s="6" t="n">
        <v>1.6</v>
      </c>
      <c r="F26" s="6" t="n">
        <v>2</v>
      </c>
      <c r="G26" s="7" t="s">
        <v>107</v>
      </c>
      <c r="H26" s="3" t="s">
        <v>40</v>
      </c>
      <c r="I26" s="7" t="s">
        <v>112</v>
      </c>
    </row>
    <row r="27" customFormat="false" ht="17.15" hidden="false" customHeight="false" outlineLevel="0" collapsed="false">
      <c r="A27" s="0" t="s">
        <v>113</v>
      </c>
      <c r="B27" s="3" t="s">
        <v>114</v>
      </c>
      <c r="C27" s="0" t="s">
        <v>67</v>
      </c>
      <c r="D27" s="6" t="n">
        <v>1.3</v>
      </c>
      <c r="E27" s="6" t="n">
        <v>1.7</v>
      </c>
      <c r="F27" s="6" t="n">
        <v>2.2</v>
      </c>
      <c r="G27" s="7" t="s">
        <v>107</v>
      </c>
      <c r="H27" s="3" t="s">
        <v>40</v>
      </c>
      <c r="I27" s="7" t="s">
        <v>112</v>
      </c>
    </row>
    <row r="28" customFormat="false" ht="17.15" hidden="false" customHeight="false" outlineLevel="0" collapsed="false">
      <c r="A28" s="0" t="s">
        <v>115</v>
      </c>
      <c r="B28" s="3" t="s">
        <v>116</v>
      </c>
      <c r="C28" s="0" t="s">
        <v>67</v>
      </c>
      <c r="D28" s="6" t="n">
        <v>1.15</v>
      </c>
      <c r="E28" s="6" t="n">
        <v>1.4</v>
      </c>
      <c r="F28" s="6" t="n">
        <v>1.7</v>
      </c>
      <c r="G28" s="7" t="s">
        <v>68</v>
      </c>
      <c r="H28" s="3" t="s">
        <v>117</v>
      </c>
      <c r="I28" s="3" t="s">
        <v>118</v>
      </c>
    </row>
    <row r="29" customFormat="false" ht="17.15" hidden="false" customHeight="false" outlineLevel="0" collapsed="false">
      <c r="A29" s="0" t="s">
        <v>119</v>
      </c>
      <c r="B29" s="3" t="s">
        <v>120</v>
      </c>
      <c r="C29" s="0" t="s">
        <v>67</v>
      </c>
      <c r="D29" s="6" t="n">
        <v>1.25</v>
      </c>
      <c r="E29" s="6" t="n">
        <v>1.6</v>
      </c>
      <c r="F29" s="6" t="n">
        <v>2</v>
      </c>
      <c r="G29" s="7" t="s">
        <v>68</v>
      </c>
      <c r="H29" s="3" t="s">
        <v>40</v>
      </c>
      <c r="I29" s="7" t="s">
        <v>112</v>
      </c>
    </row>
    <row r="30" customFormat="false" ht="17.15" hidden="false" customHeight="false" outlineLevel="0" collapsed="false">
      <c r="A30" s="0" t="s">
        <v>121</v>
      </c>
      <c r="B30" s="3" t="s">
        <v>122</v>
      </c>
      <c r="C30" s="0" t="s">
        <v>67</v>
      </c>
      <c r="D30" s="6" t="n">
        <v>1.3</v>
      </c>
      <c r="E30" s="6" t="n">
        <v>1.75</v>
      </c>
      <c r="F30" s="6" t="n">
        <v>2.2</v>
      </c>
      <c r="G30" s="7" t="s">
        <v>68</v>
      </c>
      <c r="H30" s="3" t="s">
        <v>40</v>
      </c>
      <c r="I30" s="7" t="s">
        <v>112</v>
      </c>
    </row>
    <row r="31" customFormat="false" ht="17.15" hidden="false" customHeight="false" outlineLevel="0" collapsed="false">
      <c r="A31" s="0" t="s">
        <v>123</v>
      </c>
      <c r="B31" s="3" t="s">
        <v>124</v>
      </c>
      <c r="C31" s="0" t="s">
        <v>67</v>
      </c>
      <c r="D31" s="6" t="n">
        <v>1.3</v>
      </c>
      <c r="E31" s="6" t="n">
        <v>1.8</v>
      </c>
      <c r="F31" s="6" t="n">
        <v>2.5</v>
      </c>
      <c r="G31" s="7" t="s">
        <v>68</v>
      </c>
      <c r="H31" s="7" t="s">
        <v>125</v>
      </c>
      <c r="I31" s="7" t="s">
        <v>126</v>
      </c>
    </row>
    <row r="32" customFormat="false" ht="17.15" hidden="false" customHeight="false" outlineLevel="0" collapsed="false">
      <c r="A32" s="0" t="s">
        <v>127</v>
      </c>
      <c r="B32" s="3" t="s">
        <v>128</v>
      </c>
      <c r="C32" s="0" t="s">
        <v>67</v>
      </c>
      <c r="D32" s="6" t="n">
        <v>1.5</v>
      </c>
      <c r="E32" s="6" t="n">
        <v>2.3</v>
      </c>
      <c r="F32" s="6" t="n">
        <v>3</v>
      </c>
      <c r="G32" s="7" t="s">
        <v>68</v>
      </c>
      <c r="H32" s="3" t="s">
        <v>40</v>
      </c>
      <c r="I32" s="7" t="s">
        <v>112</v>
      </c>
    </row>
    <row r="33" customFormat="false" ht="17.15" hidden="false" customHeight="false" outlineLevel="0" collapsed="false">
      <c r="A33" s="0" t="s">
        <v>129</v>
      </c>
      <c r="B33" s="3" t="s">
        <v>130</v>
      </c>
      <c r="C33" s="0" t="s">
        <v>67</v>
      </c>
      <c r="D33" s="6" t="n">
        <v>1.5</v>
      </c>
      <c r="E33" s="6" t="n">
        <v>2.6</v>
      </c>
      <c r="F33" s="6" t="n">
        <v>3.5</v>
      </c>
      <c r="G33" s="7" t="s">
        <v>68</v>
      </c>
      <c r="H33" s="3" t="s">
        <v>40</v>
      </c>
      <c r="I33" s="7" t="s">
        <v>112</v>
      </c>
    </row>
    <row r="34" customFormat="false" ht="17.15" hidden="false" customHeight="false" outlineLevel="0" collapsed="false">
      <c r="A34" s="0" t="s">
        <v>131</v>
      </c>
      <c r="B34" s="3" t="s">
        <v>132</v>
      </c>
      <c r="C34" s="0" t="s">
        <v>67</v>
      </c>
      <c r="D34" s="6" t="n">
        <v>0.85</v>
      </c>
      <c r="E34" s="6" t="n">
        <v>0.95</v>
      </c>
      <c r="F34" s="6" t="n">
        <v>1.05</v>
      </c>
      <c r="G34" s="7" t="s">
        <v>68</v>
      </c>
      <c r="H34" s="7" t="s">
        <v>133</v>
      </c>
      <c r="I34" s="3" t="s">
        <v>134</v>
      </c>
    </row>
    <row r="35" customFormat="false" ht="17.15" hidden="false" customHeight="false" outlineLevel="0" collapsed="false">
      <c r="A35" s="0" t="s">
        <v>135</v>
      </c>
      <c r="B35" s="3" t="s">
        <v>136</v>
      </c>
      <c r="C35" s="0" t="s">
        <v>67</v>
      </c>
      <c r="D35" s="6" t="n">
        <v>0.75</v>
      </c>
      <c r="E35" s="6" t="n">
        <v>0.9</v>
      </c>
      <c r="F35" s="6" t="n">
        <v>1</v>
      </c>
      <c r="G35" s="7" t="s">
        <v>68</v>
      </c>
      <c r="H35" s="3" t="s">
        <v>40</v>
      </c>
      <c r="I35" s="7" t="s">
        <v>112</v>
      </c>
    </row>
    <row r="36" customFormat="false" ht="17.15" hidden="false" customHeight="false" outlineLevel="0" collapsed="false">
      <c r="A36" s="0" t="s">
        <v>137</v>
      </c>
      <c r="B36" s="3" t="s">
        <v>138</v>
      </c>
      <c r="C36" s="0" t="s">
        <v>67</v>
      </c>
      <c r="D36" s="6" t="n">
        <v>0.7</v>
      </c>
      <c r="E36" s="6" t="n">
        <v>0.85</v>
      </c>
      <c r="F36" s="6" t="n">
        <v>1</v>
      </c>
      <c r="G36" s="7" t="s">
        <v>68</v>
      </c>
      <c r="H36" s="3" t="s">
        <v>40</v>
      </c>
      <c r="I36" s="7" t="s">
        <v>112</v>
      </c>
    </row>
    <row r="37" customFormat="false" ht="17.15" hidden="false" customHeight="false" outlineLevel="0" collapsed="false">
      <c r="A37" s="0" t="s">
        <v>139</v>
      </c>
      <c r="B37" s="0" t="s">
        <v>140</v>
      </c>
      <c r="C37" s="0" t="s">
        <v>67</v>
      </c>
      <c r="D37" s="6" t="n">
        <v>0.95</v>
      </c>
      <c r="E37" s="6" t="n">
        <v>1</v>
      </c>
      <c r="F37" s="6" t="n">
        <v>1.08</v>
      </c>
      <c r="G37" s="7" t="s">
        <v>68</v>
      </c>
      <c r="H37" s="3" t="s">
        <v>141</v>
      </c>
      <c r="I37" s="3" t="s">
        <v>142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67</v>
      </c>
      <c r="D38" s="6" t="n">
        <v>0.88</v>
      </c>
      <c r="E38" s="6" t="n">
        <v>0.97</v>
      </c>
      <c r="F38" s="6" t="n">
        <v>1.05</v>
      </c>
      <c r="G38" s="7" t="s">
        <v>68</v>
      </c>
      <c r="H38" s="3" t="s">
        <v>40</v>
      </c>
      <c r="I38" s="3" t="s">
        <v>145</v>
      </c>
    </row>
    <row r="39" customFormat="false" ht="17.15" hidden="false" customHeight="false" outlineLevel="0" collapsed="false">
      <c r="A39" s="0" t="s">
        <v>146</v>
      </c>
      <c r="B39" s="0" t="s">
        <v>147</v>
      </c>
      <c r="C39" s="0" t="s">
        <v>67</v>
      </c>
      <c r="D39" s="6" t="n">
        <v>0.85</v>
      </c>
      <c r="E39" s="6" t="n">
        <v>0.93</v>
      </c>
      <c r="F39" s="6" t="n">
        <v>1</v>
      </c>
      <c r="G39" s="7" t="s">
        <v>68</v>
      </c>
      <c r="H39" s="3" t="s">
        <v>40</v>
      </c>
      <c r="I39" s="3" t="s">
        <v>145</v>
      </c>
    </row>
    <row r="40" customFormat="false" ht="17.15" hidden="false" customHeight="false" outlineLevel="0" collapsed="false">
      <c r="A40" s="5" t="s">
        <v>148</v>
      </c>
    </row>
    <row r="41" customFormat="false" ht="17.15" hidden="false" customHeight="false" outlineLevel="0" collapsed="false">
      <c r="A41" s="0" t="s">
        <v>149</v>
      </c>
      <c r="B41" s="3" t="s">
        <v>150</v>
      </c>
      <c r="C41" s="3" t="s">
        <v>151</v>
      </c>
      <c r="D41" s="6" t="n">
        <v>5.85</v>
      </c>
      <c r="E41" s="6" t="n">
        <v>6</v>
      </c>
      <c r="F41" s="6" t="n">
        <v>6.15</v>
      </c>
      <c r="G41" s="7" t="s">
        <v>35</v>
      </c>
      <c r="H41" s="3" t="s">
        <v>152</v>
      </c>
      <c r="I41" s="3" t="s">
        <v>153</v>
      </c>
    </row>
    <row r="42" customFormat="false" ht="17.15" hidden="false" customHeight="false" outlineLevel="0" collapsed="false">
      <c r="A42" s="0" t="s">
        <v>154</v>
      </c>
      <c r="B42" s="3" t="s">
        <v>155</v>
      </c>
      <c r="C42" s="3" t="s">
        <v>151</v>
      </c>
      <c r="D42" s="6" t="n">
        <v>7</v>
      </c>
      <c r="E42" s="6" t="n">
        <v>7.76</v>
      </c>
      <c r="F42" s="6" t="n">
        <v>8.2</v>
      </c>
      <c r="G42" s="7" t="s">
        <v>35</v>
      </c>
      <c r="H42" s="3" t="s">
        <v>156</v>
      </c>
      <c r="I42" s="3" t="s">
        <v>157</v>
      </c>
    </row>
    <row r="43" customFormat="false" ht="17.15" hidden="false" customHeight="false" outlineLevel="0" collapsed="false">
      <c r="A43" s="0" t="s">
        <v>158</v>
      </c>
      <c r="B43" s="3" t="s">
        <v>159</v>
      </c>
      <c r="C43" s="3" t="s">
        <v>151</v>
      </c>
      <c r="D43" s="6" t="n">
        <v>9.5</v>
      </c>
      <c r="E43" s="6" t="n">
        <v>10.3</v>
      </c>
      <c r="F43" s="6" t="n">
        <v>10.8</v>
      </c>
      <c r="G43" s="7" t="s">
        <v>35</v>
      </c>
      <c r="H43" s="3" t="s">
        <v>160</v>
      </c>
      <c r="I43" s="3" t="s">
        <v>161</v>
      </c>
    </row>
    <row r="44" customFormat="false" ht="17.15" hidden="false" customHeight="false" outlineLevel="0" collapsed="false">
      <c r="A44" s="0" t="s">
        <v>162</v>
      </c>
      <c r="B44" s="3" t="s">
        <v>163</v>
      </c>
      <c r="C44" s="3" t="s">
        <v>151</v>
      </c>
      <c r="D44" s="6" t="n">
        <v>11.1</v>
      </c>
      <c r="E44" s="6" t="n">
        <v>11.8</v>
      </c>
      <c r="F44" s="6" t="n">
        <v>13</v>
      </c>
      <c r="G44" s="7" t="s">
        <v>68</v>
      </c>
      <c r="H44" s="3" t="s">
        <v>164</v>
      </c>
      <c r="I44" s="3" t="s">
        <v>165</v>
      </c>
    </row>
    <row r="45" customFormat="false" ht="17.15" hidden="false" customHeight="false" outlineLevel="0" collapsed="false">
      <c r="A45" s="0" t="s">
        <v>166</v>
      </c>
      <c r="B45" s="3" t="s">
        <v>167</v>
      </c>
      <c r="C45" s="0" t="s">
        <v>67</v>
      </c>
      <c r="D45" s="6" t="n">
        <v>1.1</v>
      </c>
      <c r="E45" s="6" t="n">
        <v>1.25</v>
      </c>
      <c r="F45" s="6" t="n">
        <v>1.45</v>
      </c>
      <c r="G45" s="7" t="s">
        <v>68</v>
      </c>
      <c r="H45" s="3" t="s">
        <v>168</v>
      </c>
      <c r="I45" s="7" t="s">
        <v>169</v>
      </c>
    </row>
    <row r="46" customFormat="false" ht="17.15" hidden="false" customHeight="false" outlineLevel="0" collapsed="false">
      <c r="A46" s="0" t="s">
        <v>170</v>
      </c>
      <c r="B46" s="3" t="s">
        <v>171</v>
      </c>
      <c r="C46" s="0" t="s">
        <v>67</v>
      </c>
      <c r="D46" s="6" t="n">
        <v>1.15</v>
      </c>
      <c r="E46" s="6" t="n">
        <v>1.4</v>
      </c>
      <c r="F46" s="6" t="n">
        <v>1.7</v>
      </c>
      <c r="G46" s="7" t="s">
        <v>68</v>
      </c>
      <c r="H46" s="3" t="s">
        <v>40</v>
      </c>
      <c r="I46" s="7" t="s">
        <v>112</v>
      </c>
    </row>
    <row r="47" customFormat="false" ht="17.15" hidden="false" customHeight="false" outlineLevel="0" collapsed="false">
      <c r="A47" s="0" t="s">
        <v>172</v>
      </c>
      <c r="B47" s="3" t="s">
        <v>173</v>
      </c>
      <c r="C47" s="0" t="s">
        <v>67</v>
      </c>
      <c r="D47" s="6" t="n">
        <v>1.2</v>
      </c>
      <c r="E47" s="6" t="n">
        <v>1.5</v>
      </c>
      <c r="F47" s="6" t="n">
        <v>1.85</v>
      </c>
      <c r="G47" s="7" t="s">
        <v>68</v>
      </c>
      <c r="H47" s="3" t="s">
        <v>40</v>
      </c>
      <c r="I47" s="7" t="s">
        <v>112</v>
      </c>
    </row>
    <row r="48" customFormat="false" ht="17.15" hidden="false" customHeight="false" outlineLevel="0" collapsed="false">
      <c r="A48" s="5" t="s">
        <v>174</v>
      </c>
    </row>
    <row r="49" customFormat="false" ht="17.15" hidden="false" customHeight="false" outlineLevel="0" collapsed="false">
      <c r="A49" s="0" t="s">
        <v>175</v>
      </c>
      <c r="B49" s="0" t="s">
        <v>176</v>
      </c>
      <c r="C49" s="0" t="s">
        <v>54</v>
      </c>
      <c r="D49" s="6" t="n">
        <v>0.45</v>
      </c>
      <c r="E49" s="6" t="n">
        <v>0.5</v>
      </c>
      <c r="F49" s="6" t="n">
        <v>0.55</v>
      </c>
      <c r="G49" s="7" t="s">
        <v>68</v>
      </c>
      <c r="H49" s="3" t="s">
        <v>177</v>
      </c>
      <c r="I49" s="3" t="s">
        <v>178</v>
      </c>
    </row>
    <row r="50" customFormat="false" ht="17.15" hidden="false" customHeight="false" outlineLevel="0" collapsed="false">
      <c r="A50" s="0" t="s">
        <v>179</v>
      </c>
      <c r="B50" s="0" t="s">
        <v>180</v>
      </c>
      <c r="C50" s="0" t="s">
        <v>54</v>
      </c>
      <c r="D50" s="6" t="n">
        <v>0.525</v>
      </c>
      <c r="E50" s="6" t="n">
        <v>0.585</v>
      </c>
      <c r="F50" s="6" t="n">
        <v>0.64</v>
      </c>
      <c r="G50" s="7" t="s">
        <v>55</v>
      </c>
      <c r="H50" s="3" t="s">
        <v>181</v>
      </c>
      <c r="I50" s="3" t="s">
        <v>182</v>
      </c>
    </row>
    <row r="51" customFormat="false" ht="17.15" hidden="false" customHeight="false" outlineLevel="0" collapsed="false">
      <c r="A51" s="0" t="s">
        <v>183</v>
      </c>
      <c r="B51" s="3" t="s">
        <v>184</v>
      </c>
      <c r="C51" s="0" t="s">
        <v>54</v>
      </c>
      <c r="D51" s="6" t="n">
        <v>0</v>
      </c>
      <c r="E51" s="6" t="n">
        <v>0.08</v>
      </c>
      <c r="F51" s="6" t="n">
        <v>0.15</v>
      </c>
      <c r="G51" s="7" t="s">
        <v>68</v>
      </c>
      <c r="H51" s="7" t="s">
        <v>185</v>
      </c>
      <c r="I51" s="3" t="s">
        <v>186</v>
      </c>
    </row>
    <row r="52" customFormat="false" ht="17.15" hidden="false" customHeight="false" outlineLevel="0" collapsed="false">
      <c r="A52" s="0" t="s">
        <v>187</v>
      </c>
      <c r="B52" s="3" t="s">
        <v>188</v>
      </c>
      <c r="C52" s="0" t="s">
        <v>54</v>
      </c>
      <c r="D52" s="6" t="n">
        <v>0</v>
      </c>
      <c r="E52" s="6" t="n">
        <v>0.06</v>
      </c>
      <c r="F52" s="6" t="n">
        <v>0.12</v>
      </c>
      <c r="G52" s="7" t="s">
        <v>68</v>
      </c>
      <c r="H52" s="3" t="s">
        <v>40</v>
      </c>
      <c r="I52" s="7" t="s">
        <v>112</v>
      </c>
    </row>
    <row r="53" customFormat="false" ht="17.15" hidden="false" customHeight="false" outlineLevel="0" collapsed="false">
      <c r="A53" s="0" t="s">
        <v>189</v>
      </c>
      <c r="B53" s="3" t="s">
        <v>190</v>
      </c>
      <c r="C53" s="0" t="s">
        <v>54</v>
      </c>
      <c r="D53" s="6" t="n">
        <v>0</v>
      </c>
      <c r="E53" s="6" t="n">
        <v>0.05</v>
      </c>
      <c r="F53" s="6" t="n">
        <v>0.1</v>
      </c>
      <c r="G53" s="7" t="s">
        <v>68</v>
      </c>
      <c r="H53" s="3" t="s">
        <v>40</v>
      </c>
      <c r="I53" s="7" t="s">
        <v>112</v>
      </c>
    </row>
    <row r="54" customFormat="false" ht="17.15" hidden="false" customHeight="false" outlineLevel="0" collapsed="false">
      <c r="A54" s="0" t="s">
        <v>191</v>
      </c>
      <c r="B54" s="0" t="s">
        <v>192</v>
      </c>
      <c r="C54" s="0" t="s">
        <v>54</v>
      </c>
      <c r="D54" s="6" t="n">
        <v>0.65</v>
      </c>
      <c r="E54" s="6" t="n">
        <v>0.675</v>
      </c>
      <c r="F54" s="6" t="n">
        <v>0.7</v>
      </c>
      <c r="G54" s="7" t="s">
        <v>55</v>
      </c>
      <c r="H54" s="3" t="s">
        <v>193</v>
      </c>
      <c r="I54" s="3" t="s">
        <v>194</v>
      </c>
    </row>
    <row r="55" customFormat="false" ht="17.15" hidden="false" customHeight="false" outlineLevel="0" collapsed="false">
      <c r="A55" s="0" t="s">
        <v>195</v>
      </c>
      <c r="B55" s="0" t="s">
        <v>196</v>
      </c>
      <c r="C55" s="0" t="s">
        <v>54</v>
      </c>
      <c r="D55" s="6" t="n">
        <v>0.2</v>
      </c>
      <c r="E55" s="6" t="n">
        <v>0.225</v>
      </c>
      <c r="F55" s="6" t="n">
        <v>0.25</v>
      </c>
      <c r="G55" s="7" t="s">
        <v>55</v>
      </c>
      <c r="H55" s="3" t="s">
        <v>40</v>
      </c>
      <c r="I55" s="7" t="s">
        <v>112</v>
      </c>
    </row>
    <row r="56" customFormat="false" ht="17.15" hidden="false" customHeight="false" outlineLevel="0" collapsed="false">
      <c r="A56" s="0" t="s">
        <v>197</v>
      </c>
      <c r="B56" s="0" t="s">
        <v>198</v>
      </c>
      <c r="C56" s="0" t="s">
        <v>54</v>
      </c>
      <c r="D56" s="6" t="n">
        <v>0.7</v>
      </c>
      <c r="E56" s="6" t="n">
        <v>0.75</v>
      </c>
      <c r="F56" s="6" t="n">
        <v>0.8</v>
      </c>
      <c r="G56" s="7" t="s">
        <v>55</v>
      </c>
      <c r="H56" s="3" t="s">
        <v>199</v>
      </c>
      <c r="I56" s="3" t="s">
        <v>200</v>
      </c>
    </row>
    <row r="57" customFormat="false" ht="17.15" hidden="false" customHeight="false" outlineLevel="0" collapsed="false">
      <c r="A57" s="0" t="s">
        <v>201</v>
      </c>
      <c r="B57" s="0" t="s">
        <v>202</v>
      </c>
      <c r="C57" s="0" t="s">
        <v>54</v>
      </c>
      <c r="D57" s="6" t="n">
        <v>0.15</v>
      </c>
      <c r="E57" s="6" t="n">
        <v>0.18</v>
      </c>
      <c r="F57" s="6" t="n">
        <v>0.22</v>
      </c>
      <c r="G57" s="7" t="s">
        <v>68</v>
      </c>
      <c r="H57" s="7" t="s">
        <v>203</v>
      </c>
      <c r="I57" s="3" t="s">
        <v>204</v>
      </c>
    </row>
    <row r="58" customFormat="false" ht="17.15" hidden="false" customHeight="false" outlineLevel="0" collapsed="false">
      <c r="A58" s="5" t="s">
        <v>205</v>
      </c>
    </row>
    <row r="59" customFormat="false" ht="17.15" hidden="false" customHeight="false" outlineLevel="0" collapsed="false">
      <c r="A59" s="0" t="s">
        <v>206</v>
      </c>
      <c r="B59" s="0" t="s">
        <v>207</v>
      </c>
      <c r="C59" s="0" t="s">
        <v>208</v>
      </c>
      <c r="D59" s="6" t="n">
        <v>0.04</v>
      </c>
      <c r="E59" s="6" t="n">
        <v>0.08</v>
      </c>
      <c r="F59" s="6" t="n">
        <v>0.12</v>
      </c>
      <c r="G59" s="7" t="s">
        <v>68</v>
      </c>
      <c r="H59" s="3" t="s">
        <v>209</v>
      </c>
      <c r="I59" s="7" t="s">
        <v>210</v>
      </c>
    </row>
    <row r="60" customFormat="false" ht="17.15" hidden="false" customHeight="false" outlineLevel="0" collapsed="false">
      <c r="A60" s="5" t="s">
        <v>211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0" t="s">
        <v>214</v>
      </c>
      <c r="E61" s="0" t="n">
        <f aca="false">141.227-80.342</f>
        <v>60.885</v>
      </c>
      <c r="G61" s="0" t="s">
        <v>215</v>
      </c>
      <c r="H61" s="0" t="s">
        <v>216</v>
      </c>
      <c r="I61" s="3" t="s">
        <v>217</v>
      </c>
    </row>
    <row r="62" customFormat="false" ht="17.15" hidden="false" customHeight="false" outlineLevel="0" collapsed="false">
      <c r="A62" s="0" t="s">
        <v>218</v>
      </c>
      <c r="B62" s="0" t="s">
        <v>219</v>
      </c>
      <c r="C62" s="0" t="s">
        <v>54</v>
      </c>
      <c r="D62" s="6" t="n">
        <v>0</v>
      </c>
      <c r="E62" s="6" t="n">
        <v>0.06</v>
      </c>
      <c r="F62" s="6" t="n">
        <v>0.12</v>
      </c>
      <c r="G62" s="7" t="s">
        <v>68</v>
      </c>
      <c r="H62" s="3" t="s">
        <v>220</v>
      </c>
      <c r="I62" s="7" t="s">
        <v>221</v>
      </c>
    </row>
    <row r="63" customFormat="false" ht="17.15" hidden="false" customHeight="false" outlineLevel="0" collapsed="false">
      <c r="A63" s="0" t="s">
        <v>222</v>
      </c>
      <c r="B63" s="0" t="s">
        <v>223</v>
      </c>
      <c r="C63" s="0" t="s">
        <v>54</v>
      </c>
      <c r="D63" s="6" t="n">
        <v>0.335</v>
      </c>
      <c r="E63" s="6" t="n">
        <v>0.35</v>
      </c>
      <c r="F63" s="6" t="n">
        <v>0.365</v>
      </c>
      <c r="G63" s="7" t="s">
        <v>55</v>
      </c>
      <c r="H63" s="3" t="s">
        <v>224</v>
      </c>
      <c r="I63" s="3" t="s">
        <v>225</v>
      </c>
    </row>
    <row r="64" customFormat="false" ht="17.15" hidden="false" customHeight="false" outlineLevel="0" collapsed="false">
      <c r="A64" s="0" t="s">
        <v>226</v>
      </c>
      <c r="B64" s="0" t="s">
        <v>227</v>
      </c>
      <c r="C64" s="0" t="s">
        <v>54</v>
      </c>
      <c r="D64" s="6" t="n">
        <v>0.335</v>
      </c>
      <c r="E64" s="6" t="n">
        <v>0.35</v>
      </c>
      <c r="F64" s="6" t="n">
        <v>0.37</v>
      </c>
      <c r="G64" s="7" t="s">
        <v>68</v>
      </c>
      <c r="H64" s="3" t="s">
        <v>228</v>
      </c>
      <c r="I64" s="7" t="s">
        <v>112</v>
      </c>
    </row>
    <row r="65" customFormat="false" ht="17.15" hidden="false" customHeight="false" outlineLevel="0" collapsed="false">
      <c r="A65" s="0" t="s">
        <v>229</v>
      </c>
      <c r="B65" s="0" t="s">
        <v>230</v>
      </c>
      <c r="C65" s="0" t="s">
        <v>54</v>
      </c>
      <c r="D65" s="6" t="n">
        <v>0.06</v>
      </c>
      <c r="E65" s="6" t="n">
        <v>0.065</v>
      </c>
      <c r="F65" s="6" t="n">
        <v>0.07</v>
      </c>
      <c r="G65" s="7" t="s">
        <v>68</v>
      </c>
      <c r="H65" s="7" t="s">
        <v>231</v>
      </c>
      <c r="I65" s="3" t="s">
        <v>232</v>
      </c>
    </row>
    <row r="66" customFormat="false" ht="17.15" hidden="false" customHeight="false" outlineLevel="0" collapsed="false">
      <c r="A66" s="0" t="s">
        <v>233</v>
      </c>
      <c r="B66" s="0" t="s">
        <v>234</v>
      </c>
      <c r="C66" s="0" t="s">
        <v>214</v>
      </c>
      <c r="D66" s="6" t="n">
        <v>-0.5</v>
      </c>
      <c r="E66" s="6" t="n">
        <v>0.1</v>
      </c>
      <c r="F66" s="6" t="n">
        <v>0.5</v>
      </c>
      <c r="G66" s="7" t="s">
        <v>68</v>
      </c>
      <c r="H66" s="7" t="s">
        <v>235</v>
      </c>
      <c r="I66" s="7" t="s">
        <v>236</v>
      </c>
    </row>
    <row r="67" customFormat="false" ht="17.15" hidden="false" customHeight="false" outlineLevel="0" collapsed="false">
      <c r="A67" s="0" t="s">
        <v>237</v>
      </c>
      <c r="B67" s="0" t="s">
        <v>238</v>
      </c>
      <c r="C67" s="0" t="s">
        <v>54</v>
      </c>
      <c r="D67" s="6" t="n">
        <v>0.75</v>
      </c>
      <c r="E67" s="6" t="n">
        <v>0.77</v>
      </c>
      <c r="F67" s="6" t="n">
        <v>0.79</v>
      </c>
      <c r="G67" s="7" t="s">
        <v>35</v>
      </c>
      <c r="H67" s="7" t="s">
        <v>239</v>
      </c>
      <c r="I67" s="7" t="s">
        <v>240</v>
      </c>
    </row>
    <row r="68" customFormat="false" ht="17.15" hidden="false" customHeight="false" outlineLevel="0" collapsed="false">
      <c r="A68" s="0" t="s">
        <v>241</v>
      </c>
      <c r="B68" s="3" t="s">
        <v>242</v>
      </c>
      <c r="C68" s="3" t="s">
        <v>243</v>
      </c>
      <c r="E68" s="0" t="n">
        <f aca="false">15.213/42.46</f>
        <v>0.358290155440415</v>
      </c>
      <c r="G68" s="0" t="s">
        <v>35</v>
      </c>
      <c r="H68" s="0" t="s">
        <v>244</v>
      </c>
      <c r="I68" s="3" t="s">
        <v>245</v>
      </c>
    </row>
    <row r="69" customFormat="false" ht="17.15" hidden="false" customHeight="false" outlineLevel="0" collapsed="false">
      <c r="A69" s="5" t="s">
        <v>246</v>
      </c>
    </row>
    <row r="70" customFormat="false" ht="17.15" hidden="false" customHeight="false" outlineLevel="0" collapsed="false">
      <c r="A70" s="0" t="s">
        <v>247</v>
      </c>
      <c r="B70" s="3" t="s">
        <v>248</v>
      </c>
      <c r="C70" s="0" t="s">
        <v>67</v>
      </c>
      <c r="D70" s="6" t="n">
        <v>0.45</v>
      </c>
      <c r="E70" s="6" t="n">
        <v>0.6</v>
      </c>
      <c r="F70" s="6" t="n">
        <v>1</v>
      </c>
      <c r="G70" s="7" t="s">
        <v>35</v>
      </c>
      <c r="H70" s="7" t="s">
        <v>249</v>
      </c>
      <c r="I70" s="7" t="s">
        <v>250</v>
      </c>
    </row>
    <row r="71" customFormat="false" ht="17.15" hidden="false" customHeight="false" outlineLevel="0" collapsed="false">
      <c r="A71" s="0" t="s">
        <v>251</v>
      </c>
      <c r="B71" s="3" t="s">
        <v>252</v>
      </c>
      <c r="C71" s="0" t="s">
        <v>208</v>
      </c>
      <c r="D71" s="6" t="n">
        <v>-0.01</v>
      </c>
      <c r="E71" s="6" t="n">
        <v>0</v>
      </c>
      <c r="F71" s="6" t="n">
        <v>0.01</v>
      </c>
      <c r="G71" s="7" t="s">
        <v>68</v>
      </c>
      <c r="H71" s="3" t="s">
        <v>253</v>
      </c>
      <c r="I71" s="7" t="s">
        <v>254</v>
      </c>
    </row>
    <row r="72" customFormat="false" ht="17.15" hidden="false" customHeight="false" outlineLevel="0" collapsed="false">
      <c r="A72" s="0" t="s">
        <v>255</v>
      </c>
      <c r="B72" s="3" t="s">
        <v>256</v>
      </c>
      <c r="C72" s="0" t="s">
        <v>214</v>
      </c>
      <c r="D72" s="6" t="n">
        <v>-1</v>
      </c>
      <c r="E72" s="6" t="n">
        <v>0.5</v>
      </c>
      <c r="F72" s="6" t="n">
        <v>2</v>
      </c>
      <c r="G72" s="7" t="s">
        <v>68</v>
      </c>
      <c r="H72" s="7" t="s">
        <v>257</v>
      </c>
      <c r="I72" s="7" t="s">
        <v>112</v>
      </c>
    </row>
    <row r="73" customFormat="false" ht="17.15" hidden="false" customHeight="false" outlineLevel="0" collapsed="false">
      <c r="A73" s="0" t="s">
        <v>258</v>
      </c>
      <c r="B73" s="3" t="s">
        <v>259</v>
      </c>
      <c r="C73" s="0" t="s">
        <v>54</v>
      </c>
      <c r="D73" s="6" t="n">
        <v>0.75</v>
      </c>
      <c r="E73" s="6" t="n">
        <v>0.77</v>
      </c>
      <c r="F73" s="6" t="n">
        <v>0.79</v>
      </c>
      <c r="G73" s="7" t="s">
        <v>35</v>
      </c>
      <c r="H73" s="3" t="s">
        <v>260</v>
      </c>
      <c r="I73" s="7" t="s">
        <v>112</v>
      </c>
    </row>
    <row r="74" customFormat="false" ht="17.15" hidden="false" customHeight="false" outlineLevel="0" collapsed="false">
      <c r="A74" s="0" t="s">
        <v>261</v>
      </c>
      <c r="B74" s="3" t="s">
        <v>262</v>
      </c>
      <c r="C74" s="0" t="s">
        <v>54</v>
      </c>
      <c r="D74" s="6" t="n">
        <v>0</v>
      </c>
      <c r="E74" s="6" t="n">
        <v>0</v>
      </c>
      <c r="F74" s="6" t="n">
        <v>0.005</v>
      </c>
      <c r="G74" s="7" t="s">
        <v>68</v>
      </c>
      <c r="H74" s="7" t="s">
        <v>263</v>
      </c>
      <c r="I74" s="7" t="s">
        <v>112</v>
      </c>
    </row>
    <row r="75" customFormat="false" ht="17.15" hidden="false" customHeight="false" outlineLevel="0" collapsed="false">
      <c r="A75" s="0" t="s">
        <v>264</v>
      </c>
      <c r="B75" s="0" t="s">
        <v>265</v>
      </c>
      <c r="C75" s="0" t="s">
        <v>67</v>
      </c>
      <c r="D75" s="6" t="n">
        <v>0.8</v>
      </c>
      <c r="E75" s="6" t="n">
        <v>1</v>
      </c>
      <c r="F75" s="6" t="n">
        <v>1.2</v>
      </c>
      <c r="G75" s="7" t="s">
        <v>68</v>
      </c>
      <c r="H75" s="3" t="s">
        <v>266</v>
      </c>
      <c r="I75" s="7" t="s">
        <v>267</v>
      </c>
    </row>
    <row r="76" customFormat="false" ht="17.15" hidden="false" customHeight="false" outlineLevel="0" collapsed="false">
      <c r="A76" s="5" t="s">
        <v>268</v>
      </c>
    </row>
    <row r="77" customFormat="false" ht="17.15" hidden="false" customHeight="false" outlineLevel="0" collapsed="false">
      <c r="A77" s="0" t="s">
        <v>269</v>
      </c>
      <c r="B77" s="3" t="s">
        <v>270</v>
      </c>
      <c r="C77" s="0" t="s">
        <v>214</v>
      </c>
      <c r="E77" s="6" t="n">
        <v>191.123</v>
      </c>
      <c r="G77" s="7" t="s">
        <v>55</v>
      </c>
      <c r="H77" s="7" t="s">
        <v>271</v>
      </c>
      <c r="I77" s="7" t="s">
        <v>112</v>
      </c>
    </row>
    <row r="78" customFormat="false" ht="17.15" hidden="false" customHeight="false" outlineLevel="0" collapsed="false">
      <c r="A78" s="0" t="s">
        <v>272</v>
      </c>
      <c r="B78" s="3" t="s">
        <v>273</v>
      </c>
      <c r="C78" s="0" t="s">
        <v>274</v>
      </c>
      <c r="E78" s="6" t="n">
        <v>108.84</v>
      </c>
      <c r="G78" s="7" t="s">
        <v>55</v>
      </c>
      <c r="H78" s="7" t="s">
        <v>271</v>
      </c>
      <c r="I78" s="7" t="s">
        <v>112</v>
      </c>
    </row>
    <row r="79" customFormat="false" ht="17.15" hidden="false" customHeight="false" outlineLevel="0" collapsed="false">
      <c r="A79" s="0" t="s">
        <v>275</v>
      </c>
      <c r="B79" s="3" t="s">
        <v>276</v>
      </c>
      <c r="C79" s="0" t="s">
        <v>274</v>
      </c>
      <c r="E79" s="6" t="n">
        <v>98.72</v>
      </c>
      <c r="G79" s="7" t="s">
        <v>55</v>
      </c>
      <c r="H79" s="7" t="s">
        <v>271</v>
      </c>
      <c r="I79" s="3" t="s">
        <v>277</v>
      </c>
    </row>
    <row r="80" customFormat="false" ht="17.15" hidden="false" customHeight="false" outlineLevel="0" collapsed="false">
      <c r="A80" s="0" t="s">
        <v>278</v>
      </c>
      <c r="B80" s="3" t="s">
        <v>279</v>
      </c>
      <c r="C80" s="0" t="s">
        <v>274</v>
      </c>
      <c r="E80" s="6" t="n">
        <v>120.77</v>
      </c>
      <c r="G80" s="7" t="s">
        <v>55</v>
      </c>
      <c r="H80" s="7" t="s">
        <v>280</v>
      </c>
      <c r="I80" s="7" t="s">
        <v>281</v>
      </c>
    </row>
    <row r="81" customFormat="false" ht="17.15" hidden="false" customHeight="false" outlineLevel="0" collapsed="false">
      <c r="A81" s="0" t="s">
        <v>282</v>
      </c>
      <c r="B81" s="3" t="s">
        <v>283</v>
      </c>
      <c r="C81" s="0" t="s">
        <v>214</v>
      </c>
      <c r="E81" s="6" t="n">
        <v>306.405</v>
      </c>
      <c r="G81" s="7" t="s">
        <v>55</v>
      </c>
      <c r="H81" s="7" t="s">
        <v>271</v>
      </c>
      <c r="I81" s="7" t="s">
        <v>112</v>
      </c>
    </row>
    <row r="82" customFormat="false" ht="17.15" hidden="false" customHeight="false" outlineLevel="0" collapsed="false">
      <c r="A82" s="0" t="s">
        <v>284</v>
      </c>
      <c r="B82" s="3" t="s">
        <v>285</v>
      </c>
      <c r="C82" s="0" t="s">
        <v>214</v>
      </c>
      <c r="E82" s="6" t="n">
        <v>353.014</v>
      </c>
      <c r="G82" s="7" t="s">
        <v>55</v>
      </c>
      <c r="H82" s="7" t="s">
        <v>286</v>
      </c>
      <c r="I82" s="7" t="s">
        <v>112</v>
      </c>
    </row>
    <row r="83" customFormat="false" ht="17.15" hidden="false" customHeight="false" outlineLevel="0" collapsed="false">
      <c r="A83" s="0" t="s">
        <v>287</v>
      </c>
      <c r="B83" s="3" t="s">
        <v>288</v>
      </c>
      <c r="C83" s="0" t="s">
        <v>274</v>
      </c>
      <c r="E83" s="6" t="n">
        <v>190.64</v>
      </c>
      <c r="G83" s="7" t="s">
        <v>55</v>
      </c>
      <c r="H83" s="7" t="s">
        <v>271</v>
      </c>
      <c r="I83" s="3" t="s">
        <v>289</v>
      </c>
    </row>
    <row r="84" customFormat="false" ht="17.15" hidden="false" customHeight="false" outlineLevel="0" collapsed="false">
      <c r="A84" s="0" t="s">
        <v>290</v>
      </c>
      <c r="B84" s="3" t="s">
        <v>291</v>
      </c>
      <c r="C84" s="0" t="s">
        <v>274</v>
      </c>
      <c r="E84" s="6" t="n">
        <v>193.33</v>
      </c>
      <c r="G84" s="7" t="s">
        <v>55</v>
      </c>
      <c r="H84" s="7" t="s">
        <v>271</v>
      </c>
      <c r="I84" s="7" t="s">
        <v>112</v>
      </c>
    </row>
    <row r="85" customFormat="false" ht="17.15" hidden="false" customHeight="false" outlineLevel="0" collapsed="false">
      <c r="A85" s="0" t="s">
        <v>292</v>
      </c>
      <c r="B85" s="3" t="s">
        <v>293</v>
      </c>
      <c r="C85" s="0" t="s">
        <v>274</v>
      </c>
      <c r="E85" s="6" t="n">
        <v>204.85</v>
      </c>
      <c r="G85" s="7" t="s">
        <v>55</v>
      </c>
      <c r="H85" s="7" t="s">
        <v>286</v>
      </c>
      <c r="I85" s="3" t="s">
        <v>294</v>
      </c>
    </row>
    <row r="86" customFormat="false" ht="17.15" hidden="false" customHeight="false" outlineLevel="0" collapsed="false">
      <c r="A86" s="0" t="s">
        <v>295</v>
      </c>
      <c r="B86" s="0" t="s">
        <v>296</v>
      </c>
      <c r="C86" s="0" t="s">
        <v>214</v>
      </c>
      <c r="E86" s="0" t="n">
        <f aca="false">94.261*1.76^3</f>
        <v>513.889857536</v>
      </c>
      <c r="G86" s="0" t="s">
        <v>35</v>
      </c>
      <c r="H86" s="0" t="s">
        <v>297</v>
      </c>
      <c r="I86" s="3" t="s">
        <v>298</v>
      </c>
    </row>
    <row r="87" customFormat="false" ht="17.15" hidden="false" customHeight="false" outlineLevel="0" collapsed="false">
      <c r="A87" s="0" t="s">
        <v>299</v>
      </c>
      <c r="B87" s="0" t="s">
        <v>300</v>
      </c>
      <c r="C87" s="0" t="s">
        <v>274</v>
      </c>
      <c r="E87" s="0" t="n">
        <f aca="false">8400/20</f>
        <v>420</v>
      </c>
      <c r="G87" s="0" t="s">
        <v>35</v>
      </c>
      <c r="H87" s="0" t="s">
        <v>301</v>
      </c>
      <c r="I87" s="3" t="s">
        <v>302</v>
      </c>
    </row>
    <row r="88" customFormat="false" ht="17.15" hidden="false" customHeight="false" outlineLevel="0" collapsed="false">
      <c r="A88" s="0" t="s">
        <v>303</v>
      </c>
      <c r="B88" s="0" t="s">
        <v>304</v>
      </c>
      <c r="C88" s="0" t="s">
        <v>54</v>
      </c>
      <c r="E88" s="6" t="n">
        <v>0.386</v>
      </c>
      <c r="G88" s="7" t="s">
        <v>55</v>
      </c>
      <c r="H88" s="7" t="s">
        <v>305</v>
      </c>
      <c r="I88" s="3" t="s">
        <v>306</v>
      </c>
    </row>
    <row r="89" customFormat="false" ht="17.15" hidden="false" customHeight="false" outlineLevel="0" collapsed="false">
      <c r="A89" s="0" t="s">
        <v>307</v>
      </c>
      <c r="B89" s="3" t="s">
        <v>308</v>
      </c>
      <c r="C89" s="0" t="s">
        <v>54</v>
      </c>
      <c r="E89" s="6" t="n">
        <v>0.5</v>
      </c>
      <c r="G89" s="7" t="s">
        <v>55</v>
      </c>
      <c r="H89" s="7" t="s">
        <v>309</v>
      </c>
      <c r="I89" s="3" t="s">
        <v>310</v>
      </c>
    </row>
    <row r="90" customFormat="false" ht="17.15" hidden="false" customHeight="false" outlineLevel="0" collapsed="false">
      <c r="A90" s="0" t="s">
        <v>311</v>
      </c>
      <c r="B90" s="0" t="s">
        <v>312</v>
      </c>
      <c r="C90" s="0" t="s">
        <v>313</v>
      </c>
      <c r="E90" s="6" t="n">
        <v>6695</v>
      </c>
      <c r="G90" s="7" t="s">
        <v>55</v>
      </c>
      <c r="H90" s="7" t="s">
        <v>301</v>
      </c>
      <c r="I90" s="7" t="s">
        <v>314</v>
      </c>
    </row>
    <row r="91" customFormat="false" ht="17.15" hidden="false" customHeight="false" outlineLevel="0" collapsed="false">
      <c r="A91" s="0" t="s">
        <v>315</v>
      </c>
      <c r="B91" s="0" t="s">
        <v>316</v>
      </c>
      <c r="C91" s="0" t="s">
        <v>313</v>
      </c>
      <c r="E91" s="6" t="n">
        <v>18750</v>
      </c>
      <c r="G91" s="7" t="s">
        <v>55</v>
      </c>
      <c r="H91" s="7" t="s">
        <v>301</v>
      </c>
      <c r="I91" s="7" t="s">
        <v>112</v>
      </c>
    </row>
    <row r="92" customFormat="false" ht="17.15" hidden="false" customHeight="false" outlineLevel="0" collapsed="false">
      <c r="A92" s="0" t="s">
        <v>317</v>
      </c>
      <c r="B92" s="3" t="s">
        <v>318</v>
      </c>
      <c r="C92" s="3" t="s">
        <v>319</v>
      </c>
      <c r="E92" s="6" t="n">
        <v>164</v>
      </c>
      <c r="G92" s="7" t="s">
        <v>55</v>
      </c>
      <c r="H92" s="7" t="s">
        <v>320</v>
      </c>
      <c r="I92" s="7" t="s">
        <v>321</v>
      </c>
    </row>
    <row r="93" customFormat="false" ht="17.15" hidden="false" customHeight="false" outlineLevel="0" collapsed="false">
      <c r="A93" s="0" t="s">
        <v>322</v>
      </c>
      <c r="B93" s="3" t="s">
        <v>323</v>
      </c>
      <c r="C93" s="3" t="s">
        <v>319</v>
      </c>
      <c r="E93" s="6" t="n">
        <v>578</v>
      </c>
      <c r="G93" s="7" t="s">
        <v>55</v>
      </c>
      <c r="H93" s="7" t="s">
        <v>324</v>
      </c>
      <c r="I93" s="7" t="s">
        <v>112</v>
      </c>
    </row>
    <row r="94" customFormat="false" ht="17.15" hidden="false" customHeight="false" outlineLevel="0" collapsed="false">
      <c r="A94" s="5" t="s">
        <v>325</v>
      </c>
    </row>
    <row r="95" customFormat="false" ht="17.15" hidden="false" customHeight="false" outlineLevel="0" collapsed="false">
      <c r="A95" s="0" t="s">
        <v>326</v>
      </c>
      <c r="B95" s="3" t="s">
        <v>327</v>
      </c>
      <c r="C95" s="0" t="s">
        <v>274</v>
      </c>
      <c r="E95" s="6" t="n">
        <v>5070</v>
      </c>
      <c r="G95" s="7" t="s">
        <v>55</v>
      </c>
      <c r="H95" s="7" t="s">
        <v>328</v>
      </c>
      <c r="I95" s="3" t="s">
        <v>329</v>
      </c>
    </row>
    <row r="96" customFormat="false" ht="17.15" hidden="false" customHeight="false" outlineLevel="0" collapsed="false">
      <c r="A96" s="0" t="s">
        <v>330</v>
      </c>
      <c r="B96" s="3" t="s">
        <v>331</v>
      </c>
      <c r="C96" s="0" t="s">
        <v>67</v>
      </c>
      <c r="E96" s="6" t="n">
        <v>79.28</v>
      </c>
      <c r="G96" s="7" t="s">
        <v>55</v>
      </c>
      <c r="H96" s="7" t="s">
        <v>332</v>
      </c>
      <c r="I96" s="7" t="s">
        <v>333</v>
      </c>
    </row>
    <row r="97" customFormat="false" ht="17.15" hidden="false" customHeight="false" outlineLevel="0" collapsed="false">
      <c r="A97" s="5" t="s">
        <v>334</v>
      </c>
    </row>
    <row r="98" customFormat="false" ht="17.15" hidden="false" customHeight="false" outlineLevel="0" collapsed="false">
      <c r="A98" s="0" t="s">
        <v>335</v>
      </c>
      <c r="B98" s="3" t="s">
        <v>336</v>
      </c>
      <c r="C98" s="3" t="s">
        <v>337</v>
      </c>
      <c r="E98" s="8" t="n">
        <v>0.3</v>
      </c>
      <c r="G98" s="7" t="s">
        <v>68</v>
      </c>
      <c r="H98" s="7" t="s">
        <v>338</v>
      </c>
      <c r="I98" s="3" t="s">
        <v>339</v>
      </c>
    </row>
    <row r="99" customFormat="false" ht="17.15" hidden="false" customHeight="false" outlineLevel="0" collapsed="false">
      <c r="A99" s="0" t="s">
        <v>340</v>
      </c>
      <c r="B99" s="3" t="s">
        <v>341</v>
      </c>
      <c r="C99" s="3" t="s">
        <v>337</v>
      </c>
      <c r="E99" s="8" t="n">
        <v>0.5</v>
      </c>
      <c r="G99" s="7" t="s">
        <v>68</v>
      </c>
      <c r="H99" s="7" t="s">
        <v>338</v>
      </c>
      <c r="I99" s="3" t="s">
        <v>339</v>
      </c>
    </row>
    <row r="100" customFormat="false" ht="17.15" hidden="false" customHeight="false" outlineLevel="0" collapsed="false">
      <c r="A100" s="0" t="s">
        <v>342</v>
      </c>
      <c r="B100" s="3" t="s">
        <v>343</v>
      </c>
      <c r="C100" s="3" t="s">
        <v>337</v>
      </c>
      <c r="E100" s="8" t="n">
        <v>0.2</v>
      </c>
      <c r="G100" s="7" t="s">
        <v>68</v>
      </c>
      <c r="H100" s="7" t="s">
        <v>338</v>
      </c>
      <c r="I100" s="3" t="s">
        <v>339</v>
      </c>
    </row>
    <row r="101" customFormat="false" ht="17.15" hidden="false" customHeight="false" outlineLevel="0" collapsed="false">
      <c r="A101" s="5" t="s">
        <v>344</v>
      </c>
    </row>
    <row r="102" customFormat="false" ht="17.15" hidden="false" customHeight="false" outlineLevel="0" collapsed="false">
      <c r="A102" s="0" t="s">
        <v>345</v>
      </c>
      <c r="B102" s="3" t="s">
        <v>346</v>
      </c>
      <c r="C102" s="0" t="s">
        <v>54</v>
      </c>
      <c r="E102" s="8" t="n">
        <v>0.1</v>
      </c>
      <c r="G102" s="7" t="s">
        <v>68</v>
      </c>
      <c r="H102" s="7" t="s">
        <v>347</v>
      </c>
      <c r="I102" s="7" t="s">
        <v>348</v>
      </c>
    </row>
    <row r="103" customFormat="false" ht="17.15" hidden="false" customHeight="false" outlineLevel="0" collapsed="false">
      <c r="A103" s="0" t="s">
        <v>349</v>
      </c>
      <c r="B103" s="3" t="s">
        <v>350</v>
      </c>
      <c r="C103" s="0" t="s">
        <v>54</v>
      </c>
      <c r="E103" s="8" t="n">
        <v>0.04</v>
      </c>
      <c r="G103" s="7" t="s">
        <v>68</v>
      </c>
      <c r="H103" s="7" t="s">
        <v>351</v>
      </c>
      <c r="I103" s="7" t="s">
        <v>352</v>
      </c>
    </row>
    <row r="104" customFormat="false" ht="17.15" hidden="false" customHeight="false" outlineLevel="0" collapsed="false">
      <c r="A104" s="0" t="s">
        <v>353</v>
      </c>
      <c r="B104" s="0" t="s">
        <v>354</v>
      </c>
      <c r="C104" s="0" t="s">
        <v>54</v>
      </c>
      <c r="E104" s="9" t="n">
        <f aca="false">AVERAGE(0.2245,0.3092,0.3424)</f>
        <v>0.292033333333333</v>
      </c>
      <c r="G104" s="7" t="s">
        <v>35</v>
      </c>
      <c r="H104" s="7" t="s">
        <v>355</v>
      </c>
      <c r="I104" s="3" t="s">
        <v>356</v>
      </c>
    </row>
    <row r="105" customFormat="false" ht="17.15" hidden="false" customHeight="false" outlineLevel="0" collapsed="false">
      <c r="A105" s="0" t="s">
        <v>357</v>
      </c>
      <c r="B105" s="3" t="s">
        <v>358</v>
      </c>
      <c r="C105" s="0" t="s">
        <v>54</v>
      </c>
      <c r="E105" s="8" t="n">
        <v>0.5</v>
      </c>
      <c r="G105" s="7" t="s">
        <v>68</v>
      </c>
      <c r="H105" s="7" t="s">
        <v>359</v>
      </c>
      <c r="I105" s="7" t="s">
        <v>360</v>
      </c>
    </row>
    <row r="106" customFormat="false" ht="17.15" hidden="false" customHeight="false" outlineLevel="0" collapsed="false">
      <c r="A106" s="0" t="s">
        <v>361</v>
      </c>
      <c r="B106" s="3" t="s">
        <v>362</v>
      </c>
      <c r="C106" s="0" t="s">
        <v>54</v>
      </c>
      <c r="E106" s="9" t="n">
        <f aca="false">tp_g+0.02</f>
        <v>0.06</v>
      </c>
      <c r="G106" s="7" t="s">
        <v>68</v>
      </c>
      <c r="H106" s="3" t="s">
        <v>363</v>
      </c>
      <c r="I106" s="7" t="s">
        <v>364</v>
      </c>
    </row>
    <row r="107" customFormat="false" ht="17.15" hidden="false" customHeight="false" outlineLevel="0" collapsed="false">
      <c r="A107" s="0" t="s">
        <v>365</v>
      </c>
      <c r="B107" s="3" t="s">
        <v>366</v>
      </c>
      <c r="C107" s="0" t="s">
        <v>54</v>
      </c>
      <c r="E107" s="9" t="n">
        <f aca="false">tp_g</f>
        <v>0.04</v>
      </c>
      <c r="G107" s="7" t="s">
        <v>68</v>
      </c>
      <c r="H107" s="3" t="s">
        <v>40</v>
      </c>
      <c r="I107" s="7" t="s">
        <v>112</v>
      </c>
    </row>
    <row r="108" customFormat="false" ht="17.15" hidden="false" customHeight="false" outlineLevel="0" collapsed="false">
      <c r="A108" s="0" t="s">
        <v>367</v>
      </c>
      <c r="B108" s="3" t="s">
        <v>368</v>
      </c>
      <c r="C108" s="0" t="s">
        <v>54</v>
      </c>
      <c r="E108" s="9" t="n">
        <f aca="false">tp_g-0.02</f>
        <v>0.02</v>
      </c>
      <c r="G108" s="7" t="s">
        <v>68</v>
      </c>
      <c r="H108" s="3" t="s">
        <v>40</v>
      </c>
      <c r="I108" s="7" t="s">
        <v>112</v>
      </c>
    </row>
    <row r="109" customFormat="false" ht="17.15" hidden="false" customHeight="false" outlineLevel="0" collapsed="false">
      <c r="A109" s="0" t="s">
        <v>369</v>
      </c>
      <c r="B109" s="3" t="s">
        <v>370</v>
      </c>
      <c r="C109" s="0" t="s">
        <v>67</v>
      </c>
      <c r="E109" s="8" t="n">
        <v>0.8</v>
      </c>
      <c r="G109" s="7" t="s">
        <v>68</v>
      </c>
      <c r="H109" s="3" t="s">
        <v>371</v>
      </c>
      <c r="I109" s="3" t="s">
        <v>372</v>
      </c>
    </row>
    <row r="110" customFormat="false" ht="17.15" hidden="false" customHeight="false" outlineLevel="0" collapsed="false">
      <c r="A110" s="0" t="s">
        <v>373</v>
      </c>
      <c r="B110" s="3" t="s">
        <v>374</v>
      </c>
      <c r="C110" s="0" t="s">
        <v>274</v>
      </c>
      <c r="E110" s="6" t="n">
        <v>7803</v>
      </c>
      <c r="G110" s="7" t="s">
        <v>55</v>
      </c>
      <c r="H110" s="7" t="s">
        <v>375</v>
      </c>
      <c r="I110" s="3" t="s">
        <v>376</v>
      </c>
    </row>
    <row r="111" customFormat="false" ht="17.15" hidden="false" customHeight="false" outlineLevel="0" collapsed="false">
      <c r="A111" s="0" t="s">
        <v>377</v>
      </c>
      <c r="B111" s="3" t="s">
        <v>378</v>
      </c>
      <c r="C111" s="0" t="s">
        <v>274</v>
      </c>
      <c r="E111" s="0" t="n">
        <f aca="false">5415/32.17</f>
        <v>168.324525955859</v>
      </c>
      <c r="G111" s="0" t="s">
        <v>55</v>
      </c>
      <c r="H111" s="0" t="s">
        <v>379</v>
      </c>
      <c r="I111" s="3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381</v>
      </c>
    </row>
    <row r="2" customFormat="false" ht="17.15" hidden="false" customHeight="false" outlineLevel="0" collapsed="false">
      <c r="A2" s="0" t="s">
        <v>382</v>
      </c>
    </row>
    <row r="3" customFormat="false" ht="17.15" hidden="false" customHeight="false" outlineLevel="0" collapsed="false">
      <c r="A3" s="4" t="s">
        <v>23</v>
      </c>
      <c r="B3" s="10" t="s">
        <v>383</v>
      </c>
      <c r="C3" s="10" t="s">
        <v>384</v>
      </c>
      <c r="D3" s="10" t="s">
        <v>385</v>
      </c>
      <c r="E3" s="10" t="s">
        <v>386</v>
      </c>
      <c r="F3" s="10" t="s">
        <v>387</v>
      </c>
      <c r="G3" s="4" t="s">
        <v>28</v>
      </c>
      <c r="H3" s="4" t="s">
        <v>29</v>
      </c>
      <c r="I3" s="4" t="s">
        <v>30</v>
      </c>
    </row>
    <row r="4" customFormat="false" ht="17.15" hidden="false" customHeight="false" outlineLevel="0" collapsed="false">
      <c r="A4" s="3" t="s">
        <v>388</v>
      </c>
      <c r="B4" s="11" t="n">
        <v>94.261</v>
      </c>
      <c r="C4" s="11" t="n">
        <v>80.342</v>
      </c>
      <c r="D4" s="12" t="n">
        <f aca="false">q3_rev</f>
        <v>60.885</v>
      </c>
      <c r="E4" s="12" t="n">
        <f aca="false">D4*(1+q4g)</f>
        <v>64.5381</v>
      </c>
      <c r="F4" s="12" t="n">
        <f aca="false">SUM(C4:E4)</f>
        <v>205.7651</v>
      </c>
      <c r="G4" s="7" t="s">
        <v>389</v>
      </c>
      <c r="H4" s="7" t="s">
        <v>390</v>
      </c>
      <c r="I4" s="7" t="s">
        <v>391</v>
      </c>
    </row>
    <row r="5" customFormat="false" ht="17.15" hidden="false" customHeight="false" outlineLevel="0" collapsed="false">
      <c r="A5" s="3" t="s">
        <v>392</v>
      </c>
      <c r="B5" s="11" t="n">
        <v>28.12</v>
      </c>
      <c r="C5" s="12" t="n">
        <f aca="false">C4*0.3202</f>
        <v>25.7255084</v>
      </c>
      <c r="D5" s="12" t="n">
        <f aca="false">D4*q3_gm</f>
        <v>21.30975</v>
      </c>
      <c r="E5" s="12" t="n">
        <f aca="false">E4*q4_gm</f>
        <v>22.588335</v>
      </c>
      <c r="F5" s="12" t="n">
        <f aca="false">SUM(C5:E5)</f>
        <v>69.6235934</v>
      </c>
      <c r="G5" s="7" t="s">
        <v>393</v>
      </c>
      <c r="H5" s="7" t="s">
        <v>390</v>
      </c>
      <c r="I5" s="7" t="s">
        <v>394</v>
      </c>
    </row>
    <row r="6" customFormat="false" ht="17.15" hidden="false" customHeight="false" outlineLevel="0" collapsed="false">
      <c r="A6" s="3" t="s">
        <v>395</v>
      </c>
      <c r="B6" s="13" t="n">
        <f aca="false">B5/B4</f>
        <v>0.298320620405046</v>
      </c>
      <c r="C6" s="13" t="n">
        <f aca="false">C5/C4</f>
        <v>0.3202</v>
      </c>
      <c r="D6" s="13" t="n">
        <f aca="false">D5/D4</f>
        <v>0.35</v>
      </c>
      <c r="E6" s="13" t="n">
        <f aca="false">E5/E4</f>
        <v>0.35</v>
      </c>
      <c r="F6" s="13" t="n">
        <f aca="false">F5/F4</f>
        <v>0.338364442755356</v>
      </c>
      <c r="G6" s="7" t="s">
        <v>35</v>
      </c>
      <c r="H6" s="7" t="s">
        <v>112</v>
      </c>
      <c r="I6" s="7" t="s">
        <v>396</v>
      </c>
    </row>
    <row r="7" customFormat="false" ht="17.15" hidden="false" customHeight="false" outlineLevel="0" collapsed="false">
      <c r="A7" s="3" t="s">
        <v>397</v>
      </c>
      <c r="B7" s="12" t="n">
        <f aca="false">B5-B8</f>
        <v>9.012</v>
      </c>
      <c r="C7" s="12" t="n">
        <f aca="false">C5-C8</f>
        <v>5.86280661418575</v>
      </c>
      <c r="D7" s="12" t="n">
        <f aca="false">D4*q_opx</f>
        <v>3.957525</v>
      </c>
      <c r="E7" s="12" t="n">
        <f aca="false">E4*q_opx</f>
        <v>4.1949765</v>
      </c>
      <c r="F7" s="12" t="n">
        <f aca="false">SUM(C7:E7)</f>
        <v>14.0153081141857</v>
      </c>
      <c r="G7" s="7" t="s">
        <v>398</v>
      </c>
      <c r="H7" s="7" t="s">
        <v>390</v>
      </c>
      <c r="I7" s="7" t="s">
        <v>399</v>
      </c>
    </row>
    <row r="8" customFormat="false" ht="17.15" hidden="false" customHeight="false" outlineLevel="0" collapsed="false">
      <c r="A8" s="3" t="s">
        <v>400</v>
      </c>
      <c r="B8" s="11" t="n">
        <v>19.108</v>
      </c>
      <c r="C8" s="12" t="n">
        <f aca="false">12.734+12.734/1.7863</f>
        <v>19.8627017858143</v>
      </c>
      <c r="D8" s="12" t="n">
        <f aca="false">D5-D7</f>
        <v>17.352225</v>
      </c>
      <c r="E8" s="12" t="n">
        <f aca="false">E5-E7</f>
        <v>18.3933585</v>
      </c>
      <c r="F8" s="12" t="n">
        <f aca="false">SUM(C8:E8)</f>
        <v>55.6082852858143</v>
      </c>
      <c r="G8" s="7" t="s">
        <v>401</v>
      </c>
      <c r="H8" s="7" t="s">
        <v>390</v>
      </c>
      <c r="I8" s="7" t="s">
        <v>402</v>
      </c>
    </row>
    <row r="9" customFormat="false" ht="17.15" hidden="false" customHeight="false" outlineLevel="0" collapsed="false">
      <c r="A9" s="3" t="s">
        <v>403</v>
      </c>
      <c r="B9" s="13" t="n">
        <f aca="false">B8/B4</f>
        <v>0.202713741632276</v>
      </c>
      <c r="C9" s="13" t="n">
        <f aca="false">C8/C4</f>
        <v>0.2472268774217</v>
      </c>
      <c r="D9" s="13" t="n">
        <f aca="false">D8/D4</f>
        <v>0.285</v>
      </c>
      <c r="E9" s="13" t="n">
        <f aca="false">E8/E4</f>
        <v>0.285</v>
      </c>
      <c r="F9" s="13" t="n">
        <f aca="false">F8/F4</f>
        <v>0.270251297648699</v>
      </c>
      <c r="G9" s="7" t="s">
        <v>35</v>
      </c>
      <c r="H9" s="7" t="s">
        <v>112</v>
      </c>
      <c r="I9" s="7" t="s">
        <v>404</v>
      </c>
    </row>
    <row r="10" customFormat="false" ht="17.15" hidden="false" customHeight="false" outlineLevel="0" collapsed="false">
      <c r="A10" s="3" t="s">
        <v>405</v>
      </c>
      <c r="D10" s="12" t="n">
        <f aca="false">q_nop</f>
        <v>0.1</v>
      </c>
      <c r="E10" s="12" t="n">
        <f aca="false">q_nop</f>
        <v>0.1</v>
      </c>
      <c r="G10" s="7" t="s">
        <v>68</v>
      </c>
      <c r="H10" s="7" t="s">
        <v>112</v>
      </c>
      <c r="I10" s="7" t="s">
        <v>406</v>
      </c>
    </row>
    <row r="11" customFormat="false" ht="17.15" hidden="false" customHeight="false" outlineLevel="0" collapsed="false">
      <c r="A11" s="3" t="s">
        <v>407</v>
      </c>
      <c r="D11" s="12" t="n">
        <f aca="false">D8+D10</f>
        <v>17.452225</v>
      </c>
      <c r="E11" s="12" t="n">
        <f aca="false">E8+E10</f>
        <v>18.4933585</v>
      </c>
      <c r="G11" s="7" t="s">
        <v>35</v>
      </c>
      <c r="H11" s="7" t="s">
        <v>112</v>
      </c>
      <c r="I11" s="7" t="s">
        <v>406</v>
      </c>
    </row>
    <row r="12" customFormat="false" ht="17.15" hidden="false" customHeight="false" outlineLevel="0" collapsed="false">
      <c r="A12" s="3" t="s">
        <v>408</v>
      </c>
      <c r="B12" s="11" t="n">
        <v>14.649</v>
      </c>
      <c r="C12" s="11" t="n">
        <v>15.213</v>
      </c>
      <c r="D12" s="12" t="n">
        <f aca="false">D11*q_nir</f>
        <v>13.43821325</v>
      </c>
      <c r="E12" s="12" t="n">
        <f aca="false">E11*q_nir</f>
        <v>14.239886045</v>
      </c>
      <c r="F12" s="12" t="n">
        <f aca="false">SUM(C12:E12)</f>
        <v>42.891099295</v>
      </c>
      <c r="G12" s="7" t="s">
        <v>409</v>
      </c>
      <c r="H12" s="7" t="s">
        <v>390</v>
      </c>
      <c r="I12" s="7" t="s">
        <v>410</v>
      </c>
    </row>
    <row r="13" customFormat="false" ht="17.15" hidden="false" customHeight="false" outlineLevel="0" collapsed="false">
      <c r="A13" s="3" t="s">
        <v>411</v>
      </c>
      <c r="B13" s="13" t="n">
        <f aca="false">B12/B8</f>
        <v>0.766642244086247</v>
      </c>
      <c r="C13" s="13" t="n">
        <f aca="false">C12/C8</f>
        <v>0.765907889271387</v>
      </c>
      <c r="D13" s="13" t="n">
        <f aca="false">D12/D8</f>
        <v>0.774437471275298</v>
      </c>
      <c r="E13" s="13" t="n">
        <f aca="false">E12/E8</f>
        <v>0.774186293655941</v>
      </c>
      <c r="F13" s="13" t="n">
        <f aca="false">F12/F8</f>
        <v>0.771307712053146</v>
      </c>
      <c r="G13" s="7" t="s">
        <v>35</v>
      </c>
      <c r="H13" s="7" t="s">
        <v>112</v>
      </c>
      <c r="I13" s="7" t="s">
        <v>112</v>
      </c>
    </row>
    <row r="14" customFormat="false" ht="17.15" hidden="false" customHeight="false" outlineLevel="0" collapsed="false">
      <c r="A14" s="3" t="s">
        <v>412</v>
      </c>
      <c r="B14" s="12" t="n">
        <f aca="false">14.649/41.67</f>
        <v>0.351547876169906</v>
      </c>
      <c r="C14" s="12" t="n">
        <f aca="false">q_sh</f>
        <v>0.358290155440415</v>
      </c>
      <c r="D14" s="12" t="n">
        <f aca="false">q_sh</f>
        <v>0.358290155440415</v>
      </c>
      <c r="E14" s="12" t="n">
        <f aca="false">q_sh</f>
        <v>0.358290155440415</v>
      </c>
      <c r="F14" s="12" t="n">
        <f aca="false">q_sh</f>
        <v>0.358290155440415</v>
      </c>
      <c r="G14" s="7" t="s">
        <v>35</v>
      </c>
      <c r="H14" s="7" t="s">
        <v>390</v>
      </c>
      <c r="I14" s="3" t="s">
        <v>413</v>
      </c>
    </row>
    <row r="15" customFormat="false" ht="17.15" hidden="false" customHeight="false" outlineLevel="0" collapsed="false">
      <c r="A15" s="0" t="s">
        <v>414</v>
      </c>
      <c r="B15" s="14" t="n">
        <f aca="false">B12/B14</f>
        <v>41.67</v>
      </c>
      <c r="C15" s="14" t="n">
        <f aca="false">C12/C14</f>
        <v>42.46</v>
      </c>
      <c r="D15" s="14" t="n">
        <f aca="false">D12/D14</f>
        <v>37.5065098662328</v>
      </c>
      <c r="E15" s="14" t="n">
        <f aca="false">E12/E14</f>
        <v>39.7440058812003</v>
      </c>
      <c r="F15" s="14" t="n">
        <f aca="false">F12/F14</f>
        <v>119.710515747433</v>
      </c>
      <c r="G15" s="7" t="s">
        <v>35</v>
      </c>
      <c r="H15" s="3" t="s">
        <v>415</v>
      </c>
      <c r="I15" s="7" t="s">
        <v>112</v>
      </c>
    </row>
    <row r="16" customFormat="false" ht="17.15" hidden="false" customHeight="false" outlineLevel="0" collapsed="false">
      <c r="A16" s="3" t="s">
        <v>416</v>
      </c>
      <c r="B16" s="15" t="n">
        <v>41.67</v>
      </c>
      <c r="C16" s="15" t="n">
        <v>42.46</v>
      </c>
      <c r="G16" s="7" t="s">
        <v>215</v>
      </c>
      <c r="H16" s="7" t="s">
        <v>390</v>
      </c>
      <c r="I16" s="7" t="s">
        <v>417</v>
      </c>
    </row>
    <row r="17" customFormat="false" ht="17.15" hidden="false" customHeight="false" outlineLevel="0" collapsed="false">
      <c r="A17" s="0" t="s">
        <v>418</v>
      </c>
      <c r="B17" s="12" t="n">
        <f aca="false">B4*ai_25</f>
        <v>47.1305</v>
      </c>
      <c r="F17" s="12" t="n">
        <f aca="false">F4*ai_26</f>
        <v>120.3725835</v>
      </c>
      <c r="G17" s="7" t="s">
        <v>419</v>
      </c>
      <c r="H17" s="3" t="s">
        <v>420</v>
      </c>
      <c r="I17" s="3" t="s">
        <v>421</v>
      </c>
    </row>
    <row r="18" customFormat="false" ht="17.15" hidden="false" customHeight="false" outlineLevel="0" collapsed="false">
      <c r="A18" s="3" t="s">
        <v>422</v>
      </c>
      <c r="B18" s="12" t="n">
        <f aca="false">B4-B17</f>
        <v>47.1305</v>
      </c>
      <c r="F18" s="12" t="n">
        <f aca="false">F4-F17</f>
        <v>85.3925165</v>
      </c>
      <c r="G18" s="7" t="s">
        <v>35</v>
      </c>
      <c r="H18" s="7" t="s">
        <v>112</v>
      </c>
      <c r="I18" s="3" t="s">
        <v>423</v>
      </c>
    </row>
    <row r="23" customFormat="false" ht="17.15" hidden="false" customHeight="false" outlineLevel="0" collapsed="false">
      <c r="A23" s="5" t="s">
        <v>424</v>
      </c>
    </row>
    <row r="24" customFormat="false" ht="17.15" hidden="false" customHeight="false" outlineLevel="0" collapsed="false">
      <c r="A24" s="0" t="s">
        <v>425</v>
      </c>
      <c r="B24" s="13" t="n">
        <f aca="false">F4/B4-1</f>
        <v>1.1829293132897</v>
      </c>
    </row>
    <row r="25" customFormat="false" ht="17.15" hidden="false" customHeight="false" outlineLevel="0" collapsed="false">
      <c r="A25" s="0" t="s">
        <v>426</v>
      </c>
      <c r="B25" s="13" t="n">
        <f aca="false">F7/B7-1</f>
        <v>0.555182879958472</v>
      </c>
    </row>
    <row r="26" customFormat="false" ht="17.15" hidden="false" customHeight="false" outlineLevel="0" collapsed="false">
      <c r="A26" s="3" t="s">
        <v>427</v>
      </c>
      <c r="B26" s="14" t="n">
        <f aca="false">B25/B24</f>
        <v>0.46932887174342</v>
      </c>
    </row>
    <row r="27" customFormat="false" ht="17.15" hidden="false" customHeight="false" outlineLevel="0" collapsed="false">
      <c r="A27" s="0" t="s">
        <v>428</v>
      </c>
      <c r="B27" s="13" t="n">
        <f aca="false">F4/b_rev26k-1</f>
        <v>0.076610873625885</v>
      </c>
    </row>
    <row r="28" customFormat="false" ht="17.15" hidden="false" customHeight="false" outlineLevel="0" collapsed="false">
      <c r="A28" s="0" t="s">
        <v>429</v>
      </c>
      <c r="B28" s="13" t="n">
        <f aca="false">F15/b_eps26l-1</f>
        <v>-0.00877274366619907</v>
      </c>
    </row>
    <row r="29" customFormat="false" ht="17.15" hidden="false" customHeight="false" outlineLevel="0" collapsed="false">
      <c r="A29" s="0" t="s">
        <v>430</v>
      </c>
      <c r="B29" s="13" t="n">
        <f aca="false">D4/(C4-33.07)-1</f>
        <v>0.287971738026739</v>
      </c>
      <c r="C29" s="7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432</v>
      </c>
    </row>
    <row r="3" customFormat="false" ht="15" hidden="false" customHeight="false" outlineLevel="0" collapsed="false">
      <c r="A3" s="4" t="s">
        <v>23</v>
      </c>
      <c r="B3" s="4" t="s">
        <v>24</v>
      </c>
      <c r="C3" s="10" t="s">
        <v>433</v>
      </c>
      <c r="D3" s="10" t="s">
        <v>434</v>
      </c>
      <c r="E3" s="10" t="s">
        <v>435</v>
      </c>
      <c r="F3" s="10" t="s">
        <v>436</v>
      </c>
      <c r="G3" s="4" t="s">
        <v>437</v>
      </c>
    </row>
    <row r="4" customFormat="false" ht="17.15" hidden="false" customHeight="false" outlineLevel="0" collapsed="false">
      <c r="A4" s="3" t="s">
        <v>438</v>
      </c>
      <c r="B4" s="0" t="s">
        <v>439</v>
      </c>
      <c r="C4" s="16" t="n">
        <f aca="false">PL!D65</f>
        <v>23.3995380420639</v>
      </c>
      <c r="D4" s="16" t="n">
        <f aca="false">PL!E65</f>
        <v>41.6467658260637</v>
      </c>
      <c r="E4" s="16" t="n">
        <f aca="false">PL!F65</f>
        <v>52.792138191248</v>
      </c>
      <c r="F4" s="16" t="n">
        <f aca="false">PL!G65</f>
        <v>60.1385917361116</v>
      </c>
      <c r="G4" s="7" t="s">
        <v>440</v>
      </c>
    </row>
    <row r="5" customFormat="false" ht="17.15" hidden="false" customHeight="false" outlineLevel="0" collapsed="false">
      <c r="A5" s="3" t="s">
        <v>441</v>
      </c>
      <c r="B5" s="0" t="s">
        <v>94</v>
      </c>
      <c r="C5" s="17" t="n">
        <f aca="false">PL!D66</f>
        <v>190</v>
      </c>
      <c r="D5" s="17" t="n">
        <f aca="false">PL!E66</f>
        <v>275.5</v>
      </c>
      <c r="E5" s="17" t="n">
        <f aca="false">PL!F66</f>
        <v>304</v>
      </c>
      <c r="F5" s="17" t="n">
        <f aca="false">PL!G66</f>
        <v>323</v>
      </c>
      <c r="G5" s="7" t="s">
        <v>442</v>
      </c>
    </row>
    <row r="6" customFormat="false" ht="17.15" hidden="false" customHeight="false" outlineLevel="0" collapsed="false">
      <c r="A6" s="3" t="s">
        <v>443</v>
      </c>
      <c r="B6" s="0" t="s">
        <v>94</v>
      </c>
      <c r="C6" s="17" t="n">
        <f aca="false">PL!D67</f>
        <v>90</v>
      </c>
      <c r="D6" s="17" t="n">
        <f aca="false">PL!E67</f>
        <v>126</v>
      </c>
      <c r="E6" s="17" t="n">
        <f aca="false">PL!F67</f>
        <v>144</v>
      </c>
      <c r="F6" s="17" t="n">
        <f aca="false">PL!G67</f>
        <v>157.5</v>
      </c>
      <c r="G6" s="7" t="s">
        <v>68</v>
      </c>
    </row>
    <row r="7" customFormat="false" ht="17.15" hidden="false" customHeight="false" outlineLevel="0" collapsed="false">
      <c r="A7" s="3" t="s">
        <v>444</v>
      </c>
      <c r="B7" s="0" t="s">
        <v>94</v>
      </c>
      <c r="C7" s="17" t="n">
        <f aca="false">PL!D68</f>
        <v>70</v>
      </c>
      <c r="D7" s="17" t="n">
        <f aca="false">PL!E68</f>
        <v>126</v>
      </c>
      <c r="E7" s="17" t="n">
        <f aca="false">PL!F68</f>
        <v>161</v>
      </c>
      <c r="F7" s="17" t="n">
        <f aca="false">PL!G68</f>
        <v>182</v>
      </c>
      <c r="G7" s="7" t="s">
        <v>445</v>
      </c>
    </row>
    <row r="8" customFormat="false" ht="17.15" hidden="false" customHeight="false" outlineLevel="0" collapsed="false">
      <c r="A8" s="3" t="s">
        <v>446</v>
      </c>
      <c r="B8" s="0" t="s">
        <v>94</v>
      </c>
      <c r="C8" s="17" t="n">
        <f aca="false">PL!D69</f>
        <v>350</v>
      </c>
      <c r="D8" s="17" t="n">
        <f aca="false">PL!E69</f>
        <v>527.5</v>
      </c>
      <c r="E8" s="17" t="n">
        <f aca="false">PL!F69</f>
        <v>609</v>
      </c>
      <c r="F8" s="17" t="n">
        <f aca="false">PL!G69</f>
        <v>662.5</v>
      </c>
    </row>
    <row r="9" customFormat="false" ht="17.15" hidden="false" customHeight="false" outlineLevel="0" collapsed="false">
      <c r="A9" s="3" t="s">
        <v>447</v>
      </c>
      <c r="B9" s="0" t="s">
        <v>448</v>
      </c>
      <c r="C9" s="18" t="n">
        <f aca="false">PL!D69*1000/racks_vr</f>
        <v>86.3770977295163</v>
      </c>
      <c r="D9" s="18" t="n">
        <f aca="false">PL!E69*1000/racks_vr</f>
        <v>130.182625863771</v>
      </c>
      <c r="E9" s="18" t="n">
        <f aca="false">PL!F69*1000/racks_vr</f>
        <v>150.296150049358</v>
      </c>
      <c r="F9" s="18" t="n">
        <f aca="false">PL!G69*1000/racks_vr</f>
        <v>163.499506416584</v>
      </c>
      <c r="G9" s="3" t="s">
        <v>449</v>
      </c>
    </row>
    <row r="10" customFormat="false" ht="17.15" hidden="false" customHeight="false" outlineLevel="0" collapsed="false">
      <c r="A10" s="0" t="s">
        <v>450</v>
      </c>
      <c r="B10" s="0" t="s">
        <v>34</v>
      </c>
      <c r="C10" s="18" t="n">
        <f aca="false">PL!D70*PL!D72</f>
        <v>8.18983831472236</v>
      </c>
      <c r="D10" s="18" t="n">
        <f aca="false">PL!E70*PL!E72</f>
        <v>21.9686689732486</v>
      </c>
      <c r="E10" s="18" t="n">
        <f aca="false">PL!F70*PL!F72</f>
        <v>31.1858997937159</v>
      </c>
      <c r="F10" s="18" t="n">
        <f aca="false">PL!G70*PL!G72</f>
        <v>37.0528898334117</v>
      </c>
      <c r="G10" s="3" t="s">
        <v>451</v>
      </c>
    </row>
    <row r="11" customFormat="false" ht="17.15" hidden="false" customHeight="false" outlineLevel="0" collapsed="false">
      <c r="A11" s="3" t="s">
        <v>452</v>
      </c>
      <c r="B11" s="0" t="s">
        <v>54</v>
      </c>
      <c r="C11" s="13" t="n">
        <f aca="false">PL!D75</f>
        <v>0.459306165741139</v>
      </c>
      <c r="D11" s="13" t="n">
        <f aca="false">PL!E75</f>
        <v>0.436340857454082</v>
      </c>
      <c r="E11" s="13" t="n">
        <f aca="false">PL!F75</f>
        <v>0.413375549167025</v>
      </c>
      <c r="F11" s="13" t="n">
        <f aca="false">PL!G75</f>
        <v>0.390410240879968</v>
      </c>
      <c r="G11" s="7" t="s">
        <v>453</v>
      </c>
    </row>
    <row r="12" customFormat="false" ht="17.15" hidden="false" customHeight="false" outlineLevel="0" collapsed="false">
      <c r="A12" s="3" t="s">
        <v>454</v>
      </c>
      <c r="B12" s="0" t="s">
        <v>34</v>
      </c>
      <c r="C12" s="19" t="n">
        <f aca="false">PL!D76/fx</f>
        <v>3.761643234375</v>
      </c>
      <c r="D12" s="19" t="n">
        <f aca="false">PL!E76/fx</f>
        <v>9.58582785691218</v>
      </c>
      <c r="E12" s="19" t="n">
        <f aca="false">PL!F76/fx</f>
        <v>12.8914884534951</v>
      </c>
      <c r="F12" s="19" t="n">
        <f aca="false">PL!G76/fx</f>
        <v>14.4658276451612</v>
      </c>
    </row>
    <row r="13" customFormat="false" ht="17.15" hidden="false" customHeight="false" outlineLevel="0" collapsed="false">
      <c r="A13" s="3" t="s">
        <v>455</v>
      </c>
      <c r="B13" s="0" t="s">
        <v>34</v>
      </c>
      <c r="C13" s="19" t="n">
        <f aca="false">PL!D83/fx</f>
        <v>3.761643234375</v>
      </c>
      <c r="D13" s="19" t="n">
        <f aca="false">PL!E83/fx</f>
        <v>7.51342689104167</v>
      </c>
      <c r="E13" s="19" t="n">
        <f aca="false">PL!F83/fx</f>
        <v>11.9352845958583</v>
      </c>
      <c r="F13" s="19" t="n">
        <f aca="false">PL!G83/fx</f>
        <v>14.4334791036356</v>
      </c>
    </row>
    <row r="14" customFormat="false" ht="17.15" hidden="false" customHeight="false" outlineLevel="0" collapsed="false">
      <c r="A14" s="3" t="s">
        <v>456</v>
      </c>
      <c r="B14" s="0" t="s">
        <v>94</v>
      </c>
      <c r="C14" s="17" t="n">
        <f aca="false">PL!D94</f>
        <v>160.757158009399</v>
      </c>
      <c r="D14" s="17" t="n">
        <f aca="false">PL!E94</f>
        <v>180.408412082255</v>
      </c>
      <c r="E14" s="17" t="n">
        <f aca="false">PL!F94</f>
        <v>226.080719682557</v>
      </c>
      <c r="F14" s="17" t="n">
        <f aca="false">PL!G94</f>
        <v>240.003609778057</v>
      </c>
    </row>
    <row r="15" customFormat="false" ht="15" hidden="false" customHeight="false" outlineLevel="0" collapsed="false">
      <c r="A15" s="3" t="s">
        <v>457</v>
      </c>
      <c r="B15" s="3" t="s">
        <v>151</v>
      </c>
      <c r="C15" s="14" t="n">
        <f aca="false">PL!D78</f>
        <v>6</v>
      </c>
      <c r="D15" s="14" t="n">
        <f aca="false">PL!E78</f>
        <v>7.76</v>
      </c>
      <c r="E15" s="14" t="n">
        <f aca="false">PL!F78</f>
        <v>10.3</v>
      </c>
      <c r="F15" s="14" t="n">
        <f aca="false">PL!G78</f>
        <v>11.8</v>
      </c>
      <c r="G15" s="3" t="s">
        <v>458</v>
      </c>
    </row>
    <row r="16" customFormat="false" ht="17.15" hidden="false" customHeight="false" outlineLevel="0" collapsed="false">
      <c r="A16" s="3" t="s">
        <v>459</v>
      </c>
      <c r="B16" s="0" t="s">
        <v>460</v>
      </c>
      <c r="C16" s="17" t="n">
        <f aca="false">PL!$D$79*PL!D80*PL!D72</f>
        <v>2857.84861111111</v>
      </c>
      <c r="D16" s="17" t="n">
        <f aca="false">PL!$D$79*PL!E80*PL!E72</f>
        <v>3572.31076388889</v>
      </c>
      <c r="E16" s="17" t="n">
        <f aca="false">PL!$D$79*PL!F80*PL!F72</f>
        <v>3880.95841388889</v>
      </c>
      <c r="F16" s="17" t="n">
        <f aca="false">PL!$D$79*PL!G80*PL!G72</f>
        <v>3986.6988125</v>
      </c>
      <c r="G16" s="7" t="s">
        <v>461</v>
      </c>
    </row>
    <row r="17" customFormat="false" ht="17.15" hidden="false" customHeight="false" outlineLevel="0" collapsed="false">
      <c r="A17" s="3" t="s">
        <v>462</v>
      </c>
      <c r="B17" s="0" t="s">
        <v>54</v>
      </c>
      <c r="C17" s="13" t="n">
        <f aca="false">PL!D93</f>
        <v>1</v>
      </c>
      <c r="D17" s="13" t="n">
        <f aca="false">PL!E93</f>
        <v>1.19935703454662</v>
      </c>
      <c r="E17" s="13" t="n">
        <f aca="false">PL!F93</f>
        <v>1.06378859108748</v>
      </c>
      <c r="F17" s="13" t="n">
        <f aca="false">PL!G93</f>
        <v>1.00183369880905</v>
      </c>
      <c r="G17" s="3" t="s">
        <v>463</v>
      </c>
    </row>
    <row r="18" customFormat="false" ht="17.15" hidden="false" customHeight="false" outlineLevel="0" collapsed="false">
      <c r="A18" s="3" t="s">
        <v>464</v>
      </c>
      <c r="B18" s="0" t="s">
        <v>34</v>
      </c>
      <c r="C18" s="18" t="n">
        <f aca="false">PL!D70*PL!D72-PL!D83/fx</f>
        <v>4.42819508034736</v>
      </c>
      <c r="D18" s="18" t="n">
        <f aca="false">PL!E70*PL!E72-PL!E83/fx</f>
        <v>14.4552420822069</v>
      </c>
      <c r="E18" s="18" t="n">
        <f aca="false">PL!F70*PL!F72-PL!F83/fx</f>
        <v>19.2506151978576</v>
      </c>
      <c r="F18" s="18" t="n">
        <f aca="false">PL!G70*PL!G72-PL!G83/fx</f>
        <v>22.6194107297761</v>
      </c>
      <c r="G18" s="3" t="s">
        <v>465</v>
      </c>
    </row>
    <row r="20" customFormat="false" ht="17.15" hidden="false" customHeight="false" outlineLevel="0" collapsed="false">
      <c r="A20" s="1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467</v>
      </c>
    </row>
    <row r="3" customFormat="false" ht="17.15" hidden="false" customHeight="false" outlineLevel="0" collapsed="false">
      <c r="A3" s="4" t="s">
        <v>468</v>
      </c>
      <c r="B3" s="4" t="s">
        <v>24</v>
      </c>
      <c r="C3" s="10" t="s">
        <v>383</v>
      </c>
      <c r="D3" s="10" t="s">
        <v>469</v>
      </c>
      <c r="E3" s="10" t="s">
        <v>470</v>
      </c>
      <c r="F3" s="10" t="s">
        <v>471</v>
      </c>
      <c r="G3" s="10" t="s">
        <v>472</v>
      </c>
      <c r="H3" s="4" t="s">
        <v>437</v>
      </c>
    </row>
    <row r="4" customFormat="false" ht="17.15" hidden="false" customHeight="false" outlineLevel="0" collapsed="false">
      <c r="A4" s="1" t="s">
        <v>473</v>
      </c>
    </row>
    <row r="5" customFormat="false" ht="15" hidden="false" customHeight="false" outlineLevel="0" collapsed="false">
      <c r="A5" s="3" t="s">
        <v>388</v>
      </c>
      <c r="B5" s="0" t="s">
        <v>214</v>
      </c>
      <c r="C5" s="18" t="n">
        <f aca="false">C85</f>
        <v>94.261</v>
      </c>
      <c r="D5" s="18" t="n">
        <f aca="false">D85</f>
        <v>205.7651</v>
      </c>
      <c r="E5" s="18" t="n">
        <f aca="false">E85</f>
        <v>332.653578333333</v>
      </c>
      <c r="F5" s="18" t="n">
        <f aca="false">F85</f>
        <v>479.686459956667</v>
      </c>
      <c r="G5" s="18" t="n">
        <f aca="false">G85</f>
        <v>564.51655185</v>
      </c>
    </row>
    <row r="6" customFormat="false" ht="15" hidden="false" customHeight="false" outlineLevel="0" collapsed="false">
      <c r="A6" s="3" t="s">
        <v>474</v>
      </c>
      <c r="B6" s="0" t="s">
        <v>54</v>
      </c>
      <c r="D6" s="13" t="n">
        <f aca="false">D86</f>
        <v>1.1829293132897</v>
      </c>
      <c r="E6" s="13" t="n">
        <f aca="false">E86</f>
        <v>0.616666666666667</v>
      </c>
      <c r="F6" s="13" t="n">
        <f aca="false">F86</f>
        <v>0.442</v>
      </c>
      <c r="G6" s="13" t="n">
        <f aca="false">G86</f>
        <v>0.17684487467292</v>
      </c>
    </row>
    <row r="7" customFormat="false" ht="17.15" hidden="false" customHeight="false" outlineLevel="0" collapsed="false">
      <c r="A7" s="0" t="s">
        <v>475</v>
      </c>
      <c r="B7" s="0" t="s">
        <v>214</v>
      </c>
      <c r="C7" s="18" t="n">
        <f aca="false">C83</f>
        <v>47.1305</v>
      </c>
      <c r="D7" s="18" t="n">
        <f aca="false">D83</f>
        <v>120.3725835</v>
      </c>
      <c r="E7" s="18" t="n">
        <f aca="false">E83</f>
        <v>240.429660513333</v>
      </c>
      <c r="F7" s="18" t="n">
        <f aca="false">F83</f>
        <v>381.929107067467</v>
      </c>
      <c r="G7" s="18" t="n">
        <f aca="false">G83</f>
        <v>461.87133131634</v>
      </c>
    </row>
    <row r="8" customFormat="false" ht="17.15" hidden="false" customHeight="false" outlineLevel="0" collapsed="false">
      <c r="A8" s="3" t="s">
        <v>476</v>
      </c>
      <c r="B8" s="0" t="s">
        <v>214</v>
      </c>
      <c r="C8" s="18" t="n">
        <f aca="false">C82</f>
        <v>47.1305</v>
      </c>
      <c r="D8" s="18" t="n">
        <f aca="false">D82</f>
        <v>85.3925165</v>
      </c>
      <c r="E8" s="18" t="n">
        <f aca="false">E82</f>
        <v>92.22391782</v>
      </c>
      <c r="F8" s="18" t="n">
        <f aca="false">F82</f>
        <v>97.7573528892</v>
      </c>
      <c r="G8" s="18" t="n">
        <f aca="false">G82</f>
        <v>102.64522053366</v>
      </c>
    </row>
    <row r="9" customFormat="false" ht="17.15" hidden="false" customHeight="false" outlineLevel="0" collapsed="false">
      <c r="A9" s="3" t="s">
        <v>477</v>
      </c>
      <c r="B9" s="0" t="s">
        <v>54</v>
      </c>
      <c r="D9" s="13" t="n">
        <f aca="false">D93</f>
        <v>1</v>
      </c>
      <c r="E9" s="13" t="n">
        <f aca="false">E93</f>
        <v>1.19935703454662</v>
      </c>
      <c r="F9" s="13" t="n">
        <f aca="false">F93</f>
        <v>1.06378859108748</v>
      </c>
      <c r="G9" s="13" t="n">
        <f aca="false">G93</f>
        <v>1.00183369880905</v>
      </c>
    </row>
    <row r="10" customFormat="false" ht="15" hidden="false" customHeight="false" outlineLevel="0" collapsed="false">
      <c r="A10" s="3" t="s">
        <v>395</v>
      </c>
      <c r="B10" s="0" t="s">
        <v>54</v>
      </c>
      <c r="C10" s="13" t="n">
        <f aca="false">C99</f>
        <v>0.298320620405046</v>
      </c>
      <c r="D10" s="13" t="n">
        <f aca="false">D99</f>
        <v>0.338364442755356</v>
      </c>
      <c r="E10" s="13" t="n">
        <f aca="false">E99</f>
        <v>0.349385473683191</v>
      </c>
      <c r="F10" s="13" t="n">
        <f aca="false">F99</f>
        <v>0.339785726036607</v>
      </c>
      <c r="G10" s="13" t="n">
        <f aca="false">G99</f>
        <v>0.318317339530918</v>
      </c>
    </row>
    <row r="11" customFormat="false" ht="15" hidden="false" customHeight="false" outlineLevel="0" collapsed="false">
      <c r="A11" s="3" t="s">
        <v>403</v>
      </c>
      <c r="B11" s="0" t="s">
        <v>54</v>
      </c>
      <c r="C11" s="13" t="n">
        <f aca="false">C103</f>
        <v>0.202713741632276</v>
      </c>
      <c r="D11" s="13" t="n">
        <f aca="false">D103</f>
        <v>0.270251297648699</v>
      </c>
      <c r="E11" s="13" t="n">
        <f aca="false">E103</f>
        <v>0.291664849685591</v>
      </c>
      <c r="F11" s="13" t="n">
        <f aca="false">F103</f>
        <v>0.28914208284537</v>
      </c>
      <c r="G11" s="13" t="n">
        <f aca="false">G103</f>
        <v>0.270717791250024</v>
      </c>
    </row>
    <row r="12" customFormat="false" ht="15" hidden="false" customHeight="false" outlineLevel="0" collapsed="false">
      <c r="A12" s="3" t="s">
        <v>408</v>
      </c>
      <c r="B12" s="0" t="s">
        <v>214</v>
      </c>
      <c r="C12" s="18" t="n">
        <f aca="false">C105</f>
        <v>14.649</v>
      </c>
      <c r="D12" s="18" t="n">
        <f aca="false">D105</f>
        <v>42.891099295</v>
      </c>
      <c r="E12" s="18" t="n">
        <f aca="false">E105</f>
        <v>75.0929840599135</v>
      </c>
      <c r="F12" s="18" t="n">
        <f aca="false">F105</f>
        <v>107.182107451337</v>
      </c>
      <c r="G12" s="18" t="n">
        <f aca="false">G105</f>
        <v>118.059999011502</v>
      </c>
    </row>
    <row r="13" customFormat="false" ht="15" hidden="false" customHeight="false" outlineLevel="0" collapsed="false">
      <c r="A13" s="0" t="s">
        <v>414</v>
      </c>
      <c r="B13" s="0" t="s">
        <v>274</v>
      </c>
      <c r="C13" s="14" t="n">
        <f aca="false">C108</f>
        <v>41.67</v>
      </c>
      <c r="D13" s="14" t="n">
        <f aca="false">D108</f>
        <v>119.710515747433</v>
      </c>
      <c r="E13" s="14" t="n">
        <f aca="false">E108</f>
        <v>209.587070478139</v>
      </c>
      <c r="F13" s="14" t="n">
        <f aca="false">F108</f>
        <v>299.14890438334</v>
      </c>
      <c r="G13" s="14" t="n">
        <f aca="false">G108</f>
        <v>329.509469403035</v>
      </c>
    </row>
    <row r="14" customFormat="false" ht="17.15" hidden="false" customHeight="false" outlineLevel="0" collapsed="false">
      <c r="A14" s="0" t="s">
        <v>478</v>
      </c>
      <c r="B14" s="0" t="s">
        <v>54</v>
      </c>
      <c r="D14" s="13" t="n">
        <f aca="false">D109</f>
        <v>1.87282255213422</v>
      </c>
      <c r="E14" s="13" t="n">
        <f aca="false">E109</f>
        <v>0.750782453567642</v>
      </c>
      <c r="F14" s="13" t="n">
        <f aca="false">F109</f>
        <v>0.42732518614283</v>
      </c>
      <c r="G14" s="13" t="n">
        <f aca="false">G109</f>
        <v>0.101489808502824</v>
      </c>
    </row>
    <row r="16" customFormat="false" ht="17.15" hidden="false" customHeight="false" outlineLevel="0" collapsed="false">
      <c r="A16" s="1" t="s">
        <v>479</v>
      </c>
    </row>
    <row r="17" customFormat="false" ht="15" hidden="false" customHeight="false" outlineLevel="0" collapsed="false">
      <c r="A17" s="3" t="s">
        <v>388</v>
      </c>
      <c r="B17" s="0" t="s">
        <v>214</v>
      </c>
      <c r="C17" s="18" t="n">
        <f aca="false">C137</f>
        <v>94.261</v>
      </c>
      <c r="D17" s="18" t="n">
        <f aca="false">D137</f>
        <v>205.7651</v>
      </c>
      <c r="E17" s="18" t="n">
        <f aca="false">E137</f>
        <v>332.653578333333</v>
      </c>
      <c r="F17" s="18" t="n">
        <f aca="false">F137</f>
        <v>427.779457298676</v>
      </c>
      <c r="G17" s="18" t="n">
        <f aca="false">G137</f>
        <v>496.115732482045</v>
      </c>
    </row>
    <row r="18" customFormat="false" ht="15" hidden="false" customHeight="false" outlineLevel="0" collapsed="false">
      <c r="A18" s="3" t="s">
        <v>474</v>
      </c>
      <c r="B18" s="0" t="s">
        <v>54</v>
      </c>
      <c r="D18" s="13" t="n">
        <f aca="false">D138</f>
        <v>1.1829293132897</v>
      </c>
      <c r="E18" s="13" t="n">
        <f aca="false">E138</f>
        <v>0.616666666666667</v>
      </c>
      <c r="F18" s="13" t="n">
        <f aca="false">F138</f>
        <v>0.285960786719757</v>
      </c>
      <c r="G18" s="13" t="n">
        <f aca="false">G138</f>
        <v>0.159746509603093</v>
      </c>
    </row>
    <row r="19" customFormat="false" ht="17.15" hidden="false" customHeight="false" outlineLevel="0" collapsed="false">
      <c r="A19" s="0" t="s">
        <v>475</v>
      </c>
      <c r="B19" s="0" t="s">
        <v>214</v>
      </c>
      <c r="C19" s="18" t="n">
        <f aca="false">C135</f>
        <v>47.1305</v>
      </c>
      <c r="D19" s="18" t="n">
        <f aca="false">D135</f>
        <v>120.3725835</v>
      </c>
      <c r="E19" s="18" t="n">
        <f aca="false">E135</f>
        <v>240.429660513333</v>
      </c>
      <c r="F19" s="18" t="n">
        <f aca="false">F135</f>
        <v>330.022104409476</v>
      </c>
      <c r="G19" s="18" t="n">
        <f aca="false">G135</f>
        <v>393.470511948385</v>
      </c>
    </row>
    <row r="20" customFormat="false" ht="17.15" hidden="false" customHeight="false" outlineLevel="0" collapsed="false">
      <c r="A20" s="3" t="s">
        <v>476</v>
      </c>
      <c r="B20" s="0" t="s">
        <v>214</v>
      </c>
      <c r="C20" s="18" t="n">
        <f aca="false">C134</f>
        <v>47.1305</v>
      </c>
      <c r="D20" s="18" t="n">
        <f aca="false">D134</f>
        <v>85.3925165</v>
      </c>
      <c r="E20" s="18" t="n">
        <f aca="false">E134</f>
        <v>92.22391782</v>
      </c>
      <c r="F20" s="18" t="n">
        <f aca="false">F134</f>
        <v>97.7573528892</v>
      </c>
      <c r="G20" s="18" t="n">
        <f aca="false">G134</f>
        <v>102.64522053366</v>
      </c>
    </row>
    <row r="21" customFormat="false" ht="17.15" hidden="false" customHeight="false" outlineLevel="0" collapsed="false">
      <c r="A21" s="3" t="s">
        <v>477</v>
      </c>
      <c r="B21" s="0" t="s">
        <v>54</v>
      </c>
      <c r="D21" s="13" t="n">
        <f aca="false">D145</f>
        <v>1</v>
      </c>
      <c r="E21" s="13" t="n">
        <f aca="false">E145</f>
        <v>1.19935703454662</v>
      </c>
      <c r="F21" s="13" t="n">
        <f aca="false">F145</f>
        <v>0.891789727267515</v>
      </c>
      <c r="G21" s="13" t="n">
        <f aca="false">G145</f>
        <v>0.87883292501558</v>
      </c>
    </row>
    <row r="22" customFormat="false" ht="15" hidden="false" customHeight="false" outlineLevel="0" collapsed="false">
      <c r="A22" s="3" t="s">
        <v>395</v>
      </c>
      <c r="B22" s="0" t="s">
        <v>54</v>
      </c>
      <c r="C22" s="13" t="n">
        <f aca="false">C151</f>
        <v>0.298320620405046</v>
      </c>
      <c r="D22" s="13" t="n">
        <f aca="false">D151</f>
        <v>0.338364442755356</v>
      </c>
      <c r="E22" s="13" t="n">
        <f aca="false">E151</f>
        <v>0.349385473683191</v>
      </c>
      <c r="F22" s="13" t="n">
        <f aca="false">F151</f>
        <v>0.338288072123118</v>
      </c>
      <c r="G22" s="13" t="n">
        <f aca="false">G151</f>
        <v>0.317497617052056</v>
      </c>
    </row>
    <row r="23" customFormat="false" ht="15" hidden="false" customHeight="false" outlineLevel="0" collapsed="false">
      <c r="A23" s="3" t="s">
        <v>403</v>
      </c>
      <c r="B23" s="0" t="s">
        <v>54</v>
      </c>
      <c r="C23" s="13" t="n">
        <f aca="false">C155</f>
        <v>0.202713741632276</v>
      </c>
      <c r="D23" s="13" t="n">
        <f aca="false">D155</f>
        <v>0.270251297648699</v>
      </c>
      <c r="E23" s="13" t="n">
        <f aca="false">E155</f>
        <v>0.291664849685591</v>
      </c>
      <c r="F23" s="13" t="n">
        <f aca="false">F155</f>
        <v>0.285701612469801</v>
      </c>
      <c r="G23" s="13" t="n">
        <f aca="false">G155</f>
        <v>0.267808515851623</v>
      </c>
    </row>
    <row r="24" customFormat="false" ht="15" hidden="false" customHeight="false" outlineLevel="0" collapsed="false">
      <c r="A24" s="3" t="s">
        <v>408</v>
      </c>
      <c r="B24" s="0" t="s">
        <v>214</v>
      </c>
      <c r="C24" s="18" t="n">
        <f aca="false">C157</f>
        <v>14.649</v>
      </c>
      <c r="D24" s="18" t="n">
        <f aca="false">D157</f>
        <v>42.891099295</v>
      </c>
      <c r="E24" s="18" t="n">
        <f aca="false">E157</f>
        <v>75.0929840599135</v>
      </c>
      <c r="F24" s="18" t="n">
        <f aca="false">F157</f>
        <v>94.4923061633999</v>
      </c>
      <c r="G24" s="18" t="n">
        <f aca="false">G157</f>
        <v>102.690293865126</v>
      </c>
    </row>
    <row r="25" customFormat="false" ht="15" hidden="false" customHeight="false" outlineLevel="0" collapsed="false">
      <c r="A25" s="0" t="s">
        <v>414</v>
      </c>
      <c r="B25" s="0" t="s">
        <v>274</v>
      </c>
      <c r="C25" s="14" t="n">
        <f aca="false">C160</f>
        <v>41.67</v>
      </c>
      <c r="D25" s="14" t="n">
        <f aca="false">D160</f>
        <v>119.710515747433</v>
      </c>
      <c r="E25" s="14" t="n">
        <f aca="false">E160</f>
        <v>209.587070478139</v>
      </c>
      <c r="F25" s="14" t="n">
        <f aca="false">F160</f>
        <v>263.731237737327</v>
      </c>
      <c r="G25" s="14" t="n">
        <f aca="false">G160</f>
        <v>286.612100014018</v>
      </c>
    </row>
    <row r="26" customFormat="false" ht="17.15" hidden="false" customHeight="false" outlineLevel="0" collapsed="false">
      <c r="A26" s="0" t="s">
        <v>478</v>
      </c>
      <c r="B26" s="0" t="s">
        <v>54</v>
      </c>
      <c r="D26" s="13" t="n">
        <f aca="false">D161</f>
        <v>1.87282255213422</v>
      </c>
      <c r="E26" s="13" t="n">
        <f aca="false">E161</f>
        <v>0.750782453567642</v>
      </c>
      <c r="F26" s="13" t="n">
        <f aca="false">F161</f>
        <v>0.258337344644721</v>
      </c>
      <c r="G26" s="13" t="n">
        <f aca="false">G161</f>
        <v>0.0867582561436251</v>
      </c>
    </row>
    <row r="28" customFormat="false" ht="17.15" hidden="false" customHeight="false" outlineLevel="0" collapsed="false">
      <c r="A28" s="1" t="s">
        <v>480</v>
      </c>
    </row>
    <row r="29" customFormat="false" ht="15" hidden="false" customHeight="false" outlineLevel="0" collapsed="false">
      <c r="A29" s="3" t="s">
        <v>388</v>
      </c>
      <c r="B29" s="0" t="s">
        <v>214</v>
      </c>
      <c r="C29" s="18" t="n">
        <f aca="false">C189</f>
        <v>94.261</v>
      </c>
      <c r="D29" s="18" t="n">
        <f aca="false">D189</f>
        <v>205.7651</v>
      </c>
      <c r="E29" s="18" t="n">
        <f aca="false">E189</f>
        <v>332.653578333333</v>
      </c>
      <c r="F29" s="18" t="n">
        <f aca="false">F189</f>
        <v>345.273931196307</v>
      </c>
      <c r="G29" s="18" t="n">
        <f aca="false">G189</f>
        <v>380.389111320755</v>
      </c>
    </row>
    <row r="30" customFormat="false" ht="15" hidden="false" customHeight="false" outlineLevel="0" collapsed="false">
      <c r="A30" s="3" t="s">
        <v>474</v>
      </c>
      <c r="B30" s="0" t="s">
        <v>54</v>
      </c>
      <c r="D30" s="13" t="n">
        <f aca="false">D190</f>
        <v>1.1829293132897</v>
      </c>
      <c r="E30" s="13" t="n">
        <f aca="false">E190</f>
        <v>0.616666666666667</v>
      </c>
      <c r="F30" s="13" t="n">
        <f aca="false">F190</f>
        <v>0.0379384250913639</v>
      </c>
      <c r="G30" s="13" t="n">
        <f aca="false">G190</f>
        <v>0.101702378754113</v>
      </c>
    </row>
    <row r="31" customFormat="false" ht="17.15" hidden="false" customHeight="false" outlineLevel="0" collapsed="false">
      <c r="A31" s="0" t="s">
        <v>475</v>
      </c>
      <c r="B31" s="0" t="s">
        <v>214</v>
      </c>
      <c r="C31" s="18" t="n">
        <f aca="false">C187</f>
        <v>47.1305</v>
      </c>
      <c r="D31" s="18" t="n">
        <f aca="false">D187</f>
        <v>120.3725835</v>
      </c>
      <c r="E31" s="18" t="n">
        <f aca="false">E187</f>
        <v>240.429660513333</v>
      </c>
      <c r="F31" s="18" t="n">
        <f aca="false">F187</f>
        <v>247.516578307107</v>
      </c>
      <c r="G31" s="18" t="n">
        <f aca="false">G187</f>
        <v>277.743890787095</v>
      </c>
    </row>
    <row r="32" customFormat="false" ht="17.15" hidden="false" customHeight="false" outlineLevel="0" collapsed="false">
      <c r="A32" s="3" t="s">
        <v>476</v>
      </c>
      <c r="B32" s="0" t="s">
        <v>214</v>
      </c>
      <c r="C32" s="18" t="n">
        <f aca="false">C186</f>
        <v>47.1305</v>
      </c>
      <c r="D32" s="18" t="n">
        <f aca="false">D186</f>
        <v>85.3925165</v>
      </c>
      <c r="E32" s="18" t="n">
        <f aca="false">E186</f>
        <v>92.22391782</v>
      </c>
      <c r="F32" s="18" t="n">
        <f aca="false">F186</f>
        <v>97.7573528892</v>
      </c>
      <c r="G32" s="18" t="n">
        <f aca="false">G186</f>
        <v>102.64522053366</v>
      </c>
    </row>
    <row r="33" customFormat="false" ht="17.15" hidden="false" customHeight="false" outlineLevel="0" collapsed="false">
      <c r="A33" s="3" t="s">
        <v>477</v>
      </c>
      <c r="B33" s="0" t="s">
        <v>54</v>
      </c>
      <c r="D33" s="13" t="n">
        <f aca="false">D197</f>
        <v>1</v>
      </c>
      <c r="E33" s="13" t="n">
        <f aca="false">E197</f>
        <v>1.19935703454662</v>
      </c>
      <c r="F33" s="13" t="n">
        <f aca="false">F197</f>
        <v>0.719790863447548</v>
      </c>
      <c r="G33" s="13" t="n">
        <f aca="false">G197</f>
        <v>0.67383163535979</v>
      </c>
    </row>
    <row r="34" customFormat="false" ht="15" hidden="false" customHeight="false" outlineLevel="0" collapsed="false">
      <c r="A34" s="3" t="s">
        <v>395</v>
      </c>
      <c r="B34" s="0" t="s">
        <v>54</v>
      </c>
      <c r="C34" s="13" t="n">
        <f aca="false">C203</f>
        <v>0.298320620405046</v>
      </c>
      <c r="D34" s="13" t="n">
        <f aca="false">D203</f>
        <v>0.338364442755356</v>
      </c>
      <c r="E34" s="13" t="n">
        <f aca="false">E203</f>
        <v>0.349385473683191</v>
      </c>
      <c r="F34" s="13" t="n">
        <f aca="false">F203</f>
        <v>0.334980858696562</v>
      </c>
      <c r="G34" s="13" t="n">
        <f aca="false">G203</f>
        <v>0.315439417793948</v>
      </c>
    </row>
    <row r="35" customFormat="false" ht="15" hidden="false" customHeight="false" outlineLevel="0" collapsed="false">
      <c r="A35" s="3" t="s">
        <v>403</v>
      </c>
      <c r="B35" s="0" t="s">
        <v>54</v>
      </c>
      <c r="C35" s="13" t="n">
        <f aca="false">C207</f>
        <v>0.202713741632276</v>
      </c>
      <c r="D35" s="13" t="n">
        <f aca="false">D207</f>
        <v>0.270251297648699</v>
      </c>
      <c r="E35" s="13" t="n">
        <f aca="false">E207</f>
        <v>0.291664849685591</v>
      </c>
      <c r="F35" s="13" t="n">
        <f aca="false">F207</f>
        <v>0.278104149720055</v>
      </c>
      <c r="G35" s="13" t="n">
        <f aca="false">G207</f>
        <v>0.260662911816061</v>
      </c>
    </row>
    <row r="36" customFormat="false" ht="15" hidden="false" customHeight="false" outlineLevel="0" collapsed="false">
      <c r="A36" s="3" t="s">
        <v>408</v>
      </c>
      <c r="B36" s="0" t="s">
        <v>214</v>
      </c>
      <c r="C36" s="18" t="n">
        <f aca="false">C209</f>
        <v>14.649</v>
      </c>
      <c r="D36" s="18" t="n">
        <f aca="false">D209</f>
        <v>42.891099295</v>
      </c>
      <c r="E36" s="18" t="n">
        <f aca="false">E209</f>
        <v>75.0929840599135</v>
      </c>
      <c r="F36" s="18" t="n">
        <f aca="false">F209</f>
        <v>74.3220270530041</v>
      </c>
      <c r="G36" s="18" t="n">
        <f aca="false">G209</f>
        <v>76.7330667025938</v>
      </c>
    </row>
    <row r="37" customFormat="false" ht="15" hidden="false" customHeight="false" outlineLevel="0" collapsed="false">
      <c r="A37" s="0" t="s">
        <v>414</v>
      </c>
      <c r="B37" s="0" t="s">
        <v>274</v>
      </c>
      <c r="C37" s="14" t="n">
        <f aca="false">C212</f>
        <v>41.67</v>
      </c>
      <c r="D37" s="14" t="n">
        <f aca="false">D212</f>
        <v>119.710515747433</v>
      </c>
      <c r="E37" s="14" t="n">
        <f aca="false">E212</f>
        <v>209.587070478139</v>
      </c>
      <c r="F37" s="14" t="n">
        <f aca="false">F212</f>
        <v>207.435303271581</v>
      </c>
      <c r="G37" s="14" t="n">
        <f aca="false">G212</f>
        <v>214.16459687058</v>
      </c>
    </row>
    <row r="38" customFormat="false" ht="17.15" hidden="false" customHeight="false" outlineLevel="0" collapsed="false">
      <c r="A38" s="0" t="s">
        <v>478</v>
      </c>
      <c r="B38" s="0" t="s">
        <v>54</v>
      </c>
      <c r="D38" s="13" t="n">
        <f aca="false">D213</f>
        <v>1.87282255213422</v>
      </c>
      <c r="E38" s="13" t="n">
        <f aca="false">E213</f>
        <v>0.750782453567642</v>
      </c>
      <c r="F38" s="13" t="n">
        <f aca="false">F213</f>
        <v>-0.0102666982350073</v>
      </c>
      <c r="G38" s="13" t="n">
        <f aca="false">G213</f>
        <v>0.0324404452514484</v>
      </c>
    </row>
    <row r="40" customFormat="false" ht="17.15" hidden="false" customHeight="false" outlineLevel="0" collapsed="false">
      <c r="A40" s="1" t="s">
        <v>481</v>
      </c>
    </row>
    <row r="41" customFormat="false" ht="17.15" hidden="false" customHeight="false" outlineLevel="0" collapsed="false">
      <c r="A41" s="3" t="s">
        <v>482</v>
      </c>
      <c r="D41" s="20" t="n">
        <f aca="false">D85-a26_rev</f>
        <v>0</v>
      </c>
    </row>
    <row r="42" customFormat="false" ht="17.15" hidden="false" customHeight="false" outlineLevel="0" collapsed="false">
      <c r="A42" s="3" t="s">
        <v>483</v>
      </c>
      <c r="D42" s="20" t="n">
        <f aca="false">D83-a26_ai</f>
        <v>0</v>
      </c>
    </row>
    <row r="43" customFormat="false" ht="17.15" hidden="false" customHeight="false" outlineLevel="0" collapsed="false">
      <c r="A43" s="3" t="s">
        <v>484</v>
      </c>
      <c r="D43" s="20" t="n">
        <f aca="false">D97*D83+D96*D82-a26_gp</f>
        <v>0</v>
      </c>
    </row>
    <row r="44" customFormat="false" ht="17.15" hidden="false" customHeight="false" outlineLevel="0" collapsed="false">
      <c r="A44" s="3" t="s">
        <v>485</v>
      </c>
      <c r="D44" s="20" t="n">
        <f aca="false">D81-D85</f>
        <v>0</v>
      </c>
    </row>
    <row r="60" customFormat="false" ht="17.15" hidden="false" customHeight="false" outlineLevel="0" collapsed="false">
      <c r="A60" s="1" t="s">
        <v>486</v>
      </c>
    </row>
    <row r="61" customFormat="false" ht="17.15" hidden="false" customHeight="false" outlineLevel="0" collapsed="false">
      <c r="A61" s="4" t="s">
        <v>23</v>
      </c>
      <c r="B61" s="4" t="s">
        <v>24</v>
      </c>
      <c r="C61" s="10" t="s">
        <v>383</v>
      </c>
      <c r="D61" s="10" t="s">
        <v>469</v>
      </c>
      <c r="E61" s="10" t="s">
        <v>470</v>
      </c>
      <c r="F61" s="10" t="s">
        <v>471</v>
      </c>
      <c r="G61" s="10" t="s">
        <v>472</v>
      </c>
      <c r="H61" s="4" t="s">
        <v>437</v>
      </c>
    </row>
    <row r="62" customFormat="false" ht="17.15" hidden="false" customHeight="false" outlineLevel="0" collapsed="false">
      <c r="A62" s="5" t="s">
        <v>487</v>
      </c>
    </row>
    <row r="63" customFormat="false" ht="17.15" hidden="false" customHeight="false" outlineLevel="0" collapsed="false">
      <c r="A63" s="0" t="s">
        <v>488</v>
      </c>
      <c r="B63" s="0" t="s">
        <v>34</v>
      </c>
      <c r="D63" s="19" t="n">
        <f aca="false">itc_26*1</f>
        <v>781.872916666666</v>
      </c>
      <c r="E63" s="19" t="n">
        <f aca="false">itc_27*1*1</f>
        <v>1565.35</v>
      </c>
      <c r="F63" s="19" t="n">
        <f aca="false">itc_28*um28_A*1</f>
        <v>1984.26388888889</v>
      </c>
      <c r="G63" s="19" t="n">
        <f aca="false">itc_29*um29_A*1</f>
        <v>2260.39027777778</v>
      </c>
    </row>
    <row r="64" customFormat="false" ht="17.15" hidden="false" customHeight="false" outlineLevel="0" collapsed="false">
      <c r="A64" s="3" t="s">
        <v>489</v>
      </c>
      <c r="B64" s="0" t="s">
        <v>34</v>
      </c>
      <c r="D64" s="19" t="n">
        <f aca="false">itpg_gb*(1-vr26)+itpg_vr*vr26</f>
        <v>33.41403216</v>
      </c>
      <c r="E64" s="19" t="n">
        <f aca="false">itpg_vr</f>
        <v>37.586352</v>
      </c>
      <c r="F64" s="19" t="n">
        <f aca="false">itpg_vr</f>
        <v>37.586352</v>
      </c>
      <c r="G64" s="19" t="n">
        <f aca="false">itpg_vr</f>
        <v>37.586352</v>
      </c>
    </row>
    <row r="65" customFormat="false" ht="17.15" hidden="false" customHeight="false" outlineLevel="0" collapsed="false">
      <c r="A65" s="3" t="s">
        <v>490</v>
      </c>
      <c r="B65" s="0" t="s">
        <v>439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3" t="s">
        <v>441</v>
      </c>
      <c r="B66" s="0" t="s">
        <v>94</v>
      </c>
      <c r="D66" s="17" t="n">
        <f aca="false">cmp_26</f>
        <v>190</v>
      </c>
      <c r="E66" s="17" t="n">
        <f aca="false">cmp_26*cmpx_27</f>
        <v>275.5</v>
      </c>
      <c r="F66" s="17" t="n">
        <f aca="false">cmp_26*cmpx_28</f>
        <v>304</v>
      </c>
      <c r="G66" s="17" t="n">
        <f aca="false">cmp_26*cmpx_29</f>
        <v>323</v>
      </c>
    </row>
    <row r="67" customFormat="false" ht="17.15" hidden="false" customHeight="false" outlineLevel="0" collapsed="false">
      <c r="A67" s="3" t="s">
        <v>443</v>
      </c>
      <c r="B67" s="0" t="s">
        <v>94</v>
      </c>
      <c r="D67" s="17" t="n">
        <f aca="false">sw_26</f>
        <v>90</v>
      </c>
      <c r="E67" s="17" t="n">
        <f aca="false">sw_26*swx_27</f>
        <v>126</v>
      </c>
      <c r="F67" s="17" t="n">
        <f aca="false">sw_26*swx_28</f>
        <v>144</v>
      </c>
      <c r="G67" s="17" t="n">
        <f aca="false">sw_26*swx_29</f>
        <v>157.5</v>
      </c>
    </row>
    <row r="68" customFormat="false" ht="17.15" hidden="false" customHeight="false" outlineLevel="0" collapsed="false">
      <c r="A68" s="3" t="s">
        <v>444</v>
      </c>
      <c r="B68" s="0" t="s">
        <v>94</v>
      </c>
      <c r="D68" s="17" t="n">
        <f aca="false">ubb_26</f>
        <v>70</v>
      </c>
      <c r="E68" s="17" t="n">
        <f aca="false">ubb_26*ubbx_27</f>
        <v>126</v>
      </c>
      <c r="F68" s="17" t="n">
        <f aca="false">ubb_26*ubbx_28</f>
        <v>161</v>
      </c>
      <c r="G68" s="17" t="n">
        <f aca="false">ubb_26*ubbx_29</f>
        <v>182</v>
      </c>
    </row>
    <row r="69" customFormat="false" ht="17.15" hidden="false" customHeight="false" outlineLevel="0" collapsed="false">
      <c r="A69" s="3" t="s">
        <v>491</v>
      </c>
      <c r="B69" s="0" t="s">
        <v>94</v>
      </c>
      <c r="D69" s="17" t="n">
        <f aca="false">D66+D67+D68</f>
        <v>350</v>
      </c>
      <c r="E69" s="17" t="n">
        <f aca="false">E66+E67+E68</f>
        <v>527.5</v>
      </c>
      <c r="F69" s="17" t="n">
        <f aca="false">F66+F67+F68</f>
        <v>609</v>
      </c>
      <c r="G69" s="17" t="n">
        <f aca="false">G66+G67+G68</f>
        <v>662.5</v>
      </c>
    </row>
    <row r="70" customFormat="false" ht="17.15" hidden="false" customHeight="false" outlineLevel="0" collapsed="false">
      <c r="A70" s="0" t="s">
        <v>492</v>
      </c>
      <c r="B70" s="0" t="s">
        <v>34</v>
      </c>
      <c r="D70" s="19" t="n">
        <f aca="false">D65*D69/1000</f>
        <v>8.18983831472236</v>
      </c>
      <c r="E70" s="19" t="n">
        <f aca="false">E65*E69/1000</f>
        <v>21.9686689732486</v>
      </c>
      <c r="F70" s="19" t="n">
        <f aca="false">F65*F69/1000</f>
        <v>32.15041215847</v>
      </c>
      <c r="G70" s="19" t="n">
        <f aca="false">G65*G69/1000</f>
        <v>39.8418170251739</v>
      </c>
    </row>
    <row r="71" customFormat="false" ht="17.15" hidden="false" customHeight="false" outlineLevel="0" collapsed="false">
      <c r="A71" s="0" t="s">
        <v>493</v>
      </c>
      <c r="B71" s="0" t="s">
        <v>214</v>
      </c>
      <c r="D71" s="18" t="n">
        <f aca="false">D70*fx</f>
        <v>262.074826071116</v>
      </c>
      <c r="E71" s="18" t="n">
        <f aca="false">E70*fx</f>
        <v>702.997407143955</v>
      </c>
      <c r="F71" s="18" t="n">
        <f aca="false">F70*fx</f>
        <v>1028.81318907104</v>
      </c>
      <c r="G71" s="18" t="n">
        <f aca="false">G70*fx</f>
        <v>1274.93814480557</v>
      </c>
    </row>
    <row r="72" customFormat="false" ht="17.15" hidden="false" customHeight="false" outlineLevel="0" collapsed="false">
      <c r="A72" s="0" t="s">
        <v>494</v>
      </c>
      <c r="B72" s="0" t="s">
        <v>67</v>
      </c>
      <c r="D72" s="14" t="n">
        <f aca="false">1</f>
        <v>1</v>
      </c>
      <c r="E72" s="14" t="n">
        <f aca="false">pp_27</f>
        <v>1</v>
      </c>
      <c r="F72" s="14" t="n">
        <f aca="false">pp_28</f>
        <v>0.97</v>
      </c>
      <c r="G72" s="14" t="n">
        <f aca="false">pp_29</f>
        <v>0.93</v>
      </c>
    </row>
    <row r="73" customFormat="false" ht="17.15" hidden="false" customHeight="false" outlineLevel="0" collapsed="false">
      <c r="A73" s="3" t="s">
        <v>495</v>
      </c>
      <c r="B73" s="0" t="s">
        <v>54</v>
      </c>
      <c r="D73" s="13" t="n">
        <f aca="false">a26_ai/D71</f>
        <v>0.459306165741139</v>
      </c>
      <c r="H73" s="7" t="s">
        <v>496</v>
      </c>
    </row>
    <row r="74" customFormat="false" ht="17.15" hidden="false" customHeight="false" outlineLevel="0" collapsed="false">
      <c r="A74" s="3" t="s">
        <v>497</v>
      </c>
      <c r="B74" s="0" t="s">
        <v>67</v>
      </c>
      <c r="D74" s="14" t="n">
        <f aca="false">1</f>
        <v>1</v>
      </c>
      <c r="E74" s="14" t="n">
        <f aca="false">rel_27</f>
        <v>0.95</v>
      </c>
      <c r="F74" s="14" t="n">
        <f aca="false">rel_28</f>
        <v>0.9</v>
      </c>
      <c r="G74" s="14" t="n">
        <f aca="false">rel_29</f>
        <v>0.85</v>
      </c>
    </row>
    <row r="75" customFormat="false" ht="15" hidden="false" customHeight="false" outlineLevel="0" collapsed="false">
      <c r="A75" s="3" t="s">
        <v>452</v>
      </c>
      <c r="B75" s="0" t="s">
        <v>54</v>
      </c>
      <c r="D75" s="13" t="n">
        <f aca="false">$D$73*D74</f>
        <v>0.459306165741139</v>
      </c>
      <c r="E75" s="13" t="n">
        <f aca="false">$D$73*E74</f>
        <v>0.436340857454082</v>
      </c>
      <c r="F75" s="13" t="n">
        <f aca="false">$D$73*F74</f>
        <v>0.413375549167025</v>
      </c>
      <c r="G75" s="13" t="n">
        <f aca="false">$D$73*G74</f>
        <v>0.390410240879968</v>
      </c>
    </row>
    <row r="76" customFormat="false" ht="17.15" hidden="false" customHeight="false" outlineLevel="0" collapsed="false">
      <c r="A76" s="0" t="s">
        <v>498</v>
      </c>
      <c r="B76" s="0" t="s">
        <v>214</v>
      </c>
      <c r="D76" s="18" t="n">
        <f aca="false">D71*D75*D72</f>
        <v>120.3725835</v>
      </c>
      <c r="E76" s="18" t="n">
        <f aca="false">E71*E75*E72</f>
        <v>306.74649142119</v>
      </c>
      <c r="F76" s="18" t="n">
        <f aca="false">F71*F75*F72</f>
        <v>412.527630511844</v>
      </c>
      <c r="G76" s="18" t="n">
        <f aca="false">G71*G75*G72</f>
        <v>462.906484645158</v>
      </c>
    </row>
    <row r="77" customFormat="false" ht="17.15" hidden="false" customHeight="false" outlineLevel="0" collapsed="false">
      <c r="A77" s="5" t="s">
        <v>499</v>
      </c>
    </row>
    <row r="78" customFormat="false" ht="15" hidden="false" customHeight="false" outlineLevel="0" collapsed="false">
      <c r="A78" s="3" t="s">
        <v>457</v>
      </c>
      <c r="B78" s="3" t="s">
        <v>151</v>
      </c>
      <c r="D78" s="14" t="n">
        <f aca="false">cap_26</f>
        <v>6</v>
      </c>
      <c r="E78" s="14" t="n">
        <f aca="false">cap_27</f>
        <v>7.76</v>
      </c>
      <c r="F78" s="14" t="n">
        <f aca="false">cap_28</f>
        <v>10.3</v>
      </c>
      <c r="G78" s="14" t="n">
        <f aca="false">cap_29</f>
        <v>11.8</v>
      </c>
    </row>
    <row r="79" customFormat="false" ht="17.15" hidden="false" customHeight="false" outlineLevel="0" collapsed="false">
      <c r="A79" s="3" t="s">
        <v>500</v>
      </c>
      <c r="B79" s="0" t="s">
        <v>460</v>
      </c>
      <c r="D79" s="17" t="n">
        <f aca="false">a26_rev/(D78*12)*1000</f>
        <v>2857.84861111111</v>
      </c>
      <c r="H79" s="7" t="s">
        <v>501</v>
      </c>
    </row>
    <row r="80" customFormat="false" ht="17.15" hidden="false" customHeight="false" outlineLevel="0" collapsed="false">
      <c r="A80" s="3" t="s">
        <v>502</v>
      </c>
      <c r="B80" s="0" t="s">
        <v>67</v>
      </c>
      <c r="D80" s="14" t="n">
        <f aca="false">1</f>
        <v>1</v>
      </c>
      <c r="E80" s="14" t="n">
        <f aca="false">mix_27</f>
        <v>1.25</v>
      </c>
      <c r="F80" s="14" t="n">
        <f aca="false">mix_28</f>
        <v>1.4</v>
      </c>
      <c r="G80" s="14" t="n">
        <f aca="false">mix_29</f>
        <v>1.5</v>
      </c>
    </row>
    <row r="81" customFormat="false" ht="17.15" hidden="false" customHeight="false" outlineLevel="0" collapsed="false">
      <c r="A81" s="3" t="s">
        <v>503</v>
      </c>
      <c r="B81" s="0" t="s">
        <v>214</v>
      </c>
      <c r="D81" s="18" t="n">
        <f aca="false">D78*12*$D$79*D80*D72/1000</f>
        <v>205.7651</v>
      </c>
      <c r="E81" s="18" t="n">
        <f aca="false">E78*12*$D$79*E80*E72/1000</f>
        <v>332.653578333333</v>
      </c>
      <c r="F81" s="18" t="n">
        <f aca="false">F78*12*$D$79*F80*F72/1000</f>
        <v>479.686459956667</v>
      </c>
      <c r="G81" s="18" t="n">
        <f aca="false">G78*12*$D$79*G80*G72/1000</f>
        <v>564.51655185</v>
      </c>
    </row>
    <row r="82" customFormat="false" ht="17.15" hidden="false" customHeight="false" outlineLevel="0" collapsed="false">
      <c r="A82" s="3" t="s">
        <v>504</v>
      </c>
      <c r="B82" s="0" t="s">
        <v>214</v>
      </c>
      <c r="C82" s="18" t="n">
        <f aca="false">a25_nai</f>
        <v>47.1305</v>
      </c>
      <c r="D82" s="18" t="n">
        <f aca="false">a26_nai</f>
        <v>85.3925165</v>
      </c>
      <c r="E82" s="18" t="n">
        <f aca="false">D82*(1+g_nai27)</f>
        <v>92.22391782</v>
      </c>
      <c r="F82" s="18" t="n">
        <f aca="false">E82*(1+g_nai28)</f>
        <v>97.7573528892</v>
      </c>
      <c r="G82" s="18" t="n">
        <f aca="false">F82*(1+g_nai29)</f>
        <v>102.64522053366</v>
      </c>
    </row>
    <row r="83" customFormat="false" ht="17.15" hidden="false" customHeight="false" outlineLevel="0" collapsed="false">
      <c r="A83" s="0" t="s">
        <v>505</v>
      </c>
      <c r="B83" s="0" t="s">
        <v>214</v>
      </c>
      <c r="C83" s="18" t="n">
        <f aca="false">a25_ai</f>
        <v>47.1305</v>
      </c>
      <c r="D83" s="18" t="n">
        <f aca="false">D76</f>
        <v>120.3725835</v>
      </c>
      <c r="E83" s="18" t="n">
        <f aca="false">MIN(E76,E81-E82)</f>
        <v>240.429660513333</v>
      </c>
      <c r="F83" s="18" t="n">
        <f aca="false">MIN(F76,F81-F82)</f>
        <v>381.929107067467</v>
      </c>
      <c r="G83" s="18" t="n">
        <f aca="false">MIN(G76,G81-G82)</f>
        <v>461.87133131634</v>
      </c>
      <c r="H83" s="3" t="s">
        <v>506</v>
      </c>
    </row>
    <row r="84" customFormat="false" ht="15" hidden="false" customHeight="false" outlineLevel="0" collapsed="false">
      <c r="A84" s="3" t="s">
        <v>507</v>
      </c>
      <c r="E84" s="0" t="str">
        <f aca="false">IF(E76&gt;E81-E82+0.0001,"受限","未受限")</f>
        <v>受限</v>
      </c>
      <c r="F84" s="0" t="str">
        <f aca="false">IF(F76&gt;F81-F82+0.0001,"受限","未受限")</f>
        <v>受限</v>
      </c>
      <c r="G84" s="0" t="str">
        <f aca="false">IF(G76&gt;G81-G82+0.0001,"受限","未受限")</f>
        <v>受限</v>
      </c>
    </row>
    <row r="85" customFormat="false" ht="15" hidden="false" customHeight="false" outlineLevel="0" collapsed="false">
      <c r="A85" s="3" t="s">
        <v>388</v>
      </c>
      <c r="B85" s="0" t="s">
        <v>214</v>
      </c>
      <c r="C85" s="18" t="n">
        <f aca="false">C83+C82</f>
        <v>94.261</v>
      </c>
      <c r="D85" s="18" t="n">
        <f aca="false">D83+D82</f>
        <v>205.7651</v>
      </c>
      <c r="E85" s="18" t="n">
        <f aca="false">E83+E82</f>
        <v>332.653578333333</v>
      </c>
      <c r="F85" s="18" t="n">
        <f aca="false">F83+F82</f>
        <v>479.686459956667</v>
      </c>
      <c r="G85" s="18" t="n">
        <f aca="false">G83+G82</f>
        <v>564.51655185</v>
      </c>
    </row>
    <row r="86" customFormat="false" ht="15" hidden="false" customHeight="false" outlineLevel="0" collapsed="false">
      <c r="A86" s="3" t="s">
        <v>508</v>
      </c>
      <c r="B86" s="0" t="s">
        <v>54</v>
      </c>
      <c r="D86" s="13" t="n">
        <f aca="false">D85/C85-1</f>
        <v>1.1829293132897</v>
      </c>
      <c r="E86" s="13" t="n">
        <f aca="false">E85/D85-1</f>
        <v>0.616666666666667</v>
      </c>
      <c r="F86" s="13" t="n">
        <f aca="false">F85/E85-1</f>
        <v>0.442</v>
      </c>
      <c r="G86" s="13" t="n">
        <f aca="false">G85/F85-1</f>
        <v>0.17684487467292</v>
      </c>
    </row>
    <row r="87" customFormat="false" ht="17.15" hidden="false" customHeight="false" outlineLevel="0" collapsed="false">
      <c r="A87" s="3" t="s">
        <v>509</v>
      </c>
      <c r="B87" s="0" t="s">
        <v>214</v>
      </c>
      <c r="C87" s="18" t="n">
        <f aca="false">inf25*C85-C83</f>
        <v>16.495675</v>
      </c>
      <c r="D87" s="18" t="n">
        <f aca="false">inf26*D85-D83</f>
        <v>33.9512415</v>
      </c>
      <c r="E87" s="18" t="n">
        <f aca="false">E82*$D87/$D82</f>
        <v>36.66734082</v>
      </c>
      <c r="F87" s="18" t="n">
        <f aca="false">F82*$D87/$D82</f>
        <v>38.8673812692</v>
      </c>
      <c r="G87" s="18" t="n">
        <f aca="false">G82*$D87/$D82</f>
        <v>40.81075033266</v>
      </c>
      <c r="H87" s="3" t="s">
        <v>510</v>
      </c>
    </row>
    <row r="88" customFormat="false" ht="17.15" hidden="false" customHeight="false" outlineLevel="0" collapsed="false">
      <c r="A88" s="3" t="s">
        <v>511</v>
      </c>
      <c r="B88" s="0" t="s">
        <v>214</v>
      </c>
      <c r="C88" s="18" t="n">
        <f aca="false">C83+C87</f>
        <v>63.626175</v>
      </c>
      <c r="D88" s="18" t="n">
        <f aca="false">D83+D87</f>
        <v>154.323825</v>
      </c>
      <c r="E88" s="18" t="n">
        <f aca="false">E83+E87</f>
        <v>277.097001333333</v>
      </c>
      <c r="F88" s="18" t="n">
        <f aca="false">F83+F87</f>
        <v>420.796488336667</v>
      </c>
      <c r="G88" s="18" t="n">
        <f aca="false">G83+G87</f>
        <v>502.682081649</v>
      </c>
      <c r="H88" s="3" t="s">
        <v>512</v>
      </c>
    </row>
    <row r="89" customFormat="false" ht="15" hidden="false" customHeight="false" outlineLevel="0" collapsed="false">
      <c r="A89" s="3" t="s">
        <v>513</v>
      </c>
      <c r="B89" s="0" t="s">
        <v>214</v>
      </c>
      <c r="C89" s="18" t="n">
        <f aca="false">mob25*C85</f>
        <v>21.208725</v>
      </c>
      <c r="D89" s="18" t="n">
        <f aca="false">mob26*D85</f>
        <v>37.037718</v>
      </c>
      <c r="E89" s="18" t="n">
        <f aca="false">E82*$D89/$D82</f>
        <v>40.00073544</v>
      </c>
      <c r="F89" s="18" t="n">
        <f aca="false">F82*$D89/$D82</f>
        <v>42.4007795664</v>
      </c>
      <c r="G89" s="18" t="n">
        <f aca="false">G82*$D89/$D82</f>
        <v>44.52081854472</v>
      </c>
      <c r="H89" s="3" t="s">
        <v>514</v>
      </c>
    </row>
    <row r="90" customFormat="false" ht="15" hidden="false" customHeight="false" outlineLevel="0" collapsed="false">
      <c r="A90" s="3" t="s">
        <v>515</v>
      </c>
      <c r="B90" s="0" t="s">
        <v>214</v>
      </c>
      <c r="C90" s="18" t="n">
        <f aca="false">C85-C88-C89</f>
        <v>9.42609999999999</v>
      </c>
      <c r="D90" s="18" t="n">
        <f aca="false">D85-D88-D89</f>
        <v>14.403557</v>
      </c>
      <c r="E90" s="18" t="n">
        <f aca="false">E85-E88-E89</f>
        <v>15.55584156</v>
      </c>
      <c r="F90" s="18" t="n">
        <f aca="false">F85-F88-F89</f>
        <v>16.4891920536</v>
      </c>
      <c r="G90" s="18" t="n">
        <f aca="false">G85-G88-G89</f>
        <v>17.31365165628</v>
      </c>
      <c r="H90" s="3" t="s">
        <v>516</v>
      </c>
    </row>
    <row r="91" customFormat="false" ht="15" hidden="false" customHeight="false" outlineLevel="0" collapsed="false">
      <c r="A91" s="3" t="s">
        <v>517</v>
      </c>
      <c r="B91" s="0" t="s">
        <v>214</v>
      </c>
      <c r="C91" s="21" t="n">
        <f aca="false">C88+C89+C90-C85</f>
        <v>0</v>
      </c>
      <c r="D91" s="21" t="n">
        <f aca="false">D88+D89+D90-D85</f>
        <v>0</v>
      </c>
      <c r="E91" s="21" t="n">
        <f aca="false">E88+E89+E90-E85</f>
        <v>0</v>
      </c>
      <c r="F91" s="21" t="n">
        <f aca="false">F88+F89+F90-F85</f>
        <v>0</v>
      </c>
      <c r="G91" s="21" t="n">
        <f aca="false">G88+G89+G90-G85</f>
        <v>0</v>
      </c>
    </row>
    <row r="92" customFormat="false" ht="17.15" hidden="false" customHeight="false" outlineLevel="0" collapsed="false">
      <c r="A92" s="0" t="s">
        <v>518</v>
      </c>
      <c r="B92" s="0" t="s">
        <v>54</v>
      </c>
      <c r="C92" s="13" t="n">
        <f aca="false">C83/C85</f>
        <v>0.5</v>
      </c>
      <c r="D92" s="13" t="n">
        <f aca="false">D83/D85</f>
        <v>0.585</v>
      </c>
      <c r="E92" s="13" t="n">
        <f aca="false">E83/E85</f>
        <v>0.722762886597938</v>
      </c>
      <c r="F92" s="13" t="n">
        <f aca="false">F83/F85</f>
        <v>0.796205728012354</v>
      </c>
      <c r="G92" s="13" t="n">
        <f aca="false">G83/G85</f>
        <v>0.818171459814106</v>
      </c>
    </row>
    <row r="93" customFormat="false" ht="17.15" hidden="false" customHeight="false" outlineLevel="0" collapsed="false">
      <c r="A93" s="3" t="s">
        <v>519</v>
      </c>
      <c r="B93" s="0" t="s">
        <v>54</v>
      </c>
      <c r="D93" s="13" t="n">
        <f aca="false">(D76+D82)/D81</f>
        <v>1</v>
      </c>
      <c r="E93" s="13" t="n">
        <f aca="false">(E76+E82)/E81</f>
        <v>1.19935703454662</v>
      </c>
      <c r="F93" s="13" t="n">
        <f aca="false">(F76+F82)/F81</f>
        <v>1.06378859108748</v>
      </c>
      <c r="G93" s="13" t="n">
        <f aca="false">(G76+G82)/G81</f>
        <v>1.00183369880905</v>
      </c>
      <c r="H93" s="3" t="s">
        <v>520</v>
      </c>
    </row>
    <row r="94" customFormat="false" ht="17.15" hidden="false" customHeight="false" outlineLevel="0" collapsed="false">
      <c r="A94" s="3" t="s">
        <v>456</v>
      </c>
      <c r="B94" s="0" t="s">
        <v>94</v>
      </c>
      <c r="D94" s="17" t="n">
        <f aca="false">D83/fx/D65*1000</f>
        <v>160.757158009399</v>
      </c>
      <c r="E94" s="17" t="n">
        <f aca="false">E83/fx/E65*1000</f>
        <v>180.408412082255</v>
      </c>
      <c r="F94" s="17" t="n">
        <f aca="false">F83/fx/F65*1000</f>
        <v>226.080719682557</v>
      </c>
      <c r="G94" s="17" t="n">
        <f aca="false">G83/fx/G65*1000</f>
        <v>240.003609778057</v>
      </c>
    </row>
    <row r="95" customFormat="false" ht="17.15" hidden="false" customHeight="false" outlineLevel="0" collapsed="false">
      <c r="A95" s="5" t="s">
        <v>521</v>
      </c>
    </row>
    <row r="96" customFormat="false" ht="17.15" hidden="false" customHeight="false" outlineLevel="0" collapsed="false">
      <c r="A96" s="3" t="s">
        <v>522</v>
      </c>
      <c r="B96" s="0" t="s">
        <v>54</v>
      </c>
      <c r="D96" s="13" t="n">
        <f aca="false">a26_gp/D85-d_ai*D92</f>
        <v>0.291564442755356</v>
      </c>
      <c r="H96" s="7" t="s">
        <v>523</v>
      </c>
    </row>
    <row r="97" customFormat="false" ht="17.15" hidden="false" customHeight="false" outlineLevel="0" collapsed="false">
      <c r="A97" s="0" t="s">
        <v>524</v>
      </c>
      <c r="B97" s="0" t="s">
        <v>54</v>
      </c>
      <c r="D97" s="13" t="n">
        <f aca="false">D96+d_ai</f>
        <v>0.371564442755356</v>
      </c>
      <c r="E97" s="13" t="n">
        <f aca="false">1-(1-$D$97)/E72</f>
        <v>0.371564442755356</v>
      </c>
      <c r="F97" s="13" t="n">
        <f aca="false">1-(1-$D$97)/F72</f>
        <v>0.352128291500367</v>
      </c>
      <c r="G97" s="13" t="n">
        <f aca="false">1-(1-$D$97)/G72</f>
        <v>0.324262841672425</v>
      </c>
      <c r="H97" s="7" t="s">
        <v>525</v>
      </c>
    </row>
    <row r="98" customFormat="false" ht="15" hidden="false" customHeight="false" outlineLevel="0" collapsed="false">
      <c r="A98" s="3" t="s">
        <v>392</v>
      </c>
      <c r="B98" s="0" t="s">
        <v>214</v>
      </c>
      <c r="C98" s="18" t="n">
        <f aca="false">a25_gp</f>
        <v>28.12</v>
      </c>
      <c r="D98" s="18" t="n">
        <f aca="false">a26_gp</f>
        <v>69.6235934</v>
      </c>
      <c r="E98" s="18" t="n">
        <f aca="false">E83*E97+E82*$D$96</f>
        <v>116.2243280384</v>
      </c>
      <c r="F98" s="18" t="n">
        <f aca="false">F83*F97+F82*$D$96</f>
        <v>162.990612066306</v>
      </c>
      <c r="G98" s="18" t="n">
        <f aca="false">G83*G97+G82*$D$96</f>
        <v>179.69540690606</v>
      </c>
    </row>
    <row r="99" customFormat="false" ht="15" hidden="false" customHeight="false" outlineLevel="0" collapsed="false">
      <c r="A99" s="3" t="s">
        <v>395</v>
      </c>
      <c r="B99" s="0" t="s">
        <v>54</v>
      </c>
      <c r="C99" s="13" t="n">
        <f aca="false">C98/C85</f>
        <v>0.298320620405046</v>
      </c>
      <c r="D99" s="13" t="n">
        <f aca="false">D98/D85</f>
        <v>0.338364442755356</v>
      </c>
      <c r="E99" s="13" t="n">
        <f aca="false">E98/E85</f>
        <v>0.349385473683191</v>
      </c>
      <c r="F99" s="13" t="n">
        <f aca="false">F98/F85</f>
        <v>0.339785726036607</v>
      </c>
      <c r="G99" s="13" t="n">
        <f aca="false">G98/G85</f>
        <v>0.318317339530918</v>
      </c>
    </row>
    <row r="100" customFormat="false" ht="15" hidden="false" customHeight="false" outlineLevel="0" collapsed="false">
      <c r="A100" s="3" t="s">
        <v>526</v>
      </c>
      <c r="B100" s="0" t="s">
        <v>214</v>
      </c>
      <c r="C100" s="18" t="n">
        <f aca="false">a25_opx</f>
        <v>9.012</v>
      </c>
      <c r="D100" s="18" t="n">
        <f aca="false">a26_opx</f>
        <v>14.0153081141857</v>
      </c>
      <c r="E100" s="18" t="n">
        <f aca="false">D100*(1+MAX(0,phi*E86))</f>
        <v>19.2009721164345</v>
      </c>
      <c r="F100" s="18" t="n">
        <f aca="false">E100*(1+MAX(0,phi*F86))</f>
        <v>24.2930699217129</v>
      </c>
      <c r="G100" s="18" t="n">
        <f aca="false">F100*(1+MAX(0,phi*G86))</f>
        <v>26.8707328651484</v>
      </c>
    </row>
    <row r="101" customFormat="false" ht="15" hidden="false" customHeight="false" outlineLevel="0" collapsed="false">
      <c r="A101" s="3" t="s">
        <v>397</v>
      </c>
      <c r="B101" s="0" t="s">
        <v>214</v>
      </c>
      <c r="C101" s="18" t="n">
        <f aca="false">C100</f>
        <v>9.012</v>
      </c>
      <c r="D101" s="18" t="n">
        <f aca="false">D100</f>
        <v>14.0153081141857</v>
      </c>
      <c r="E101" s="18" t="n">
        <f aca="false">E100+0*E85</f>
        <v>19.2009721164345</v>
      </c>
      <c r="F101" s="18" t="n">
        <f aca="false">F100+0*F85</f>
        <v>24.2930699217129</v>
      </c>
      <c r="G101" s="18" t="n">
        <f aca="false">G100+0*G85</f>
        <v>26.8707328651484</v>
      </c>
    </row>
    <row r="102" customFormat="false" ht="15" hidden="false" customHeight="false" outlineLevel="0" collapsed="false">
      <c r="A102" s="3" t="s">
        <v>400</v>
      </c>
      <c r="B102" s="0" t="s">
        <v>214</v>
      </c>
      <c r="C102" s="18" t="n">
        <f aca="false">C98-C101</f>
        <v>19.108</v>
      </c>
      <c r="D102" s="18" t="n">
        <f aca="false">D98-D101</f>
        <v>55.6082852858143</v>
      </c>
      <c r="E102" s="18" t="n">
        <f aca="false">E98-E101</f>
        <v>97.0233559219655</v>
      </c>
      <c r="F102" s="18" t="n">
        <f aca="false">F98-F101</f>
        <v>138.697542144593</v>
      </c>
      <c r="G102" s="18" t="n">
        <f aca="false">G98-G101</f>
        <v>152.824674040911</v>
      </c>
    </row>
    <row r="103" customFormat="false" ht="15" hidden="false" customHeight="false" outlineLevel="0" collapsed="false">
      <c r="A103" s="3" t="s">
        <v>403</v>
      </c>
      <c r="B103" s="0" t="s">
        <v>54</v>
      </c>
      <c r="C103" s="13" t="n">
        <f aca="false">C102/C85</f>
        <v>0.202713741632276</v>
      </c>
      <c r="D103" s="13" t="n">
        <f aca="false">D102/D85</f>
        <v>0.270251297648699</v>
      </c>
      <c r="E103" s="13" t="n">
        <f aca="false">E102/E85</f>
        <v>0.291664849685591</v>
      </c>
      <c r="F103" s="13" t="n">
        <f aca="false">F102/F85</f>
        <v>0.28914208284537</v>
      </c>
      <c r="G103" s="13" t="n">
        <f aca="false">G102/G85</f>
        <v>0.270717791250024</v>
      </c>
    </row>
    <row r="104" customFormat="false" ht="17.15" hidden="false" customHeight="false" outlineLevel="0" collapsed="false">
      <c r="A104" s="3" t="s">
        <v>405</v>
      </c>
      <c r="B104" s="0" t="s">
        <v>214</v>
      </c>
      <c r="E104" s="18" t="n">
        <f aca="false">nop_f</f>
        <v>0.5</v>
      </c>
      <c r="F104" s="18" t="n">
        <f aca="false">nop_f</f>
        <v>0.5</v>
      </c>
      <c r="G104" s="18" t="n">
        <f aca="false">nop_f</f>
        <v>0.5</v>
      </c>
      <c r="H104" s="7" t="s">
        <v>527</v>
      </c>
    </row>
    <row r="105" customFormat="false" ht="15" hidden="false" customHeight="false" outlineLevel="0" collapsed="false">
      <c r="A105" s="3" t="s">
        <v>408</v>
      </c>
      <c r="B105" s="0" t="s">
        <v>214</v>
      </c>
      <c r="C105" s="18" t="n">
        <f aca="false">a25_ni</f>
        <v>14.649</v>
      </c>
      <c r="D105" s="18" t="n">
        <f aca="false">a26_ni</f>
        <v>42.891099295</v>
      </c>
      <c r="E105" s="18" t="n">
        <f aca="false">(E102+E104)*nir_f</f>
        <v>75.0929840599135</v>
      </c>
      <c r="F105" s="18" t="n">
        <f aca="false">(F102+F104)*nir_f</f>
        <v>107.182107451337</v>
      </c>
      <c r="G105" s="18" t="n">
        <f aca="false">(G102+G104)*nir_f</f>
        <v>118.059999011502</v>
      </c>
    </row>
    <row r="106" customFormat="false" ht="17.15" hidden="false" customHeight="false" outlineLevel="0" collapsed="false">
      <c r="A106" s="3" t="s">
        <v>411</v>
      </c>
      <c r="B106" s="0" t="s">
        <v>54</v>
      </c>
      <c r="C106" s="13" t="n">
        <f aca="false">C105/C102</f>
        <v>0.766642244086247</v>
      </c>
      <c r="D106" s="13" t="n">
        <f aca="false">D105/D102</f>
        <v>0.771307712053146</v>
      </c>
      <c r="E106" s="13" t="n">
        <f aca="false">E105/E102</f>
        <v>0.77396811671109</v>
      </c>
      <c r="F106" s="13" t="n">
        <f aca="false">F105/F102</f>
        <v>0.772775824243508</v>
      </c>
      <c r="G106" s="13" t="n">
        <f aca="false">G105/G102</f>
        <v>0.772519226704825</v>
      </c>
    </row>
    <row r="107" customFormat="false" ht="15" hidden="false" customHeight="false" outlineLevel="0" collapsed="false">
      <c r="A107" s="3" t="s">
        <v>528</v>
      </c>
      <c r="B107" s="3" t="s">
        <v>243</v>
      </c>
      <c r="C107" s="20" t="n">
        <f aca="false">a25_sh</f>
        <v>0.351547876169906</v>
      </c>
      <c r="D107" s="20" t="n">
        <f aca="false">a26_sh</f>
        <v>0.358290155440415</v>
      </c>
      <c r="E107" s="20" t="n">
        <f aca="false">D107*(1+sh_g)</f>
        <v>0.358290155440415</v>
      </c>
      <c r="F107" s="20" t="n">
        <f aca="false">E107*(1+sh_g)</f>
        <v>0.358290155440415</v>
      </c>
      <c r="G107" s="20" t="n">
        <f aca="false">F107*(1+sh_g)</f>
        <v>0.358290155440415</v>
      </c>
    </row>
    <row r="108" customFormat="false" ht="15" hidden="false" customHeight="false" outlineLevel="0" collapsed="false">
      <c r="A108" s="0" t="s">
        <v>414</v>
      </c>
      <c r="B108" s="0" t="s">
        <v>274</v>
      </c>
      <c r="C108" s="19" t="n">
        <f aca="false">C105/C107</f>
        <v>41.67</v>
      </c>
      <c r="D108" s="19" t="n">
        <f aca="false">D105/D107</f>
        <v>119.710515747433</v>
      </c>
      <c r="E108" s="19" t="n">
        <f aca="false">E105/E107</f>
        <v>209.587070478139</v>
      </c>
      <c r="F108" s="19" t="n">
        <f aca="false">F105/F107</f>
        <v>299.14890438334</v>
      </c>
      <c r="G108" s="19" t="n">
        <f aca="false">G105/G107</f>
        <v>329.509469403035</v>
      </c>
    </row>
    <row r="109" customFormat="false" ht="17.15" hidden="false" customHeight="false" outlineLevel="0" collapsed="false">
      <c r="A109" s="0" t="s">
        <v>529</v>
      </c>
      <c r="B109" s="0" t="s">
        <v>54</v>
      </c>
      <c r="D109" s="13" t="n">
        <f aca="false">D108/C108-1</f>
        <v>1.87282255213422</v>
      </c>
      <c r="E109" s="13" t="n">
        <f aca="false">E108/D108-1</f>
        <v>0.750782453567642</v>
      </c>
      <c r="F109" s="13" t="n">
        <f aca="false">F108/E108-1</f>
        <v>0.42732518614283</v>
      </c>
      <c r="G109" s="13" t="n">
        <f aca="false">G108/F108-1</f>
        <v>0.101489808502824</v>
      </c>
    </row>
    <row r="112" customFormat="false" ht="17.15" hidden="false" customHeight="false" outlineLevel="0" collapsed="false">
      <c r="A112" s="1" t="s">
        <v>530</v>
      </c>
    </row>
    <row r="113" customFormat="false" ht="17.15" hidden="false" customHeight="false" outlineLevel="0" collapsed="false">
      <c r="A113" s="4" t="s">
        <v>23</v>
      </c>
      <c r="B113" s="4" t="s">
        <v>24</v>
      </c>
      <c r="C113" s="10" t="s">
        <v>383</v>
      </c>
      <c r="D113" s="10" t="s">
        <v>469</v>
      </c>
      <c r="E113" s="10" t="s">
        <v>470</v>
      </c>
      <c r="F113" s="10" t="s">
        <v>471</v>
      </c>
      <c r="G113" s="10" t="s">
        <v>472</v>
      </c>
      <c r="H113" s="4" t="s">
        <v>437</v>
      </c>
    </row>
    <row r="114" customFormat="false" ht="17.15" hidden="false" customHeight="false" outlineLevel="0" collapsed="false">
      <c r="A114" s="5" t="s">
        <v>487</v>
      </c>
    </row>
    <row r="115" customFormat="false" ht="17.15" hidden="false" customHeight="false" outlineLevel="0" collapsed="false">
      <c r="A115" s="0" t="s">
        <v>488</v>
      </c>
      <c r="B115" s="0" t="s">
        <v>34</v>
      </c>
      <c r="D115" s="19" t="n">
        <f aca="false">itc_26*1</f>
        <v>781.872916666666</v>
      </c>
      <c r="E115" s="19" t="n">
        <f aca="false">itc_27*1*1</f>
        <v>1565.35</v>
      </c>
      <c r="F115" s="19" t="n">
        <f aca="false">itc_28*um28_B*1</f>
        <v>1587.41111111111</v>
      </c>
      <c r="G115" s="19" t="n">
        <f aca="false">itc_29*um29_B*1</f>
        <v>1921.33173611111</v>
      </c>
    </row>
    <row r="116" customFormat="false" ht="17.15" hidden="false" customHeight="false" outlineLevel="0" collapsed="false">
      <c r="A116" s="3" t="s">
        <v>489</v>
      </c>
      <c r="B116" s="0" t="s">
        <v>34</v>
      </c>
      <c r="D116" s="19" t="n">
        <f aca="false">itpg_gb*(1-vr26)+itpg_vr*vr26</f>
        <v>33.41403216</v>
      </c>
      <c r="E116" s="19" t="n">
        <f aca="false">itpg_vr</f>
        <v>37.586352</v>
      </c>
      <c r="F116" s="19" t="n">
        <f aca="false">itpg_vr</f>
        <v>37.586352</v>
      </c>
      <c r="G116" s="19" t="n">
        <f aca="false">itpg_vr</f>
        <v>37.586352</v>
      </c>
    </row>
    <row r="117" customFormat="false" ht="17.15" hidden="false" customHeight="false" outlineLevel="0" collapsed="false">
      <c r="A117" s="3" t="s">
        <v>490</v>
      </c>
      <c r="B117" s="0" t="s">
        <v>439</v>
      </c>
      <c r="D117" s="16" t="n">
        <f aca="false">D115/D116</f>
        <v>23.3995380420639</v>
      </c>
      <c r="E117" s="16" t="n">
        <f aca="false">E115/E116</f>
        <v>41.6467658260637</v>
      </c>
      <c r="F117" s="16" t="n">
        <f aca="false">F115/F116</f>
        <v>42.2337105529984</v>
      </c>
      <c r="G117" s="16" t="n">
        <f aca="false">G115/G116</f>
        <v>51.1178029756948</v>
      </c>
    </row>
    <row r="118" customFormat="false" ht="17.15" hidden="false" customHeight="false" outlineLevel="0" collapsed="false">
      <c r="A118" s="3" t="s">
        <v>441</v>
      </c>
      <c r="B118" s="0" t="s">
        <v>94</v>
      </c>
      <c r="D118" s="17" t="n">
        <f aca="false">cmp_26</f>
        <v>190</v>
      </c>
      <c r="E118" s="17" t="n">
        <f aca="false">cmp_26*cmpx_27</f>
        <v>275.5</v>
      </c>
      <c r="F118" s="17" t="n">
        <f aca="false">cmp_26*cmpx_28</f>
        <v>304</v>
      </c>
      <c r="G118" s="17" t="n">
        <f aca="false">cmp_26*cmpx_29</f>
        <v>323</v>
      </c>
    </row>
    <row r="119" customFormat="false" ht="17.15" hidden="false" customHeight="false" outlineLevel="0" collapsed="false">
      <c r="A119" s="3" t="s">
        <v>443</v>
      </c>
      <c r="B119" s="0" t="s">
        <v>94</v>
      </c>
      <c r="D119" s="17" t="n">
        <f aca="false">sw_26</f>
        <v>90</v>
      </c>
      <c r="E119" s="17" t="n">
        <f aca="false">sw_26*swx_27</f>
        <v>126</v>
      </c>
      <c r="F119" s="17" t="n">
        <f aca="false">sw_26*swx_28</f>
        <v>144</v>
      </c>
      <c r="G119" s="17" t="n">
        <f aca="false">sw_26*swx_29</f>
        <v>157.5</v>
      </c>
    </row>
    <row r="120" customFormat="false" ht="17.15" hidden="false" customHeight="false" outlineLevel="0" collapsed="false">
      <c r="A120" s="3" t="s">
        <v>444</v>
      </c>
      <c r="B120" s="0" t="s">
        <v>94</v>
      </c>
      <c r="D120" s="17" t="n">
        <f aca="false">ubb_26</f>
        <v>70</v>
      </c>
      <c r="E120" s="17" t="n">
        <f aca="false">ubb_26*ubbx_27</f>
        <v>126</v>
      </c>
      <c r="F120" s="17" t="n">
        <f aca="false">ubb_26*ubbx_28</f>
        <v>161</v>
      </c>
      <c r="G120" s="17" t="n">
        <f aca="false">ubb_26*ubbx_29</f>
        <v>182</v>
      </c>
    </row>
    <row r="121" customFormat="false" ht="17.15" hidden="false" customHeight="false" outlineLevel="0" collapsed="false">
      <c r="A121" s="3" t="s">
        <v>491</v>
      </c>
      <c r="B121" s="0" t="s">
        <v>94</v>
      </c>
      <c r="D121" s="17" t="n">
        <f aca="false">D118+D119+D120</f>
        <v>350</v>
      </c>
      <c r="E121" s="17" t="n">
        <f aca="false">E118+E119+E120</f>
        <v>527.5</v>
      </c>
      <c r="F121" s="17" t="n">
        <f aca="false">F118+F119+F120</f>
        <v>609</v>
      </c>
      <c r="G121" s="17" t="n">
        <f aca="false">G118+G119+G120</f>
        <v>662.5</v>
      </c>
    </row>
    <row r="122" customFormat="false" ht="17.15" hidden="false" customHeight="false" outlineLevel="0" collapsed="false">
      <c r="A122" s="0" t="s">
        <v>492</v>
      </c>
      <c r="B122" s="0" t="s">
        <v>34</v>
      </c>
      <c r="D122" s="19" t="n">
        <f aca="false">D117*D121/1000</f>
        <v>8.18983831472236</v>
      </c>
      <c r="E122" s="19" t="n">
        <f aca="false">E117*E121/1000</f>
        <v>21.9686689732486</v>
      </c>
      <c r="F122" s="19" t="n">
        <f aca="false">F117*F121/1000</f>
        <v>25.720329726776</v>
      </c>
      <c r="G122" s="19" t="n">
        <f aca="false">G117*G121/1000</f>
        <v>33.8655444713978</v>
      </c>
    </row>
    <row r="123" customFormat="false" ht="17.15" hidden="false" customHeight="false" outlineLevel="0" collapsed="false">
      <c r="A123" s="0" t="s">
        <v>493</v>
      </c>
      <c r="B123" s="0" t="s">
        <v>214</v>
      </c>
      <c r="D123" s="18" t="n">
        <f aca="false">D122*fx</f>
        <v>262.074826071116</v>
      </c>
      <c r="E123" s="18" t="n">
        <f aca="false">E122*fx</f>
        <v>702.997407143955</v>
      </c>
      <c r="F123" s="18" t="n">
        <f aca="false">F122*fx</f>
        <v>823.050551256833</v>
      </c>
      <c r="G123" s="18" t="n">
        <f aca="false">G122*fx</f>
        <v>1083.69742308473</v>
      </c>
    </row>
    <row r="124" customFormat="false" ht="17.15" hidden="false" customHeight="false" outlineLevel="0" collapsed="false">
      <c r="A124" s="0" t="s">
        <v>494</v>
      </c>
      <c r="B124" s="0" t="s">
        <v>67</v>
      </c>
      <c r="D124" s="14" t="n">
        <f aca="false">1</f>
        <v>1</v>
      </c>
      <c r="E124" s="14" t="n">
        <f aca="false">pp_27</f>
        <v>1</v>
      </c>
      <c r="F124" s="14" t="n">
        <f aca="false">pp_28</f>
        <v>0.97</v>
      </c>
      <c r="G124" s="14" t="n">
        <f aca="false">pp_29</f>
        <v>0.93</v>
      </c>
    </row>
    <row r="125" customFormat="false" ht="17.15" hidden="false" customHeight="false" outlineLevel="0" collapsed="false">
      <c r="A125" s="3" t="s">
        <v>495</v>
      </c>
      <c r="B125" s="0" t="s">
        <v>54</v>
      </c>
      <c r="D125" s="13" t="n">
        <f aca="false">a26_ai/D123</f>
        <v>0.459306165741139</v>
      </c>
      <c r="H125" s="7" t="s">
        <v>496</v>
      </c>
    </row>
    <row r="126" customFormat="false" ht="17.15" hidden="false" customHeight="false" outlineLevel="0" collapsed="false">
      <c r="A126" s="3" t="s">
        <v>497</v>
      </c>
      <c r="B126" s="0" t="s">
        <v>67</v>
      </c>
      <c r="D126" s="14" t="n">
        <f aca="false">1</f>
        <v>1</v>
      </c>
      <c r="E126" s="14" t="n">
        <f aca="false">rel_27</f>
        <v>0.95</v>
      </c>
      <c r="F126" s="14" t="n">
        <f aca="false">rel_28</f>
        <v>0.9</v>
      </c>
      <c r="G126" s="14" t="n">
        <f aca="false">rel_29</f>
        <v>0.85</v>
      </c>
    </row>
    <row r="127" customFormat="false" ht="15" hidden="false" customHeight="false" outlineLevel="0" collapsed="false">
      <c r="A127" s="3" t="s">
        <v>452</v>
      </c>
      <c r="B127" s="0" t="s">
        <v>54</v>
      </c>
      <c r="D127" s="13" t="n">
        <f aca="false">$D$125*D126</f>
        <v>0.459306165741139</v>
      </c>
      <c r="E127" s="13" t="n">
        <f aca="false">$D$125*E126</f>
        <v>0.436340857454082</v>
      </c>
      <c r="F127" s="13" t="n">
        <f aca="false">$D$125*F126</f>
        <v>0.413375549167025</v>
      </c>
      <c r="G127" s="13" t="n">
        <f aca="false">$D$125*G126</f>
        <v>0.390410240879968</v>
      </c>
    </row>
    <row r="128" customFormat="false" ht="17.15" hidden="false" customHeight="false" outlineLevel="0" collapsed="false">
      <c r="A128" s="0" t="s">
        <v>498</v>
      </c>
      <c r="B128" s="0" t="s">
        <v>214</v>
      </c>
      <c r="D128" s="18" t="n">
        <f aca="false">D123*D127*D124</f>
        <v>120.3725835</v>
      </c>
      <c r="E128" s="18" t="n">
        <f aca="false">E123*E127*E124</f>
        <v>306.74649142119</v>
      </c>
      <c r="F128" s="18" t="n">
        <f aca="false">F123*F127*F124</f>
        <v>330.022104409476</v>
      </c>
      <c r="G128" s="18" t="n">
        <f aca="false">G123*G127*G124</f>
        <v>393.470511948385</v>
      </c>
    </row>
    <row r="129" customFormat="false" ht="17.15" hidden="false" customHeight="false" outlineLevel="0" collapsed="false">
      <c r="A129" s="5" t="s">
        <v>499</v>
      </c>
    </row>
    <row r="130" customFormat="false" ht="15" hidden="false" customHeight="false" outlineLevel="0" collapsed="false">
      <c r="A130" s="3" t="s">
        <v>457</v>
      </c>
      <c r="B130" s="3" t="s">
        <v>151</v>
      </c>
      <c r="D130" s="14" t="n">
        <f aca="false">cap_26</f>
        <v>6</v>
      </c>
      <c r="E130" s="14" t="n">
        <f aca="false">cap_27</f>
        <v>7.76</v>
      </c>
      <c r="F130" s="14" t="n">
        <f aca="false">cap_28</f>
        <v>10.3</v>
      </c>
      <c r="G130" s="14" t="n">
        <f aca="false">cap_29</f>
        <v>11.8</v>
      </c>
    </row>
    <row r="131" customFormat="false" ht="17.15" hidden="false" customHeight="false" outlineLevel="0" collapsed="false">
      <c r="A131" s="3" t="s">
        <v>500</v>
      </c>
      <c r="B131" s="0" t="s">
        <v>460</v>
      </c>
      <c r="D131" s="17" t="n">
        <f aca="false">a26_rev/(D130*12)*1000</f>
        <v>2857.84861111111</v>
      </c>
      <c r="H131" s="7" t="s">
        <v>501</v>
      </c>
    </row>
    <row r="132" customFormat="false" ht="17.15" hidden="false" customHeight="false" outlineLevel="0" collapsed="false">
      <c r="A132" s="3" t="s">
        <v>502</v>
      </c>
      <c r="B132" s="0" t="s">
        <v>67</v>
      </c>
      <c r="D132" s="14" t="n">
        <f aca="false">1</f>
        <v>1</v>
      </c>
      <c r="E132" s="14" t="n">
        <f aca="false">mix_27</f>
        <v>1.25</v>
      </c>
      <c r="F132" s="14" t="n">
        <f aca="false">mix_28</f>
        <v>1.4</v>
      </c>
      <c r="G132" s="14" t="n">
        <f aca="false">mix_29</f>
        <v>1.5</v>
      </c>
    </row>
    <row r="133" customFormat="false" ht="17.15" hidden="false" customHeight="false" outlineLevel="0" collapsed="false">
      <c r="A133" s="3" t="s">
        <v>503</v>
      </c>
      <c r="B133" s="0" t="s">
        <v>214</v>
      </c>
      <c r="D133" s="18" t="n">
        <f aca="false">D130*12*$D$131*D132*D124/1000</f>
        <v>205.7651</v>
      </c>
      <c r="E133" s="18" t="n">
        <f aca="false">E130*12*$D$131*E132*E124/1000</f>
        <v>332.653578333333</v>
      </c>
      <c r="F133" s="18" t="n">
        <f aca="false">F130*12*$D$131*F132*F124/1000</f>
        <v>479.686459956667</v>
      </c>
      <c r="G133" s="18" t="n">
        <f aca="false">G130*12*$D$131*G132*G124/1000</f>
        <v>564.51655185</v>
      </c>
    </row>
    <row r="134" customFormat="false" ht="17.15" hidden="false" customHeight="false" outlineLevel="0" collapsed="false">
      <c r="A134" s="3" t="s">
        <v>504</v>
      </c>
      <c r="B134" s="0" t="s">
        <v>214</v>
      </c>
      <c r="C134" s="18" t="n">
        <f aca="false">a25_nai</f>
        <v>47.1305</v>
      </c>
      <c r="D134" s="18" t="n">
        <f aca="false">a26_nai</f>
        <v>85.3925165</v>
      </c>
      <c r="E134" s="18" t="n">
        <f aca="false">D134*(1+g_nai27)</f>
        <v>92.22391782</v>
      </c>
      <c r="F134" s="18" t="n">
        <f aca="false">E134*(1+g_nai28)</f>
        <v>97.7573528892</v>
      </c>
      <c r="G134" s="18" t="n">
        <f aca="false">F134*(1+g_nai29)</f>
        <v>102.64522053366</v>
      </c>
    </row>
    <row r="135" customFormat="false" ht="17.15" hidden="false" customHeight="false" outlineLevel="0" collapsed="false">
      <c r="A135" s="0" t="s">
        <v>505</v>
      </c>
      <c r="B135" s="0" t="s">
        <v>214</v>
      </c>
      <c r="C135" s="18" t="n">
        <f aca="false">a25_ai</f>
        <v>47.1305</v>
      </c>
      <c r="D135" s="18" t="n">
        <f aca="false">D128</f>
        <v>120.3725835</v>
      </c>
      <c r="E135" s="18" t="n">
        <f aca="false">MIN(E128,E133-E134)</f>
        <v>240.429660513333</v>
      </c>
      <c r="F135" s="18" t="n">
        <f aca="false">MIN(F128,F133-F134)</f>
        <v>330.022104409476</v>
      </c>
      <c r="G135" s="18" t="n">
        <f aca="false">MIN(G128,G133-G134)</f>
        <v>393.470511948385</v>
      </c>
      <c r="H135" s="3" t="s">
        <v>506</v>
      </c>
    </row>
    <row r="136" customFormat="false" ht="15" hidden="false" customHeight="false" outlineLevel="0" collapsed="false">
      <c r="A136" s="3" t="s">
        <v>507</v>
      </c>
      <c r="E136" s="0" t="str">
        <f aca="false">IF(E128&gt;E133-E134+0.0001,"受限","未受限")</f>
        <v>受限</v>
      </c>
      <c r="F136" s="0" t="str">
        <f aca="false">IF(F128&gt;F133-F134+0.0001,"受限","未受限")</f>
        <v>未受限</v>
      </c>
      <c r="G136" s="0" t="str">
        <f aca="false">IF(G128&gt;G133-G134+0.0001,"受限","未受限")</f>
        <v>未受限</v>
      </c>
    </row>
    <row r="137" customFormat="false" ht="15" hidden="false" customHeight="false" outlineLevel="0" collapsed="false">
      <c r="A137" s="3" t="s">
        <v>388</v>
      </c>
      <c r="B137" s="0" t="s">
        <v>214</v>
      </c>
      <c r="C137" s="18" t="n">
        <f aca="false">C135+C134</f>
        <v>94.261</v>
      </c>
      <c r="D137" s="18" t="n">
        <f aca="false">D135+D134</f>
        <v>205.7651</v>
      </c>
      <c r="E137" s="18" t="n">
        <f aca="false">E135+E134</f>
        <v>332.653578333333</v>
      </c>
      <c r="F137" s="18" t="n">
        <f aca="false">F135+F134</f>
        <v>427.779457298676</v>
      </c>
      <c r="G137" s="18" t="n">
        <f aca="false">G135+G134</f>
        <v>496.115732482045</v>
      </c>
    </row>
    <row r="138" customFormat="false" ht="15" hidden="false" customHeight="false" outlineLevel="0" collapsed="false">
      <c r="A138" s="3" t="s">
        <v>508</v>
      </c>
      <c r="B138" s="0" t="s">
        <v>54</v>
      </c>
      <c r="D138" s="13" t="n">
        <f aca="false">D137/C137-1</f>
        <v>1.1829293132897</v>
      </c>
      <c r="E138" s="13" t="n">
        <f aca="false">E137/D137-1</f>
        <v>0.616666666666667</v>
      </c>
      <c r="F138" s="13" t="n">
        <f aca="false">F137/E137-1</f>
        <v>0.285960786719757</v>
      </c>
      <c r="G138" s="13" t="n">
        <f aca="false">G137/F137-1</f>
        <v>0.159746509603093</v>
      </c>
    </row>
    <row r="139" customFormat="false" ht="17.15" hidden="false" customHeight="false" outlineLevel="0" collapsed="false">
      <c r="A139" s="3" t="s">
        <v>509</v>
      </c>
      <c r="B139" s="0" t="s">
        <v>214</v>
      </c>
      <c r="C139" s="18" t="n">
        <f aca="false">inf25*C137-C135</f>
        <v>16.495675</v>
      </c>
      <c r="D139" s="18" t="n">
        <f aca="false">inf26*D137-D135</f>
        <v>33.9512415</v>
      </c>
      <c r="E139" s="18" t="n">
        <f aca="false">E134*$D139/$D134</f>
        <v>36.66734082</v>
      </c>
      <c r="F139" s="18" t="n">
        <f aca="false">F134*$D139/$D134</f>
        <v>38.8673812692</v>
      </c>
      <c r="G139" s="18" t="n">
        <f aca="false">G134*$D139/$D134</f>
        <v>40.81075033266</v>
      </c>
      <c r="H139" s="3" t="s">
        <v>510</v>
      </c>
    </row>
    <row r="140" customFormat="false" ht="17.15" hidden="false" customHeight="false" outlineLevel="0" collapsed="false">
      <c r="A140" s="3" t="s">
        <v>511</v>
      </c>
      <c r="B140" s="0" t="s">
        <v>214</v>
      </c>
      <c r="C140" s="18" t="n">
        <f aca="false">C135+C139</f>
        <v>63.626175</v>
      </c>
      <c r="D140" s="18" t="n">
        <f aca="false">D135+D139</f>
        <v>154.323825</v>
      </c>
      <c r="E140" s="18" t="n">
        <f aca="false">E135+E139</f>
        <v>277.097001333333</v>
      </c>
      <c r="F140" s="18" t="n">
        <f aca="false">F135+F139</f>
        <v>368.889485678676</v>
      </c>
      <c r="G140" s="18" t="n">
        <f aca="false">G135+G139</f>
        <v>434.281262281045</v>
      </c>
      <c r="H140" s="3" t="s">
        <v>512</v>
      </c>
    </row>
    <row r="141" customFormat="false" ht="15" hidden="false" customHeight="false" outlineLevel="0" collapsed="false">
      <c r="A141" s="3" t="s">
        <v>513</v>
      </c>
      <c r="B141" s="0" t="s">
        <v>214</v>
      </c>
      <c r="C141" s="18" t="n">
        <f aca="false">mob25*C137</f>
        <v>21.208725</v>
      </c>
      <c r="D141" s="18" t="n">
        <f aca="false">mob26*D137</f>
        <v>37.037718</v>
      </c>
      <c r="E141" s="18" t="n">
        <f aca="false">E134*$D141/$D134</f>
        <v>40.00073544</v>
      </c>
      <c r="F141" s="18" t="n">
        <f aca="false">F134*$D141/$D134</f>
        <v>42.4007795664</v>
      </c>
      <c r="G141" s="18" t="n">
        <f aca="false">G134*$D141/$D134</f>
        <v>44.52081854472</v>
      </c>
      <c r="H141" s="3" t="s">
        <v>514</v>
      </c>
    </row>
    <row r="142" customFormat="false" ht="15" hidden="false" customHeight="false" outlineLevel="0" collapsed="false">
      <c r="A142" s="3" t="s">
        <v>515</v>
      </c>
      <c r="B142" s="0" t="s">
        <v>214</v>
      </c>
      <c r="C142" s="18" t="n">
        <f aca="false">C137-C140-C141</f>
        <v>9.42609999999999</v>
      </c>
      <c r="D142" s="18" t="n">
        <f aca="false">D137-D140-D141</f>
        <v>14.403557</v>
      </c>
      <c r="E142" s="18" t="n">
        <f aca="false">E137-E140-E141</f>
        <v>15.55584156</v>
      </c>
      <c r="F142" s="18" t="n">
        <f aca="false">F137-F140-F141</f>
        <v>16.4891920536</v>
      </c>
      <c r="G142" s="18" t="n">
        <f aca="false">G137-G140-G141</f>
        <v>17.31365165628</v>
      </c>
      <c r="H142" s="3" t="s">
        <v>516</v>
      </c>
    </row>
    <row r="143" customFormat="false" ht="15" hidden="false" customHeight="false" outlineLevel="0" collapsed="false">
      <c r="A143" s="3" t="s">
        <v>517</v>
      </c>
      <c r="B143" s="0" t="s">
        <v>214</v>
      </c>
      <c r="C143" s="21" t="n">
        <f aca="false">C140+C141+C142-C137</f>
        <v>0</v>
      </c>
      <c r="D143" s="21" t="n">
        <f aca="false">D140+D141+D142-D137</f>
        <v>0</v>
      </c>
      <c r="E143" s="21" t="n">
        <f aca="false">E140+E141+E142-E137</f>
        <v>0</v>
      </c>
      <c r="F143" s="21" t="n">
        <f aca="false">F140+F141+F142-F137</f>
        <v>0</v>
      </c>
      <c r="G143" s="21" t="n">
        <f aca="false">G140+G141+G142-G137</f>
        <v>0</v>
      </c>
    </row>
    <row r="144" customFormat="false" ht="17.15" hidden="false" customHeight="false" outlineLevel="0" collapsed="false">
      <c r="A144" s="0" t="s">
        <v>518</v>
      </c>
      <c r="B144" s="0" t="s">
        <v>54</v>
      </c>
      <c r="C144" s="13" t="n">
        <f aca="false">C135/C137</f>
        <v>0.5</v>
      </c>
      <c r="D144" s="13" t="n">
        <f aca="false">D135/D137</f>
        <v>0.585</v>
      </c>
      <c r="E144" s="13" t="n">
        <f aca="false">E135/E137</f>
        <v>0.722762886597938</v>
      </c>
      <c r="F144" s="13" t="n">
        <f aca="false">F135/F137</f>
        <v>0.77147721513671</v>
      </c>
      <c r="G144" s="13" t="n">
        <f aca="false">G135/G137</f>
        <v>0.79310226664224</v>
      </c>
    </row>
    <row r="145" customFormat="false" ht="17.15" hidden="false" customHeight="false" outlineLevel="0" collapsed="false">
      <c r="A145" s="3" t="s">
        <v>519</v>
      </c>
      <c r="B145" s="0" t="s">
        <v>54</v>
      </c>
      <c r="D145" s="13" t="n">
        <f aca="false">(D128+D134)/D133</f>
        <v>1</v>
      </c>
      <c r="E145" s="13" t="n">
        <f aca="false">(E128+E134)/E133</f>
        <v>1.19935703454662</v>
      </c>
      <c r="F145" s="13" t="n">
        <f aca="false">(F128+F134)/F133</f>
        <v>0.891789727267515</v>
      </c>
      <c r="G145" s="13" t="n">
        <f aca="false">(G128+G134)/G133</f>
        <v>0.87883292501558</v>
      </c>
      <c r="H145" s="3" t="s">
        <v>520</v>
      </c>
    </row>
    <row r="146" customFormat="false" ht="17.15" hidden="false" customHeight="false" outlineLevel="0" collapsed="false">
      <c r="A146" s="3" t="s">
        <v>456</v>
      </c>
      <c r="B146" s="0" t="s">
        <v>94</v>
      </c>
      <c r="D146" s="17" t="n">
        <f aca="false">D135/fx/D117*1000</f>
        <v>160.757158009399</v>
      </c>
      <c r="E146" s="17" t="n">
        <f aca="false">E135/fx/E117*1000</f>
        <v>180.408412082255</v>
      </c>
      <c r="F146" s="17" t="n">
        <f aca="false">F135/fx/F117*1000</f>
        <v>244.193338159437</v>
      </c>
      <c r="G146" s="17" t="n">
        <f aca="false">G135/fx/G117*1000</f>
        <v>240.54150966217</v>
      </c>
    </row>
    <row r="147" customFormat="false" ht="17.15" hidden="false" customHeight="false" outlineLevel="0" collapsed="false">
      <c r="A147" s="5" t="s">
        <v>521</v>
      </c>
    </row>
    <row r="148" customFormat="false" ht="17.15" hidden="false" customHeight="false" outlineLevel="0" collapsed="false">
      <c r="A148" s="3" t="s">
        <v>522</v>
      </c>
      <c r="B148" s="0" t="s">
        <v>54</v>
      </c>
      <c r="D148" s="13" t="n">
        <f aca="false">a26_gp/D137-d_ai*D144</f>
        <v>0.291564442755356</v>
      </c>
      <c r="H148" s="7" t="s">
        <v>523</v>
      </c>
    </row>
    <row r="149" customFormat="false" ht="17.15" hidden="false" customHeight="false" outlineLevel="0" collapsed="false">
      <c r="A149" s="0" t="s">
        <v>524</v>
      </c>
      <c r="B149" s="0" t="s">
        <v>54</v>
      </c>
      <c r="D149" s="13" t="n">
        <f aca="false">D148+d_ai</f>
        <v>0.371564442755356</v>
      </c>
      <c r="E149" s="13" t="n">
        <f aca="false">1-(1-$D$149)/E124</f>
        <v>0.371564442755356</v>
      </c>
      <c r="F149" s="13" t="n">
        <f aca="false">1-(1-$D$149)/F124</f>
        <v>0.352128291500367</v>
      </c>
      <c r="G149" s="13" t="n">
        <f aca="false">1-(1-$D$149)/G124</f>
        <v>0.324262841672425</v>
      </c>
      <c r="H149" s="7" t="s">
        <v>525</v>
      </c>
    </row>
    <row r="150" customFormat="false" ht="15" hidden="false" customHeight="false" outlineLevel="0" collapsed="false">
      <c r="A150" s="3" t="s">
        <v>392</v>
      </c>
      <c r="B150" s="0" t="s">
        <v>214</v>
      </c>
      <c r="C150" s="18" t="n">
        <f aca="false">a25_gp</f>
        <v>28.12</v>
      </c>
      <c r="D150" s="18" t="n">
        <f aca="false">a26_gp</f>
        <v>69.6235934</v>
      </c>
      <c r="E150" s="18" t="n">
        <f aca="false">E135*E149+E134*$D$148</f>
        <v>116.2243280384</v>
      </c>
      <c r="F150" s="18" t="n">
        <f aca="false">F135*F149+F134*$D$148</f>
        <v>144.712687903443</v>
      </c>
      <c r="G150" s="18" t="n">
        <f aca="false">G135*G149+G134*$D$148</f>
        <v>157.515562845084</v>
      </c>
    </row>
    <row r="151" customFormat="false" ht="15" hidden="false" customHeight="false" outlineLevel="0" collapsed="false">
      <c r="A151" s="3" t="s">
        <v>395</v>
      </c>
      <c r="B151" s="0" t="s">
        <v>54</v>
      </c>
      <c r="C151" s="13" t="n">
        <f aca="false">C150/C137</f>
        <v>0.298320620405046</v>
      </c>
      <c r="D151" s="13" t="n">
        <f aca="false">D150/D137</f>
        <v>0.338364442755356</v>
      </c>
      <c r="E151" s="13" t="n">
        <f aca="false">E150/E137</f>
        <v>0.349385473683191</v>
      </c>
      <c r="F151" s="13" t="n">
        <f aca="false">F150/F137</f>
        <v>0.338288072123118</v>
      </c>
      <c r="G151" s="13" t="n">
        <f aca="false">G150/G137</f>
        <v>0.317497617052056</v>
      </c>
    </row>
    <row r="152" customFormat="false" ht="15" hidden="false" customHeight="false" outlineLevel="0" collapsed="false">
      <c r="A152" s="3" t="s">
        <v>526</v>
      </c>
      <c r="B152" s="0" t="s">
        <v>214</v>
      </c>
      <c r="C152" s="18" t="n">
        <f aca="false">a25_opx</f>
        <v>9.012</v>
      </c>
      <c r="D152" s="18" t="n">
        <f aca="false">a26_opx</f>
        <v>14.0153081141857</v>
      </c>
      <c r="E152" s="18" t="n">
        <f aca="false">D152*(1+MAX(0,phi*E138))</f>
        <v>19.2009721164345</v>
      </c>
      <c r="F152" s="18" t="n">
        <f aca="false">E152*(1+MAX(0,phi*F138))</f>
        <v>22.4954071717543</v>
      </c>
      <c r="G152" s="18" t="n">
        <f aca="false">F152*(1+MAX(0,phi*G138))</f>
        <v>24.6515448384272</v>
      </c>
    </row>
    <row r="153" customFormat="false" ht="15" hidden="false" customHeight="false" outlineLevel="0" collapsed="false">
      <c r="A153" s="3" t="s">
        <v>397</v>
      </c>
      <c r="B153" s="0" t="s">
        <v>214</v>
      </c>
      <c r="C153" s="18" t="n">
        <f aca="false">C152</f>
        <v>9.012</v>
      </c>
      <c r="D153" s="18" t="n">
        <f aca="false">D152</f>
        <v>14.0153081141857</v>
      </c>
      <c r="E153" s="18" t="n">
        <f aca="false">E152+0*E137</f>
        <v>19.2009721164345</v>
      </c>
      <c r="F153" s="18" t="n">
        <f aca="false">F152+0*F137</f>
        <v>22.4954071717543</v>
      </c>
      <c r="G153" s="18" t="n">
        <f aca="false">G152+0*G137</f>
        <v>24.6515448384272</v>
      </c>
    </row>
    <row r="154" customFormat="false" ht="15" hidden="false" customHeight="false" outlineLevel="0" collapsed="false">
      <c r="A154" s="3" t="s">
        <v>400</v>
      </c>
      <c r="B154" s="0" t="s">
        <v>214</v>
      </c>
      <c r="C154" s="18" t="n">
        <f aca="false">C150-C153</f>
        <v>19.108</v>
      </c>
      <c r="D154" s="18" t="n">
        <f aca="false">D150-D153</f>
        <v>55.6082852858143</v>
      </c>
      <c r="E154" s="18" t="n">
        <f aca="false">E150-E153</f>
        <v>97.0233559219655</v>
      </c>
      <c r="F154" s="18" t="n">
        <f aca="false">F150-F153</f>
        <v>122.217280731688</v>
      </c>
      <c r="G154" s="18" t="n">
        <f aca="false">G150-G153</f>
        <v>132.864018006657</v>
      </c>
    </row>
    <row r="155" customFormat="false" ht="15" hidden="false" customHeight="false" outlineLevel="0" collapsed="false">
      <c r="A155" s="3" t="s">
        <v>403</v>
      </c>
      <c r="B155" s="0" t="s">
        <v>54</v>
      </c>
      <c r="C155" s="13" t="n">
        <f aca="false">C154/C137</f>
        <v>0.202713741632276</v>
      </c>
      <c r="D155" s="13" t="n">
        <f aca="false">D154/D137</f>
        <v>0.270251297648699</v>
      </c>
      <c r="E155" s="13" t="n">
        <f aca="false">E154/E137</f>
        <v>0.291664849685591</v>
      </c>
      <c r="F155" s="13" t="n">
        <f aca="false">F154/F137</f>
        <v>0.285701612469801</v>
      </c>
      <c r="G155" s="13" t="n">
        <f aca="false">G154/G137</f>
        <v>0.267808515851623</v>
      </c>
    </row>
    <row r="156" customFormat="false" ht="17.15" hidden="false" customHeight="false" outlineLevel="0" collapsed="false">
      <c r="A156" s="3" t="s">
        <v>405</v>
      </c>
      <c r="B156" s="0" t="s">
        <v>214</v>
      </c>
      <c r="E156" s="18" t="n">
        <f aca="false">nop_f</f>
        <v>0.5</v>
      </c>
      <c r="F156" s="18" t="n">
        <f aca="false">nop_f</f>
        <v>0.5</v>
      </c>
      <c r="G156" s="18" t="n">
        <f aca="false">nop_f</f>
        <v>0.5</v>
      </c>
      <c r="H156" s="7" t="s">
        <v>527</v>
      </c>
    </row>
    <row r="157" customFormat="false" ht="15" hidden="false" customHeight="false" outlineLevel="0" collapsed="false">
      <c r="A157" s="3" t="s">
        <v>408</v>
      </c>
      <c r="B157" s="0" t="s">
        <v>214</v>
      </c>
      <c r="C157" s="18" t="n">
        <f aca="false">a25_ni</f>
        <v>14.649</v>
      </c>
      <c r="D157" s="18" t="n">
        <f aca="false">a26_ni</f>
        <v>42.891099295</v>
      </c>
      <c r="E157" s="18" t="n">
        <f aca="false">(E154+E156)*nir_f</f>
        <v>75.0929840599135</v>
      </c>
      <c r="F157" s="18" t="n">
        <f aca="false">(F154+F156)*nir_f</f>
        <v>94.4923061633999</v>
      </c>
      <c r="G157" s="18" t="n">
        <f aca="false">(G154+G156)*nir_f</f>
        <v>102.690293865126</v>
      </c>
    </row>
    <row r="158" customFormat="false" ht="17.15" hidden="false" customHeight="false" outlineLevel="0" collapsed="false">
      <c r="A158" s="3" t="s">
        <v>411</v>
      </c>
      <c r="B158" s="0" t="s">
        <v>54</v>
      </c>
      <c r="C158" s="13" t="n">
        <f aca="false">C157/C154</f>
        <v>0.766642244086247</v>
      </c>
      <c r="D158" s="13" t="n">
        <f aca="false">D157/D154</f>
        <v>0.771307712053146</v>
      </c>
      <c r="E158" s="13" t="n">
        <f aca="false">E157/E154</f>
        <v>0.77396811671109</v>
      </c>
      <c r="F158" s="13" t="n">
        <f aca="false">F157/F154</f>
        <v>0.773150127360837</v>
      </c>
      <c r="G158" s="13" t="n">
        <f aca="false">G157/G154</f>
        <v>0.772897699510944</v>
      </c>
    </row>
    <row r="159" customFormat="false" ht="15" hidden="false" customHeight="false" outlineLevel="0" collapsed="false">
      <c r="A159" s="3" t="s">
        <v>528</v>
      </c>
      <c r="B159" s="3" t="s">
        <v>243</v>
      </c>
      <c r="C159" s="20" t="n">
        <f aca="false">a25_sh</f>
        <v>0.351547876169906</v>
      </c>
      <c r="D159" s="20" t="n">
        <f aca="false">a26_sh</f>
        <v>0.358290155440415</v>
      </c>
      <c r="E159" s="20" t="n">
        <f aca="false">D159*(1+sh_g)</f>
        <v>0.358290155440415</v>
      </c>
      <c r="F159" s="20" t="n">
        <f aca="false">E159*(1+sh_g)</f>
        <v>0.358290155440415</v>
      </c>
      <c r="G159" s="20" t="n">
        <f aca="false">F159*(1+sh_g)</f>
        <v>0.358290155440415</v>
      </c>
    </row>
    <row r="160" customFormat="false" ht="15" hidden="false" customHeight="false" outlineLevel="0" collapsed="false">
      <c r="A160" s="0" t="s">
        <v>414</v>
      </c>
      <c r="B160" s="0" t="s">
        <v>274</v>
      </c>
      <c r="C160" s="19" t="n">
        <f aca="false">C157/C159</f>
        <v>41.67</v>
      </c>
      <c r="D160" s="19" t="n">
        <f aca="false">D157/D159</f>
        <v>119.710515747433</v>
      </c>
      <c r="E160" s="19" t="n">
        <f aca="false">E157/E159</f>
        <v>209.587070478139</v>
      </c>
      <c r="F160" s="19" t="n">
        <f aca="false">F157/F159</f>
        <v>263.731237737327</v>
      </c>
      <c r="G160" s="19" t="n">
        <f aca="false">G157/G159</f>
        <v>286.612100014018</v>
      </c>
    </row>
    <row r="161" customFormat="false" ht="17.15" hidden="false" customHeight="false" outlineLevel="0" collapsed="false">
      <c r="A161" s="0" t="s">
        <v>529</v>
      </c>
      <c r="B161" s="0" t="s">
        <v>54</v>
      </c>
      <c r="D161" s="13" t="n">
        <f aca="false">D160/C160-1</f>
        <v>1.87282255213422</v>
      </c>
      <c r="E161" s="13" t="n">
        <f aca="false">E160/D160-1</f>
        <v>0.750782453567642</v>
      </c>
      <c r="F161" s="13" t="n">
        <f aca="false">F160/E160-1</f>
        <v>0.258337344644721</v>
      </c>
      <c r="G161" s="13" t="n">
        <f aca="false">G160/F160-1</f>
        <v>0.0867582561436251</v>
      </c>
    </row>
    <row r="164" customFormat="false" ht="17.15" hidden="false" customHeight="false" outlineLevel="0" collapsed="false">
      <c r="A164" s="1" t="s">
        <v>531</v>
      </c>
    </row>
    <row r="165" customFormat="false" ht="17.15" hidden="false" customHeight="false" outlineLevel="0" collapsed="false">
      <c r="A165" s="4" t="s">
        <v>23</v>
      </c>
      <c r="B165" s="4" t="s">
        <v>24</v>
      </c>
      <c r="C165" s="10" t="s">
        <v>383</v>
      </c>
      <c r="D165" s="10" t="s">
        <v>469</v>
      </c>
      <c r="E165" s="10" t="s">
        <v>470</v>
      </c>
      <c r="F165" s="10" t="s">
        <v>471</v>
      </c>
      <c r="G165" s="10" t="s">
        <v>472</v>
      </c>
      <c r="H165" s="4" t="s">
        <v>437</v>
      </c>
    </row>
    <row r="166" customFormat="false" ht="17.15" hidden="false" customHeight="false" outlineLevel="0" collapsed="false">
      <c r="A166" s="5" t="s">
        <v>487</v>
      </c>
    </row>
    <row r="167" customFormat="false" ht="17.15" hidden="false" customHeight="false" outlineLevel="0" collapsed="false">
      <c r="A167" s="0" t="s">
        <v>488</v>
      </c>
      <c r="B167" s="0" t="s">
        <v>34</v>
      </c>
      <c r="D167" s="19" t="n">
        <f aca="false">itc_26*1</f>
        <v>781.872916666666</v>
      </c>
      <c r="E167" s="19" t="n">
        <f aca="false">itc_27*1*1</f>
        <v>1565.35</v>
      </c>
      <c r="F167" s="19" t="n">
        <f aca="false">itc_28*um28_C*1</f>
        <v>1190.55833333333</v>
      </c>
      <c r="G167" s="19" t="n">
        <f aca="false">itc_29*um29_C*1</f>
        <v>1356.23416666667</v>
      </c>
    </row>
    <row r="168" customFormat="false" ht="17.15" hidden="false" customHeight="false" outlineLevel="0" collapsed="false">
      <c r="A168" s="3" t="s">
        <v>489</v>
      </c>
      <c r="B168" s="0" t="s">
        <v>34</v>
      </c>
      <c r="D168" s="19" t="n">
        <f aca="false">itpg_gb*(1-vr26)+itpg_vr*vr26</f>
        <v>33.41403216</v>
      </c>
      <c r="E168" s="19" t="n">
        <f aca="false">itpg_vr</f>
        <v>37.586352</v>
      </c>
      <c r="F168" s="19" t="n">
        <f aca="false">itpg_vr</f>
        <v>37.586352</v>
      </c>
      <c r="G168" s="19" t="n">
        <f aca="false">itpg_vr</f>
        <v>37.586352</v>
      </c>
    </row>
    <row r="169" customFormat="false" ht="17.15" hidden="false" customHeight="false" outlineLevel="0" collapsed="false">
      <c r="A169" s="3" t="s">
        <v>490</v>
      </c>
      <c r="B169" s="0" t="s">
        <v>439</v>
      </c>
      <c r="D169" s="16" t="n">
        <f aca="false">D167/D168</f>
        <v>23.3995380420639</v>
      </c>
      <c r="E169" s="16" t="n">
        <f aca="false">E167/E168</f>
        <v>41.6467658260637</v>
      </c>
      <c r="F169" s="16" t="n">
        <f aca="false">F167/F168</f>
        <v>31.6752829147488</v>
      </c>
      <c r="G169" s="16" t="n">
        <f aca="false">G167/G168</f>
        <v>36.0831550416669</v>
      </c>
    </row>
    <row r="170" customFormat="false" ht="17.15" hidden="false" customHeight="false" outlineLevel="0" collapsed="false">
      <c r="A170" s="3" t="s">
        <v>441</v>
      </c>
      <c r="B170" s="0" t="s">
        <v>94</v>
      </c>
      <c r="D170" s="17" t="n">
        <f aca="false">cmp_26</f>
        <v>190</v>
      </c>
      <c r="E170" s="17" t="n">
        <f aca="false">cmp_26*cmpx_27</f>
        <v>275.5</v>
      </c>
      <c r="F170" s="17" t="n">
        <f aca="false">cmp_26*cmpx_28</f>
        <v>304</v>
      </c>
      <c r="G170" s="17" t="n">
        <f aca="false">cmp_26*cmpx_29</f>
        <v>323</v>
      </c>
    </row>
    <row r="171" customFormat="false" ht="17.15" hidden="false" customHeight="false" outlineLevel="0" collapsed="false">
      <c r="A171" s="3" t="s">
        <v>443</v>
      </c>
      <c r="B171" s="0" t="s">
        <v>94</v>
      </c>
      <c r="D171" s="17" t="n">
        <f aca="false">sw_26</f>
        <v>90</v>
      </c>
      <c r="E171" s="17" t="n">
        <f aca="false">sw_26*swx_27</f>
        <v>126</v>
      </c>
      <c r="F171" s="17" t="n">
        <f aca="false">sw_26*swx_28</f>
        <v>144</v>
      </c>
      <c r="G171" s="17" t="n">
        <f aca="false">sw_26*swx_29</f>
        <v>157.5</v>
      </c>
    </row>
    <row r="172" customFormat="false" ht="17.15" hidden="false" customHeight="false" outlineLevel="0" collapsed="false">
      <c r="A172" s="3" t="s">
        <v>444</v>
      </c>
      <c r="B172" s="0" t="s">
        <v>94</v>
      </c>
      <c r="D172" s="17" t="n">
        <f aca="false">ubb_26</f>
        <v>70</v>
      </c>
      <c r="E172" s="17" t="n">
        <f aca="false">ubb_26*ubbx_27</f>
        <v>126</v>
      </c>
      <c r="F172" s="17" t="n">
        <f aca="false">ubb_26*ubbx_28</f>
        <v>161</v>
      </c>
      <c r="G172" s="17" t="n">
        <f aca="false">ubb_26*ubbx_29</f>
        <v>182</v>
      </c>
    </row>
    <row r="173" customFormat="false" ht="17.15" hidden="false" customHeight="false" outlineLevel="0" collapsed="false">
      <c r="A173" s="3" t="s">
        <v>491</v>
      </c>
      <c r="B173" s="0" t="s">
        <v>94</v>
      </c>
      <c r="D173" s="17" t="n">
        <f aca="false">D170+D171+D172</f>
        <v>350</v>
      </c>
      <c r="E173" s="17" t="n">
        <f aca="false">E170+E171+E172</f>
        <v>527.5</v>
      </c>
      <c r="F173" s="17" t="n">
        <f aca="false">F170+F171+F172</f>
        <v>609</v>
      </c>
      <c r="G173" s="17" t="n">
        <f aca="false">G170+G171+G172</f>
        <v>662.5</v>
      </c>
    </row>
    <row r="174" customFormat="false" ht="17.15" hidden="false" customHeight="false" outlineLevel="0" collapsed="false">
      <c r="A174" s="0" t="s">
        <v>492</v>
      </c>
      <c r="B174" s="0" t="s">
        <v>34</v>
      </c>
      <c r="D174" s="19" t="n">
        <f aca="false">D169*D173/1000</f>
        <v>8.18983831472236</v>
      </c>
      <c r="E174" s="19" t="n">
        <f aca="false">E169*E173/1000</f>
        <v>21.9686689732486</v>
      </c>
      <c r="F174" s="19" t="n">
        <f aca="false">F169*F173/1000</f>
        <v>19.290247295082</v>
      </c>
      <c r="G174" s="19" t="n">
        <f aca="false">G169*G173/1000</f>
        <v>23.9050902151043</v>
      </c>
    </row>
    <row r="175" customFormat="false" ht="17.15" hidden="false" customHeight="false" outlineLevel="0" collapsed="false">
      <c r="A175" s="0" t="s">
        <v>493</v>
      </c>
      <c r="B175" s="0" t="s">
        <v>214</v>
      </c>
      <c r="D175" s="18" t="n">
        <f aca="false">D174*fx</f>
        <v>262.074826071116</v>
      </c>
      <c r="E175" s="18" t="n">
        <f aca="false">E174*fx</f>
        <v>702.997407143955</v>
      </c>
      <c r="F175" s="18" t="n">
        <f aca="false">F174*fx</f>
        <v>617.287913442625</v>
      </c>
      <c r="G175" s="18" t="n">
        <f aca="false">G174*fx</f>
        <v>764.962886883339</v>
      </c>
    </row>
    <row r="176" customFormat="false" ht="17.15" hidden="false" customHeight="false" outlineLevel="0" collapsed="false">
      <c r="A176" s="0" t="s">
        <v>494</v>
      </c>
      <c r="B176" s="0" t="s">
        <v>67</v>
      </c>
      <c r="D176" s="14" t="n">
        <f aca="false">1</f>
        <v>1</v>
      </c>
      <c r="E176" s="14" t="n">
        <f aca="false">pp_27</f>
        <v>1</v>
      </c>
      <c r="F176" s="14" t="n">
        <f aca="false">pp_28</f>
        <v>0.97</v>
      </c>
      <c r="G176" s="14" t="n">
        <f aca="false">pp_29</f>
        <v>0.93</v>
      </c>
    </row>
    <row r="177" customFormat="false" ht="17.15" hidden="false" customHeight="false" outlineLevel="0" collapsed="false">
      <c r="A177" s="3" t="s">
        <v>495</v>
      </c>
      <c r="B177" s="0" t="s">
        <v>54</v>
      </c>
      <c r="D177" s="13" t="n">
        <f aca="false">a26_ai/D175</f>
        <v>0.459306165741139</v>
      </c>
      <c r="H177" s="7" t="s">
        <v>496</v>
      </c>
    </row>
    <row r="178" customFormat="false" ht="17.15" hidden="false" customHeight="false" outlineLevel="0" collapsed="false">
      <c r="A178" s="3" t="s">
        <v>497</v>
      </c>
      <c r="B178" s="0" t="s">
        <v>67</v>
      </c>
      <c r="D178" s="14" t="n">
        <f aca="false">1</f>
        <v>1</v>
      </c>
      <c r="E178" s="14" t="n">
        <f aca="false">rel_27</f>
        <v>0.95</v>
      </c>
      <c r="F178" s="14" t="n">
        <f aca="false">rel_28</f>
        <v>0.9</v>
      </c>
      <c r="G178" s="14" t="n">
        <f aca="false">rel_29</f>
        <v>0.85</v>
      </c>
    </row>
    <row r="179" customFormat="false" ht="15" hidden="false" customHeight="false" outlineLevel="0" collapsed="false">
      <c r="A179" s="3" t="s">
        <v>452</v>
      </c>
      <c r="B179" s="0" t="s">
        <v>54</v>
      </c>
      <c r="D179" s="13" t="n">
        <f aca="false">$D$177*D178</f>
        <v>0.459306165741139</v>
      </c>
      <c r="E179" s="13" t="n">
        <f aca="false">$D$177*E178</f>
        <v>0.436340857454082</v>
      </c>
      <c r="F179" s="13" t="n">
        <f aca="false">$D$177*F178</f>
        <v>0.413375549167025</v>
      </c>
      <c r="G179" s="13" t="n">
        <f aca="false">$D$177*G178</f>
        <v>0.390410240879968</v>
      </c>
    </row>
    <row r="180" customFormat="false" ht="17.15" hidden="false" customHeight="false" outlineLevel="0" collapsed="false">
      <c r="A180" s="0" t="s">
        <v>498</v>
      </c>
      <c r="B180" s="0" t="s">
        <v>214</v>
      </c>
      <c r="D180" s="18" t="n">
        <f aca="false">D175*D179*D176</f>
        <v>120.3725835</v>
      </c>
      <c r="E180" s="18" t="n">
        <f aca="false">E175*E179*E176</f>
        <v>306.74649142119</v>
      </c>
      <c r="F180" s="18" t="n">
        <f aca="false">F175*F179*F176</f>
        <v>247.516578307107</v>
      </c>
      <c r="G180" s="18" t="n">
        <f aca="false">G175*G179*G176</f>
        <v>277.743890787095</v>
      </c>
    </row>
    <row r="181" customFormat="false" ht="17.15" hidden="false" customHeight="false" outlineLevel="0" collapsed="false">
      <c r="A181" s="5" t="s">
        <v>499</v>
      </c>
    </row>
    <row r="182" customFormat="false" ht="15" hidden="false" customHeight="false" outlineLevel="0" collapsed="false">
      <c r="A182" s="3" t="s">
        <v>457</v>
      </c>
      <c r="B182" s="3" t="s">
        <v>151</v>
      </c>
      <c r="D182" s="14" t="n">
        <f aca="false">cap_26</f>
        <v>6</v>
      </c>
      <c r="E182" s="14" t="n">
        <f aca="false">cap_27</f>
        <v>7.76</v>
      </c>
      <c r="F182" s="14" t="n">
        <f aca="false">cap_28</f>
        <v>10.3</v>
      </c>
      <c r="G182" s="14" t="n">
        <f aca="false">cap_29</f>
        <v>11.8</v>
      </c>
    </row>
    <row r="183" customFormat="false" ht="17.15" hidden="false" customHeight="false" outlineLevel="0" collapsed="false">
      <c r="A183" s="3" t="s">
        <v>500</v>
      </c>
      <c r="B183" s="0" t="s">
        <v>460</v>
      </c>
      <c r="D183" s="17" t="n">
        <f aca="false">a26_rev/(D182*12)*1000</f>
        <v>2857.84861111111</v>
      </c>
      <c r="H183" s="7" t="s">
        <v>501</v>
      </c>
    </row>
    <row r="184" customFormat="false" ht="17.15" hidden="false" customHeight="false" outlineLevel="0" collapsed="false">
      <c r="A184" s="3" t="s">
        <v>502</v>
      </c>
      <c r="B184" s="0" t="s">
        <v>67</v>
      </c>
      <c r="D184" s="14" t="n">
        <f aca="false">1</f>
        <v>1</v>
      </c>
      <c r="E184" s="14" t="n">
        <f aca="false">mix_27</f>
        <v>1.25</v>
      </c>
      <c r="F184" s="14" t="n">
        <f aca="false">mix_28</f>
        <v>1.4</v>
      </c>
      <c r="G184" s="14" t="n">
        <f aca="false">mix_29</f>
        <v>1.5</v>
      </c>
    </row>
    <row r="185" customFormat="false" ht="17.15" hidden="false" customHeight="false" outlineLevel="0" collapsed="false">
      <c r="A185" s="3" t="s">
        <v>503</v>
      </c>
      <c r="B185" s="0" t="s">
        <v>214</v>
      </c>
      <c r="D185" s="18" t="n">
        <f aca="false">D182*12*$D$183*D184*D176/1000</f>
        <v>205.7651</v>
      </c>
      <c r="E185" s="18" t="n">
        <f aca="false">E182*12*$D$183*E184*E176/1000</f>
        <v>332.653578333333</v>
      </c>
      <c r="F185" s="18" t="n">
        <f aca="false">F182*12*$D$183*F184*F176/1000</f>
        <v>479.686459956667</v>
      </c>
      <c r="G185" s="18" t="n">
        <f aca="false">G182*12*$D$183*G184*G176/1000</f>
        <v>564.51655185</v>
      </c>
    </row>
    <row r="186" customFormat="false" ht="17.15" hidden="false" customHeight="false" outlineLevel="0" collapsed="false">
      <c r="A186" s="3" t="s">
        <v>504</v>
      </c>
      <c r="B186" s="0" t="s">
        <v>214</v>
      </c>
      <c r="C186" s="18" t="n">
        <f aca="false">a25_nai</f>
        <v>47.1305</v>
      </c>
      <c r="D186" s="18" t="n">
        <f aca="false">a26_nai</f>
        <v>85.3925165</v>
      </c>
      <c r="E186" s="18" t="n">
        <f aca="false">D186*(1+g_nai27)</f>
        <v>92.22391782</v>
      </c>
      <c r="F186" s="18" t="n">
        <f aca="false">E186*(1+g_nai28)</f>
        <v>97.7573528892</v>
      </c>
      <c r="G186" s="18" t="n">
        <f aca="false">F186*(1+g_nai29)</f>
        <v>102.64522053366</v>
      </c>
    </row>
    <row r="187" customFormat="false" ht="17.15" hidden="false" customHeight="false" outlineLevel="0" collapsed="false">
      <c r="A187" s="0" t="s">
        <v>505</v>
      </c>
      <c r="B187" s="0" t="s">
        <v>214</v>
      </c>
      <c r="C187" s="18" t="n">
        <f aca="false">a25_ai</f>
        <v>47.1305</v>
      </c>
      <c r="D187" s="18" t="n">
        <f aca="false">D180</f>
        <v>120.3725835</v>
      </c>
      <c r="E187" s="18" t="n">
        <f aca="false">MIN(E180,E185-E186)</f>
        <v>240.429660513333</v>
      </c>
      <c r="F187" s="18" t="n">
        <f aca="false">MIN(F180,F185-F186)</f>
        <v>247.516578307107</v>
      </c>
      <c r="G187" s="18" t="n">
        <f aca="false">MIN(G180,G185-G186)</f>
        <v>277.743890787095</v>
      </c>
      <c r="H187" s="3" t="s">
        <v>506</v>
      </c>
    </row>
    <row r="188" customFormat="false" ht="15" hidden="false" customHeight="false" outlineLevel="0" collapsed="false">
      <c r="A188" s="3" t="s">
        <v>507</v>
      </c>
      <c r="E188" s="0" t="str">
        <f aca="false">IF(E180&gt;E185-E186+0.0001,"受限","未受限")</f>
        <v>受限</v>
      </c>
      <c r="F188" s="0" t="str">
        <f aca="false">IF(F180&gt;F185-F186+0.0001,"受限","未受限")</f>
        <v>未受限</v>
      </c>
      <c r="G188" s="0" t="str">
        <f aca="false">IF(G180&gt;G185-G186+0.0001,"受限","未受限")</f>
        <v>未受限</v>
      </c>
    </row>
    <row r="189" customFormat="false" ht="15" hidden="false" customHeight="false" outlineLevel="0" collapsed="false">
      <c r="A189" s="3" t="s">
        <v>388</v>
      </c>
      <c r="B189" s="0" t="s">
        <v>214</v>
      </c>
      <c r="C189" s="18" t="n">
        <f aca="false">C187+C186</f>
        <v>94.261</v>
      </c>
      <c r="D189" s="18" t="n">
        <f aca="false">D187+D186</f>
        <v>205.7651</v>
      </c>
      <c r="E189" s="18" t="n">
        <f aca="false">E187+E186</f>
        <v>332.653578333333</v>
      </c>
      <c r="F189" s="18" t="n">
        <f aca="false">F187+F186</f>
        <v>345.273931196307</v>
      </c>
      <c r="G189" s="18" t="n">
        <f aca="false">G187+G186</f>
        <v>380.389111320755</v>
      </c>
    </row>
    <row r="190" customFormat="false" ht="15" hidden="false" customHeight="false" outlineLevel="0" collapsed="false">
      <c r="A190" s="3" t="s">
        <v>508</v>
      </c>
      <c r="B190" s="0" t="s">
        <v>54</v>
      </c>
      <c r="D190" s="13" t="n">
        <f aca="false">D189/C189-1</f>
        <v>1.1829293132897</v>
      </c>
      <c r="E190" s="13" t="n">
        <f aca="false">E189/D189-1</f>
        <v>0.616666666666667</v>
      </c>
      <c r="F190" s="13" t="n">
        <f aca="false">F189/E189-1</f>
        <v>0.0379384250913639</v>
      </c>
      <c r="G190" s="13" t="n">
        <f aca="false">G189/F189-1</f>
        <v>0.101702378754113</v>
      </c>
    </row>
    <row r="191" customFormat="false" ht="17.15" hidden="false" customHeight="false" outlineLevel="0" collapsed="false">
      <c r="A191" s="3" t="s">
        <v>509</v>
      </c>
      <c r="B191" s="0" t="s">
        <v>214</v>
      </c>
      <c r="C191" s="18" t="n">
        <f aca="false">inf25*C189-C187</f>
        <v>16.495675</v>
      </c>
      <c r="D191" s="18" t="n">
        <f aca="false">inf26*D189-D187</f>
        <v>33.9512415</v>
      </c>
      <c r="E191" s="18" t="n">
        <f aca="false">E186*$D191/$D186</f>
        <v>36.66734082</v>
      </c>
      <c r="F191" s="18" t="n">
        <f aca="false">F186*$D191/$D186</f>
        <v>38.8673812692</v>
      </c>
      <c r="G191" s="18" t="n">
        <f aca="false">G186*$D191/$D186</f>
        <v>40.81075033266</v>
      </c>
      <c r="H191" s="3" t="s">
        <v>510</v>
      </c>
    </row>
    <row r="192" customFormat="false" ht="17.15" hidden="false" customHeight="false" outlineLevel="0" collapsed="false">
      <c r="A192" s="3" t="s">
        <v>511</v>
      </c>
      <c r="B192" s="0" t="s">
        <v>214</v>
      </c>
      <c r="C192" s="18" t="n">
        <f aca="false">C187+C191</f>
        <v>63.626175</v>
      </c>
      <c r="D192" s="18" t="n">
        <f aca="false">D187+D191</f>
        <v>154.323825</v>
      </c>
      <c r="E192" s="18" t="n">
        <f aca="false">E187+E191</f>
        <v>277.097001333333</v>
      </c>
      <c r="F192" s="18" t="n">
        <f aca="false">F187+F191</f>
        <v>286.383959576307</v>
      </c>
      <c r="G192" s="18" t="n">
        <f aca="false">G187+G191</f>
        <v>318.554641119755</v>
      </c>
      <c r="H192" s="3" t="s">
        <v>512</v>
      </c>
    </row>
    <row r="193" customFormat="false" ht="15" hidden="false" customHeight="false" outlineLevel="0" collapsed="false">
      <c r="A193" s="3" t="s">
        <v>513</v>
      </c>
      <c r="B193" s="0" t="s">
        <v>214</v>
      </c>
      <c r="C193" s="18" t="n">
        <f aca="false">mob25*C189</f>
        <v>21.208725</v>
      </c>
      <c r="D193" s="18" t="n">
        <f aca="false">mob26*D189</f>
        <v>37.037718</v>
      </c>
      <c r="E193" s="18" t="n">
        <f aca="false">E186*$D193/$D186</f>
        <v>40.00073544</v>
      </c>
      <c r="F193" s="18" t="n">
        <f aca="false">F186*$D193/$D186</f>
        <v>42.4007795664</v>
      </c>
      <c r="G193" s="18" t="n">
        <f aca="false">G186*$D193/$D186</f>
        <v>44.52081854472</v>
      </c>
      <c r="H193" s="3" t="s">
        <v>514</v>
      </c>
    </row>
    <row r="194" customFormat="false" ht="15" hidden="false" customHeight="false" outlineLevel="0" collapsed="false">
      <c r="A194" s="3" t="s">
        <v>515</v>
      </c>
      <c r="B194" s="0" t="s">
        <v>214</v>
      </c>
      <c r="C194" s="18" t="n">
        <f aca="false">C189-C192-C193</f>
        <v>9.42609999999999</v>
      </c>
      <c r="D194" s="18" t="n">
        <f aca="false">D189-D192-D193</f>
        <v>14.403557</v>
      </c>
      <c r="E194" s="18" t="n">
        <f aca="false">E189-E192-E193</f>
        <v>15.55584156</v>
      </c>
      <c r="F194" s="18" t="n">
        <f aca="false">F189-F192-F193</f>
        <v>16.4891920536</v>
      </c>
      <c r="G194" s="18" t="n">
        <f aca="false">G189-G192-G193</f>
        <v>17.31365165628</v>
      </c>
      <c r="H194" s="3" t="s">
        <v>516</v>
      </c>
    </row>
    <row r="195" customFormat="false" ht="15" hidden="false" customHeight="false" outlineLevel="0" collapsed="false">
      <c r="A195" s="3" t="s">
        <v>517</v>
      </c>
      <c r="B195" s="0" t="s">
        <v>214</v>
      </c>
      <c r="C195" s="21" t="n">
        <f aca="false">C192+C193+C194-C189</f>
        <v>0</v>
      </c>
      <c r="D195" s="21" t="n">
        <f aca="false">D192+D193+D194-D189</f>
        <v>0</v>
      </c>
      <c r="E195" s="21" t="n">
        <f aca="false">E192+E193+E194-E189</f>
        <v>0</v>
      </c>
      <c r="F195" s="21" t="n">
        <f aca="false">F192+F193+F194-F189</f>
        <v>0</v>
      </c>
      <c r="G195" s="21" t="n">
        <f aca="false">G192+G193+G194-G189</f>
        <v>0</v>
      </c>
    </row>
    <row r="196" customFormat="false" ht="17.15" hidden="false" customHeight="false" outlineLevel="0" collapsed="false">
      <c r="A196" s="0" t="s">
        <v>518</v>
      </c>
      <c r="B196" s="0" t="s">
        <v>54</v>
      </c>
      <c r="C196" s="13" t="n">
        <f aca="false">C187/C189</f>
        <v>0.5</v>
      </c>
      <c r="D196" s="13" t="n">
        <f aca="false">D187/D189</f>
        <v>0.585</v>
      </c>
      <c r="E196" s="13" t="n">
        <f aca="false">E187/E189</f>
        <v>0.722762886597938</v>
      </c>
      <c r="F196" s="13" t="n">
        <f aca="false">F187/F189</f>
        <v>0.716870160019061</v>
      </c>
      <c r="G196" s="13" t="n">
        <f aca="false">G187/G189</f>
        <v>0.730157311345575</v>
      </c>
    </row>
    <row r="197" customFormat="false" ht="17.15" hidden="false" customHeight="false" outlineLevel="0" collapsed="false">
      <c r="A197" s="3" t="s">
        <v>519</v>
      </c>
      <c r="B197" s="0" t="s">
        <v>54</v>
      </c>
      <c r="D197" s="13" t="n">
        <f aca="false">(D180+D186)/D185</f>
        <v>1</v>
      </c>
      <c r="E197" s="13" t="n">
        <f aca="false">(E180+E186)/E185</f>
        <v>1.19935703454662</v>
      </c>
      <c r="F197" s="13" t="n">
        <f aca="false">(F180+F186)/F185</f>
        <v>0.719790863447548</v>
      </c>
      <c r="G197" s="13" t="n">
        <f aca="false">(G180+G186)/G185</f>
        <v>0.67383163535979</v>
      </c>
      <c r="H197" s="3" t="s">
        <v>520</v>
      </c>
    </row>
    <row r="198" customFormat="false" ht="17.15" hidden="false" customHeight="false" outlineLevel="0" collapsed="false">
      <c r="A198" s="3" t="s">
        <v>456</v>
      </c>
      <c r="B198" s="0" t="s">
        <v>94</v>
      </c>
      <c r="D198" s="17" t="n">
        <f aca="false">D187/fx/D169*1000</f>
        <v>160.757158009399</v>
      </c>
      <c r="E198" s="17" t="n">
        <f aca="false">E187/fx/E169*1000</f>
        <v>180.408412082255</v>
      </c>
      <c r="F198" s="17" t="n">
        <f aca="false">F187/fx/F169*1000</f>
        <v>244.193338159437</v>
      </c>
      <c r="G198" s="17" t="n">
        <f aca="false">G187/fx/G169*1000</f>
        <v>240.541509662171</v>
      </c>
    </row>
    <row r="199" customFormat="false" ht="17.15" hidden="false" customHeight="false" outlineLevel="0" collapsed="false">
      <c r="A199" s="5" t="s">
        <v>521</v>
      </c>
    </row>
    <row r="200" customFormat="false" ht="17.15" hidden="false" customHeight="false" outlineLevel="0" collapsed="false">
      <c r="A200" s="3" t="s">
        <v>522</v>
      </c>
      <c r="B200" s="0" t="s">
        <v>54</v>
      </c>
      <c r="D200" s="13" t="n">
        <f aca="false">a26_gp/D189-d_ai*D196</f>
        <v>0.291564442755356</v>
      </c>
      <c r="H200" s="7" t="s">
        <v>523</v>
      </c>
    </row>
    <row r="201" customFormat="false" ht="17.15" hidden="false" customHeight="false" outlineLevel="0" collapsed="false">
      <c r="A201" s="0" t="s">
        <v>524</v>
      </c>
      <c r="B201" s="0" t="s">
        <v>54</v>
      </c>
      <c r="D201" s="13" t="n">
        <f aca="false">D200+d_ai</f>
        <v>0.371564442755356</v>
      </c>
      <c r="E201" s="13" t="n">
        <f aca="false">1-(1-$D$201)/E176</f>
        <v>0.371564442755356</v>
      </c>
      <c r="F201" s="13" t="n">
        <f aca="false">1-(1-$D$201)/F176</f>
        <v>0.352128291500367</v>
      </c>
      <c r="G201" s="13" t="n">
        <f aca="false">1-(1-$D$201)/G176</f>
        <v>0.324262841672425</v>
      </c>
      <c r="H201" s="7" t="s">
        <v>525</v>
      </c>
    </row>
    <row r="202" customFormat="false" ht="15" hidden="false" customHeight="false" outlineLevel="0" collapsed="false">
      <c r="A202" s="3" t="s">
        <v>392</v>
      </c>
      <c r="B202" s="0" t="s">
        <v>214</v>
      </c>
      <c r="C202" s="18" t="n">
        <f aca="false">a25_gp</f>
        <v>28.12</v>
      </c>
      <c r="D202" s="18" t="n">
        <f aca="false">a26_gp</f>
        <v>69.6235934</v>
      </c>
      <c r="E202" s="18" t="n">
        <f aca="false">E187*E201+E186*$D$200</f>
        <v>116.2243280384</v>
      </c>
      <c r="F202" s="18" t="n">
        <f aca="false">F187*F201+F186*$D$200</f>
        <v>115.660157957676</v>
      </c>
      <c r="G202" s="18" t="n">
        <f aca="false">G187*G201+G186*$D$200</f>
        <v>119.989719810176</v>
      </c>
    </row>
    <row r="203" customFormat="false" ht="15" hidden="false" customHeight="false" outlineLevel="0" collapsed="false">
      <c r="A203" s="3" t="s">
        <v>395</v>
      </c>
      <c r="B203" s="0" t="s">
        <v>54</v>
      </c>
      <c r="C203" s="13" t="n">
        <f aca="false">C202/C189</f>
        <v>0.298320620405046</v>
      </c>
      <c r="D203" s="13" t="n">
        <f aca="false">D202/D189</f>
        <v>0.338364442755356</v>
      </c>
      <c r="E203" s="13" t="n">
        <f aca="false">E202/E189</f>
        <v>0.349385473683191</v>
      </c>
      <c r="F203" s="13" t="n">
        <f aca="false">F202/F189</f>
        <v>0.334980858696562</v>
      </c>
      <c r="G203" s="13" t="n">
        <f aca="false">G202/G189</f>
        <v>0.315439417793948</v>
      </c>
    </row>
    <row r="204" customFormat="false" ht="15" hidden="false" customHeight="false" outlineLevel="0" collapsed="false">
      <c r="A204" s="3" t="s">
        <v>526</v>
      </c>
      <c r="B204" s="0" t="s">
        <v>214</v>
      </c>
      <c r="C204" s="18" t="n">
        <f aca="false">a25_opx</f>
        <v>9.012</v>
      </c>
      <c r="D204" s="18" t="n">
        <f aca="false">a26_opx</f>
        <v>14.0153081141857</v>
      </c>
      <c r="E204" s="18" t="n">
        <f aca="false">D204*(1+MAX(0,phi*E190))</f>
        <v>19.2009721164345</v>
      </c>
      <c r="F204" s="18" t="n">
        <f aca="false">E204*(1+MAX(0,phi*F190))</f>
        <v>19.6380449018269</v>
      </c>
      <c r="G204" s="18" t="n">
        <f aca="false">F204*(1+MAX(0,phi*G190))</f>
        <v>20.8363864301844</v>
      </c>
    </row>
    <row r="205" customFormat="false" ht="15" hidden="false" customHeight="false" outlineLevel="0" collapsed="false">
      <c r="A205" s="3" t="s">
        <v>397</v>
      </c>
      <c r="B205" s="0" t="s">
        <v>214</v>
      </c>
      <c r="C205" s="18" t="n">
        <f aca="false">C204</f>
        <v>9.012</v>
      </c>
      <c r="D205" s="18" t="n">
        <f aca="false">D204</f>
        <v>14.0153081141857</v>
      </c>
      <c r="E205" s="18" t="n">
        <f aca="false">E204+0*E189</f>
        <v>19.2009721164345</v>
      </c>
      <c r="F205" s="18" t="n">
        <f aca="false">F204+0*F189</f>
        <v>19.6380449018269</v>
      </c>
      <c r="G205" s="18" t="n">
        <f aca="false">G204+0*G189</f>
        <v>20.8363864301844</v>
      </c>
    </row>
    <row r="206" customFormat="false" ht="15" hidden="false" customHeight="false" outlineLevel="0" collapsed="false">
      <c r="A206" s="3" t="s">
        <v>400</v>
      </c>
      <c r="B206" s="0" t="s">
        <v>214</v>
      </c>
      <c r="C206" s="18" t="n">
        <f aca="false">C202-C205</f>
        <v>19.108</v>
      </c>
      <c r="D206" s="18" t="n">
        <f aca="false">D202-D205</f>
        <v>55.6082852858143</v>
      </c>
      <c r="E206" s="18" t="n">
        <f aca="false">E202-E205</f>
        <v>97.0233559219655</v>
      </c>
      <c r="F206" s="18" t="n">
        <f aca="false">F202-F205</f>
        <v>96.0221130558495</v>
      </c>
      <c r="G206" s="18" t="n">
        <f aca="false">G202-G205</f>
        <v>99.1533333799919</v>
      </c>
    </row>
    <row r="207" customFormat="false" ht="15" hidden="false" customHeight="false" outlineLevel="0" collapsed="false">
      <c r="A207" s="3" t="s">
        <v>403</v>
      </c>
      <c r="B207" s="0" t="s">
        <v>54</v>
      </c>
      <c r="C207" s="13" t="n">
        <f aca="false">C206/C189</f>
        <v>0.202713741632276</v>
      </c>
      <c r="D207" s="13" t="n">
        <f aca="false">D206/D189</f>
        <v>0.270251297648699</v>
      </c>
      <c r="E207" s="13" t="n">
        <f aca="false">E206/E189</f>
        <v>0.291664849685591</v>
      </c>
      <c r="F207" s="13" t="n">
        <f aca="false">F206/F189</f>
        <v>0.278104149720055</v>
      </c>
      <c r="G207" s="13" t="n">
        <f aca="false">G206/G189</f>
        <v>0.260662911816061</v>
      </c>
    </row>
    <row r="208" customFormat="false" ht="17.15" hidden="false" customHeight="false" outlineLevel="0" collapsed="false">
      <c r="A208" s="3" t="s">
        <v>405</v>
      </c>
      <c r="B208" s="0" t="s">
        <v>214</v>
      </c>
      <c r="E208" s="18" t="n">
        <f aca="false">nop_f</f>
        <v>0.5</v>
      </c>
      <c r="F208" s="18" t="n">
        <f aca="false">nop_f</f>
        <v>0.5</v>
      </c>
      <c r="G208" s="18" t="n">
        <f aca="false">nop_f</f>
        <v>0.5</v>
      </c>
      <c r="H208" s="7" t="s">
        <v>527</v>
      </c>
    </row>
    <row r="209" customFormat="false" ht="15" hidden="false" customHeight="false" outlineLevel="0" collapsed="false">
      <c r="A209" s="3" t="s">
        <v>408</v>
      </c>
      <c r="B209" s="0" t="s">
        <v>214</v>
      </c>
      <c r="C209" s="18" t="n">
        <f aca="false">a25_ni</f>
        <v>14.649</v>
      </c>
      <c r="D209" s="18" t="n">
        <f aca="false">a26_ni</f>
        <v>42.891099295</v>
      </c>
      <c r="E209" s="18" t="n">
        <f aca="false">(E206+E208)*nir_f</f>
        <v>75.0929840599135</v>
      </c>
      <c r="F209" s="18" t="n">
        <f aca="false">(F206+F208)*nir_f</f>
        <v>74.3220270530041</v>
      </c>
      <c r="G209" s="18" t="n">
        <f aca="false">(G206+G208)*nir_f</f>
        <v>76.7330667025938</v>
      </c>
    </row>
    <row r="210" customFormat="false" ht="17.15" hidden="false" customHeight="false" outlineLevel="0" collapsed="false">
      <c r="A210" s="3" t="s">
        <v>411</v>
      </c>
      <c r="B210" s="0" t="s">
        <v>54</v>
      </c>
      <c r="C210" s="13" t="n">
        <f aca="false">C209/C206</f>
        <v>0.766642244086247</v>
      </c>
      <c r="D210" s="13" t="n">
        <f aca="false">D209/D206</f>
        <v>0.771307712053146</v>
      </c>
      <c r="E210" s="13" t="n">
        <f aca="false">E209/E206</f>
        <v>0.77396811671109</v>
      </c>
      <c r="F210" s="13" t="n">
        <f aca="false">F209/F206</f>
        <v>0.774009493102657</v>
      </c>
      <c r="G210" s="13" t="n">
        <f aca="false">G209/G206</f>
        <v>0.773882875006577</v>
      </c>
    </row>
    <row r="211" customFormat="false" ht="15" hidden="false" customHeight="false" outlineLevel="0" collapsed="false">
      <c r="A211" s="3" t="s">
        <v>528</v>
      </c>
      <c r="B211" s="3" t="s">
        <v>243</v>
      </c>
      <c r="C211" s="20" t="n">
        <f aca="false">a25_sh</f>
        <v>0.351547876169906</v>
      </c>
      <c r="D211" s="20" t="n">
        <f aca="false">a26_sh</f>
        <v>0.358290155440415</v>
      </c>
      <c r="E211" s="20" t="n">
        <f aca="false">D211*(1+sh_g)</f>
        <v>0.358290155440415</v>
      </c>
      <c r="F211" s="20" t="n">
        <f aca="false">E211*(1+sh_g)</f>
        <v>0.358290155440415</v>
      </c>
      <c r="G211" s="20" t="n">
        <f aca="false">F211*(1+sh_g)</f>
        <v>0.358290155440415</v>
      </c>
    </row>
    <row r="212" customFormat="false" ht="15" hidden="false" customHeight="false" outlineLevel="0" collapsed="false">
      <c r="A212" s="0" t="s">
        <v>414</v>
      </c>
      <c r="B212" s="0" t="s">
        <v>274</v>
      </c>
      <c r="C212" s="19" t="n">
        <f aca="false">C209/C211</f>
        <v>41.67</v>
      </c>
      <c r="D212" s="19" t="n">
        <f aca="false">D209/D211</f>
        <v>119.710515747433</v>
      </c>
      <c r="E212" s="19" t="n">
        <f aca="false">E209/E211</f>
        <v>209.587070478139</v>
      </c>
      <c r="F212" s="19" t="n">
        <f aca="false">F209/F211</f>
        <v>207.435303271581</v>
      </c>
      <c r="G212" s="19" t="n">
        <f aca="false">G209/G211</f>
        <v>214.16459687058</v>
      </c>
    </row>
    <row r="213" customFormat="false" ht="17.15" hidden="false" customHeight="false" outlineLevel="0" collapsed="false">
      <c r="A213" s="0" t="s">
        <v>529</v>
      </c>
      <c r="B213" s="0" t="s">
        <v>54</v>
      </c>
      <c r="D213" s="13" t="n">
        <f aca="false">D212/C212-1</f>
        <v>1.87282255213422</v>
      </c>
      <c r="E213" s="13" t="n">
        <f aca="false">E212/D212-1</f>
        <v>0.750782453567642</v>
      </c>
      <c r="F213" s="13" t="n">
        <f aca="false">F212/E212-1</f>
        <v>-0.0102666982350073</v>
      </c>
      <c r="G213" s="13" t="n">
        <f aca="false">G212/F212-1</f>
        <v>0.0324404452514484</v>
      </c>
    </row>
    <row r="216" customFormat="false" ht="17.15" hidden="false" customHeight="false" outlineLevel="0" collapsed="false">
      <c r="A216" s="1" t="s">
        <v>532</v>
      </c>
    </row>
    <row r="217" customFormat="false" ht="17.15" hidden="false" customHeight="false" outlineLevel="0" collapsed="false">
      <c r="A217" s="1" t="s">
        <v>533</v>
      </c>
    </row>
    <row r="218" customFormat="false" ht="17.15" hidden="false" customHeight="false" outlineLevel="0" collapsed="false">
      <c r="A218" s="4" t="s">
        <v>23</v>
      </c>
      <c r="B218" s="4" t="s">
        <v>24</v>
      </c>
      <c r="C218" s="10" t="s">
        <v>383</v>
      </c>
      <c r="D218" s="10" t="s">
        <v>469</v>
      </c>
      <c r="E218" s="10" t="s">
        <v>470</v>
      </c>
      <c r="F218" s="10" t="s">
        <v>471</v>
      </c>
      <c r="G218" s="10" t="s">
        <v>472</v>
      </c>
      <c r="H218" s="10" t="s">
        <v>534</v>
      </c>
      <c r="I218" s="10" t="s">
        <v>535</v>
      </c>
      <c r="J218" s="10" t="s">
        <v>536</v>
      </c>
      <c r="K218" s="4" t="s">
        <v>437</v>
      </c>
    </row>
    <row r="219" customFormat="false" ht="17.15" hidden="false" customHeight="false" outlineLevel="0" collapsed="false">
      <c r="A219" s="3" t="s">
        <v>537</v>
      </c>
      <c r="B219" s="0" t="s">
        <v>214</v>
      </c>
      <c r="C219" s="18" t="n">
        <f aca="false">C85</f>
        <v>94.261</v>
      </c>
      <c r="D219" s="18" t="n">
        <f aca="false">D85</f>
        <v>205.7651</v>
      </c>
      <c r="E219" s="18" t="n">
        <f aca="false">E85</f>
        <v>332.653578333333</v>
      </c>
      <c r="F219" s="18" t="n">
        <f aca="false">F85</f>
        <v>479.686459956667</v>
      </c>
      <c r="G219" s="18" t="n">
        <f aca="false">G85</f>
        <v>564.51655185</v>
      </c>
      <c r="H219" s="22" t="n">
        <f aca="false">G219*(1+H220)</f>
        <v>642.361455462135</v>
      </c>
      <c r="I219" s="22" t="n">
        <f aca="false">H219*(1+I220)</f>
        <v>705.922024042592</v>
      </c>
      <c r="J219" s="22" t="n">
        <f aca="false">I219*(1+J220)</f>
        <v>748.277345485148</v>
      </c>
      <c r="K219" s="7" t="s">
        <v>538</v>
      </c>
    </row>
    <row r="220" customFormat="false" ht="15" hidden="false" customHeight="false" outlineLevel="0" collapsed="false">
      <c r="A220" s="3" t="s">
        <v>474</v>
      </c>
      <c r="B220" s="0" t="s">
        <v>54</v>
      </c>
      <c r="C220" s="13"/>
      <c r="D220" s="13" t="n">
        <f aca="false">D219/C219-1</f>
        <v>1.1829293132897</v>
      </c>
      <c r="E220" s="13" t="n">
        <f aca="false">E219/D219-1</f>
        <v>0.616666666666667</v>
      </c>
      <c r="F220" s="13" t="n">
        <f aca="false">F219/E219-1</f>
        <v>0.442</v>
      </c>
      <c r="G220" s="13" t="n">
        <f aca="false">G219/F219-1</f>
        <v>0.17684487467292</v>
      </c>
      <c r="H220" s="23" t="n">
        <f aca="false">$G$220+($C$226-$G$220)*1/3</f>
        <v>0.13789658311528</v>
      </c>
      <c r="I220" s="23" t="n">
        <f aca="false">$G$220+($C$226-$G$220)*2/3</f>
        <v>0.09894829155764</v>
      </c>
      <c r="J220" s="23" t="n">
        <f aca="false">$G$220+($C$226-$G$220)*3/3</f>
        <v>0.06</v>
      </c>
    </row>
    <row r="221" customFormat="false" ht="15" hidden="false" customHeight="false" outlineLevel="0" collapsed="false">
      <c r="A221" s="3" t="s">
        <v>539</v>
      </c>
      <c r="B221" s="0" t="s">
        <v>214</v>
      </c>
      <c r="C221" s="18" t="n">
        <f aca="false">C105</f>
        <v>14.649</v>
      </c>
      <c r="D221" s="18" t="n">
        <f aca="false">D105</f>
        <v>42.891099295</v>
      </c>
      <c r="E221" s="18" t="n">
        <f aca="false">E105</f>
        <v>75.0929840599135</v>
      </c>
      <c r="F221" s="18" t="n">
        <f aca="false">F105</f>
        <v>107.182107451337</v>
      </c>
      <c r="G221" s="18" t="n">
        <f aca="false">G105</f>
        <v>118.059999011502</v>
      </c>
      <c r="H221" s="22" t="n">
        <f aca="false">H219*H222</f>
        <v>134.340069477781</v>
      </c>
      <c r="I221" s="22" t="n">
        <f aca="false">I219*I222</f>
        <v>147.632789840342</v>
      </c>
      <c r="J221" s="22" t="n">
        <f aca="false">J219*J222</f>
        <v>156.490757230763</v>
      </c>
    </row>
    <row r="222" customFormat="false" ht="15" hidden="false" customHeight="false" outlineLevel="0" collapsed="false">
      <c r="A222" s="3" t="s">
        <v>540</v>
      </c>
      <c r="B222" s="0" t="s">
        <v>54</v>
      </c>
      <c r="C222" s="13" t="n">
        <f aca="false">C221/C219</f>
        <v>0.155408917792088</v>
      </c>
      <c r="D222" s="13" t="n">
        <f aca="false">D221/D219</f>
        <v>0.208446910068811</v>
      </c>
      <c r="E222" s="13" t="n">
        <f aca="false">E221/E219</f>
        <v>0.22573929442198</v>
      </c>
      <c r="F222" s="13" t="n">
        <f aca="false">F221/F219</f>
        <v>0.223442011394316</v>
      </c>
      <c r="G222" s="13" t="n">
        <f aca="false">G221/G219</f>
        <v>0.209134698751706</v>
      </c>
      <c r="H222" s="23" t="n">
        <f aca="false">$G$222+($C$227-$G$222)*1/3</f>
        <v>0.209134698751706</v>
      </c>
      <c r="I222" s="23" t="n">
        <f aca="false">$G$222+($C$227-$G$222)*2/3</f>
        <v>0.209134698751706</v>
      </c>
      <c r="J222" s="23" t="n">
        <f aca="false">$G$222+($C$227-$G$222)*3/3</f>
        <v>0.209134698751706</v>
      </c>
    </row>
    <row r="223" customFormat="false" ht="17.15" hidden="false" customHeight="false" outlineLevel="0" collapsed="false">
      <c r="A223" s="3" t="s">
        <v>541</v>
      </c>
      <c r="B223" s="3" t="s">
        <v>243</v>
      </c>
      <c r="C223" s="20" t="n">
        <f aca="false">C107</f>
        <v>0.351547876169906</v>
      </c>
      <c r="D223" s="20" t="n">
        <f aca="false">D107</f>
        <v>0.358290155440415</v>
      </c>
      <c r="E223" s="20" t="n">
        <f aca="false">E107</f>
        <v>0.358290155440415</v>
      </c>
      <c r="F223" s="20" t="n">
        <f aca="false">F107</f>
        <v>0.358290155440415</v>
      </c>
      <c r="G223" s="20" t="n">
        <f aca="false">G107</f>
        <v>0.358290155440415</v>
      </c>
      <c r="H223" s="24" t="n">
        <f aca="false">G223*(1+sh_g)</f>
        <v>0.358290155440415</v>
      </c>
      <c r="I223" s="24" t="n">
        <f aca="false">H223*(1+sh_g)</f>
        <v>0.358290155440415</v>
      </c>
      <c r="J223" s="24" t="n">
        <f aca="false">I223*(1+sh_g)</f>
        <v>0.358290155440415</v>
      </c>
      <c r="K223" s="7" t="s">
        <v>542</v>
      </c>
    </row>
    <row r="224" customFormat="false" ht="17.15" hidden="false" customHeight="false" outlineLevel="0" collapsed="false">
      <c r="A224" s="0" t="s">
        <v>543</v>
      </c>
      <c r="B224" s="0" t="s">
        <v>274</v>
      </c>
      <c r="C224" s="14" t="n">
        <f aca="false">C108</f>
        <v>41.67</v>
      </c>
      <c r="D224" s="14" t="n">
        <f aca="false">D108</f>
        <v>119.710515747433</v>
      </c>
      <c r="E224" s="14" t="n">
        <f aca="false">E108</f>
        <v>209.587070478139</v>
      </c>
      <c r="F224" s="14" t="n">
        <f aca="false">F108</f>
        <v>299.14890438334</v>
      </c>
      <c r="G224" s="14" t="n">
        <f aca="false">G108</f>
        <v>329.509469403035</v>
      </c>
      <c r="H224" s="25" t="n">
        <f aca="false">H221/H223</f>
        <v>374.947699337842</v>
      </c>
      <c r="I224" s="25" t="n">
        <f aca="false">I221/I223</f>
        <v>412.048133610789</v>
      </c>
      <c r="J224" s="25" t="n">
        <f aca="false">J221/J223</f>
        <v>436.771021627437</v>
      </c>
    </row>
    <row r="225" customFormat="false" ht="17.15" hidden="false" customHeight="false" outlineLevel="0" collapsed="false">
      <c r="A225" s="0" t="s">
        <v>478</v>
      </c>
      <c r="B225" s="0" t="s">
        <v>54</v>
      </c>
      <c r="C225" s="13"/>
      <c r="D225" s="13" t="n">
        <f aca="false">D224/C224-1</f>
        <v>1.87282255213422</v>
      </c>
      <c r="E225" s="13" t="n">
        <f aca="false">E224/D224-1</f>
        <v>0.750782453567642</v>
      </c>
      <c r="F225" s="13" t="n">
        <f aca="false">F224/E224-1</f>
        <v>0.42732518614283</v>
      </c>
      <c r="G225" s="13" t="n">
        <f aca="false">G224/F224-1</f>
        <v>0.101489808502824</v>
      </c>
      <c r="H225" s="23" t="n">
        <f aca="false">H224/G224-1</f>
        <v>0.13789658311528</v>
      </c>
      <c r="I225" s="23" t="n">
        <f aca="false">I224/H224-1</f>
        <v>0.0989482915576398</v>
      </c>
      <c r="J225" s="23" t="n">
        <f aca="false">J224/I224-1</f>
        <v>0.0600000000000001</v>
      </c>
    </row>
    <row r="226" customFormat="false" ht="17.15" hidden="false" customHeight="false" outlineLevel="0" collapsed="false">
      <c r="A226" s="3" t="s">
        <v>544</v>
      </c>
      <c r="B226" s="0" t="s">
        <v>54</v>
      </c>
      <c r="C226" s="13" t="n">
        <f aca="false">fade_gA</f>
        <v>0.06</v>
      </c>
      <c r="K226" s="7" t="s">
        <v>545</v>
      </c>
    </row>
    <row r="227" customFormat="false" ht="17.15" hidden="false" customHeight="false" outlineLevel="0" collapsed="false">
      <c r="A227" s="3" t="s">
        <v>546</v>
      </c>
      <c r="B227" s="0" t="s">
        <v>54</v>
      </c>
      <c r="C227" s="13" t="n">
        <f aca="false">G222</f>
        <v>0.209134698751706</v>
      </c>
      <c r="K227" s="3" t="s">
        <v>547</v>
      </c>
    </row>
    <row r="229" customFormat="false" ht="17.15" hidden="false" customHeight="false" outlineLevel="0" collapsed="false">
      <c r="A229" s="1" t="s">
        <v>548</v>
      </c>
    </row>
    <row r="230" customFormat="false" ht="17.15" hidden="false" customHeight="false" outlineLevel="0" collapsed="false">
      <c r="A230" s="4" t="s">
        <v>23</v>
      </c>
      <c r="B230" s="4" t="s">
        <v>24</v>
      </c>
      <c r="C230" s="10" t="s">
        <v>383</v>
      </c>
      <c r="D230" s="10" t="s">
        <v>469</v>
      </c>
      <c r="E230" s="10" t="s">
        <v>470</v>
      </c>
      <c r="F230" s="10" t="s">
        <v>471</v>
      </c>
      <c r="G230" s="10" t="s">
        <v>472</v>
      </c>
      <c r="H230" s="10" t="s">
        <v>534</v>
      </c>
      <c r="I230" s="10" t="s">
        <v>535</v>
      </c>
      <c r="J230" s="10" t="s">
        <v>536</v>
      </c>
      <c r="K230" s="4" t="s">
        <v>437</v>
      </c>
    </row>
    <row r="231" customFormat="false" ht="17.15" hidden="false" customHeight="false" outlineLevel="0" collapsed="false">
      <c r="A231" s="3" t="s">
        <v>537</v>
      </c>
      <c r="B231" s="0" t="s">
        <v>214</v>
      </c>
      <c r="C231" s="18" t="n">
        <f aca="false">C137</f>
        <v>94.261</v>
      </c>
      <c r="D231" s="18" t="n">
        <f aca="false">D137</f>
        <v>205.7651</v>
      </c>
      <c r="E231" s="18" t="n">
        <f aca="false">E137</f>
        <v>332.653578333333</v>
      </c>
      <c r="F231" s="18" t="n">
        <f aca="false">F137</f>
        <v>427.779457298676</v>
      </c>
      <c r="G231" s="18" t="n">
        <f aca="false">G137</f>
        <v>496.115732482045</v>
      </c>
      <c r="H231" s="22" t="n">
        <f aca="false">G231*(1+H232)</f>
        <v>555.565779997265</v>
      </c>
      <c r="I231" s="22" t="n">
        <f aca="false">H231*(1+I232)</f>
        <v>599.964098867019</v>
      </c>
      <c r="J231" s="22" t="n">
        <f aca="false">I231*(1+J232)</f>
        <v>623.9626628217</v>
      </c>
      <c r="K231" s="7" t="s">
        <v>538</v>
      </c>
    </row>
    <row r="232" customFormat="false" ht="15" hidden="false" customHeight="false" outlineLevel="0" collapsed="false">
      <c r="A232" s="3" t="s">
        <v>474</v>
      </c>
      <c r="B232" s="0" t="s">
        <v>54</v>
      </c>
      <c r="C232" s="13"/>
      <c r="D232" s="13" t="n">
        <f aca="false">D231/C231-1</f>
        <v>1.1829293132897</v>
      </c>
      <c r="E232" s="13" t="n">
        <f aca="false">E231/D231-1</f>
        <v>0.616666666666667</v>
      </c>
      <c r="F232" s="13" t="n">
        <f aca="false">F231/E231-1</f>
        <v>0.285960786719757</v>
      </c>
      <c r="G232" s="13" t="n">
        <f aca="false">G231/F231-1</f>
        <v>0.159746509603093</v>
      </c>
      <c r="H232" s="23" t="n">
        <f aca="false">$G$232+($C$238-$G$232)*1/3</f>
        <v>0.119831006402062</v>
      </c>
      <c r="I232" s="23" t="n">
        <f aca="false">$G$232+($C$238-$G$232)*2/3</f>
        <v>0.0799155032010312</v>
      </c>
      <c r="J232" s="23" t="n">
        <f aca="false">$G$232+($C$238-$G$232)*3/3</f>
        <v>0.04</v>
      </c>
    </row>
    <row r="233" customFormat="false" ht="15" hidden="false" customHeight="false" outlineLevel="0" collapsed="false">
      <c r="A233" s="3" t="s">
        <v>539</v>
      </c>
      <c r="B233" s="0" t="s">
        <v>214</v>
      </c>
      <c r="C233" s="18" t="n">
        <f aca="false">C157</f>
        <v>14.649</v>
      </c>
      <c r="D233" s="18" t="n">
        <f aca="false">D157</f>
        <v>42.891099295</v>
      </c>
      <c r="E233" s="18" t="n">
        <f aca="false">E157</f>
        <v>75.0929840599135</v>
      </c>
      <c r="F233" s="18" t="n">
        <f aca="false">F157</f>
        <v>94.4923061633999</v>
      </c>
      <c r="G233" s="18" t="n">
        <f aca="false">G157</f>
        <v>102.690293865126</v>
      </c>
      <c r="H233" s="22" t="n">
        <f aca="false">H231*H234</f>
        <v>111.162582622484</v>
      </c>
      <c r="I233" s="22" t="n">
        <f aca="false">I231*I234</f>
        <v>115.906672337821</v>
      </c>
      <c r="J233" s="22" t="n">
        <f aca="false">J231*J234</f>
        <v>116.237834258786</v>
      </c>
    </row>
    <row r="234" customFormat="false" ht="15" hidden="false" customHeight="false" outlineLevel="0" collapsed="false">
      <c r="A234" s="3" t="s">
        <v>540</v>
      </c>
      <c r="B234" s="0" t="s">
        <v>54</v>
      </c>
      <c r="C234" s="13" t="n">
        <f aca="false">C233/C231</f>
        <v>0.155408917792088</v>
      </c>
      <c r="D234" s="13" t="n">
        <f aca="false">D233/D231</f>
        <v>0.208446910068811</v>
      </c>
      <c r="E234" s="13" t="n">
        <f aca="false">E233/E231</f>
        <v>0.22573929442198</v>
      </c>
      <c r="F234" s="13" t="n">
        <f aca="false">F233/F231</f>
        <v>0.220890238068223</v>
      </c>
      <c r="G234" s="13" t="n">
        <f aca="false">G233/G231</f>
        <v>0.20698858581116</v>
      </c>
      <c r="H234" s="23" t="n">
        <f aca="false">$G$234+($C$239-$G$234)*1/3</f>
        <v>0.200088966284121</v>
      </c>
      <c r="I234" s="23" t="n">
        <f aca="false">$G$234+($C$239-$G$234)*2/3</f>
        <v>0.193189346757082</v>
      </c>
      <c r="J234" s="23" t="n">
        <f aca="false">$G$234+($C$239-$G$234)*3/3</f>
        <v>0.186289727230044</v>
      </c>
    </row>
    <row r="235" customFormat="false" ht="17.15" hidden="false" customHeight="false" outlineLevel="0" collapsed="false">
      <c r="A235" s="3" t="s">
        <v>541</v>
      </c>
      <c r="B235" s="3" t="s">
        <v>243</v>
      </c>
      <c r="C235" s="20" t="n">
        <f aca="false">C159</f>
        <v>0.351547876169906</v>
      </c>
      <c r="D235" s="20" t="n">
        <f aca="false">D159</f>
        <v>0.358290155440415</v>
      </c>
      <c r="E235" s="20" t="n">
        <f aca="false">E159</f>
        <v>0.358290155440415</v>
      </c>
      <c r="F235" s="20" t="n">
        <f aca="false">F159</f>
        <v>0.358290155440415</v>
      </c>
      <c r="G235" s="20" t="n">
        <f aca="false">G159</f>
        <v>0.358290155440415</v>
      </c>
      <c r="H235" s="24" t="n">
        <f aca="false">G235*(1+sh_g)</f>
        <v>0.358290155440415</v>
      </c>
      <c r="I235" s="24" t="n">
        <f aca="false">H235*(1+sh_g)</f>
        <v>0.358290155440415</v>
      </c>
      <c r="J235" s="24" t="n">
        <f aca="false">I235*(1+sh_g)</f>
        <v>0.358290155440415</v>
      </c>
      <c r="K235" s="7" t="s">
        <v>542</v>
      </c>
    </row>
    <row r="236" customFormat="false" ht="17.15" hidden="false" customHeight="false" outlineLevel="0" collapsed="false">
      <c r="A236" s="0" t="s">
        <v>543</v>
      </c>
      <c r="B236" s="0" t="s">
        <v>274</v>
      </c>
      <c r="C236" s="14" t="n">
        <f aca="false">C160</f>
        <v>41.67</v>
      </c>
      <c r="D236" s="14" t="n">
        <f aca="false">D160</f>
        <v>119.710515747433</v>
      </c>
      <c r="E236" s="14" t="n">
        <f aca="false">E160</f>
        <v>209.587070478139</v>
      </c>
      <c r="F236" s="14" t="n">
        <f aca="false">F160</f>
        <v>263.731237737327</v>
      </c>
      <c r="G236" s="14" t="n">
        <f aca="false">G160</f>
        <v>286.612100014018</v>
      </c>
      <c r="H236" s="25" t="n">
        <f aca="false">H233/H235</f>
        <v>310.258545858849</v>
      </c>
      <c r="I236" s="25" t="n">
        <f aca="false">I233/I235</f>
        <v>323.499461477939</v>
      </c>
      <c r="J236" s="25" t="n">
        <f aca="false">J233/J235</f>
        <v>324.42374565359</v>
      </c>
    </row>
    <row r="237" customFormat="false" ht="17.15" hidden="false" customHeight="false" outlineLevel="0" collapsed="false">
      <c r="A237" s="0" t="s">
        <v>478</v>
      </c>
      <c r="B237" s="0" t="s">
        <v>54</v>
      </c>
      <c r="C237" s="13"/>
      <c r="D237" s="13" t="n">
        <f aca="false">D236/C236-1</f>
        <v>1.87282255213422</v>
      </c>
      <c r="E237" s="13" t="n">
        <f aca="false">E236/D236-1</f>
        <v>0.750782453567642</v>
      </c>
      <c r="F237" s="13" t="n">
        <f aca="false">F236/E236-1</f>
        <v>0.258337344644721</v>
      </c>
      <c r="G237" s="13" t="n">
        <f aca="false">G236/F236-1</f>
        <v>0.0867582561436251</v>
      </c>
      <c r="H237" s="23" t="n">
        <f aca="false">H236/G236-1</f>
        <v>0.0825033061886602</v>
      </c>
      <c r="I237" s="23" t="n">
        <f aca="false">I236/H236-1</f>
        <v>0.0426770375734096</v>
      </c>
      <c r="J237" s="23" t="n">
        <f aca="false">J236/I236-1</f>
        <v>0.00285714285714267</v>
      </c>
    </row>
    <row r="238" customFormat="false" ht="17.15" hidden="false" customHeight="false" outlineLevel="0" collapsed="false">
      <c r="A238" s="3" t="s">
        <v>544</v>
      </c>
      <c r="B238" s="0" t="s">
        <v>54</v>
      </c>
      <c r="C238" s="13" t="n">
        <f aca="false">fade_gB</f>
        <v>0.04</v>
      </c>
      <c r="K238" s="7" t="s">
        <v>549</v>
      </c>
    </row>
    <row r="239" customFormat="false" ht="17.15" hidden="false" customHeight="false" outlineLevel="0" collapsed="false">
      <c r="A239" s="3" t="s">
        <v>546</v>
      </c>
      <c r="B239" s="0" t="s">
        <v>54</v>
      </c>
      <c r="C239" s="13" t="n">
        <f aca="false">G234*(1+nim10_f)/2</f>
        <v>0.186289727230044</v>
      </c>
      <c r="K239" s="3" t="s">
        <v>550</v>
      </c>
    </row>
    <row r="241" customFormat="false" ht="17.15" hidden="false" customHeight="false" outlineLevel="0" collapsed="false">
      <c r="A241" s="1" t="s">
        <v>551</v>
      </c>
    </row>
    <row r="242" customFormat="false" ht="17.15" hidden="false" customHeight="false" outlineLevel="0" collapsed="false">
      <c r="A242" s="4" t="s">
        <v>23</v>
      </c>
      <c r="B242" s="4" t="s">
        <v>24</v>
      </c>
      <c r="C242" s="10" t="s">
        <v>383</v>
      </c>
      <c r="D242" s="10" t="s">
        <v>469</v>
      </c>
      <c r="E242" s="10" t="s">
        <v>470</v>
      </c>
      <c r="F242" s="10" t="s">
        <v>471</v>
      </c>
      <c r="G242" s="10" t="s">
        <v>472</v>
      </c>
      <c r="H242" s="10" t="s">
        <v>534</v>
      </c>
      <c r="I242" s="10" t="s">
        <v>535</v>
      </c>
      <c r="J242" s="10" t="s">
        <v>536</v>
      </c>
      <c r="K242" s="4" t="s">
        <v>437</v>
      </c>
    </row>
    <row r="243" customFormat="false" ht="17.15" hidden="false" customHeight="false" outlineLevel="0" collapsed="false">
      <c r="A243" s="3" t="s">
        <v>537</v>
      </c>
      <c r="B243" s="0" t="s">
        <v>214</v>
      </c>
      <c r="C243" s="18" t="n">
        <f aca="false">C189</f>
        <v>94.261</v>
      </c>
      <c r="D243" s="18" t="n">
        <f aca="false">D189</f>
        <v>205.7651</v>
      </c>
      <c r="E243" s="18" t="n">
        <f aca="false">E189</f>
        <v>332.653578333333</v>
      </c>
      <c r="F243" s="18" t="n">
        <f aca="false">F189</f>
        <v>345.273931196307</v>
      </c>
      <c r="G243" s="18" t="n">
        <f aca="false">G189</f>
        <v>380.389111320755</v>
      </c>
      <c r="H243" s="22" t="n">
        <f aca="false">G243*(1+H244)</f>
        <v>408.716023711883</v>
      </c>
      <c r="I243" s="22" t="n">
        <f aca="false">H243*(1+I244)</f>
        <v>428.021367976848</v>
      </c>
      <c r="J243" s="22" t="n">
        <f aca="false">I243*(1+J244)</f>
        <v>436.581795336385</v>
      </c>
      <c r="K243" s="7" t="s">
        <v>538</v>
      </c>
    </row>
    <row r="244" customFormat="false" ht="15" hidden="false" customHeight="false" outlineLevel="0" collapsed="false">
      <c r="A244" s="3" t="s">
        <v>474</v>
      </c>
      <c r="B244" s="0" t="s">
        <v>54</v>
      </c>
      <c r="C244" s="13"/>
      <c r="D244" s="13" t="n">
        <f aca="false">D243/C243-1</f>
        <v>1.1829293132897</v>
      </c>
      <c r="E244" s="13" t="n">
        <f aca="false">E243/D243-1</f>
        <v>0.616666666666667</v>
      </c>
      <c r="F244" s="13" t="n">
        <f aca="false">F243/E243-1</f>
        <v>0.0379384250913639</v>
      </c>
      <c r="G244" s="13" t="n">
        <f aca="false">G243/F243-1</f>
        <v>0.101702378754113</v>
      </c>
      <c r="H244" s="23" t="n">
        <f aca="false">$G$244+($C$250-$G$244)*1/3</f>
        <v>0.0744682525027423</v>
      </c>
      <c r="I244" s="23" t="n">
        <f aca="false">$G$244+($C$250-$G$244)*2/3</f>
        <v>0.0472341262513711</v>
      </c>
      <c r="J244" s="23" t="n">
        <f aca="false">$G$244+($C$250-$G$244)*3/3</f>
        <v>0.02</v>
      </c>
    </row>
    <row r="245" customFormat="false" ht="15" hidden="false" customHeight="false" outlineLevel="0" collapsed="false">
      <c r="A245" s="3" t="s">
        <v>539</v>
      </c>
      <c r="B245" s="0" t="s">
        <v>214</v>
      </c>
      <c r="C245" s="18" t="n">
        <f aca="false">C209</f>
        <v>14.649</v>
      </c>
      <c r="D245" s="18" t="n">
        <f aca="false">D209</f>
        <v>42.891099295</v>
      </c>
      <c r="E245" s="18" t="n">
        <f aca="false">E209</f>
        <v>75.0929840599135</v>
      </c>
      <c r="F245" s="18" t="n">
        <f aca="false">F209</f>
        <v>74.3220270530041</v>
      </c>
      <c r="G245" s="18" t="n">
        <f aca="false">G209</f>
        <v>76.7330667025938</v>
      </c>
      <c r="H245" s="22" t="n">
        <f aca="false">H243*H246</f>
        <v>76.9507611498381</v>
      </c>
      <c r="I245" s="22" t="n">
        <f aca="false">I243*I246</f>
        <v>74.8293586087624</v>
      </c>
      <c r="J245" s="22" t="n">
        <f aca="false">J243*J246</f>
        <v>70.454719182404</v>
      </c>
    </row>
    <row r="246" customFormat="false" ht="15" hidden="false" customHeight="false" outlineLevel="0" collapsed="false">
      <c r="A246" s="3" t="s">
        <v>540</v>
      </c>
      <c r="B246" s="0" t="s">
        <v>54</v>
      </c>
      <c r="C246" s="13" t="n">
        <f aca="false">C245/C243</f>
        <v>0.155408917792088</v>
      </c>
      <c r="D246" s="13" t="n">
        <f aca="false">D245/D243</f>
        <v>0.208446910068811</v>
      </c>
      <c r="E246" s="13" t="n">
        <f aca="false">E245/E243</f>
        <v>0.22573929442198</v>
      </c>
      <c r="F246" s="13" t="n">
        <f aca="false">F245/F243</f>
        <v>0.215255251954565</v>
      </c>
      <c r="G246" s="13" t="n">
        <f aca="false">G245/G243</f>
        <v>0.201722563603799</v>
      </c>
      <c r="H246" s="23" t="n">
        <f aca="false">$G$246+($C$251-$G$246)*1/3</f>
        <v>0.188274392696879</v>
      </c>
      <c r="I246" s="23" t="n">
        <f aca="false">$G$246+($C$251-$G$246)*2/3</f>
        <v>0.17482622178996</v>
      </c>
      <c r="J246" s="23" t="n">
        <f aca="false">$G$246+($C$251-$G$246)*3/3</f>
        <v>0.16137805088304</v>
      </c>
    </row>
    <row r="247" customFormat="false" ht="17.15" hidden="false" customHeight="false" outlineLevel="0" collapsed="false">
      <c r="A247" s="3" t="s">
        <v>541</v>
      </c>
      <c r="B247" s="3" t="s">
        <v>243</v>
      </c>
      <c r="C247" s="20" t="n">
        <f aca="false">C211</f>
        <v>0.351547876169906</v>
      </c>
      <c r="D247" s="20" t="n">
        <f aca="false">D211</f>
        <v>0.358290155440415</v>
      </c>
      <c r="E247" s="20" t="n">
        <f aca="false">E211</f>
        <v>0.358290155440415</v>
      </c>
      <c r="F247" s="20" t="n">
        <f aca="false">F211</f>
        <v>0.358290155440415</v>
      </c>
      <c r="G247" s="20" t="n">
        <f aca="false">G211</f>
        <v>0.358290155440415</v>
      </c>
      <c r="H247" s="24" t="n">
        <f aca="false">G247*(1+sh_g)</f>
        <v>0.358290155440415</v>
      </c>
      <c r="I247" s="24" t="n">
        <f aca="false">H247*(1+sh_g)</f>
        <v>0.358290155440415</v>
      </c>
      <c r="J247" s="24" t="n">
        <f aca="false">I247*(1+sh_g)</f>
        <v>0.358290155440415</v>
      </c>
      <c r="K247" s="7" t="s">
        <v>542</v>
      </c>
    </row>
    <row r="248" customFormat="false" ht="17.15" hidden="false" customHeight="false" outlineLevel="0" collapsed="false">
      <c r="A248" s="0" t="s">
        <v>543</v>
      </c>
      <c r="B248" s="0" t="s">
        <v>274</v>
      </c>
      <c r="C248" s="14" t="n">
        <f aca="false">C212</f>
        <v>41.67</v>
      </c>
      <c r="D248" s="14" t="n">
        <f aca="false">D212</f>
        <v>119.710515747433</v>
      </c>
      <c r="E248" s="14" t="n">
        <f aca="false">E212</f>
        <v>209.587070478139</v>
      </c>
      <c r="F248" s="14" t="n">
        <f aca="false">F212</f>
        <v>207.435303271581</v>
      </c>
      <c r="G248" s="14" t="n">
        <f aca="false">G212</f>
        <v>214.16459687058</v>
      </c>
      <c r="H248" s="25" t="n">
        <f aca="false">H245/H247</f>
        <v>214.772189470987</v>
      </c>
      <c r="I248" s="25" t="n">
        <f aca="false">I245/I247</f>
        <v>208.851282884904</v>
      </c>
      <c r="J248" s="25" t="n">
        <f aca="false">J245/J247</f>
        <v>196.641515577787</v>
      </c>
    </row>
    <row r="249" customFormat="false" ht="17.15" hidden="false" customHeight="false" outlineLevel="0" collapsed="false">
      <c r="A249" s="0" t="s">
        <v>478</v>
      </c>
      <c r="B249" s="0" t="s">
        <v>54</v>
      </c>
      <c r="C249" s="13"/>
      <c r="D249" s="13" t="n">
        <f aca="false">D248/C248-1</f>
        <v>1.87282255213422</v>
      </c>
      <c r="E249" s="13" t="n">
        <f aca="false">E248/D248-1</f>
        <v>0.750782453567642</v>
      </c>
      <c r="F249" s="13" t="n">
        <f aca="false">F248/E248-1</f>
        <v>-0.0102666982350073</v>
      </c>
      <c r="G249" s="13" t="n">
        <f aca="false">G248/F248-1</f>
        <v>0.0324404452514484</v>
      </c>
      <c r="H249" s="23" t="n">
        <f aca="false">H248/G248-1</f>
        <v>0.00283703566922622</v>
      </c>
      <c r="I249" s="23" t="n">
        <f aca="false">I248/H248-1</f>
        <v>-0.0275683113380124</v>
      </c>
      <c r="J249" s="23" t="n">
        <f aca="false">J248/I248-1</f>
        <v>-0.0584615384615385</v>
      </c>
    </row>
    <row r="250" customFormat="false" ht="17.15" hidden="false" customHeight="false" outlineLevel="0" collapsed="false">
      <c r="A250" s="3" t="s">
        <v>544</v>
      </c>
      <c r="B250" s="0" t="s">
        <v>54</v>
      </c>
      <c r="C250" s="13" t="n">
        <f aca="false">fade_gC</f>
        <v>0.02</v>
      </c>
      <c r="K250" s="7" t="s">
        <v>552</v>
      </c>
    </row>
    <row r="251" customFormat="false" ht="17.15" hidden="false" customHeight="false" outlineLevel="0" collapsed="false">
      <c r="A251" s="3" t="s">
        <v>546</v>
      </c>
      <c r="B251" s="0" t="s">
        <v>54</v>
      </c>
      <c r="C251" s="13" t="n">
        <f aca="false">G246*nim10_f</f>
        <v>0.16137805088304</v>
      </c>
      <c r="K251" s="3" t="s">
        <v>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554</v>
      </c>
    </row>
    <row r="2" customFormat="false" ht="17.15" hidden="false" customHeight="false" outlineLevel="0" collapsed="false">
      <c r="A2" s="3" t="s">
        <v>555</v>
      </c>
    </row>
    <row r="3" customFormat="false" ht="17.15" hidden="false" customHeight="false" outlineLevel="0" collapsed="false">
      <c r="A3" s="3" t="s">
        <v>556</v>
      </c>
    </row>
    <row r="4" customFormat="false" ht="17.15" hidden="false" customHeight="false" outlineLevel="0" collapsed="false">
      <c r="A4" s="5" t="s">
        <v>557</v>
      </c>
    </row>
    <row r="5" customFormat="false" ht="15" hidden="false" customHeight="false" outlineLevel="0" collapsed="false">
      <c r="A5" s="4" t="s">
        <v>23</v>
      </c>
      <c r="B5" s="10" t="s">
        <v>558</v>
      </c>
      <c r="C5" s="10" t="s">
        <v>559</v>
      </c>
      <c r="D5" s="10" t="s">
        <v>560</v>
      </c>
      <c r="E5" s="4" t="s">
        <v>437</v>
      </c>
    </row>
    <row r="6" customFormat="false" ht="17.15" hidden="false" customHeight="false" outlineLevel="0" collapsed="false">
      <c r="A6" s="3" t="s">
        <v>561</v>
      </c>
      <c r="B6" s="17" t="n">
        <f aca="false">px</f>
        <v>5070</v>
      </c>
    </row>
    <row r="7" customFormat="false" ht="17.15" hidden="false" customHeight="false" outlineLevel="0" collapsed="false">
      <c r="A7" s="3" t="s">
        <v>562</v>
      </c>
      <c r="B7" s="16" t="n">
        <f aca="false">px/PL!D13</f>
        <v>42.3521690500169</v>
      </c>
      <c r="C7" s="16" t="n">
        <f aca="false">px/PL!D25</f>
        <v>42.3521690500169</v>
      </c>
      <c r="D7" s="16" t="n">
        <f aca="false">px/PL!D37</f>
        <v>42.3521690500169</v>
      </c>
    </row>
    <row r="8" customFormat="false" ht="17.15" hidden="false" customHeight="false" outlineLevel="0" collapsed="false">
      <c r="A8" s="3" t="s">
        <v>563</v>
      </c>
      <c r="B8" s="16" t="n">
        <f aca="false">px/PL!E13</f>
        <v>24.1904235239016</v>
      </c>
      <c r="C8" s="16" t="n">
        <f aca="false">px/PL!E25</f>
        <v>24.1904235239016</v>
      </c>
      <c r="D8" s="16" t="n">
        <f aca="false">px/PL!E37</f>
        <v>24.1904235239016</v>
      </c>
      <c r="E8" s="7" t="s">
        <v>564</v>
      </c>
    </row>
    <row r="9" customFormat="false" ht="17.15" hidden="false" customHeight="false" outlineLevel="0" collapsed="false">
      <c r="A9" s="3" t="s">
        <v>565</v>
      </c>
      <c r="B9" s="16" t="n">
        <f aca="false">px/PL!F13</f>
        <v>16.9480814594698</v>
      </c>
      <c r="C9" s="16" t="n">
        <f aca="false">px/PL!F25</f>
        <v>19.2241163523058</v>
      </c>
      <c r="D9" s="16" t="n">
        <f aca="false">px/PL!F37</f>
        <v>24.4413555457443</v>
      </c>
    </row>
    <row r="10" customFormat="false" ht="17.15" hidden="false" customHeight="false" outlineLevel="0" collapsed="false">
      <c r="A10" s="3" t="s">
        <v>566</v>
      </c>
      <c r="B10" s="16" t="n">
        <f aca="false">px/PL!G13</f>
        <v>15.3865077358329</v>
      </c>
      <c r="C10" s="16" t="n">
        <f aca="false">px/PL!G25</f>
        <v>17.6894136700859</v>
      </c>
      <c r="D10" s="16" t="n">
        <f aca="false">px/PL!G37</f>
        <v>23.6733805404066</v>
      </c>
    </row>
    <row r="11" customFormat="false" ht="17.15" hidden="false" customHeight="false" outlineLevel="0" collapsed="false">
      <c r="A11" s="3" t="s">
        <v>567</v>
      </c>
      <c r="B11" s="14" t="n">
        <f aca="false">0.25*PL!D13+0.75*PL!E13</f>
        <v>187.117931795462</v>
      </c>
    </row>
    <row r="12" customFormat="false" ht="17.15" hidden="false" customHeight="false" outlineLevel="0" collapsed="false">
      <c r="A12" s="3" t="s">
        <v>568</v>
      </c>
      <c r="B12" s="16" t="n">
        <f aca="false">px/B11</f>
        <v>27.0952118343312</v>
      </c>
    </row>
    <row r="13" customFormat="false" ht="17.15" hidden="false" customHeight="false" outlineLevel="0" collapsed="false">
      <c r="A13" s="3" t="s">
        <v>569</v>
      </c>
      <c r="B13" s="16" t="n">
        <f aca="false">pe_ttm</f>
        <v>79.28</v>
      </c>
    </row>
    <row r="15" customFormat="false" ht="17.15" hidden="false" customHeight="false" outlineLevel="0" collapsed="false">
      <c r="A15" s="5" t="s">
        <v>570</v>
      </c>
    </row>
    <row r="16" customFormat="false" ht="17.15" hidden="false" customHeight="false" outlineLevel="0" collapsed="false">
      <c r="A16" s="4" t="s">
        <v>571</v>
      </c>
      <c r="B16" s="4" t="s">
        <v>572</v>
      </c>
      <c r="C16" s="10" t="s">
        <v>573</v>
      </c>
      <c r="D16" s="4" t="s">
        <v>574</v>
      </c>
      <c r="E16" s="4" t="s">
        <v>575</v>
      </c>
      <c r="F16" s="4" t="s">
        <v>437</v>
      </c>
    </row>
    <row r="17" customFormat="false" ht="17.15" hidden="false" customHeight="false" outlineLevel="0" collapsed="false">
      <c r="A17" s="0" t="s">
        <v>558</v>
      </c>
      <c r="B17" s="0" t="n">
        <f aca="false">INDEX({2026,2027,2028,2029},MATCH(MAX(PL!D85:G85),PL!D85:G85,0))</f>
        <v>2029</v>
      </c>
      <c r="C17" s="0" t="str">
        <f aca="false">IF(B17=2029,"中段",IF(2027&lt;B17,"中段",IF(2027=B17,"見頂","谷底")))</f>
        <v>中段</v>
      </c>
      <c r="D17" s="16" t="n">
        <f aca="false">IF(C17="見頂",pe_peak,IF(C17="谷底",pe_trough,pe_mid))</f>
        <v>13.86</v>
      </c>
      <c r="E17" s="0" t="str">
        <f aca="false">IF(B17=2029,"是：營收到觀測期末仍在增加","否")</f>
        <v>是：營收到觀測期末仍在增加</v>
      </c>
      <c r="F17" s="7" t="s">
        <v>576</v>
      </c>
    </row>
    <row r="18" customFormat="false" ht="15" hidden="false" customHeight="false" outlineLevel="0" collapsed="false">
      <c r="A18" s="0" t="s">
        <v>559</v>
      </c>
      <c r="B18" s="0" t="n">
        <f aca="false">INDEX({2026,2027,2028,2029},MATCH(MAX(PL!D137:G137),PL!D137:G137,0))</f>
        <v>2029</v>
      </c>
      <c r="C18" s="0" t="str">
        <f aca="false">IF(B18=2029,"中段",IF(2027&lt;B18,"中段",IF(2027=B18,"見頂","谷底")))</f>
        <v>中段</v>
      </c>
      <c r="D18" s="16" t="n">
        <f aca="false">IF(C18="見頂",pe_peak,IF(C18="谷底",pe_trough,pe_mid))</f>
        <v>13.86</v>
      </c>
      <c r="E18" s="0" t="str">
        <f aca="false">IF(B18=2029,"是：營收到觀測期末仍在增加","否")</f>
        <v>是：營收到觀測期末仍在增加</v>
      </c>
      <c r="F18" s="3" t="s">
        <v>40</v>
      </c>
    </row>
    <row r="19" customFormat="false" ht="15" hidden="false" customHeight="false" outlineLevel="0" collapsed="false">
      <c r="A19" s="0" t="s">
        <v>560</v>
      </c>
      <c r="B19" s="0" t="n">
        <f aca="false">INDEX({2026,2027,2028,2029},MATCH(MAX(PL!D189:G189),PL!D189:G189,0))</f>
        <v>2029</v>
      </c>
      <c r="C19" s="0" t="str">
        <f aca="false">IF(B19=2029,"中段",IF(2027&lt;B19,"中段",IF(2027=B19,"見頂","谷底")))</f>
        <v>中段</v>
      </c>
      <c r="D19" s="16" t="n">
        <f aca="false">IF(C19="見頂",pe_peak,IF(C19="谷底",pe_trough,pe_mid))</f>
        <v>13.86</v>
      </c>
      <c r="E19" s="0" t="str">
        <f aca="false">IF(B19=2029,"是：營收到觀測期末仍在增加","否")</f>
        <v>是：營收到觀測期末仍在增加</v>
      </c>
      <c r="F19" s="3" t="s">
        <v>40</v>
      </c>
    </row>
    <row r="21" customFormat="false" ht="17.15" hidden="false" customHeight="false" outlineLevel="0" collapsed="false">
      <c r="A21" s="5" t="s">
        <v>577</v>
      </c>
    </row>
    <row r="22" customFormat="false" ht="17.15" hidden="false" customHeight="false" outlineLevel="0" collapsed="false">
      <c r="A22" s="4" t="s">
        <v>571</v>
      </c>
      <c r="B22" s="10" t="s">
        <v>578</v>
      </c>
      <c r="C22" s="4" t="s">
        <v>579</v>
      </c>
      <c r="D22" s="4" t="s">
        <v>580</v>
      </c>
      <c r="E22" s="4" t="s">
        <v>581</v>
      </c>
      <c r="F22" s="4" t="s">
        <v>582</v>
      </c>
      <c r="G22" s="4" t="s">
        <v>583</v>
      </c>
    </row>
    <row r="23" customFormat="false" ht="15" hidden="false" customHeight="false" outlineLevel="0" collapsed="false">
      <c r="A23" s="9" t="s">
        <v>558</v>
      </c>
      <c r="B23" s="26" t="n">
        <f aca="false">PL!E13</f>
        <v>209.587070478139</v>
      </c>
      <c r="C23" s="26" t="n">
        <f aca="false">B23</f>
        <v>209.587070478139</v>
      </c>
      <c r="D23" s="27" t="n">
        <f aca="false">D17</f>
        <v>13.86</v>
      </c>
      <c r="E23" s="28" t="n">
        <f aca="false">C23*D23</f>
        <v>2904.876796827</v>
      </c>
      <c r="F23" s="29" t="n">
        <f aca="false">E23/px-1</f>
        <v>-0.427045996681064</v>
      </c>
      <c r="G23" s="27" t="n">
        <f aca="false">px/C23</f>
        <v>24.1904235239016</v>
      </c>
    </row>
    <row r="24" customFormat="false" ht="15" hidden="false" customHeight="false" outlineLevel="0" collapsed="false">
      <c r="A24" s="9" t="s">
        <v>559</v>
      </c>
      <c r="B24" s="26" t="n">
        <f aca="false">PL!E25</f>
        <v>209.587070478139</v>
      </c>
      <c r="C24" s="26" t="n">
        <f aca="false">B24</f>
        <v>209.587070478139</v>
      </c>
      <c r="D24" s="27" t="n">
        <f aca="false">D18</f>
        <v>13.86</v>
      </c>
      <c r="E24" s="28" t="n">
        <f aca="false">C24*D24</f>
        <v>2904.876796827</v>
      </c>
      <c r="F24" s="29" t="n">
        <f aca="false">E24/px-1</f>
        <v>-0.427045996681064</v>
      </c>
      <c r="G24" s="27" t="n">
        <f aca="false">px/C24</f>
        <v>24.1904235239016</v>
      </c>
    </row>
    <row r="25" customFormat="false" ht="15" hidden="false" customHeight="false" outlineLevel="0" collapsed="false">
      <c r="A25" s="9" t="s">
        <v>560</v>
      </c>
      <c r="B25" s="26" t="n">
        <f aca="false">PL!E37</f>
        <v>209.587070478139</v>
      </c>
      <c r="C25" s="26" t="n">
        <f aca="false">B25</f>
        <v>209.587070478139</v>
      </c>
      <c r="D25" s="27" t="n">
        <f aca="false">D19</f>
        <v>13.86</v>
      </c>
      <c r="E25" s="28" t="n">
        <f aca="false">C25*D25</f>
        <v>2904.876796827</v>
      </c>
      <c r="F25" s="29" t="n">
        <f aca="false">E25/px-1</f>
        <v>-0.427045996681064</v>
      </c>
      <c r="G25" s="27" t="n">
        <f aca="false">px/C25</f>
        <v>24.1904235239016</v>
      </c>
    </row>
    <row r="26" customFormat="false" ht="17.15" hidden="false" customHeight="false" outlineLevel="0" collapsed="false">
      <c r="A26" s="5" t="s">
        <v>584</v>
      </c>
    </row>
    <row r="27" customFormat="false" ht="17.15" hidden="false" customHeight="false" outlineLevel="0" collapsed="false">
      <c r="A27" s="10" t="s">
        <v>585</v>
      </c>
      <c r="B27" s="4" t="s">
        <v>586</v>
      </c>
      <c r="C27" s="4" t="s">
        <v>587</v>
      </c>
      <c r="D27" s="4" t="s">
        <v>588</v>
      </c>
      <c r="E27" s="4" t="s">
        <v>589</v>
      </c>
    </row>
    <row r="28" customFormat="false" ht="15" hidden="false" customHeight="false" outlineLevel="0" collapsed="false">
      <c r="A28" s="15" t="n">
        <v>0.5</v>
      </c>
      <c r="B28" s="16" t="n">
        <f aca="false">px*A28/PL!F13</f>
        <v>8.47404072973492</v>
      </c>
      <c r="C28" s="16" t="n">
        <f aca="false">px*A28/PL!F37</f>
        <v>12.2206777728722</v>
      </c>
      <c r="D28" s="16" t="n">
        <f aca="false">pe_mid</f>
        <v>13.86</v>
      </c>
      <c r="E28" s="16" t="n">
        <f aca="false">pe_trough</f>
        <v>22.22</v>
      </c>
    </row>
    <row r="29" customFormat="false" ht="15" hidden="false" customHeight="false" outlineLevel="0" collapsed="false">
      <c r="A29" s="15" t="n">
        <v>0.75</v>
      </c>
      <c r="B29" s="16" t="n">
        <f aca="false">px*A29/PL!F13</f>
        <v>12.7110610946024</v>
      </c>
      <c r="C29" s="16" t="n">
        <f aca="false">px*A29/PL!F37</f>
        <v>18.3310166593082</v>
      </c>
      <c r="D29" s="16" t="n">
        <f aca="false">pe_mid</f>
        <v>13.86</v>
      </c>
      <c r="E29" s="16" t="n">
        <f aca="false">pe_trough</f>
        <v>22.22</v>
      </c>
    </row>
    <row r="30" customFormat="false" ht="15" hidden="false" customHeight="false" outlineLevel="0" collapsed="false">
      <c r="A30" s="15" t="n">
        <v>1</v>
      </c>
      <c r="B30" s="16" t="n">
        <f aca="false">px*A30/PL!F13</f>
        <v>16.9480814594698</v>
      </c>
      <c r="C30" s="16" t="n">
        <f aca="false">px*A30/PL!F37</f>
        <v>24.4413555457443</v>
      </c>
      <c r="D30" s="16" t="n">
        <f aca="false">pe_mid</f>
        <v>13.86</v>
      </c>
      <c r="E30" s="16" t="n">
        <f aca="false">pe_trough</f>
        <v>22.22</v>
      </c>
    </row>
    <row r="31" customFormat="false" ht="15" hidden="false" customHeight="false" outlineLevel="0" collapsed="false">
      <c r="A31" s="15" t="n">
        <v>1.21</v>
      </c>
      <c r="B31" s="16" t="n">
        <f aca="false">px*A31/PL!F13</f>
        <v>20.5071785659585</v>
      </c>
      <c r="C31" s="16" t="n">
        <f aca="false">px*A31/PL!F37</f>
        <v>29.5740402103506</v>
      </c>
      <c r="D31" s="16" t="n">
        <f aca="false">pe_mid</f>
        <v>13.86</v>
      </c>
      <c r="E31" s="16" t="n">
        <f aca="false">pe_trough</f>
        <v>22.22</v>
      </c>
    </row>
    <row r="32" customFormat="false" ht="15" hidden="false" customHeight="false" outlineLevel="0" collapsed="false">
      <c r="A32" s="15" t="n">
        <v>1.5</v>
      </c>
      <c r="B32" s="16" t="n">
        <f aca="false">px*A32/PL!F13</f>
        <v>25.4221221892048</v>
      </c>
      <c r="C32" s="16" t="n">
        <f aca="false">px*A32/PL!F37</f>
        <v>36.6620333186165</v>
      </c>
      <c r="D32" s="16" t="n">
        <f aca="false">pe_mid</f>
        <v>13.86</v>
      </c>
      <c r="E32" s="16" t="n">
        <f aca="false">pe_trough</f>
        <v>22.22</v>
      </c>
    </row>
    <row r="33" customFormat="false" ht="17.15" hidden="false" customHeight="false" outlineLevel="0" collapsed="false">
      <c r="A33" s="3" t="s">
        <v>590</v>
      </c>
    </row>
    <row r="35" customFormat="false" ht="17.15" hidden="false" customHeight="false" outlineLevel="0" collapsed="false">
      <c r="A35" s="1" t="s">
        <v>591</v>
      </c>
    </row>
    <row r="36" customFormat="false" ht="17.15" hidden="false" customHeight="false" outlineLevel="0" collapsed="false">
      <c r="A36" s="30" t="s">
        <v>592</v>
      </c>
      <c r="B36" s="28" t="n">
        <f aca="false">tp_wA*B38+tp_wB*B39+tp_wC*B40</f>
        <v>2904.876796827</v>
      </c>
      <c r="C36" s="9"/>
      <c r="D36" s="9"/>
      <c r="E36" s="31" t="s">
        <v>593</v>
      </c>
    </row>
    <row r="37" customFormat="false" ht="17.15" hidden="false" customHeight="false" outlineLevel="0" collapsed="false">
      <c r="A37" s="31" t="s">
        <v>594</v>
      </c>
      <c r="B37" s="32" t="n">
        <f aca="false">B36/px-1</f>
        <v>-0.427045996681064</v>
      </c>
      <c r="C37" s="31"/>
      <c r="D37" s="31"/>
      <c r="E37" s="31" t="s">
        <v>595</v>
      </c>
    </row>
    <row r="38" customFormat="false" ht="17.15" hidden="false" customHeight="false" outlineLevel="0" collapsed="false">
      <c r="A38" s="3" t="s">
        <v>596</v>
      </c>
      <c r="B38" s="17" t="n">
        <f aca="false">E23</f>
        <v>2904.876796827</v>
      </c>
      <c r="E38" s="3" t="s">
        <v>597</v>
      </c>
    </row>
    <row r="39" customFormat="false" ht="17.15" hidden="false" customHeight="false" outlineLevel="0" collapsed="false">
      <c r="A39" s="3" t="s">
        <v>598</v>
      </c>
      <c r="B39" s="17" t="n">
        <f aca="false">E24</f>
        <v>2904.876796827</v>
      </c>
      <c r="E39" s="3" t="s">
        <v>599</v>
      </c>
    </row>
    <row r="40" customFormat="false" ht="17.15" hidden="false" customHeight="false" outlineLevel="0" collapsed="false">
      <c r="A40" s="3" t="s">
        <v>600</v>
      </c>
      <c r="B40" s="17" t="n">
        <f aca="false">E25</f>
        <v>2904.876796827</v>
      </c>
      <c r="E40" s="3" t="s">
        <v>601</v>
      </c>
    </row>
    <row r="41" customFormat="false" ht="17.15" hidden="false" customHeight="false" outlineLevel="0" collapsed="false">
      <c r="A41" s="3" t="s">
        <v>602</v>
      </c>
      <c r="B41" s="33" t="n">
        <f aca="false">tp_wA</f>
        <v>0.3</v>
      </c>
      <c r="C41" s="33" t="n">
        <f aca="false">tp_wB</f>
        <v>0.5</v>
      </c>
      <c r="D41" s="33" t="n">
        <f aca="false">tp_wC</f>
        <v>0.2</v>
      </c>
      <c r="E41" s="7" t="s">
        <v>603</v>
      </c>
    </row>
    <row r="42" customFormat="false" ht="17.15" hidden="false" customHeight="false" outlineLevel="0" collapsed="false">
      <c r="A42" s="3" t="s">
        <v>604</v>
      </c>
      <c r="B42" s="0" t="s">
        <v>605</v>
      </c>
    </row>
    <row r="50" customFormat="false" ht="17.15" hidden="false" customHeight="false" outlineLevel="0" collapsed="false">
      <c r="A50" s="5" t="s">
        <v>606</v>
      </c>
    </row>
    <row r="51" customFormat="false" ht="17.15" hidden="false" customHeight="false" outlineLevel="0" collapsed="false">
      <c r="A51" s="3" t="s">
        <v>607</v>
      </c>
    </row>
    <row r="53" customFormat="false" ht="17.15" hidden="false" customHeight="false" outlineLevel="0" collapsed="false">
      <c r="A53" s="5" t="s">
        <v>608</v>
      </c>
    </row>
    <row r="54" customFormat="false" ht="17.15" hidden="false" customHeight="false" outlineLevel="0" collapsed="false">
      <c r="A54" s="4" t="s">
        <v>609</v>
      </c>
      <c r="B54" s="4" t="s">
        <v>610</v>
      </c>
      <c r="C54" s="10" t="s">
        <v>611</v>
      </c>
      <c r="D54" s="10" t="s">
        <v>612</v>
      </c>
      <c r="E54" s="4" t="s">
        <v>613</v>
      </c>
    </row>
    <row r="55" customFormat="false" ht="17.15" hidden="false" customHeight="false" outlineLevel="0" collapsed="false">
      <c r="A55" s="0" t="s">
        <v>614</v>
      </c>
      <c r="E55" s="3" t="s">
        <v>615</v>
      </c>
    </row>
    <row r="56" customFormat="false" ht="15" hidden="false" customHeight="false" outlineLevel="0" collapsed="false">
      <c r="A56" s="0" t="s">
        <v>616</v>
      </c>
      <c r="B56" s="14" t="n">
        <f aca="false">101.5/8.73</f>
        <v>11.6265750286369</v>
      </c>
    </row>
    <row r="57" customFormat="false" ht="15" hidden="false" customHeight="false" outlineLevel="0" collapsed="false">
      <c r="A57" s="0" t="s">
        <v>617</v>
      </c>
      <c r="B57" s="14" t="n">
        <f aca="false">65.7/5.48</f>
        <v>11.9890510948905</v>
      </c>
    </row>
    <row r="58" customFormat="false" ht="15" hidden="false" customHeight="false" outlineLevel="0" collapsed="false">
      <c r="A58" s="0" t="s">
        <v>618</v>
      </c>
      <c r="B58" s="14" t="n">
        <f aca="false">137/10.14</f>
        <v>13.5108481262327</v>
      </c>
    </row>
    <row r="59" customFormat="false" ht="15" hidden="false" customHeight="false" outlineLevel="0" collapsed="false">
      <c r="A59" s="0" t="s">
        <v>619</v>
      </c>
      <c r="B59" s="14" t="n">
        <f aca="false">157/11.33</f>
        <v>13.8570167696381</v>
      </c>
    </row>
    <row r="60" customFormat="false" ht="15" hidden="false" customHeight="false" outlineLevel="0" collapsed="false">
      <c r="A60" s="0" t="s">
        <v>620</v>
      </c>
      <c r="B60" s="14" t="n">
        <f aca="false">278/16.5</f>
        <v>16.8484848484848</v>
      </c>
      <c r="C60" s="15" t="n">
        <v>16.85</v>
      </c>
      <c r="D60" s="15" t="n">
        <v>18.6</v>
      </c>
    </row>
    <row r="61" customFormat="false" ht="15" hidden="false" customHeight="false" outlineLevel="0" collapsed="false">
      <c r="A61" s="0" t="s">
        <v>621</v>
      </c>
      <c r="B61" s="14" t="n">
        <f aca="false">171/15.24</f>
        <v>11.2204724409449</v>
      </c>
      <c r="C61" s="15" t="n">
        <v>11.22</v>
      </c>
      <c r="D61" s="15" t="n">
        <v>10.94</v>
      </c>
    </row>
    <row r="62" customFormat="false" ht="15" hidden="false" customHeight="false" outlineLevel="0" collapsed="false">
      <c r="A62" s="0" t="s">
        <v>622</v>
      </c>
      <c r="B62" s="14" t="n">
        <f aca="false">382/16.35</f>
        <v>23.3639143730887</v>
      </c>
      <c r="C62" s="15" t="n">
        <v>23.78</v>
      </c>
      <c r="D62" s="15" t="n">
        <v>26.84</v>
      </c>
    </row>
    <row r="63" customFormat="false" ht="15" hidden="false" customHeight="false" outlineLevel="0" collapsed="false">
      <c r="A63" s="0" t="s">
        <v>623</v>
      </c>
      <c r="B63" s="14" t="n">
        <f aca="false">618/27.81</f>
        <v>22.2222222222222</v>
      </c>
      <c r="C63" s="15" t="n">
        <v>22.27</v>
      </c>
      <c r="D63" s="15" t="n">
        <v>23.93</v>
      </c>
    </row>
    <row r="64" customFormat="false" ht="15" hidden="false" customHeight="false" outlineLevel="0" collapsed="false">
      <c r="A64" s="0" t="s">
        <v>624</v>
      </c>
      <c r="B64" s="14" t="n">
        <f aca="false">1645/41.67</f>
        <v>39.4768418526518</v>
      </c>
      <c r="C64" s="15" t="n">
        <v>40.15</v>
      </c>
      <c r="D64" s="15" t="n">
        <v>43.37</v>
      </c>
    </row>
    <row r="65" customFormat="false" ht="17.15" hidden="false" customHeight="false" outlineLevel="0" collapsed="false">
      <c r="A65" s="0" t="s">
        <v>625</v>
      </c>
      <c r="B65" s="14" t="n">
        <f aca="false">PERCENTILE(B55:B64,0.25)</f>
        <v>11.9890510948905</v>
      </c>
      <c r="C65" s="14" t="n">
        <f aca="false">PERCENTILE(C55:C64,0.25)</f>
        <v>16.85</v>
      </c>
      <c r="D65" s="14" t="n">
        <f aca="false">PERCENTILE(D55:D64,0.25)</f>
        <v>18.6</v>
      </c>
    </row>
    <row r="66" customFormat="false" ht="15" hidden="false" customHeight="false" outlineLevel="0" collapsed="false">
      <c r="A66" s="3" t="s">
        <v>626</v>
      </c>
      <c r="B66" s="14" t="n">
        <f aca="false">MEDIAN(B55:B64)</f>
        <v>13.8570167696381</v>
      </c>
      <c r="C66" s="14" t="n">
        <f aca="false">MEDIAN(C55:C64)</f>
        <v>22.27</v>
      </c>
      <c r="D66" s="14" t="n">
        <f aca="false">MEDIAN(D55:D64)</f>
        <v>23.93</v>
      </c>
    </row>
    <row r="67" customFormat="false" ht="17.15" hidden="false" customHeight="false" outlineLevel="0" collapsed="false">
      <c r="A67" s="0" t="s">
        <v>627</v>
      </c>
      <c r="B67" s="14" t="n">
        <f aca="false">PERCENTILE(B55:B64,0.75)</f>
        <v>22.2222222222222</v>
      </c>
      <c r="C67" s="14" t="n">
        <f aca="false">PERCENTILE(C55:C64,0.75)</f>
        <v>23.78</v>
      </c>
      <c r="D67" s="14" t="n">
        <f aca="false">PERCENTILE(D55:D64,0.75)</f>
        <v>26.84</v>
      </c>
    </row>
    <row r="68" customFormat="false" ht="15" hidden="false" customHeight="false" outlineLevel="0" collapsed="false">
      <c r="A68" s="3" t="s">
        <v>628</v>
      </c>
      <c r="B68" s="14" t="n">
        <f aca="false">MIN(B55:B64)</f>
        <v>11.2204724409449</v>
      </c>
      <c r="C68" s="14" t="n">
        <f aca="false">MIN(C55:C64)</f>
        <v>11.22</v>
      </c>
      <c r="D68" s="14" t="n">
        <f aca="false">MIN(D55:D64)</f>
        <v>10.94</v>
      </c>
    </row>
    <row r="69" customFormat="false" ht="15" hidden="false" customHeight="false" outlineLevel="0" collapsed="false">
      <c r="A69" s="3" t="s">
        <v>629</v>
      </c>
      <c r="B69" s="14" t="n">
        <f aca="false">MAX(B55:B64)</f>
        <v>39.4768418526518</v>
      </c>
      <c r="C69" s="14" t="n">
        <f aca="false">MAX(C55:C64)</f>
        <v>40.15</v>
      </c>
      <c r="D69" s="14" t="n">
        <f aca="false">MAX(D55:D64)</f>
        <v>43.37</v>
      </c>
    </row>
    <row r="70" customFormat="false" ht="17.15" hidden="false" customHeight="false" outlineLevel="0" collapsed="false">
      <c r="A70" s="1" t="s">
        <v>630</v>
      </c>
      <c r="B70" s="14" t="n">
        <f aca="false">ROUND(AVERAGE(B65),2)</f>
        <v>11.99</v>
      </c>
    </row>
    <row r="71" customFormat="false" ht="17.15" hidden="false" customHeight="false" outlineLevel="0" collapsed="false">
      <c r="A71" s="1" t="s">
        <v>631</v>
      </c>
      <c r="B71" s="14" t="n">
        <f aca="false">ROUND(AVERAGE(B66),2)</f>
        <v>13.86</v>
      </c>
    </row>
    <row r="72" customFormat="false" ht="17.15" hidden="false" customHeight="false" outlineLevel="0" collapsed="false">
      <c r="A72" s="1" t="s">
        <v>632</v>
      </c>
      <c r="B72" s="14" t="n">
        <f aca="false">ROUND(AVERAGE(B67),2)</f>
        <v>22.22</v>
      </c>
    </row>
    <row r="73" customFormat="false" ht="17.15" hidden="false" customHeight="false" outlineLevel="0" collapsed="false">
      <c r="A73" s="1" t="s">
        <v>633</v>
      </c>
      <c r="B73" s="14" t="n">
        <f aca="false">ROUND(MIN(B68),2)</f>
        <v>11.22</v>
      </c>
    </row>
    <row r="74" customFormat="false" ht="17.15" hidden="false" customHeight="false" outlineLevel="0" collapsed="false">
      <c r="A74" s="1" t="s">
        <v>634</v>
      </c>
      <c r="B74" s="14" t="n">
        <f aca="false">ROUND(MAX(B69),2)</f>
        <v>39.48</v>
      </c>
    </row>
    <row r="76" customFormat="false" ht="17.15" hidden="false" customHeight="false" outlineLevel="0" collapsed="false">
      <c r="A76" s="5" t="s">
        <v>635</v>
      </c>
    </row>
    <row r="77" customFormat="false" ht="17.15" hidden="false" customHeight="false" outlineLevel="0" collapsed="false">
      <c r="A77" s="4" t="s">
        <v>636</v>
      </c>
      <c r="B77" s="4" t="s">
        <v>637</v>
      </c>
      <c r="C77" s="4" t="s">
        <v>638</v>
      </c>
      <c r="D77" s="4" t="s">
        <v>26</v>
      </c>
      <c r="E77" s="4" t="s">
        <v>639</v>
      </c>
      <c r="F77" s="4" t="s">
        <v>581</v>
      </c>
      <c r="G77" s="4" t="s">
        <v>640</v>
      </c>
      <c r="H77" s="4" t="s">
        <v>641</v>
      </c>
    </row>
    <row r="78" customFormat="false" ht="17.15" hidden="false" customHeight="false" outlineLevel="0" collapsed="false">
      <c r="A78" s="3" t="s">
        <v>642</v>
      </c>
      <c r="B78" s="0" t="s">
        <v>643</v>
      </c>
      <c r="C78" s="14" t="n">
        <f aca="false">B70</f>
        <v>11.99</v>
      </c>
      <c r="D78" s="7" t="s">
        <v>644</v>
      </c>
      <c r="E78" s="19" t="n">
        <f aca="false">C23</f>
        <v>209.587070478139</v>
      </c>
      <c r="F78" s="18" t="n">
        <f aca="false">C78*E78</f>
        <v>2512.94897503288</v>
      </c>
      <c r="G78" s="13" t="n">
        <f aca="false">F78/px-1</f>
        <v>-0.504349314589175</v>
      </c>
      <c r="H78" s="14" t="n">
        <f aca="false">px/E78</f>
        <v>24.1904235239016</v>
      </c>
    </row>
    <row r="79" customFormat="false" ht="17.15" hidden="false" customHeight="false" outlineLevel="0" collapsed="false">
      <c r="A79" s="3" t="s">
        <v>645</v>
      </c>
      <c r="B79" s="3" t="s">
        <v>646</v>
      </c>
      <c r="C79" s="14" t="n">
        <f aca="false">B71</f>
        <v>13.86</v>
      </c>
      <c r="D79" s="7" t="s">
        <v>644</v>
      </c>
      <c r="E79" s="19" t="n">
        <f aca="false">C23</f>
        <v>209.587070478139</v>
      </c>
      <c r="F79" s="18" t="n">
        <f aca="false">C79*E79</f>
        <v>2904.876796827</v>
      </c>
      <c r="G79" s="13" t="n">
        <f aca="false">F79/px-1</f>
        <v>-0.427045996681064</v>
      </c>
      <c r="H79" s="14" t="n">
        <f aca="false">px/E79</f>
        <v>24.1904235239016</v>
      </c>
    </row>
    <row r="80" customFormat="false" ht="17.15" hidden="false" customHeight="false" outlineLevel="0" collapsed="false">
      <c r="A80" s="3" t="s">
        <v>647</v>
      </c>
      <c r="B80" s="0" t="s">
        <v>648</v>
      </c>
      <c r="C80" s="14" t="n">
        <f aca="false">B72</f>
        <v>22.22</v>
      </c>
      <c r="D80" s="7" t="s">
        <v>644</v>
      </c>
      <c r="E80" s="19" t="n">
        <f aca="false">C23</f>
        <v>209.587070478139</v>
      </c>
      <c r="F80" s="18" t="n">
        <f aca="false">C80*E80</f>
        <v>4657.02470602425</v>
      </c>
      <c r="G80" s="13" t="n">
        <f aca="false">F80/px-1</f>
        <v>-0.0814546930918649</v>
      </c>
      <c r="H80" s="14" t="n">
        <f aca="false">px/E80</f>
        <v>24.1904235239016</v>
      </c>
    </row>
    <row r="85" customFormat="false" ht="17.15" hidden="false" customHeight="false" outlineLevel="0" collapsed="false">
      <c r="A85" s="5" t="s">
        <v>649</v>
      </c>
    </row>
    <row r="86" customFormat="false" ht="17.15" hidden="false" customHeight="false" outlineLevel="0" collapsed="false">
      <c r="A86" s="5" t="s">
        <v>650</v>
      </c>
    </row>
    <row r="87" customFormat="false" ht="17.15" hidden="false" customHeight="false" outlineLevel="0" collapsed="false">
      <c r="A87" s="4" t="s">
        <v>23</v>
      </c>
      <c r="B87" s="10" t="s">
        <v>651</v>
      </c>
      <c r="C87" s="10" t="s">
        <v>652</v>
      </c>
      <c r="D87" s="10" t="s">
        <v>653</v>
      </c>
      <c r="E87" s="4" t="s">
        <v>437</v>
      </c>
    </row>
    <row r="88" customFormat="false" ht="17.15" hidden="false" customHeight="false" outlineLevel="0" collapsed="false">
      <c r="A88" s="3" t="s">
        <v>654</v>
      </c>
      <c r="E88" s="0" t="s">
        <v>655</v>
      </c>
    </row>
    <row r="89" customFormat="false" ht="15" hidden="false" customHeight="false" outlineLevel="0" collapsed="false">
      <c r="A89" s="0" t="s">
        <v>656</v>
      </c>
      <c r="B89" s="14" t="n">
        <f aca="false">PL!E224</f>
        <v>209.587070478139</v>
      </c>
      <c r="C89" s="14" t="n">
        <f aca="false">PL!E236</f>
        <v>209.587070478139</v>
      </c>
      <c r="D89" s="14" t="n">
        <f aca="false">PL!E248</f>
        <v>209.587070478139</v>
      </c>
    </row>
    <row r="90" customFormat="false" ht="15" hidden="false" customHeight="false" outlineLevel="0" collapsed="false">
      <c r="A90" s="0" t="s">
        <v>657</v>
      </c>
      <c r="B90" s="14" t="n">
        <f aca="false">PL!F224</f>
        <v>299.14890438334</v>
      </c>
      <c r="C90" s="14" t="n">
        <f aca="false">PL!F236</f>
        <v>263.731237737327</v>
      </c>
      <c r="D90" s="14" t="n">
        <f aca="false">PL!F248</f>
        <v>207.435303271581</v>
      </c>
    </row>
    <row r="91" customFormat="false" ht="15" hidden="false" customHeight="false" outlineLevel="0" collapsed="false">
      <c r="A91" s="0" t="s">
        <v>658</v>
      </c>
      <c r="B91" s="14" t="n">
        <f aca="false">PL!G224</f>
        <v>329.509469403035</v>
      </c>
      <c r="C91" s="14" t="n">
        <f aca="false">PL!G236</f>
        <v>286.612100014018</v>
      </c>
      <c r="D91" s="14" t="n">
        <f aca="false">PL!G248</f>
        <v>214.16459687058</v>
      </c>
    </row>
    <row r="92" customFormat="false" ht="15" hidden="false" customHeight="false" outlineLevel="0" collapsed="false">
      <c r="A92" s="0" t="s">
        <v>659</v>
      </c>
      <c r="B92" s="14" t="n">
        <f aca="false">PL!H224</f>
        <v>374.947699337842</v>
      </c>
      <c r="C92" s="14" t="n">
        <f aca="false">PL!H236</f>
        <v>310.258545858849</v>
      </c>
      <c r="D92" s="14" t="n">
        <f aca="false">PL!H248</f>
        <v>214.772189470987</v>
      </c>
    </row>
    <row r="93" customFormat="false" ht="15" hidden="false" customHeight="false" outlineLevel="0" collapsed="false">
      <c r="A93" s="0" t="s">
        <v>660</v>
      </c>
      <c r="B93" s="14" t="n">
        <f aca="false">PL!I224</f>
        <v>412.048133610789</v>
      </c>
      <c r="C93" s="14" t="n">
        <f aca="false">PL!I236</f>
        <v>323.499461477939</v>
      </c>
      <c r="D93" s="14" t="n">
        <f aca="false">PL!I248</f>
        <v>208.851282884904</v>
      </c>
    </row>
    <row r="94" customFormat="false" ht="15" hidden="false" customHeight="false" outlineLevel="0" collapsed="false">
      <c r="A94" s="0" t="s">
        <v>661</v>
      </c>
      <c r="B94" s="14" t="n">
        <f aca="false">PL!J224</f>
        <v>436.771021627437</v>
      </c>
      <c r="C94" s="14" t="n">
        <f aca="false">PL!J236</f>
        <v>324.42374565359</v>
      </c>
      <c r="D94" s="14" t="n">
        <f aca="false">PL!J248</f>
        <v>196.641515577787</v>
      </c>
    </row>
    <row r="95" customFormat="false" ht="17.15" hidden="false" customHeight="false" outlineLevel="0" collapsed="false">
      <c r="A95" s="3" t="s">
        <v>662</v>
      </c>
    </row>
    <row r="96" customFormat="false" ht="17.15" hidden="false" customHeight="false" outlineLevel="0" collapsed="false">
      <c r="A96" s="3" t="s">
        <v>663</v>
      </c>
      <c r="B96" s="13" t="n">
        <f aca="false">MIN(tp_g/tp_roe,0.8)</f>
        <v>0.13697066544915</v>
      </c>
      <c r="E96" s="7" t="s">
        <v>664</v>
      </c>
    </row>
    <row r="97" customFormat="false" ht="15" hidden="false" customHeight="false" outlineLevel="0" collapsed="false">
      <c r="A97" s="0" t="s">
        <v>656</v>
      </c>
      <c r="B97" s="14" t="n">
        <f aca="false">B89*(1-$B$96)</f>
        <v>180.87978996521</v>
      </c>
      <c r="C97" s="14" t="n">
        <f aca="false">C89*(1-$B$96)</f>
        <v>180.87978996521</v>
      </c>
      <c r="D97" s="14" t="n">
        <f aca="false">D89*(1-$B$96)</f>
        <v>180.87978996521</v>
      </c>
    </row>
    <row r="98" customFormat="false" ht="15" hidden="false" customHeight="false" outlineLevel="0" collapsed="false">
      <c r="A98" s="0" t="s">
        <v>657</v>
      </c>
      <c r="B98" s="14" t="n">
        <f aca="false">B90*(1-$B$96)</f>
        <v>258.17427988157</v>
      </c>
      <c r="C98" s="14" t="n">
        <f aca="false">C90*(1-$B$96)</f>
        <v>227.607794604718</v>
      </c>
      <c r="D98" s="14" t="n">
        <f aca="false">D90*(1-$B$96)</f>
        <v>179.022751744826</v>
      </c>
    </row>
    <row r="99" customFormat="false" ht="15" hidden="false" customHeight="false" outlineLevel="0" collapsed="false">
      <c r="A99" s="0" t="s">
        <v>658</v>
      </c>
      <c r="B99" s="14" t="n">
        <f aca="false">B91*(1-$B$96)</f>
        <v>284.376338107105</v>
      </c>
      <c r="C99" s="14" t="n">
        <f aca="false">C91*(1-$B$96)</f>
        <v>247.354649949319</v>
      </c>
      <c r="D99" s="14" t="n">
        <f aca="false">D91*(1-$B$96)</f>
        <v>184.830329521568</v>
      </c>
    </row>
    <row r="100" customFormat="false" ht="15" hidden="false" customHeight="false" outlineLevel="0" collapsed="false">
      <c r="A100" s="0" t="s">
        <v>659</v>
      </c>
      <c r="B100" s="14" t="n">
        <f aca="false">B92*(1-$B$96)</f>
        <v>323.59086345091</v>
      </c>
      <c r="C100" s="14" t="n">
        <f aca="false">C92*(1-$B$96)</f>
        <v>267.762226371277</v>
      </c>
      <c r="D100" s="14" t="n">
        <f aca="false">D92*(1-$B$96)</f>
        <v>185.354699759175</v>
      </c>
    </row>
    <row r="101" customFormat="false" ht="15" hidden="false" customHeight="false" outlineLevel="0" collapsed="false">
      <c r="A101" s="0" t="s">
        <v>660</v>
      </c>
      <c r="B101" s="14" t="n">
        <f aca="false">B93*(1-$B$96)</f>
        <v>355.609626553039</v>
      </c>
      <c r="C101" s="14" t="n">
        <f aca="false">C93*(1-$B$96)</f>
        <v>279.189524966864</v>
      </c>
      <c r="D101" s="14" t="n">
        <f aca="false">D93*(1-$B$96)</f>
        <v>180.24478368825</v>
      </c>
    </row>
    <row r="102" customFormat="false" ht="15" hidden="false" customHeight="false" outlineLevel="0" collapsed="false">
      <c r="A102" s="0" t="s">
        <v>661</v>
      </c>
      <c r="B102" s="14" t="n">
        <f aca="false">B94*(1-$B$96)</f>
        <v>376.946204146222</v>
      </c>
      <c r="C102" s="14" t="n">
        <f aca="false">C94*(1-$B$96)</f>
        <v>279.987209323912</v>
      </c>
      <c r="D102" s="14" t="n">
        <f aca="false">D94*(1-$B$96)</f>
        <v>169.707396334168</v>
      </c>
    </row>
    <row r="103" customFormat="false" ht="17.15" hidden="false" customHeight="false" outlineLevel="0" collapsed="false">
      <c r="A103" s="0" t="s">
        <v>665</v>
      </c>
      <c r="B103" s="17" t="n">
        <f aca="false">SUMPRODUCT(B97:B102,1/(1+tp_r)^{1;2;3;4;5;6})+B102*(1+tp_g)/(tp_r-tp_g)/(1+tp_r)^6</f>
        <v>4934.18094158958</v>
      </c>
      <c r="C103" s="17" t="n">
        <f aca="false">SUMPRODUCT(C97:C102,1/(1+tp_r)^{1;2;3;4;5;6})+C102*(1+tp_g)/(tp_r-tp_g)/(1+tp_r)^6</f>
        <v>3792.12340454437</v>
      </c>
      <c r="D103" s="17" t="n">
        <f aca="false">SUMPRODUCT(D97:D102,1/(1+tp_r)^{1;2;3;4;5;6})+D102*(1+tp_g)/(tp_r-tp_g)/(1+tp_r)^6</f>
        <v>2446.02122357162</v>
      </c>
      <c r="E103" s="7" t="s">
        <v>666</v>
      </c>
    </row>
    <row r="104" customFormat="false" ht="17.15" hidden="false" customHeight="false" outlineLevel="0" collapsed="false">
      <c r="A104" s="0" t="s">
        <v>667</v>
      </c>
      <c r="B104" s="17" t="n">
        <f aca="false">B103*(1+tp_r)</f>
        <v>5427.59903574854</v>
      </c>
      <c r="C104" s="17" t="n">
        <f aca="false">C103*(1+tp_r)</f>
        <v>4171.33574499881</v>
      </c>
      <c r="D104" s="17" t="n">
        <f aca="false">D103*(1+tp_r)</f>
        <v>2690.62334592879</v>
      </c>
    </row>
    <row r="105" customFormat="false" ht="17.15" hidden="false" customHeight="false" outlineLevel="0" collapsed="false">
      <c r="A105" s="0" t="s">
        <v>668</v>
      </c>
      <c r="B105" s="28" t="n">
        <f aca="false">tp_wA*B104+tp_wB*C104+tp_wC*D104</f>
        <v>4252.07225240972</v>
      </c>
      <c r="E105" s="7" t="s">
        <v>669</v>
      </c>
    </row>
    <row r="107" customFormat="false" ht="17.15" hidden="false" customHeight="false" outlineLevel="0" collapsed="false">
      <c r="A107" s="5" t="s">
        <v>670</v>
      </c>
    </row>
    <row r="108" customFormat="false" ht="17.15" hidden="false" customHeight="false" outlineLevel="0" collapsed="false">
      <c r="A108" s="4" t="s">
        <v>671</v>
      </c>
      <c r="B108" s="4" t="s">
        <v>672</v>
      </c>
      <c r="C108" s="4" t="s">
        <v>673</v>
      </c>
      <c r="D108" s="4" t="s">
        <v>674</v>
      </c>
      <c r="E108" s="4" t="s">
        <v>675</v>
      </c>
      <c r="F108" s="4" t="s">
        <v>28</v>
      </c>
    </row>
    <row r="109" customFormat="false" ht="17.15" hidden="false" customHeight="false" outlineLevel="0" collapsed="false">
      <c r="A109" s="3" t="s">
        <v>676</v>
      </c>
      <c r="B109" s="0" t="s">
        <v>677</v>
      </c>
      <c r="C109" s="34" t="n">
        <v>26.37</v>
      </c>
      <c r="D109" s="7" t="s">
        <v>678</v>
      </c>
      <c r="E109" s="7" t="s">
        <v>679</v>
      </c>
      <c r="F109" s="7" t="s">
        <v>680</v>
      </c>
    </row>
    <row r="110" customFormat="false" ht="17.15" hidden="false" customHeight="false" outlineLevel="0" collapsed="false">
      <c r="A110" s="3" t="s">
        <v>681</v>
      </c>
      <c r="B110" s="0" t="s">
        <v>682</v>
      </c>
      <c r="C110" s="34" t="n">
        <v>27.49</v>
      </c>
      <c r="D110" s="7" t="s">
        <v>678</v>
      </c>
      <c r="E110" s="7" t="s">
        <v>679</v>
      </c>
      <c r="F110" s="7" t="s">
        <v>680</v>
      </c>
    </row>
    <row r="111" customFormat="false" ht="17.15" hidden="false" customHeight="false" outlineLevel="0" collapsed="false">
      <c r="A111" s="3" t="s">
        <v>683</v>
      </c>
      <c r="B111" s="0" t="s">
        <v>684</v>
      </c>
      <c r="C111" s="34" t="n">
        <v>19.57</v>
      </c>
      <c r="D111" s="7" t="s">
        <v>678</v>
      </c>
      <c r="E111" s="7" t="s">
        <v>679</v>
      </c>
      <c r="F111" s="7" t="s">
        <v>680</v>
      </c>
    </row>
    <row r="112" customFormat="false" ht="17.15" hidden="false" customHeight="false" outlineLevel="0" collapsed="false">
      <c r="A112" s="3" t="s">
        <v>685</v>
      </c>
      <c r="B112" s="16" t="n">
        <f aca="false">MEDIAN(C109:C111)</f>
        <v>26.37</v>
      </c>
      <c r="E112" s="3" t="s">
        <v>686</v>
      </c>
    </row>
    <row r="113" customFormat="false" ht="17.15" hidden="false" customHeight="false" outlineLevel="0" collapsed="false">
      <c r="A113" s="0" t="s">
        <v>687</v>
      </c>
      <c r="B113" s="14" t="n">
        <f aca="false">tp_wA*(0.166666666666667*B89+0.833333333333333*B90)+tp_wB*(0.166666666666667*C89+0.833333333333333*C90)+tp_wC*(0.166666666666667*D89+0.833333333333333*D90)</f>
        <v>254.178970778008</v>
      </c>
      <c r="E113" s="3" t="s">
        <v>688</v>
      </c>
    </row>
    <row r="114" customFormat="false" ht="17.15" hidden="false" customHeight="false" outlineLevel="0" collapsed="false">
      <c r="A114" s="0" t="s">
        <v>689</v>
      </c>
      <c r="B114" s="28" t="n">
        <f aca="false">B112*B113</f>
        <v>6702.69945941607</v>
      </c>
      <c r="E114" s="3" t="s">
        <v>690</v>
      </c>
    </row>
    <row r="116" customFormat="false" ht="17.15" hidden="false" customHeight="false" outlineLevel="0" collapsed="false">
      <c r="A116" s="5" t="s">
        <v>691</v>
      </c>
    </row>
    <row r="117" customFormat="false" ht="15" hidden="false" customHeight="false" outlineLevel="0" collapsed="false">
      <c r="A117" s="4" t="s">
        <v>23</v>
      </c>
      <c r="B117" s="4" t="s">
        <v>692</v>
      </c>
      <c r="C117" s="4"/>
      <c r="D117" s="4"/>
      <c r="E117" s="4" t="s">
        <v>437</v>
      </c>
    </row>
    <row r="118" customFormat="false" ht="17.15" hidden="false" customHeight="false" outlineLevel="0" collapsed="false">
      <c r="A118" s="1" t="s">
        <v>693</v>
      </c>
      <c r="B118" s="28" t="n">
        <f aca="false">tp_w_dcf*B105+(1-tp_w_dcf)*B114</f>
        <v>5477.3858559129</v>
      </c>
      <c r="E118" s="7" t="s">
        <v>694</v>
      </c>
    </row>
    <row r="119" customFormat="false" ht="17.15" hidden="false" customHeight="false" outlineLevel="0" collapsed="false">
      <c r="A119" s="0" t="s">
        <v>695</v>
      </c>
      <c r="B119" s="17" t="n">
        <f aca="false">B114</f>
        <v>6702.69945941607</v>
      </c>
      <c r="E119" s="3" t="s">
        <v>696</v>
      </c>
    </row>
    <row r="120" customFormat="false" ht="17.15" hidden="false" customHeight="false" outlineLevel="0" collapsed="false">
      <c r="A120" s="3" t="s">
        <v>697</v>
      </c>
      <c r="B120" s="17" t="n">
        <f aca="false">cons_tp</f>
        <v>7803</v>
      </c>
      <c r="E120" s="7" t="s">
        <v>375</v>
      </c>
    </row>
    <row r="121" customFormat="false" ht="17.15" hidden="false" customHeight="false" outlineLevel="0" collapsed="false">
      <c r="A121" s="3" t="s">
        <v>698</v>
      </c>
      <c r="B121" s="13" t="n">
        <f aca="false">B118/px-1</f>
        <v>0.0803522398250287</v>
      </c>
      <c r="E121" s="3" t="s">
        <v>699</v>
      </c>
    </row>
    <row r="122" customFormat="false" ht="17.15" hidden="false" customHeight="false" outlineLevel="0" collapsed="false">
      <c r="A122" s="3" t="s">
        <v>700</v>
      </c>
      <c r="B122" s="13" t="n">
        <f aca="false">B119/px-1</f>
        <v>0.322031451561355</v>
      </c>
    </row>
    <row r="123" customFormat="false" ht="17.15" hidden="false" customHeight="false" outlineLevel="0" collapsed="false">
      <c r="A123" s="3" t="s">
        <v>701</v>
      </c>
      <c r="B123" s="13" t="n">
        <f aca="false">B113/cons_feps-1</f>
        <v>0.510053091399541</v>
      </c>
      <c r="E123" s="3" t="s">
        <v>702</v>
      </c>
    </row>
    <row r="124" customFormat="false" ht="17.15" hidden="false" customHeight="false" outlineLevel="0" collapsed="false">
      <c r="A124" s="3" t="s">
        <v>703</v>
      </c>
      <c r="B124" s="13" t="n">
        <f aca="false">(cons_tp/cons_feps)/B112-1</f>
        <v>0.757940117043102</v>
      </c>
      <c r="E124" s="0" t="str">
        <f aca="false">"共識目標價 ÷ 共識前瞻 EPS 隱含 "&amp;TEXT(cons_tp/cons_feps,"0.0")&amp;"x，同業中位數 "&amp;TEXT(B112,"0.0")&amp;"x"</f>
        <v>共識目標價 ÷ 共識前瞻 EPS 隱含 46.4x，同業中位數 26.4x</v>
      </c>
    </row>
    <row r="125" customFormat="false" ht="17.15" hidden="false" customHeight="false" outlineLevel="0" collapsed="false">
      <c r="A125" s="3" t="s">
        <v>704</v>
      </c>
      <c r="B125" s="35" t="str">
        <f aca="false">TEXT(D104,"#,##0")&amp;"～"&amp;TEXT(B104,"#,##0")</f>
        <v>2,691～5,428</v>
      </c>
      <c r="E125" s="7" t="s">
        <v>705</v>
      </c>
    </row>
    <row r="126" customFormat="false" ht="17.15" hidden="false" customHeight="false" outlineLevel="0" collapsed="false">
      <c r="A126" s="3" t="s">
        <v>706</v>
      </c>
      <c r="B126" s="33" t="n">
        <f aca="false">IF(px/B90&lt;=MIN($B$130:$K$130),0,IF(px/B90&gt;=MAX($B$130:$K$130),1,PERCENTRANK($B$130:$K$130,px/B90)))</f>
        <v>0.627</v>
      </c>
      <c r="C126" s="33" t="n">
        <f aca="false">IF(px/C90&lt;=MIN($B$130:$K$130),0,IF(px/C90&gt;=MAX($B$130:$K$130),1,PERCENTRANK($B$130:$K$130,px/C90)))</f>
        <v>0.68</v>
      </c>
      <c r="D126" s="33" t="n">
        <f aca="false">IF(px/D90&lt;=MIN($B$130:$K$130),0,IF(px/D90&gt;=MAX($B$130:$K$130),1,PERCENTRANK($B$130:$K$130,px/D90)))</f>
        <v>0.883</v>
      </c>
      <c r="E126" s="3" t="s">
        <v>707</v>
      </c>
    </row>
    <row r="127" customFormat="false" ht="17.15" hidden="false" customHeight="false" outlineLevel="0" collapsed="false">
      <c r="A127" s="3" t="s">
        <v>708</v>
      </c>
      <c r="B127" s="0" t="s">
        <v>709</v>
      </c>
    </row>
    <row r="129" customFormat="false" ht="17.15" hidden="false" customHeight="false" outlineLevel="0" collapsed="false">
      <c r="A129" s="1" t="s">
        <v>710</v>
      </c>
      <c r="B129" s="7" t="s">
        <v>614</v>
      </c>
      <c r="C129" s="7" t="s">
        <v>616</v>
      </c>
      <c r="D129" s="7" t="s">
        <v>617</v>
      </c>
      <c r="E129" s="7" t="s">
        <v>618</v>
      </c>
      <c r="F129" s="7" t="s">
        <v>619</v>
      </c>
      <c r="G129" s="7" t="s">
        <v>620</v>
      </c>
      <c r="H129" s="7" t="s">
        <v>621</v>
      </c>
      <c r="I129" s="7" t="s">
        <v>622</v>
      </c>
      <c r="J129" s="7" t="s">
        <v>623</v>
      </c>
      <c r="K129" s="7" t="s">
        <v>624</v>
      </c>
    </row>
    <row r="130" customFormat="false" ht="17.15" hidden="false" customHeight="false" outlineLevel="0" collapsed="false">
      <c r="A130" s="3" t="s">
        <v>711</v>
      </c>
      <c r="B130" s="34"/>
      <c r="C130" s="34" t="n">
        <f aca="false">101.5/8.73</f>
        <v>11.6265750286369</v>
      </c>
      <c r="D130" s="34" t="n">
        <f aca="false">65.7/5.48</f>
        <v>11.9890510948905</v>
      </c>
      <c r="E130" s="34" t="n">
        <f aca="false">137/10.14</f>
        <v>13.5108481262327</v>
      </c>
      <c r="F130" s="34" t="n">
        <f aca="false">157/11.33</f>
        <v>13.8570167696381</v>
      </c>
      <c r="G130" s="34" t="n">
        <f aca="false">278/16.5</f>
        <v>16.8484848484848</v>
      </c>
      <c r="H130" s="34" t="n">
        <f aca="false">171/15.24</f>
        <v>11.2204724409449</v>
      </c>
      <c r="I130" s="34" t="n">
        <f aca="false">382/16.35</f>
        <v>23.3639143730887</v>
      </c>
      <c r="J130" s="34" t="n">
        <f aca="false">618/27.81</f>
        <v>22.2222222222222</v>
      </c>
      <c r="K130" s="34" t="n">
        <f aca="false">1645/41.67</f>
        <v>39.4768418526518</v>
      </c>
    </row>
    <row r="131" customFormat="false" ht="17.15" hidden="false" customHeight="false" outlineLevel="0" collapsed="false">
      <c r="A131" s="3" t="s">
        <v>712</v>
      </c>
      <c r="B131" s="35" t="str">
        <f aca="false">IF(B121&gt;0.5,"大於 50%",IF(B121&gt;0.25,"25%–50%",IF(B121&gt;=0,"0%–25%",IF(B121&gt;=-0.25,"0%～−25%",IF(B121&gt;=-0.5,"−25%～−50%","小於 −50%")))))</f>
        <v>0%–25%</v>
      </c>
      <c r="E131" s="3" t="s">
        <v>713</v>
      </c>
    </row>
    <row r="132" customFormat="false" ht="17.15" hidden="false" customHeight="false" outlineLevel="0" collapsed="false">
      <c r="A132" s="3" t="s">
        <v>714</v>
      </c>
      <c r="B132" s="35" t="str">
        <f aca="false">IF(B121&gt;0.5,"強力買進",IF(B121&gt;0.25,"買進",IF(B121&gt;=-0.25,"中立",IF(B121&gt;=-0.5,"放空","強力放空"))))</f>
        <v>中立</v>
      </c>
      <c r="E132" s="3" t="s">
        <v>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716</v>
      </c>
    </row>
    <row r="3" customFormat="false" ht="17.15" hidden="false" customHeight="false" outlineLevel="0" collapsed="false">
      <c r="A3" s="4" t="s">
        <v>23</v>
      </c>
      <c r="B3" s="4" t="s">
        <v>717</v>
      </c>
      <c r="C3" s="4" t="s">
        <v>718</v>
      </c>
      <c r="D3" s="4" t="s">
        <v>719</v>
      </c>
      <c r="E3" s="4" t="s">
        <v>720</v>
      </c>
      <c r="F3" s="4" t="s">
        <v>721</v>
      </c>
      <c r="G3" s="4" t="s">
        <v>722</v>
      </c>
      <c r="H3" s="4" t="s">
        <v>723</v>
      </c>
      <c r="I3" s="4" t="s">
        <v>724</v>
      </c>
      <c r="J3" s="4" t="s">
        <v>437</v>
      </c>
    </row>
    <row r="4" customFormat="false" ht="17.15" hidden="false" customHeight="false" outlineLevel="0" collapsed="false">
      <c r="A4" s="5" t="s">
        <v>725</v>
      </c>
    </row>
    <row r="5" customFormat="false" ht="17.15" hidden="false" customHeight="false" outlineLevel="0" collapsed="false">
      <c r="A5" s="0" t="s">
        <v>726</v>
      </c>
      <c r="B5" s="18" t="n">
        <f aca="false">b_rev26k</f>
        <v>191.123</v>
      </c>
      <c r="C5" s="18" t="n">
        <f aca="false">PL!D85</f>
        <v>205.7651</v>
      </c>
      <c r="D5" s="13" t="n">
        <f aca="false">C5/B5-1</f>
        <v>0.076610873625885</v>
      </c>
      <c r="E5" s="18" t="n">
        <f aca="false">PL!D137</f>
        <v>205.7651</v>
      </c>
      <c r="F5" s="13" t="n">
        <f aca="false">E5/B5-1</f>
        <v>0.076610873625885</v>
      </c>
      <c r="G5" s="18" t="n">
        <f aca="false">PL!D189</f>
        <v>205.7651</v>
      </c>
      <c r="H5" s="13" t="n">
        <f aca="false">G5/B5-1</f>
        <v>0.076610873625885</v>
      </c>
      <c r="I5" s="3" t="s">
        <v>727</v>
      </c>
      <c r="J5" s="7" t="s">
        <v>728</v>
      </c>
    </row>
    <row r="6" customFormat="false" ht="17.15" hidden="false" customHeight="false" outlineLevel="0" collapsed="false">
      <c r="A6" s="0" t="s">
        <v>729</v>
      </c>
      <c r="B6" s="19" t="n">
        <f aca="false">b_eps26k</f>
        <v>108.84</v>
      </c>
      <c r="C6" s="19" t="n">
        <f aca="false">PL!D108</f>
        <v>119.710515747433</v>
      </c>
      <c r="D6" s="13" t="n">
        <f aca="false">C6/B6-1</f>
        <v>0.0998761094030976</v>
      </c>
      <c r="E6" s="19" t="n">
        <f aca="false">PL!D160</f>
        <v>119.710515747433</v>
      </c>
      <c r="F6" s="13" t="n">
        <f aca="false">E6/B6-1</f>
        <v>0.0998761094030976</v>
      </c>
      <c r="G6" s="19" t="n">
        <f aca="false">PL!D212</f>
        <v>119.710515747433</v>
      </c>
      <c r="H6" s="13" t="n">
        <f aca="false">G6/B6-1</f>
        <v>0.0998761094030976</v>
      </c>
      <c r="I6" s="3" t="s">
        <v>727</v>
      </c>
    </row>
    <row r="7" customFormat="false" ht="17.15" hidden="false" customHeight="false" outlineLevel="0" collapsed="false">
      <c r="A7" s="0" t="s">
        <v>730</v>
      </c>
      <c r="B7" s="19" t="n">
        <f aca="false">b_eps26c</f>
        <v>98.72</v>
      </c>
      <c r="C7" s="19" t="n">
        <f aca="false">PL!D108</f>
        <v>119.710515747433</v>
      </c>
      <c r="D7" s="13" t="n">
        <f aca="false">C7/B7-1</f>
        <v>0.212626780261681</v>
      </c>
      <c r="E7" s="19" t="n">
        <f aca="false">PL!D160</f>
        <v>119.710515747433</v>
      </c>
      <c r="F7" s="13" t="n">
        <f aca="false">E7/B7-1</f>
        <v>0.212626780261681</v>
      </c>
      <c r="G7" s="19" t="n">
        <f aca="false">PL!D212</f>
        <v>119.710515747433</v>
      </c>
      <c r="H7" s="13" t="n">
        <f aca="false">G7/B7-1</f>
        <v>0.212626780261681</v>
      </c>
      <c r="I7" s="3" t="s">
        <v>731</v>
      </c>
    </row>
    <row r="8" customFormat="false" ht="17.15" hidden="false" customHeight="false" outlineLevel="0" collapsed="false">
      <c r="A8" s="0" t="s">
        <v>732</v>
      </c>
      <c r="B8" s="19" t="n">
        <f aca="false">b_eps26l</f>
        <v>120.77</v>
      </c>
      <c r="C8" s="19" t="n">
        <f aca="false">PL!D108</f>
        <v>119.710515747433</v>
      </c>
      <c r="D8" s="13" t="n">
        <f aca="false">C8/B8-1</f>
        <v>-0.00877274366619907</v>
      </c>
      <c r="E8" s="19" t="n">
        <f aca="false">PL!D160</f>
        <v>119.710515747433</v>
      </c>
      <c r="F8" s="13" t="n">
        <f aca="false">E8/B8-1</f>
        <v>-0.00877274366619907</v>
      </c>
      <c r="G8" s="19" t="n">
        <f aca="false">PL!D212</f>
        <v>119.710515747433</v>
      </c>
      <c r="H8" s="13" t="n">
        <f aca="false">G8/B8-1</f>
        <v>-0.00877274366619907</v>
      </c>
      <c r="I8" s="3" t="s">
        <v>733</v>
      </c>
      <c r="J8" s="7" t="s">
        <v>734</v>
      </c>
    </row>
    <row r="9" customFormat="false" ht="17.15" hidden="false" customHeight="false" outlineLevel="0" collapsed="false">
      <c r="A9" s="0" t="s">
        <v>735</v>
      </c>
      <c r="B9" s="18" t="n">
        <f aca="false">b_rev27k</f>
        <v>306.405</v>
      </c>
      <c r="C9" s="18" t="n">
        <f aca="false">PL!E85</f>
        <v>332.653578333333</v>
      </c>
      <c r="D9" s="13" t="n">
        <f aca="false">C9/B9-1</f>
        <v>0.085666285906997</v>
      </c>
      <c r="E9" s="18" t="n">
        <f aca="false">PL!E137</f>
        <v>332.653578333333</v>
      </c>
      <c r="F9" s="13" t="n">
        <f aca="false">E9/B9-1</f>
        <v>0.085666285906997</v>
      </c>
      <c r="G9" s="18" t="n">
        <f aca="false">PL!E189</f>
        <v>332.653578333333</v>
      </c>
      <c r="H9" s="13" t="n">
        <f aca="false">G9/B9-1</f>
        <v>0.085666285906997</v>
      </c>
      <c r="I9" s="3" t="s">
        <v>727</v>
      </c>
    </row>
    <row r="10" customFormat="false" ht="17.15" hidden="false" customHeight="false" outlineLevel="0" collapsed="false">
      <c r="A10" s="0" t="s">
        <v>736</v>
      </c>
      <c r="B10" s="18" t="n">
        <f aca="false">b_rev27l</f>
        <v>353.014</v>
      </c>
      <c r="C10" s="18" t="n">
        <f aca="false">PL!E85</f>
        <v>332.653578333333</v>
      </c>
      <c r="D10" s="13" t="n">
        <f aca="false">C10/B10-1</f>
        <v>-0.0576759609156199</v>
      </c>
      <c r="E10" s="18" t="n">
        <f aca="false">PL!E137</f>
        <v>332.653578333333</v>
      </c>
      <c r="F10" s="13" t="n">
        <f aca="false">E10/B10-1</f>
        <v>-0.0576759609156199</v>
      </c>
      <c r="G10" s="18" t="n">
        <f aca="false">PL!E189</f>
        <v>332.653578333333</v>
      </c>
      <c r="H10" s="13" t="n">
        <f aca="false">G10/B10-1</f>
        <v>-0.0576759609156199</v>
      </c>
      <c r="I10" s="3" t="s">
        <v>733</v>
      </c>
    </row>
    <row r="11" customFormat="false" ht="17.15" hidden="false" customHeight="false" outlineLevel="0" collapsed="false">
      <c r="A11" s="0" t="s">
        <v>737</v>
      </c>
      <c r="B11" s="19" t="n">
        <f aca="false">b_eps27k</f>
        <v>190.64</v>
      </c>
      <c r="C11" s="19" t="n">
        <f aca="false">PL!E108</f>
        <v>209.587070478139</v>
      </c>
      <c r="D11" s="13" t="n">
        <f aca="false">C11/B11-1</f>
        <v>0.0993866474933847</v>
      </c>
      <c r="E11" s="19" t="n">
        <f aca="false">PL!E160</f>
        <v>209.587070478139</v>
      </c>
      <c r="F11" s="13" t="n">
        <f aca="false">E11/B11-1</f>
        <v>0.0993866474933847</v>
      </c>
      <c r="G11" s="19" t="n">
        <f aca="false">PL!E212</f>
        <v>209.587070478139</v>
      </c>
      <c r="H11" s="13" t="n">
        <f aca="false">G11/B11-1</f>
        <v>0.0993866474933847</v>
      </c>
      <c r="I11" s="3" t="s">
        <v>727</v>
      </c>
    </row>
    <row r="12" customFormat="false" ht="17.15" hidden="false" customHeight="false" outlineLevel="0" collapsed="false">
      <c r="A12" s="0" t="s">
        <v>738</v>
      </c>
      <c r="B12" s="19" t="n">
        <f aca="false">b_eps27c</f>
        <v>193.33</v>
      </c>
      <c r="C12" s="19" t="n">
        <f aca="false">PL!E108</f>
        <v>209.587070478139</v>
      </c>
      <c r="D12" s="13" t="n">
        <f aca="false">C12/B12-1</f>
        <v>0.0840897453997767</v>
      </c>
      <c r="E12" s="19" t="n">
        <f aca="false">PL!E160</f>
        <v>209.587070478139</v>
      </c>
      <c r="F12" s="13" t="n">
        <f aca="false">E12/B12-1</f>
        <v>0.0840897453997767</v>
      </c>
      <c r="G12" s="19" t="n">
        <f aca="false">PL!E212</f>
        <v>209.587070478139</v>
      </c>
      <c r="H12" s="13" t="n">
        <f aca="false">G12/B12-1</f>
        <v>0.0840897453997767</v>
      </c>
      <c r="I12" s="3" t="s">
        <v>731</v>
      </c>
    </row>
    <row r="13" customFormat="false" ht="17.15" hidden="false" customHeight="false" outlineLevel="0" collapsed="false">
      <c r="A13" s="0" t="s">
        <v>739</v>
      </c>
      <c r="B13" s="19" t="n">
        <f aca="false">b_eps27l</f>
        <v>204.85</v>
      </c>
      <c r="C13" s="19" t="n">
        <f aca="false">PL!E108</f>
        <v>209.587070478139</v>
      </c>
      <c r="D13" s="13" t="n">
        <f aca="false">C13/B13-1</f>
        <v>0.0231245812943073</v>
      </c>
      <c r="E13" s="19" t="n">
        <f aca="false">PL!E160</f>
        <v>209.587070478139</v>
      </c>
      <c r="F13" s="13" t="n">
        <f aca="false">E13/B13-1</f>
        <v>0.0231245812943073</v>
      </c>
      <c r="G13" s="19" t="n">
        <f aca="false">PL!E212</f>
        <v>209.587070478139</v>
      </c>
      <c r="H13" s="13" t="n">
        <f aca="false">G13/B13-1</f>
        <v>0.0231245812943073</v>
      </c>
      <c r="I13" s="3" t="s">
        <v>733</v>
      </c>
      <c r="J13" s="3" t="s">
        <v>740</v>
      </c>
    </row>
    <row r="14" customFormat="false" ht="17.15" hidden="false" customHeight="false" outlineLevel="0" collapsed="false">
      <c r="A14" s="0" t="s">
        <v>741</v>
      </c>
      <c r="B14" s="18" t="n">
        <f aca="false">ms_rev28</f>
        <v>513.889857536</v>
      </c>
      <c r="C14" s="18" t="n">
        <f aca="false">PL!F85</f>
        <v>479.686459956667</v>
      </c>
      <c r="D14" s="13" t="n">
        <f aca="false">C14/B14-1</f>
        <v>-0.0665578373998891</v>
      </c>
      <c r="E14" s="18" t="n">
        <f aca="false">PL!F137</f>
        <v>427.779457298676</v>
      </c>
      <c r="F14" s="13" t="n">
        <f aca="false">E14/B14-1</f>
        <v>-0.167565868394847</v>
      </c>
      <c r="G14" s="18" t="n">
        <f aca="false">PL!F189</f>
        <v>345.273931196307</v>
      </c>
      <c r="H14" s="13" t="n">
        <f aca="false">G14/B14-1</f>
        <v>-0.32811685980372</v>
      </c>
      <c r="I14" s="7" t="s">
        <v>742</v>
      </c>
      <c r="J14" s="3" t="s">
        <v>743</v>
      </c>
    </row>
    <row r="15" customFormat="false" ht="17.15" hidden="false" customHeight="false" outlineLevel="0" collapsed="false">
      <c r="A15" s="0" t="s">
        <v>744</v>
      </c>
      <c r="B15" s="19" t="n">
        <f aca="false">ms_eps28</f>
        <v>420</v>
      </c>
      <c r="C15" s="19" t="n">
        <f aca="false">PL!F108</f>
        <v>299.14890438334</v>
      </c>
      <c r="D15" s="13" t="n">
        <f aca="false">C15/B15-1</f>
        <v>-0.287740703849191</v>
      </c>
      <c r="E15" s="19" t="n">
        <f aca="false">PL!F160</f>
        <v>263.731237737327</v>
      </c>
      <c r="F15" s="13" t="n">
        <f aca="false">E15/B15-1</f>
        <v>-0.372068481577792</v>
      </c>
      <c r="G15" s="19" t="n">
        <f aca="false">PL!F212</f>
        <v>207.435303271581</v>
      </c>
      <c r="H15" s="13" t="n">
        <f aca="false">G15/B15-1</f>
        <v>-0.506106420781951</v>
      </c>
      <c r="I15" s="3" t="s">
        <v>40</v>
      </c>
      <c r="J15" s="3" t="s">
        <v>745</v>
      </c>
    </row>
    <row r="16" customFormat="false" ht="17.15" hidden="false" customHeight="false" outlineLevel="0" collapsed="false">
      <c r="A16" s="5" t="s">
        <v>746</v>
      </c>
    </row>
    <row r="17" customFormat="false" ht="17.15" hidden="false" customHeight="false" outlineLevel="0" collapsed="false">
      <c r="A17" s="0" t="s">
        <v>747</v>
      </c>
      <c r="B17" s="13" t="n">
        <f aca="false">hs_sh25</f>
        <v>0.386</v>
      </c>
      <c r="C17" s="13" t="n">
        <f aca="false">PL!D73</f>
        <v>0.459306165741139</v>
      </c>
      <c r="D17" s="13" t="n">
        <f aca="false">C17-B17</f>
        <v>0.0733061657411391</v>
      </c>
      <c r="E17" s="13" t="n">
        <f aca="false">PL!D125</f>
        <v>0.459306165741139</v>
      </c>
      <c r="F17" s="13" t="n">
        <f aca="false">E17-B17</f>
        <v>0.0733061657411391</v>
      </c>
      <c r="G17" s="13" t="n">
        <f aca="false">PL!D177</f>
        <v>0.459306165741139</v>
      </c>
      <c r="H17" s="13" t="n">
        <f aca="false">G17-B17</f>
        <v>0.0733061657411391</v>
      </c>
      <c r="I17" s="7" t="s">
        <v>748</v>
      </c>
      <c r="J17" s="3" t="s">
        <v>749</v>
      </c>
    </row>
    <row r="18" customFormat="false" ht="17.15" hidden="false" customHeight="false" outlineLevel="0" collapsed="false">
      <c r="A18" s="0" t="s">
        <v>750</v>
      </c>
      <c r="B18" s="13" t="n">
        <f aca="false">hs_sh25c</f>
        <v>0.5</v>
      </c>
      <c r="C18" s="13" t="n">
        <f aca="false">PL!D73</f>
        <v>0.459306165741139</v>
      </c>
      <c r="D18" s="13" t="n">
        <f aca="false">C18-B18</f>
        <v>-0.0406938342588609</v>
      </c>
      <c r="E18" s="13" t="n">
        <f aca="false">PL!D125</f>
        <v>0.459306165741139</v>
      </c>
      <c r="F18" s="13" t="n">
        <f aca="false">E18-B18</f>
        <v>-0.0406938342588609</v>
      </c>
      <c r="G18" s="13" t="n">
        <f aca="false">PL!D177</f>
        <v>0.459306165741139</v>
      </c>
      <c r="H18" s="13" t="n">
        <f aca="false">G18-B18</f>
        <v>-0.0406938342588609</v>
      </c>
      <c r="I18" s="3" t="s">
        <v>751</v>
      </c>
    </row>
    <row r="19" customFormat="false" ht="17.15" hidden="false" customHeight="false" outlineLevel="0" collapsed="false">
      <c r="A19" s="0" t="s">
        <v>752</v>
      </c>
      <c r="B19" s="14" t="n">
        <f aca="false">(ms_rk_vr*racks_vr)/(ms_rk_gb*racks_gb*(1-vr26)+ms_rk_vr*racks_vr*vr26)</f>
        <v>1.46002488193717</v>
      </c>
      <c r="C19" s="14" t="n">
        <f aca="false">PL!E69/PL!D69</f>
        <v>1.50714285714286</v>
      </c>
      <c r="D19" s="13" t="n">
        <f aca="false">C19/B19-1</f>
        <v>0.0322720357636441</v>
      </c>
      <c r="E19" s="14" t="n">
        <f aca="false">PL!E121/PL!D121</f>
        <v>1.50714285714286</v>
      </c>
      <c r="F19" s="13" t="n">
        <f aca="false">E19/B19-1</f>
        <v>0.0322720357636441</v>
      </c>
      <c r="G19" s="14" t="n">
        <f aca="false">PL!E173/PL!D173</f>
        <v>1.50714285714286</v>
      </c>
      <c r="H19" s="13" t="n">
        <f aca="false">G19/B19-1</f>
        <v>0.0322720357636441</v>
      </c>
      <c r="I19" s="7" t="s">
        <v>753</v>
      </c>
      <c r="J19" s="3" t="s">
        <v>754</v>
      </c>
    </row>
    <row r="20" customFormat="false" ht="17.15" hidden="false" customHeight="false" outlineLevel="0" collapsed="false">
      <c r="A20" s="0" t="s">
        <v>755</v>
      </c>
      <c r="B20" s="14" t="n">
        <f aca="false">(sht_vr*racks_vr)/(sht_gb*racks_gb*(1-vr26)+sht_vr*racks_vr*vr26)</f>
        <v>1.6965234126223</v>
      </c>
      <c r="C20" s="14" t="n">
        <f aca="false">PL!E69/PL!D69</f>
        <v>1.50714285714286</v>
      </c>
      <c r="D20" s="13" t="n">
        <f aca="false">C20/B20-1</f>
        <v>-0.111628613003764</v>
      </c>
      <c r="E20" s="14" t="n">
        <f aca="false">PL!E121/PL!D121</f>
        <v>1.50714285714286</v>
      </c>
      <c r="F20" s="13" t="n">
        <f aca="false">E20/B20-1</f>
        <v>-0.111628613003764</v>
      </c>
      <c r="G20" s="14" t="n">
        <f aca="false">PL!E173/PL!D173</f>
        <v>1.50714285714286</v>
      </c>
      <c r="H20" s="13" t="n">
        <f aca="false">G20/B20-1</f>
        <v>-0.111628613003764</v>
      </c>
      <c r="I20" s="3" t="s">
        <v>756</v>
      </c>
      <c r="J20" s="3" t="s">
        <v>757</v>
      </c>
    </row>
    <row r="21" customFormat="false" ht="17.15" hidden="false" customHeight="false" outlineLevel="0" collapsed="false">
      <c r="A21" s="0" t="s">
        <v>758</v>
      </c>
      <c r="B21" s="18" t="n">
        <f aca="false">ms_rk_vr/1000</f>
        <v>18.75</v>
      </c>
      <c r="C21" s="18" t="n">
        <f aca="false">PL!E69*1000/racks_vr</f>
        <v>130.182625863771</v>
      </c>
      <c r="E21" s="18" t="n">
        <f aca="false">PL!E121*1000/racks_vr</f>
        <v>130.182625863771</v>
      </c>
      <c r="G21" s="18" t="n">
        <f aca="false">PL!E173*1000/racks_vr</f>
        <v>130.182625863771</v>
      </c>
      <c r="I21" s="7" t="s">
        <v>759</v>
      </c>
      <c r="J21" s="3" t="s">
        <v>760</v>
      </c>
    </row>
    <row r="22" customFormat="false" ht="17.15" hidden="false" customHeight="false" outlineLevel="0" collapsed="false">
      <c r="A22" s="0" t="s">
        <v>761</v>
      </c>
      <c r="C22" s="17" t="n">
        <f aca="false">PL!E94</f>
        <v>180.408412082255</v>
      </c>
      <c r="E22" s="17" t="n">
        <f aca="false">PL!E146</f>
        <v>180.408412082255</v>
      </c>
      <c r="G22" s="17" t="n">
        <f aca="false">PL!E198</f>
        <v>180.408412082255</v>
      </c>
      <c r="I22" s="7" t="s">
        <v>112</v>
      </c>
    </row>
    <row r="23" customFormat="false" ht="17.15" hidden="false" customHeight="false" outlineLevel="0" collapsed="false">
      <c r="A23" s="5" t="s">
        <v>762</v>
      </c>
    </row>
    <row r="24" customFormat="false" ht="17.15" hidden="false" customHeight="false" outlineLevel="0" collapsed="false">
      <c r="A24" s="0" t="s">
        <v>763</v>
      </c>
      <c r="C24" s="13" t="n">
        <f aca="false">PL!E93</f>
        <v>1.19935703454662</v>
      </c>
      <c r="E24" s="13" t="n">
        <f aca="false">PL!E145</f>
        <v>1.19935703454662</v>
      </c>
      <c r="G24" s="13" t="n">
        <f aca="false">PL!E197</f>
        <v>1.19935703454662</v>
      </c>
      <c r="I24" s="7" t="s">
        <v>112</v>
      </c>
      <c r="J24" s="3" t="s">
        <v>463</v>
      </c>
    </row>
    <row r="25" customFormat="false" ht="17.15" hidden="false" customHeight="false" outlineLevel="0" collapsed="false">
      <c r="A25" s="0" t="s">
        <v>764</v>
      </c>
      <c r="C25" s="13" t="n">
        <f aca="false">PL!F93</f>
        <v>1.06378859108748</v>
      </c>
      <c r="E25" s="13" t="n">
        <f aca="false">PL!F145</f>
        <v>0.891789727267515</v>
      </c>
      <c r="G25" s="13" t="n">
        <f aca="false">PL!F197</f>
        <v>0.719790863447548</v>
      </c>
      <c r="I25" s="7" t="s">
        <v>112</v>
      </c>
    </row>
    <row r="26" customFormat="false" ht="17.15" hidden="false" customHeight="false" outlineLevel="0" collapsed="false">
      <c r="A26" s="3" t="s">
        <v>765</v>
      </c>
      <c r="C26" s="17" t="n">
        <f aca="false">PL!D79</f>
        <v>2857.84861111111</v>
      </c>
      <c r="E26" s="17" t="n">
        <f aca="false">PL!D131</f>
        <v>2857.84861111111</v>
      </c>
      <c r="G26" s="17" t="n">
        <f aca="false">PL!D183</f>
        <v>2857.84861111111</v>
      </c>
      <c r="I26" s="7" t="s">
        <v>112</v>
      </c>
      <c r="J26" s="7" t="s">
        <v>766</v>
      </c>
    </row>
    <row r="27" customFormat="false" ht="17.15" hidden="false" customHeight="false" outlineLevel="0" collapsed="false">
      <c r="A27" s="3" t="s">
        <v>767</v>
      </c>
      <c r="C27" s="13" t="n">
        <f aca="false">PL!D96</f>
        <v>0.291564442755356</v>
      </c>
      <c r="E27" s="13" t="n">
        <f aca="false">PL!D148</f>
        <v>0.291564442755356</v>
      </c>
      <c r="G27" s="13" t="n">
        <f aca="false">PL!D200</f>
        <v>0.291564442755356</v>
      </c>
      <c r="I27" s="7" t="s">
        <v>768</v>
      </c>
      <c r="J27" s="7" t="s">
        <v>769</v>
      </c>
    </row>
    <row r="28" customFormat="false" ht="17.15" hidden="false" customHeight="false" outlineLevel="0" collapsed="false">
      <c r="A28" s="0" t="s">
        <v>770</v>
      </c>
      <c r="B28" s="13" t="n">
        <f aca="false">a26_gp/a26_rev</f>
        <v>0.338364442755356</v>
      </c>
      <c r="C28" s="13" t="n">
        <f aca="false">PL!E99</f>
        <v>0.349385473683191</v>
      </c>
      <c r="D28" s="13" t="n">
        <f aca="false">C28-B28</f>
        <v>0.011021030927835</v>
      </c>
      <c r="E28" s="13" t="n">
        <f aca="false">PL!E151</f>
        <v>0.349385473683191</v>
      </c>
      <c r="F28" s="13" t="n">
        <f aca="false">E28-B28</f>
        <v>0.011021030927835</v>
      </c>
      <c r="G28" s="13" t="n">
        <f aca="false">PL!E203</f>
        <v>0.349385473683191</v>
      </c>
      <c r="H28" s="13" t="n">
        <f aca="false">G28-B28</f>
        <v>0.011021030927835</v>
      </c>
      <c r="I28" s="3" t="s">
        <v>771</v>
      </c>
      <c r="J28" s="7" t="s">
        <v>772</v>
      </c>
    </row>
    <row r="29" customFormat="false" ht="17.15" hidden="false" customHeight="false" outlineLevel="0" collapsed="false">
      <c r="A29" s="0" t="s">
        <v>773</v>
      </c>
      <c r="C29" s="14" t="n">
        <f aca="false">Q!E15</f>
        <v>39.7440058812003</v>
      </c>
      <c r="E29" s="14" t="n">
        <f aca="false">Q!E15</f>
        <v>39.7440058812003</v>
      </c>
      <c r="G29" s="14" t="n">
        <f aca="false">Q!E15</f>
        <v>39.7440058812003</v>
      </c>
      <c r="I29" s="7" t="s">
        <v>112</v>
      </c>
      <c r="J29" s="3" t="s">
        <v>774</v>
      </c>
    </row>
    <row r="30" customFormat="false" ht="17.15" hidden="false" customHeight="false" outlineLevel="0" collapsed="false">
      <c r="A30" s="5" t="s">
        <v>775</v>
      </c>
    </row>
    <row r="31" customFormat="false" ht="17.15" hidden="false" customHeight="false" outlineLevel="0" collapsed="false">
      <c r="A31" s="0" t="s">
        <v>776</v>
      </c>
      <c r="J31" s="3" t="s">
        <v>777</v>
      </c>
    </row>
    <row r="33" customFormat="false" ht="17.15" hidden="false" customHeight="false" outlineLevel="0" collapsed="false">
      <c r="A33" s="5" t="s">
        <v>778</v>
      </c>
    </row>
    <row r="34" customFormat="false" ht="17.15" hidden="false" customHeight="false" outlineLevel="0" collapsed="false">
      <c r="A34" s="0" t="s">
        <v>779</v>
      </c>
      <c r="B34" s="14" t="n">
        <f aca="false">cons_feps</f>
        <v>168.324525955859</v>
      </c>
      <c r="C34" s="14" t="n">
        <f aca="false">Val!B113</f>
        <v>254.178970778008</v>
      </c>
      <c r="D34" s="13" t="n">
        <f aca="false">C34/B34-1</f>
        <v>0.510053091399541</v>
      </c>
      <c r="I34" s="7" t="s">
        <v>379</v>
      </c>
      <c r="J34" s="3" t="s">
        <v>780</v>
      </c>
    </row>
    <row r="35" customFormat="false" ht="17.15" hidden="false" customHeight="false" outlineLevel="0" collapsed="false">
      <c r="A35" s="3" t="s">
        <v>781</v>
      </c>
      <c r="B35" s="14" t="n">
        <f aca="false">cons_tp</f>
        <v>7803</v>
      </c>
      <c r="C35" s="14" t="n">
        <f aca="false">Val!B118</f>
        <v>5477.3858559129</v>
      </c>
      <c r="D35" s="13" t="n">
        <f aca="false">C35/B35-1</f>
        <v>-0.298041028333603</v>
      </c>
      <c r="I35" s="7" t="s">
        <v>375</v>
      </c>
      <c r="J35" s="3" t="s">
        <v>780</v>
      </c>
    </row>
    <row r="36" customFormat="false" ht="17.15" hidden="false" customHeight="false" outlineLevel="0" collapsed="false">
      <c r="A36" s="0" t="s">
        <v>782</v>
      </c>
      <c r="B36" s="14" t="n">
        <f aca="false">cons_tp</f>
        <v>7803</v>
      </c>
      <c r="C36" s="14" t="n">
        <f aca="false">Val!B114</f>
        <v>6702.69945941607</v>
      </c>
      <c r="D36" s="13" t="n">
        <f aca="false">C36/B36-1</f>
        <v>-0.141009937278474</v>
      </c>
      <c r="I36" s="3" t="s">
        <v>40</v>
      </c>
      <c r="J36" s="3" t="s">
        <v>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783</v>
      </c>
    </row>
    <row r="3" customFormat="false" ht="17.15" hidden="false" customHeight="false" outlineLevel="0" collapsed="false">
      <c r="A3" s="4" t="s">
        <v>784</v>
      </c>
      <c r="B3" s="4" t="s">
        <v>785</v>
      </c>
      <c r="C3" s="10" t="s">
        <v>786</v>
      </c>
      <c r="D3" s="10" t="s">
        <v>787</v>
      </c>
      <c r="E3" s="10" t="s">
        <v>788</v>
      </c>
      <c r="F3" s="10" t="s">
        <v>578</v>
      </c>
      <c r="G3" s="10" t="s">
        <v>789</v>
      </c>
      <c r="H3" s="10" t="s">
        <v>790</v>
      </c>
      <c r="I3" s="10" t="s">
        <v>791</v>
      </c>
      <c r="J3" s="10" t="s">
        <v>792</v>
      </c>
      <c r="K3" s="10" t="s">
        <v>793</v>
      </c>
      <c r="L3" s="10" t="s">
        <v>794</v>
      </c>
    </row>
    <row r="4" customFormat="false" ht="17.15" hidden="false" customHeight="false" outlineLevel="0" collapsed="false">
      <c r="A4" s="3" t="s">
        <v>795</v>
      </c>
      <c r="B4" s="0" t="s">
        <v>796</v>
      </c>
      <c r="C4" s="18" t="n">
        <f aca="false">PL!E85</f>
        <v>332.653578333333</v>
      </c>
      <c r="D4" s="18" t="n">
        <f aca="false">PL!E83</f>
        <v>240.429660513333</v>
      </c>
      <c r="E4" s="13" t="n">
        <f aca="false">PL!E99</f>
        <v>0.349385473683191</v>
      </c>
      <c r="F4" s="14" t="n">
        <f aca="false">PL!E108</f>
        <v>209.587070478139</v>
      </c>
      <c r="G4" s="13" t="n">
        <f aca="false">F4/F$4-1</f>
        <v>0</v>
      </c>
      <c r="H4" s="18" t="n">
        <f aca="false">PL!F85</f>
        <v>479.686459956667</v>
      </c>
      <c r="I4" s="18" t="n">
        <f aca="false">PL!F83</f>
        <v>381.929107067467</v>
      </c>
      <c r="J4" s="13" t="n">
        <f aca="false">PL!F99</f>
        <v>0.339785726036607</v>
      </c>
      <c r="K4" s="14" t="n">
        <f aca="false">PL!F108</f>
        <v>299.14890438334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797</v>
      </c>
      <c r="B5" s="3" t="s">
        <v>798</v>
      </c>
      <c r="C5" s="18" t="n">
        <f aca="false">E65</f>
        <v>332.653578333333</v>
      </c>
      <c r="D5" s="18" t="n">
        <f aca="false">E63</f>
        <v>240.429660513333</v>
      </c>
      <c r="E5" s="13" t="n">
        <f aca="false">E79</f>
        <v>0.349385473683191</v>
      </c>
      <c r="F5" s="14" t="n">
        <f aca="false">E88</f>
        <v>209.587070478139</v>
      </c>
      <c r="G5" s="13" t="n">
        <f aca="false">F5/F$4-1</f>
        <v>0</v>
      </c>
      <c r="H5" s="18" t="n">
        <f aca="false">F65</f>
        <v>412.402811629351</v>
      </c>
      <c r="I5" s="18" t="n">
        <f aca="false">F63</f>
        <v>314.645458740151</v>
      </c>
      <c r="J5" s="13" t="n">
        <f aca="false">F79</f>
        <v>0.337772032602172</v>
      </c>
      <c r="K5" s="14" t="n">
        <f aca="false">F88</f>
        <v>253.239302496174</v>
      </c>
      <c r="L5" s="13" t="n">
        <f aca="false">K5/K$4-1</f>
        <v>-0.153467391036591</v>
      </c>
    </row>
    <row r="6" customFormat="false" ht="17.15" hidden="false" customHeight="false" outlineLevel="0" collapsed="false">
      <c r="A6" s="3" t="s">
        <v>799</v>
      </c>
      <c r="B6" s="3" t="s">
        <v>800</v>
      </c>
      <c r="C6" s="18" t="n">
        <f aca="false">E117</f>
        <v>332.653578333333</v>
      </c>
      <c r="D6" s="18" t="n">
        <f aca="false">E115</f>
        <v>240.429660513333</v>
      </c>
      <c r="E6" s="13" t="n">
        <f aca="false">E131</f>
        <v>0.349385473683191</v>
      </c>
      <c r="F6" s="14" t="n">
        <f aca="false">E140</f>
        <v>209.587070478139</v>
      </c>
      <c r="G6" s="13" t="n">
        <f aca="false">F6/F$4-1</f>
        <v>0</v>
      </c>
      <c r="H6" s="18" t="n">
        <f aca="false">F117</f>
        <v>479.686459956667</v>
      </c>
      <c r="I6" s="18" t="n">
        <f aca="false">F115</f>
        <v>381.929107067467</v>
      </c>
      <c r="J6" s="13" t="n">
        <f aca="false">F131</f>
        <v>0.339785726036607</v>
      </c>
      <c r="K6" s="14" t="n">
        <f aca="false">F140</f>
        <v>299.14890438334</v>
      </c>
      <c r="L6" s="13" t="n">
        <f aca="false">K6/K$4-1</f>
        <v>0</v>
      </c>
    </row>
    <row r="7" customFormat="false" ht="17.15" hidden="false" customHeight="false" outlineLevel="0" collapsed="false">
      <c r="A7" s="3" t="s">
        <v>801</v>
      </c>
      <c r="B7" s="3" t="s">
        <v>802</v>
      </c>
      <c r="C7" s="18" t="n">
        <f aca="false">E169</f>
        <v>332.653578333333</v>
      </c>
      <c r="D7" s="18" t="n">
        <f aca="false">E167</f>
        <v>240.429660513333</v>
      </c>
      <c r="E7" s="13" t="n">
        <f aca="false">E183</f>
        <v>0.349385473683191</v>
      </c>
      <c r="F7" s="14" t="n">
        <f aca="false">E192</f>
        <v>209.587070478139</v>
      </c>
      <c r="G7" s="13" t="n">
        <f aca="false">F7/F$4-1</f>
        <v>0</v>
      </c>
      <c r="H7" s="18" t="n">
        <f aca="false">F169</f>
        <v>472.351408181565</v>
      </c>
      <c r="I7" s="18" t="n">
        <f aca="false">F167</f>
        <v>374.594055292365</v>
      </c>
      <c r="J7" s="13" t="n">
        <f aca="false">F183</f>
        <v>0.339594060773953</v>
      </c>
      <c r="K7" s="14" t="n">
        <f aca="false">F192</f>
        <v>294.14398394296</v>
      </c>
      <c r="L7" s="13" t="n">
        <f aca="false">K7/K$4-1</f>
        <v>-0.0167305324105954</v>
      </c>
    </row>
    <row r="8" customFormat="false" ht="17.15" hidden="false" customHeight="false" outlineLevel="0" collapsed="false">
      <c r="A8" s="3" t="s">
        <v>803</v>
      </c>
      <c r="B8" s="3" t="s">
        <v>804</v>
      </c>
      <c r="C8" s="18" t="n">
        <f aca="false">E221</f>
        <v>332.653578333333</v>
      </c>
      <c r="D8" s="18" t="n">
        <f aca="false">E219</f>
        <v>240.429660513333</v>
      </c>
      <c r="E8" s="13" t="n">
        <f aca="false">E235</f>
        <v>0.349385473683191</v>
      </c>
      <c r="F8" s="14" t="n">
        <f aca="false">E244</f>
        <v>209.587070478139</v>
      </c>
      <c r="G8" s="13" t="n">
        <f aca="false">F8/F$4-1</f>
        <v>0</v>
      </c>
      <c r="H8" s="18" t="n">
        <f aca="false">F221</f>
        <v>479.686459956667</v>
      </c>
      <c r="I8" s="18" t="n">
        <f aca="false">F219</f>
        <v>381.929107067467</v>
      </c>
      <c r="J8" s="13" t="n">
        <f aca="false">F235</f>
        <v>0.339785726036607</v>
      </c>
      <c r="K8" s="14" t="n">
        <f aca="false">F244</f>
        <v>299.14890438334</v>
      </c>
      <c r="L8" s="13" t="n">
        <f aca="false">K8/K$4-1</f>
        <v>0</v>
      </c>
    </row>
    <row r="9" customFormat="false" ht="17.15" hidden="false" customHeight="false" outlineLevel="0" collapsed="false">
      <c r="A9" s="3" t="s">
        <v>805</v>
      </c>
      <c r="B9" s="3" t="s">
        <v>806</v>
      </c>
      <c r="C9" s="18" t="n">
        <f aca="false">E273</f>
        <v>332.653578333333</v>
      </c>
      <c r="D9" s="18" t="n">
        <f aca="false">E271</f>
        <v>240.429660513333</v>
      </c>
      <c r="E9" s="13" t="n">
        <f aca="false">E287</f>
        <v>0.349385473683191</v>
      </c>
      <c r="F9" s="14" t="n">
        <f aca="false">E296</f>
        <v>209.587070478139</v>
      </c>
      <c r="G9" s="13" t="n">
        <f aca="false">F9/F$4-1</f>
        <v>0</v>
      </c>
      <c r="H9" s="18" t="n">
        <f aca="false">F273</f>
        <v>441.530378315737</v>
      </c>
      <c r="I9" s="18" t="n">
        <f aca="false">F271</f>
        <v>343.773025426537</v>
      </c>
      <c r="J9" s="13" t="n">
        <f aca="false">F287</f>
        <v>0.338719108746784</v>
      </c>
      <c r="K9" s="14" t="n">
        <f aca="false">F296</f>
        <v>273.113893481618</v>
      </c>
      <c r="L9" s="13" t="n">
        <f aca="false">K9/K$4-1</f>
        <v>-0.0870302732861072</v>
      </c>
    </row>
    <row r="10" customFormat="false" ht="17.15" hidden="false" customHeight="false" outlineLevel="0" collapsed="false">
      <c r="A10" s="3" t="s">
        <v>807</v>
      </c>
      <c r="B10" s="3" t="s">
        <v>808</v>
      </c>
      <c r="C10" s="18" t="n">
        <f aca="false">E325</f>
        <v>332.653578333333</v>
      </c>
      <c r="D10" s="18" t="n">
        <f aca="false">E323</f>
        <v>240.429660513333</v>
      </c>
      <c r="E10" s="13" t="n">
        <f aca="false">E339</f>
        <v>0.349385473683191</v>
      </c>
      <c r="F10" s="14" t="n">
        <f aca="false">E348</f>
        <v>209.587070478139</v>
      </c>
      <c r="G10" s="13" t="n">
        <f aca="false">F10/F$4-1</f>
        <v>0</v>
      </c>
      <c r="H10" s="18" t="n">
        <f aca="false">F325</f>
        <v>479.686459956667</v>
      </c>
      <c r="I10" s="18" t="n">
        <f aca="false">F323</f>
        <v>381.929107067467</v>
      </c>
      <c r="J10" s="13" t="n">
        <f aca="false">F339</f>
        <v>0.339785726036607</v>
      </c>
      <c r="K10" s="14" t="n">
        <f aca="false">F348</f>
        <v>299.14890438334</v>
      </c>
      <c r="L10" s="13" t="n">
        <f aca="false">K10/K$4-1</f>
        <v>0</v>
      </c>
    </row>
    <row r="11" customFormat="false" ht="17.15" hidden="false" customHeight="false" outlineLevel="0" collapsed="false">
      <c r="A11" s="3" t="s">
        <v>809</v>
      </c>
      <c r="B11" s="3" t="s">
        <v>810</v>
      </c>
      <c r="C11" s="18" t="n">
        <f aca="false">E377</f>
        <v>316.020899416667</v>
      </c>
      <c r="D11" s="18" t="n">
        <f aca="false">E375</f>
        <v>223.796981596667</v>
      </c>
      <c r="E11" s="13" t="n">
        <f aca="false">E391</f>
        <v>0.324794995004451</v>
      </c>
      <c r="F11" s="14" t="n">
        <f aca="false">E400</f>
        <v>181.858187078088</v>
      </c>
      <c r="G11" s="13" t="n">
        <f aca="false">F11/F$4-1</f>
        <v>-0.132302452325859</v>
      </c>
      <c r="H11" s="18" t="n">
        <f aca="false">F377</f>
        <v>435.179468826667</v>
      </c>
      <c r="I11" s="18" t="n">
        <f aca="false">F375</f>
        <v>337.422115937467</v>
      </c>
      <c r="J11" s="13" t="n">
        <f aca="false">F391</f>
        <v>0.287148162143636</v>
      </c>
      <c r="K11" s="14" t="n">
        <f aca="false">F400</f>
        <v>220.818762171984</v>
      </c>
      <c r="L11" s="13" t="n">
        <f aca="false">K11/K$4-1</f>
        <v>-0.261843319710044</v>
      </c>
    </row>
    <row r="12" customFormat="false" ht="17.15" hidden="false" customHeight="false" outlineLevel="0" collapsed="false">
      <c r="A12" s="3" t="s">
        <v>811</v>
      </c>
      <c r="B12" s="3" t="s">
        <v>812</v>
      </c>
      <c r="C12" s="18" t="n">
        <f aca="false">E429</f>
        <v>359.2658646</v>
      </c>
      <c r="D12" s="18" t="n">
        <f aca="false">E427</f>
        <v>267.04194678</v>
      </c>
      <c r="E12" s="13" t="n">
        <f aca="false">E443</f>
        <v>0.385629508564702</v>
      </c>
      <c r="F12" s="14" t="n">
        <f aca="false">E452</f>
        <v>255.215826823456</v>
      </c>
      <c r="G12" s="13" t="n">
        <f aca="false">F12/F$4-1</f>
        <v>0.21770787788208</v>
      </c>
      <c r="H12" s="18" t="n">
        <f aca="false">F429</f>
        <v>519.24822985</v>
      </c>
      <c r="I12" s="18" t="n">
        <f aca="false">F427</f>
        <v>421.4908769608</v>
      </c>
      <c r="J12" s="13" t="n">
        <f aca="false">F443</f>
        <v>0.380794591036643</v>
      </c>
      <c r="K12" s="14" t="n">
        <f aca="false">F452</f>
        <v>370.756948730171</v>
      </c>
      <c r="L12" s="13" t="n">
        <f aca="false">K12/K$4-1</f>
        <v>0.239372577661423</v>
      </c>
    </row>
    <row r="13" customFormat="false" ht="17.15" hidden="false" customHeight="false" outlineLevel="0" collapsed="false">
      <c r="A13" s="3" t="s">
        <v>813</v>
      </c>
      <c r="B13" s="3" t="s">
        <v>814</v>
      </c>
      <c r="C13" s="18" t="n">
        <f aca="false">E481</f>
        <v>300.074104166667</v>
      </c>
      <c r="D13" s="18" t="n">
        <f aca="false">E479</f>
        <v>207.850186346667</v>
      </c>
      <c r="E13" s="13" t="n">
        <f aca="false">E495</f>
        <v>0.346977471326784</v>
      </c>
      <c r="F13" s="14" t="n">
        <f aca="false">E504</f>
        <v>186.432880524106</v>
      </c>
      <c r="G13" s="13" t="n">
        <f aca="false">F13/F$4-1</f>
        <v>-0.110475278370991</v>
      </c>
      <c r="H13" s="18" t="n">
        <f aca="false">F481</f>
        <v>442.429259183333</v>
      </c>
      <c r="I13" s="18" t="n">
        <f aca="false">F479</f>
        <v>344.671906294133</v>
      </c>
      <c r="J13" s="13" t="n">
        <f aca="false">F495</f>
        <v>0.338746352102817</v>
      </c>
      <c r="K13" s="14" t="n">
        <f aca="false">F504</f>
        <v>273.827948296823</v>
      </c>
      <c r="L13" s="13" t="n">
        <f aca="false">K13/K$4-1</f>
        <v>-0.0846433188137974</v>
      </c>
    </row>
    <row r="14" customFormat="false" ht="17.15" hidden="false" customHeight="false" outlineLevel="0" collapsed="false">
      <c r="A14" s="3" t="s">
        <v>815</v>
      </c>
      <c r="B14" s="3" t="s">
        <v>816</v>
      </c>
      <c r="C14" s="18" t="n">
        <f aca="false">E533</f>
        <v>351.515379166667</v>
      </c>
      <c r="D14" s="18" t="n">
        <f aca="false">E531</f>
        <v>259.291461346667</v>
      </c>
      <c r="E14" s="13" t="n">
        <f aca="false">E547</f>
        <v>0.350575564706575</v>
      </c>
      <c r="F14" s="14" t="n">
        <f aca="false">E556</f>
        <v>222.992127819947</v>
      </c>
      <c r="G14" s="13" t="n">
        <f aca="false">F14/F$4-1</f>
        <v>0.0639593716884679</v>
      </c>
      <c r="H14" s="18" t="n">
        <f aca="false">F533</f>
        <v>502.97221044</v>
      </c>
      <c r="I14" s="18" t="n">
        <f aca="false">F531</f>
        <v>405.2148575508</v>
      </c>
      <c r="J14" s="13" t="n">
        <f aca="false">F547</f>
        <v>0.340357141104374</v>
      </c>
      <c r="K14" s="14" t="n">
        <f aca="false">F556</f>
        <v>314.96129751588</v>
      </c>
      <c r="L14" s="13" t="n">
        <f aca="false">K14/K$4-1</f>
        <v>0.052857934295748</v>
      </c>
    </row>
    <row r="15" customFormat="false" ht="17.15" hidden="false" customHeight="false" outlineLevel="0" collapsed="false">
      <c r="A15" s="3" t="s">
        <v>817</v>
      </c>
      <c r="B15" s="3" t="s">
        <v>818</v>
      </c>
      <c r="C15" s="18" t="n">
        <f aca="false">E585</f>
        <v>292.735148933333</v>
      </c>
      <c r="D15" s="18" t="n">
        <f aca="false">E583</f>
        <v>200.511231113333</v>
      </c>
      <c r="E15" s="13" t="n">
        <f aca="false">E599</f>
        <v>0.346361068809713</v>
      </c>
      <c r="F15" s="14" t="n">
        <f aca="false">E608</f>
        <v>181.217094576566</v>
      </c>
      <c r="G15" s="13" t="n">
        <f aca="false">F15/F$4-1</f>
        <v>-0.13536128844614</v>
      </c>
      <c r="H15" s="18" t="n">
        <f aca="false">F585</f>
        <v>394.028163535833</v>
      </c>
      <c r="I15" s="18" t="n">
        <f aca="false">F583</f>
        <v>296.270810646633</v>
      </c>
      <c r="J15" s="13" t="n">
        <f aca="false">F599</f>
        <v>0.337102559631442</v>
      </c>
      <c r="K15" s="14" t="n">
        <f aca="false">F608</f>
        <v>240.936516101708</v>
      </c>
      <c r="L15" s="13" t="n">
        <f aca="false">K15/K$4-1</f>
        <v>-0.194593352770688</v>
      </c>
    </row>
    <row r="16" customFormat="false" ht="17.15" hidden="false" customHeight="false" outlineLevel="0" collapsed="false">
      <c r="A16" s="3" t="s">
        <v>819</v>
      </c>
      <c r="B16" s="3" t="s">
        <v>820</v>
      </c>
      <c r="C16" s="18" t="n">
        <f aca="false">E637</f>
        <v>385.878150866667</v>
      </c>
      <c r="D16" s="18" t="n">
        <f aca="false">E635</f>
        <v>293.654233046667</v>
      </c>
      <c r="E16" s="13" t="n">
        <f aca="false">E651</f>
        <v>0.352444641831075</v>
      </c>
      <c r="F16" s="14" t="n">
        <f aca="false">E660</f>
        <v>247.413705013569</v>
      </c>
      <c r="G16" s="13" t="n">
        <f aca="false">F16/F$4-1</f>
        <v>0.180481717928187</v>
      </c>
      <c r="H16" s="18" t="n">
        <f aca="false">F637</f>
        <v>510.284983401045</v>
      </c>
      <c r="I16" s="18" t="n">
        <f aca="false">F635</f>
        <v>412.527630511844</v>
      </c>
      <c r="J16" s="13" t="n">
        <f aca="false">F651</f>
        <v>0.340525830666356</v>
      </c>
      <c r="K16" s="14" t="n">
        <f aca="false">F660</f>
        <v>319.686817405119</v>
      </c>
      <c r="L16" s="13" t="n">
        <f aca="false">K16/K$4-1</f>
        <v>0.0686544818344401</v>
      </c>
    </row>
    <row r="17" customFormat="false" ht="17.15" hidden="false" customHeight="false" outlineLevel="0" collapsed="false">
      <c r="A17" s="0" t="s">
        <v>821</v>
      </c>
      <c r="B17" s="0" t="s">
        <v>822</v>
      </c>
      <c r="C17" s="18" t="n">
        <f aca="false">E689</f>
        <v>332.653578333333</v>
      </c>
      <c r="D17" s="18" t="n">
        <f aca="false">E687</f>
        <v>240.429660513333</v>
      </c>
      <c r="E17" s="13" t="n">
        <f aca="false">E703</f>
        <v>0.349385473683191</v>
      </c>
      <c r="F17" s="14" t="n">
        <f aca="false">E712</f>
        <v>209.587070478139</v>
      </c>
      <c r="G17" s="13" t="n">
        <f aca="false">F17/F$4-1</f>
        <v>0</v>
      </c>
      <c r="H17" s="18" t="n">
        <f aca="false">F689</f>
        <v>427.779457298676</v>
      </c>
      <c r="I17" s="18" t="n">
        <f aca="false">F687</f>
        <v>330.022104409476</v>
      </c>
      <c r="J17" s="13" t="n">
        <f aca="false">F703</f>
        <v>0.338288072123118</v>
      </c>
      <c r="K17" s="14" t="n">
        <f aca="false">F712</f>
        <v>263.731237737327</v>
      </c>
      <c r="L17" s="13" t="n">
        <f aca="false">K17/K$4-1</f>
        <v>-0.118394773061335</v>
      </c>
    </row>
    <row r="18" customFormat="false" ht="17.15" hidden="false" customHeight="false" outlineLevel="0" collapsed="false">
      <c r="A18" s="0" t="s">
        <v>823</v>
      </c>
      <c r="B18" s="0" t="s">
        <v>824</v>
      </c>
      <c r="C18" s="18" t="n">
        <f aca="false">E741</f>
        <v>332.653578333333</v>
      </c>
      <c r="D18" s="18" t="n">
        <f aca="false">E739</f>
        <v>240.429660513333</v>
      </c>
      <c r="E18" s="13" t="n">
        <f aca="false">E755</f>
        <v>0.349385473683191</v>
      </c>
      <c r="F18" s="14" t="n">
        <f aca="false">E764</f>
        <v>209.587070478139</v>
      </c>
      <c r="G18" s="13" t="n">
        <f aca="false">F18/F$4-1</f>
        <v>0</v>
      </c>
      <c r="H18" s="18" t="n">
        <f aca="false">F741</f>
        <v>479.686459956667</v>
      </c>
      <c r="I18" s="18" t="n">
        <f aca="false">F739</f>
        <v>381.929107067467</v>
      </c>
      <c r="J18" s="13" t="n">
        <f aca="false">F755</f>
        <v>0.339785726036607</v>
      </c>
      <c r="K18" s="14" t="n">
        <f aca="false">F764</f>
        <v>299.14890438334</v>
      </c>
      <c r="L18" s="13" t="n">
        <f aca="false">K18/K$4-1</f>
        <v>0</v>
      </c>
    </row>
    <row r="19" customFormat="false" ht="17.15" hidden="false" customHeight="false" outlineLevel="0" collapsed="false">
      <c r="A19" s="0" t="s">
        <v>825</v>
      </c>
      <c r="B19" s="0" t="s">
        <v>826</v>
      </c>
      <c r="C19" s="18" t="n">
        <f aca="false">E793</f>
        <v>332.653578333333</v>
      </c>
      <c r="D19" s="18" t="n">
        <f aca="false">E791</f>
        <v>240.429660513333</v>
      </c>
      <c r="E19" s="13" t="n">
        <f aca="false">E807</f>
        <v>0.343874958219273</v>
      </c>
      <c r="F19" s="14" t="n">
        <f aca="false">E816</f>
        <v>205.647578008228</v>
      </c>
      <c r="G19" s="13" t="n">
        <f aca="false">F19/F$4-1</f>
        <v>-0.0187964479913928</v>
      </c>
      <c r="H19" s="18" t="n">
        <f aca="false">F793</f>
        <v>479.686459956667</v>
      </c>
      <c r="I19" s="18" t="n">
        <f aca="false">F791</f>
        <v>381.929107067467</v>
      </c>
      <c r="J19" s="13" t="n">
        <f aca="false">F807</f>
        <v>0.33092872325369</v>
      </c>
      <c r="K19" s="14" t="n">
        <f aca="false">F816</f>
        <v>290.018288122709</v>
      </c>
      <c r="L19" s="13" t="n">
        <f aca="false">K19/K$4-1</f>
        <v>-0.0305219779408931</v>
      </c>
    </row>
    <row r="20" customFormat="false" ht="17.15" hidden="false" customHeight="false" outlineLevel="0" collapsed="false">
      <c r="A20" s="0" t="s">
        <v>827</v>
      </c>
      <c r="B20" s="3" t="s">
        <v>828</v>
      </c>
      <c r="C20" s="18" t="n">
        <f aca="false">E845</f>
        <v>332.653578333333</v>
      </c>
      <c r="D20" s="18" t="n">
        <f aca="false">E843</f>
        <v>240.429660513333</v>
      </c>
      <c r="E20" s="13" t="n">
        <f aca="false">E859</f>
        <v>0.354895989147108</v>
      </c>
      <c r="F20" s="14" t="n">
        <f aca="false">E868</f>
        <v>213.52656294805</v>
      </c>
      <c r="G20" s="13" t="n">
        <f aca="false">F20/F$4-1</f>
        <v>0.0187964479913929</v>
      </c>
      <c r="H20" s="18" t="n">
        <f aca="false">F845</f>
        <v>479.686459956667</v>
      </c>
      <c r="I20" s="18" t="n">
        <f aca="false">F843</f>
        <v>381.929107067467</v>
      </c>
      <c r="J20" s="13" t="n">
        <f aca="false">F859</f>
        <v>0.348642728819524</v>
      </c>
      <c r="K20" s="14" t="n">
        <f aca="false">F868</f>
        <v>308.279520643971</v>
      </c>
      <c r="L20" s="13" t="n">
        <f aca="false">K20/K$4-1</f>
        <v>0.030521977940893</v>
      </c>
    </row>
    <row r="21" customFormat="false" ht="17.15" hidden="false" customHeight="false" outlineLevel="0" collapsed="false">
      <c r="A21" s="3" t="s">
        <v>829</v>
      </c>
      <c r="B21" s="0" t="s">
        <v>830</v>
      </c>
      <c r="C21" s="18" t="n">
        <f aca="false">E897</f>
        <v>332.653578333333</v>
      </c>
      <c r="D21" s="18" t="n">
        <f aca="false">E895</f>
        <v>247.261061833333</v>
      </c>
      <c r="E21" s="13" t="n">
        <f aca="false">E911</f>
        <v>0.351028360281129</v>
      </c>
      <c r="F21" s="14" t="n">
        <f aca="false">E920</f>
        <v>210.761577549913</v>
      </c>
      <c r="G21" s="13" t="n">
        <f aca="false">F21/F$4-1</f>
        <v>0.00560390996016702</v>
      </c>
      <c r="H21" s="18" t="n">
        <f aca="false">F897</f>
        <v>479.686459956667</v>
      </c>
      <c r="I21" s="18" t="n">
        <f aca="false">F895</f>
        <v>394.293943456667</v>
      </c>
      <c r="J21" s="13" t="n">
        <f aca="false">F911</f>
        <v>0.341346875127411</v>
      </c>
      <c r="K21" s="14" t="n">
        <f aca="false">F920</f>
        <v>300.758281011431</v>
      </c>
      <c r="L21" s="13" t="n">
        <f aca="false">K21/K$4-1</f>
        <v>0.00537985131989216</v>
      </c>
    </row>
    <row r="22" customFormat="false" ht="17.15" hidden="false" customHeight="false" outlineLevel="0" collapsed="false">
      <c r="A22" s="3" t="s">
        <v>831</v>
      </c>
      <c r="B22" s="0" t="s">
        <v>832</v>
      </c>
      <c r="C22" s="18" t="n">
        <f aca="false">E949</f>
        <v>332.653578333333</v>
      </c>
      <c r="D22" s="18" t="n">
        <f aca="false">E947</f>
        <v>234.452184358333</v>
      </c>
      <c r="E22" s="13" t="n">
        <f aca="false">E963</f>
        <v>0.347947947909995</v>
      </c>
      <c r="F22" s="14" t="n">
        <f aca="false">E972</f>
        <v>208.559376790336</v>
      </c>
      <c r="G22" s="13" t="n">
        <f aca="false">F22/F$4-1</f>
        <v>-0.00490342121514586</v>
      </c>
      <c r="H22" s="18" t="n">
        <f aca="false">F949</f>
        <v>479.686459956667</v>
      </c>
      <c r="I22" s="18" t="n">
        <f aca="false">F947</f>
        <v>369.700898704667</v>
      </c>
      <c r="J22" s="13" t="n">
        <f aca="false">F963</f>
        <v>0.338241827212</v>
      </c>
      <c r="K22" s="14" t="n">
        <f aca="false">F972</f>
        <v>297.55731092241</v>
      </c>
      <c r="L22" s="13" t="n">
        <f aca="false">K22/K$4-1</f>
        <v>-0.00532040544895396</v>
      </c>
    </row>
    <row r="23" customFormat="false" ht="17.15" hidden="false" customHeight="false" outlineLevel="0" collapsed="false">
      <c r="A23" s="3" t="s">
        <v>833</v>
      </c>
      <c r="B23" s="0" t="s">
        <v>834</v>
      </c>
      <c r="C23" s="18" t="n">
        <f aca="false">PL!E137</f>
        <v>332.653578333333</v>
      </c>
      <c r="D23" s="18" t="n">
        <f aca="false">PL!E135</f>
        <v>240.429660513333</v>
      </c>
      <c r="E23" s="13" t="n">
        <f aca="false">PL!E151</f>
        <v>0.349385473683191</v>
      </c>
      <c r="F23" s="14" t="n">
        <f aca="false">PL!E160</f>
        <v>209.587070478139</v>
      </c>
      <c r="G23" s="13" t="n">
        <f aca="false">F23/F$4-1</f>
        <v>0</v>
      </c>
      <c r="H23" s="18" t="n">
        <f aca="false">PL!F137</f>
        <v>427.779457298676</v>
      </c>
      <c r="I23" s="18" t="n">
        <f aca="false">PL!F135</f>
        <v>330.022104409476</v>
      </c>
      <c r="J23" s="13" t="n">
        <f aca="false">PL!F151</f>
        <v>0.338288072123118</v>
      </c>
      <c r="K23" s="14" t="n">
        <f aca="false">PL!F160</f>
        <v>263.731237737327</v>
      </c>
      <c r="L23" s="13" t="n">
        <f aca="false">K23/K$4-1</f>
        <v>-0.118394773061335</v>
      </c>
    </row>
    <row r="24" customFormat="false" ht="17.15" hidden="false" customHeight="false" outlineLevel="0" collapsed="false">
      <c r="A24" s="3" t="s">
        <v>835</v>
      </c>
      <c r="B24" s="0" t="s">
        <v>836</v>
      </c>
      <c r="C24" s="18" t="n">
        <f aca="false">PL!E189</f>
        <v>332.653578333333</v>
      </c>
      <c r="D24" s="18" t="n">
        <f aca="false">PL!E187</f>
        <v>240.429660513333</v>
      </c>
      <c r="E24" s="13" t="n">
        <f aca="false">PL!E203</f>
        <v>0.349385473683191</v>
      </c>
      <c r="F24" s="14" t="n">
        <f aca="false">PL!E212</f>
        <v>209.587070478139</v>
      </c>
      <c r="G24" s="13" t="n">
        <f aca="false">F24/F$4-1</f>
        <v>0</v>
      </c>
      <c r="H24" s="18" t="n">
        <f aca="false">PL!F189</f>
        <v>345.273931196307</v>
      </c>
      <c r="I24" s="18" t="n">
        <f aca="false">PL!F187</f>
        <v>247.516578307107</v>
      </c>
      <c r="J24" s="13" t="n">
        <f aca="false">PL!F203</f>
        <v>0.334980858696562</v>
      </c>
      <c r="K24" s="14" t="n">
        <f aca="false">PL!F212</f>
        <v>207.435303271581</v>
      </c>
      <c r="L24" s="13" t="n">
        <f aca="false">K24/K$4-1</f>
        <v>-0.306581771712707</v>
      </c>
    </row>
    <row r="26" customFormat="false" ht="17.15" hidden="false" customHeight="false" outlineLevel="0" collapsed="false">
      <c r="A26" s="3" t="s">
        <v>837</v>
      </c>
    </row>
    <row r="40" customFormat="false" ht="17.15" hidden="false" customHeight="false" outlineLevel="0" collapsed="false">
      <c r="A40" s="1" t="s">
        <v>838</v>
      </c>
    </row>
    <row r="41" customFormat="false" ht="17.15" hidden="false" customHeight="false" outlineLevel="0" collapsed="false">
      <c r="A41" s="4" t="s">
        <v>23</v>
      </c>
      <c r="B41" s="4" t="s">
        <v>24</v>
      </c>
      <c r="C41" s="10" t="s">
        <v>383</v>
      </c>
      <c r="D41" s="10" t="s">
        <v>469</v>
      </c>
      <c r="E41" s="10" t="s">
        <v>470</v>
      </c>
      <c r="F41" s="10" t="s">
        <v>471</v>
      </c>
      <c r="G41" s="10" t="s">
        <v>472</v>
      </c>
      <c r="H41" s="4" t="s">
        <v>437</v>
      </c>
    </row>
    <row r="42" customFormat="false" ht="17.15" hidden="false" customHeight="false" outlineLevel="0" collapsed="false">
      <c r="A42" s="5" t="s">
        <v>487</v>
      </c>
    </row>
    <row r="43" customFormat="false" ht="17.15" hidden="false" customHeight="false" outlineLevel="0" collapsed="false">
      <c r="A43" s="0" t="s">
        <v>488</v>
      </c>
      <c r="B43" s="0" t="s">
        <v>34</v>
      </c>
      <c r="D43" s="19" t="n">
        <f aca="false">itc_26*1</f>
        <v>781.872916666666</v>
      </c>
      <c r="E43" s="19" t="n">
        <f aca="false">itc_27*1*1</f>
        <v>1565.35</v>
      </c>
      <c r="F43" s="19" t="n">
        <f aca="false">itc_28*um28_A*1</f>
        <v>1984.26388888889</v>
      </c>
      <c r="G43" s="19" t="n">
        <f aca="false">itc_29*um29_A*1</f>
        <v>2260.39027777778</v>
      </c>
    </row>
    <row r="44" customFormat="false" ht="17.15" hidden="false" customHeight="false" outlineLevel="0" collapsed="false">
      <c r="A44" s="3" t="s">
        <v>489</v>
      </c>
      <c r="B44" s="0" t="s">
        <v>34</v>
      </c>
      <c r="D44" s="19" t="n">
        <f aca="false">itpg_gb*(1-vr26)+itpg_vr*vr26</f>
        <v>33.41403216</v>
      </c>
      <c r="E44" s="19" t="n">
        <f aca="false">itpg_vr</f>
        <v>37.586352</v>
      </c>
      <c r="F44" s="19" t="n">
        <f aca="false">itpg_vr</f>
        <v>37.586352</v>
      </c>
      <c r="G44" s="19" t="n">
        <f aca="false">itpg_vr</f>
        <v>37.586352</v>
      </c>
    </row>
    <row r="45" customFormat="false" ht="17.15" hidden="false" customHeight="false" outlineLevel="0" collapsed="false">
      <c r="A45" s="3" t="s">
        <v>490</v>
      </c>
      <c r="B45" s="0" t="s">
        <v>439</v>
      </c>
      <c r="D45" s="16" t="n">
        <f aca="false">D43/D44</f>
        <v>23.3995380420639</v>
      </c>
      <c r="E45" s="16" t="n">
        <f aca="false">E43/E44</f>
        <v>41.6467658260637</v>
      </c>
      <c r="F45" s="16" t="n">
        <f aca="false">F43/F44</f>
        <v>52.792138191248</v>
      </c>
      <c r="G45" s="16" t="n">
        <f aca="false">G43/G44</f>
        <v>60.1385917361116</v>
      </c>
    </row>
    <row r="46" customFormat="false" ht="17.15" hidden="false" customHeight="false" outlineLevel="0" collapsed="false">
      <c r="A46" s="3" t="s">
        <v>441</v>
      </c>
      <c r="B46" s="0" t="s">
        <v>94</v>
      </c>
      <c r="D46" s="17" t="n">
        <f aca="false">cmp_26</f>
        <v>190</v>
      </c>
      <c r="E46" s="17" t="n">
        <f aca="false">cmp_26*CXLO_27</f>
        <v>228</v>
      </c>
      <c r="F46" s="17" t="n">
        <f aca="false">cmp_26*CXLO_28</f>
        <v>247</v>
      </c>
      <c r="G46" s="17" t="n">
        <f aca="false">cmp_26*CXLO_29</f>
        <v>247</v>
      </c>
    </row>
    <row r="47" customFormat="false" ht="17.15" hidden="false" customHeight="false" outlineLevel="0" collapsed="false">
      <c r="A47" s="3" t="s">
        <v>443</v>
      </c>
      <c r="B47" s="0" t="s">
        <v>94</v>
      </c>
      <c r="D47" s="17" t="n">
        <f aca="false">sw_26</f>
        <v>90</v>
      </c>
      <c r="E47" s="17" t="n">
        <f aca="false">sw_26*SXLO_27</f>
        <v>103.5</v>
      </c>
      <c r="F47" s="17" t="n">
        <f aca="false">sw_26*SXLO_28</f>
        <v>112.5</v>
      </c>
      <c r="G47" s="17" t="n">
        <f aca="false">sw_26*SXLO_29</f>
        <v>117</v>
      </c>
    </row>
    <row r="48" customFormat="false" ht="17.15" hidden="false" customHeight="false" outlineLevel="0" collapsed="false">
      <c r="A48" s="3" t="s">
        <v>444</v>
      </c>
      <c r="B48" s="0" t="s">
        <v>94</v>
      </c>
      <c r="D48" s="17" t="n">
        <f aca="false">ubb_26</f>
        <v>70</v>
      </c>
      <c r="E48" s="17" t="n">
        <f aca="false">ubb_26*UXLO_27</f>
        <v>91</v>
      </c>
      <c r="F48" s="17" t="n">
        <f aca="false">ubb_26*UXLO_28</f>
        <v>105</v>
      </c>
      <c r="G48" s="17" t="n">
        <f aca="false">ubb_26*UXLO_29</f>
        <v>105</v>
      </c>
    </row>
    <row r="49" customFormat="false" ht="17.15" hidden="false" customHeight="false" outlineLevel="0" collapsed="false">
      <c r="A49" s="3" t="s">
        <v>491</v>
      </c>
      <c r="B49" s="0" t="s">
        <v>94</v>
      </c>
      <c r="D49" s="17" t="n">
        <f aca="false">D46+D47+D48</f>
        <v>350</v>
      </c>
      <c r="E49" s="17" t="n">
        <f aca="false">E46+E47+E48</f>
        <v>422.5</v>
      </c>
      <c r="F49" s="17" t="n">
        <f aca="false">F46+F47+F48</f>
        <v>464.5</v>
      </c>
      <c r="G49" s="17" t="n">
        <f aca="false">G46+G47+G48</f>
        <v>469</v>
      </c>
    </row>
    <row r="50" customFormat="false" ht="17.15" hidden="false" customHeight="false" outlineLevel="0" collapsed="false">
      <c r="A50" s="0" t="s">
        <v>492</v>
      </c>
      <c r="B50" s="0" t="s">
        <v>34</v>
      </c>
      <c r="D50" s="19" t="n">
        <f aca="false">D45*D49/1000</f>
        <v>8.18983831472236</v>
      </c>
      <c r="E50" s="19" t="n">
        <f aca="false">E45*E49/1000</f>
        <v>17.5957585615119</v>
      </c>
      <c r="F50" s="19" t="n">
        <f aca="false">F45*F49/1000</f>
        <v>24.5219481898347</v>
      </c>
      <c r="G50" s="19" t="n">
        <f aca="false">G45*G49/1000</f>
        <v>28.2049995242363</v>
      </c>
    </row>
    <row r="51" customFormat="false" ht="17.15" hidden="false" customHeight="false" outlineLevel="0" collapsed="false">
      <c r="A51" s="0" t="s">
        <v>493</v>
      </c>
      <c r="B51" s="0" t="s">
        <v>214</v>
      </c>
      <c r="D51" s="18" t="n">
        <f aca="false">D50*fx</f>
        <v>262.074826071116</v>
      </c>
      <c r="E51" s="18" t="n">
        <f aca="false">E50*fx</f>
        <v>563.064273968381</v>
      </c>
      <c r="F51" s="18" t="n">
        <f aca="false">F50*fx</f>
        <v>784.70234207471</v>
      </c>
      <c r="G51" s="18" t="n">
        <f aca="false">G50*fx</f>
        <v>902.559984775562</v>
      </c>
    </row>
    <row r="52" customFormat="false" ht="17.15" hidden="false" customHeight="false" outlineLevel="0" collapsed="false">
      <c r="A52" s="0" t="s">
        <v>494</v>
      </c>
      <c r="B52" s="0" t="s">
        <v>67</v>
      </c>
      <c r="D52" s="14" t="n">
        <f aca="false">1</f>
        <v>1</v>
      </c>
      <c r="E52" s="14" t="n">
        <f aca="false">pp_27</f>
        <v>1</v>
      </c>
      <c r="F52" s="14" t="n">
        <f aca="false">pp_28</f>
        <v>0.97</v>
      </c>
      <c r="G52" s="14" t="n">
        <f aca="false">pp_29</f>
        <v>0.93</v>
      </c>
    </row>
    <row r="53" customFormat="false" ht="17.15" hidden="false" customHeight="false" outlineLevel="0" collapsed="false">
      <c r="A53" s="3" t="s">
        <v>495</v>
      </c>
      <c r="B53" s="0" t="s">
        <v>54</v>
      </c>
      <c r="D53" s="13" t="n">
        <f aca="false">a26_ai/D51</f>
        <v>0.459306165741139</v>
      </c>
      <c r="H53" s="7" t="s">
        <v>496</v>
      </c>
    </row>
    <row r="54" customFormat="false" ht="17.15" hidden="false" customHeight="false" outlineLevel="0" collapsed="false">
      <c r="A54" s="3" t="s">
        <v>497</v>
      </c>
      <c r="B54" s="0" t="s">
        <v>67</v>
      </c>
      <c r="D54" s="14" t="n">
        <f aca="false">1</f>
        <v>1</v>
      </c>
      <c r="E54" s="14" t="n">
        <f aca="false">rel_27</f>
        <v>0.95</v>
      </c>
      <c r="F54" s="14" t="n">
        <f aca="false">rel_28</f>
        <v>0.9</v>
      </c>
      <c r="G54" s="14" t="n">
        <f aca="false">rel_29</f>
        <v>0.85</v>
      </c>
    </row>
    <row r="55" customFormat="false" ht="15" hidden="false" customHeight="false" outlineLevel="0" collapsed="false">
      <c r="A55" s="3" t="s">
        <v>452</v>
      </c>
      <c r="B55" s="0" t="s">
        <v>54</v>
      </c>
      <c r="D55" s="13" t="n">
        <f aca="false">$D$53*D54</f>
        <v>0.459306165741139</v>
      </c>
      <c r="E55" s="13" t="n">
        <f aca="false">$D$53*E54</f>
        <v>0.436340857454082</v>
      </c>
      <c r="F55" s="13" t="n">
        <f aca="false">$D$53*F54</f>
        <v>0.413375549167025</v>
      </c>
      <c r="G55" s="13" t="n">
        <f aca="false">$D$53*G54</f>
        <v>0.390410240879968</v>
      </c>
    </row>
    <row r="56" customFormat="false" ht="17.15" hidden="false" customHeight="false" outlineLevel="0" collapsed="false">
      <c r="A56" s="0" t="s">
        <v>498</v>
      </c>
      <c r="B56" s="0" t="s">
        <v>214</v>
      </c>
      <c r="D56" s="18" t="n">
        <f aca="false">D51*D55*D52</f>
        <v>120.3725835</v>
      </c>
      <c r="E56" s="18" t="n">
        <f aca="false">E51*E55*E52</f>
        <v>245.687948105124</v>
      </c>
      <c r="F56" s="18" t="n">
        <f aca="false">F51*F55*F52</f>
        <v>314.645458740151</v>
      </c>
      <c r="G56" s="18" t="n">
        <f aca="false">G51*G55*G52</f>
        <v>327.702854790308</v>
      </c>
    </row>
    <row r="57" customFormat="false" ht="17.15" hidden="false" customHeight="false" outlineLevel="0" collapsed="false">
      <c r="A57" s="5" t="s">
        <v>499</v>
      </c>
    </row>
    <row r="58" customFormat="false" ht="15" hidden="false" customHeight="false" outlineLevel="0" collapsed="false">
      <c r="A58" s="3" t="s">
        <v>457</v>
      </c>
      <c r="B58" s="3" t="s">
        <v>151</v>
      </c>
      <c r="D58" s="14" t="n">
        <f aca="false">cap_26</f>
        <v>6</v>
      </c>
      <c r="E58" s="14" t="n">
        <f aca="false">cap_27</f>
        <v>7.76</v>
      </c>
      <c r="F58" s="14" t="n">
        <f aca="false">cap_28</f>
        <v>10.3</v>
      </c>
      <c r="G58" s="14" t="n">
        <f aca="false">cap_29</f>
        <v>11.8</v>
      </c>
    </row>
    <row r="59" customFormat="false" ht="17.15" hidden="false" customHeight="false" outlineLevel="0" collapsed="false">
      <c r="A59" s="3" t="s">
        <v>500</v>
      </c>
      <c r="B59" s="0" t="s">
        <v>460</v>
      </c>
      <c r="D59" s="17" t="n">
        <f aca="false">a26_rev/(D58*12)*1000</f>
        <v>2857.84861111111</v>
      </c>
      <c r="H59" s="7" t="s">
        <v>501</v>
      </c>
    </row>
    <row r="60" customFormat="false" ht="17.15" hidden="false" customHeight="false" outlineLevel="0" collapsed="false">
      <c r="A60" s="3" t="s">
        <v>502</v>
      </c>
      <c r="B60" s="0" t="s">
        <v>67</v>
      </c>
      <c r="D60" s="14" t="n">
        <f aca="false">1</f>
        <v>1</v>
      </c>
      <c r="E60" s="14" t="n">
        <f aca="false">mix_27</f>
        <v>1.25</v>
      </c>
      <c r="F60" s="14" t="n">
        <f aca="false">mix_28</f>
        <v>1.4</v>
      </c>
      <c r="G60" s="14" t="n">
        <f aca="false">mix_29</f>
        <v>1.5</v>
      </c>
    </row>
    <row r="61" customFormat="false" ht="17.15" hidden="false" customHeight="false" outlineLevel="0" collapsed="false">
      <c r="A61" s="3" t="s">
        <v>503</v>
      </c>
      <c r="B61" s="0" t="s">
        <v>214</v>
      </c>
      <c r="D61" s="18" t="n">
        <f aca="false">D58*12*$D$59*D60*D52/1000</f>
        <v>205.7651</v>
      </c>
      <c r="E61" s="18" t="n">
        <f aca="false">E58*12*$D$59*E60*E52/1000</f>
        <v>332.653578333333</v>
      </c>
      <c r="F61" s="18" t="n">
        <f aca="false">F58*12*$D$59*F60*F52/1000</f>
        <v>479.686459956667</v>
      </c>
      <c r="G61" s="18" t="n">
        <f aca="false">G58*12*$D$59*G60*G52/1000</f>
        <v>564.51655185</v>
      </c>
    </row>
    <row r="62" customFormat="false" ht="17.15" hidden="false" customHeight="false" outlineLevel="0" collapsed="false">
      <c r="A62" s="3" t="s">
        <v>504</v>
      </c>
      <c r="B62" s="0" t="s">
        <v>214</v>
      </c>
      <c r="C62" s="18" t="n">
        <f aca="false">a25_nai</f>
        <v>47.1305</v>
      </c>
      <c r="D62" s="18" t="n">
        <f aca="false">a26_nai</f>
        <v>85.3925165</v>
      </c>
      <c r="E62" s="18" t="n">
        <f aca="false">D62*(1+g_nai27)</f>
        <v>92.22391782</v>
      </c>
      <c r="F62" s="18" t="n">
        <f aca="false">E62*(1+g_nai28)</f>
        <v>97.7573528892</v>
      </c>
      <c r="G62" s="18" t="n">
        <f aca="false">F62*(1+g_nai29)</f>
        <v>102.64522053366</v>
      </c>
    </row>
    <row r="63" customFormat="false" ht="17.15" hidden="false" customHeight="false" outlineLevel="0" collapsed="false">
      <c r="A63" s="0" t="s">
        <v>505</v>
      </c>
      <c r="B63" s="0" t="s">
        <v>214</v>
      </c>
      <c r="C63" s="18" t="n">
        <f aca="false">a25_ai</f>
        <v>47.1305</v>
      </c>
      <c r="D63" s="18" t="n">
        <f aca="false">D56</f>
        <v>120.3725835</v>
      </c>
      <c r="E63" s="18" t="n">
        <f aca="false">MIN(E56,E61-E62)</f>
        <v>240.429660513333</v>
      </c>
      <c r="F63" s="18" t="n">
        <f aca="false">MIN(F56,F61-F62)</f>
        <v>314.645458740151</v>
      </c>
      <c r="G63" s="18" t="n">
        <f aca="false">MIN(G56,G61-G62)</f>
        <v>327.702854790308</v>
      </c>
      <c r="H63" s="3" t="s">
        <v>506</v>
      </c>
    </row>
    <row r="64" customFormat="false" ht="15" hidden="false" customHeight="false" outlineLevel="0" collapsed="false">
      <c r="A64" s="3" t="s">
        <v>507</v>
      </c>
      <c r="E64" s="0" t="str">
        <f aca="false">IF(E56&gt;E61-E62+0.0001,"受限","未受限")</f>
        <v>受限</v>
      </c>
      <c r="F64" s="0" t="str">
        <f aca="false">IF(F56&gt;F61-F62+0.0001,"受限","未受限")</f>
        <v>未受限</v>
      </c>
      <c r="G64" s="0" t="str">
        <f aca="false">IF(G56&gt;G61-G62+0.0001,"受限","未受限")</f>
        <v>未受限</v>
      </c>
    </row>
    <row r="65" customFormat="false" ht="15" hidden="false" customHeight="false" outlineLevel="0" collapsed="false">
      <c r="A65" s="3" t="s">
        <v>388</v>
      </c>
      <c r="B65" s="0" t="s">
        <v>214</v>
      </c>
      <c r="C65" s="18" t="n">
        <f aca="false">C63+C62</f>
        <v>94.261</v>
      </c>
      <c r="D65" s="18" t="n">
        <f aca="false">D63+D62</f>
        <v>205.7651</v>
      </c>
      <c r="E65" s="18" t="n">
        <f aca="false">E63+E62</f>
        <v>332.653578333333</v>
      </c>
      <c r="F65" s="18" t="n">
        <f aca="false">F63+F62</f>
        <v>412.402811629351</v>
      </c>
      <c r="G65" s="18" t="n">
        <f aca="false">G63+G62</f>
        <v>430.348075323969</v>
      </c>
    </row>
    <row r="66" customFormat="false" ht="15" hidden="false" customHeight="false" outlineLevel="0" collapsed="false">
      <c r="A66" s="3" t="s">
        <v>508</v>
      </c>
      <c r="B66" s="0" t="s">
        <v>54</v>
      </c>
      <c r="D66" s="13" t="n">
        <f aca="false">D65/C65-1</f>
        <v>1.1829293132897</v>
      </c>
      <c r="E66" s="13" t="n">
        <f aca="false">E65/D65-1</f>
        <v>0.616666666666667</v>
      </c>
      <c r="F66" s="13" t="n">
        <f aca="false">F65/E65-1</f>
        <v>0.239736586317749</v>
      </c>
      <c r="G66" s="13" t="n">
        <f aca="false">G65/F65-1</f>
        <v>0.0435139217982496</v>
      </c>
    </row>
    <row r="67" customFormat="false" ht="17.15" hidden="false" customHeight="false" outlineLevel="0" collapsed="false">
      <c r="A67" s="3" t="s">
        <v>509</v>
      </c>
      <c r="B67" s="0" t="s">
        <v>214</v>
      </c>
      <c r="C67" s="18" t="n">
        <f aca="false">inf25*C65-C63</f>
        <v>16.495675</v>
      </c>
      <c r="D67" s="18" t="n">
        <f aca="false">inf26*D65-D63</f>
        <v>33.9512415</v>
      </c>
      <c r="E67" s="18" t="n">
        <f aca="false">E62*$D67/$D62</f>
        <v>36.66734082</v>
      </c>
      <c r="F67" s="18" t="n">
        <f aca="false">F62*$D67/$D62</f>
        <v>38.8673812692</v>
      </c>
      <c r="G67" s="18" t="n">
        <f aca="false">G62*$D67/$D62</f>
        <v>40.81075033266</v>
      </c>
      <c r="H67" s="3" t="s">
        <v>510</v>
      </c>
    </row>
    <row r="68" customFormat="false" ht="17.15" hidden="false" customHeight="false" outlineLevel="0" collapsed="false">
      <c r="A68" s="3" t="s">
        <v>511</v>
      </c>
      <c r="B68" s="0" t="s">
        <v>214</v>
      </c>
      <c r="C68" s="18" t="n">
        <f aca="false">C63+C67</f>
        <v>63.626175</v>
      </c>
      <c r="D68" s="18" t="n">
        <f aca="false">D63+D67</f>
        <v>154.323825</v>
      </c>
      <c r="E68" s="18" t="n">
        <f aca="false">E63+E67</f>
        <v>277.097001333333</v>
      </c>
      <c r="F68" s="18" t="n">
        <f aca="false">F63+F67</f>
        <v>353.512840009351</v>
      </c>
      <c r="G68" s="18" t="n">
        <f aca="false">G63+G67</f>
        <v>368.513605122968</v>
      </c>
      <c r="H68" s="3" t="s">
        <v>512</v>
      </c>
    </row>
    <row r="69" customFormat="false" ht="15" hidden="false" customHeight="false" outlineLevel="0" collapsed="false">
      <c r="A69" s="3" t="s">
        <v>513</v>
      </c>
      <c r="B69" s="0" t="s">
        <v>214</v>
      </c>
      <c r="C69" s="18" t="n">
        <f aca="false">mob25*C65</f>
        <v>21.208725</v>
      </c>
      <c r="D69" s="18" t="n">
        <f aca="false">mob26*D65</f>
        <v>37.037718</v>
      </c>
      <c r="E69" s="18" t="n">
        <f aca="false">E62*$D69/$D62</f>
        <v>40.00073544</v>
      </c>
      <c r="F69" s="18" t="n">
        <f aca="false">F62*$D69/$D62</f>
        <v>42.4007795664</v>
      </c>
      <c r="G69" s="18" t="n">
        <f aca="false">G62*$D69/$D62</f>
        <v>44.52081854472</v>
      </c>
      <c r="H69" s="3" t="s">
        <v>514</v>
      </c>
    </row>
    <row r="70" customFormat="false" ht="15" hidden="false" customHeight="false" outlineLevel="0" collapsed="false">
      <c r="A70" s="3" t="s">
        <v>515</v>
      </c>
      <c r="B70" s="0" t="s">
        <v>214</v>
      </c>
      <c r="C70" s="18" t="n">
        <f aca="false">C65-C68-C69</f>
        <v>9.42609999999999</v>
      </c>
      <c r="D70" s="18" t="n">
        <f aca="false">D65-D68-D69</f>
        <v>14.403557</v>
      </c>
      <c r="E70" s="18" t="n">
        <f aca="false">E65-E68-E69</f>
        <v>15.55584156</v>
      </c>
      <c r="F70" s="18" t="n">
        <f aca="false">F65-F68-F69</f>
        <v>16.4891920536</v>
      </c>
      <c r="G70" s="18" t="n">
        <f aca="false">G65-G68-G69</f>
        <v>17.31365165628</v>
      </c>
      <c r="H70" s="3" t="s">
        <v>516</v>
      </c>
    </row>
    <row r="71" customFormat="false" ht="15" hidden="false" customHeight="false" outlineLevel="0" collapsed="false">
      <c r="A71" s="3" t="s">
        <v>517</v>
      </c>
      <c r="B71" s="0" t="s">
        <v>214</v>
      </c>
      <c r="C71" s="21" t="n">
        <f aca="false">C68+C69+C70-C65</f>
        <v>0</v>
      </c>
      <c r="D71" s="21" t="n">
        <f aca="false">D68+D69+D70-D65</f>
        <v>0</v>
      </c>
      <c r="E71" s="21" t="n">
        <f aca="false">E68+E69+E70-E65</f>
        <v>0</v>
      </c>
      <c r="F71" s="21" t="n">
        <f aca="false">F68+F69+F70-F65</f>
        <v>0</v>
      </c>
      <c r="G71" s="21" t="n">
        <f aca="false">G68+G69+G70-G65</f>
        <v>0</v>
      </c>
    </row>
    <row r="72" customFormat="false" ht="17.15" hidden="false" customHeight="false" outlineLevel="0" collapsed="false">
      <c r="A72" s="0" t="s">
        <v>518</v>
      </c>
      <c r="B72" s="0" t="s">
        <v>54</v>
      </c>
      <c r="C72" s="13" t="n">
        <f aca="false">C63/C65</f>
        <v>0.5</v>
      </c>
      <c r="D72" s="13" t="n">
        <f aca="false">D63/D65</f>
        <v>0.585</v>
      </c>
      <c r="E72" s="13" t="n">
        <f aca="false">E63/E65</f>
        <v>0.722762886597938</v>
      </c>
      <c r="F72" s="13" t="n">
        <f aca="false">F63/F65</f>
        <v>0.76295662848909</v>
      </c>
      <c r="G72" s="13" t="n">
        <f aca="false">G63/G65</f>
        <v>0.761483258740293</v>
      </c>
    </row>
    <row r="73" customFormat="false" ht="17.15" hidden="false" customHeight="false" outlineLevel="0" collapsed="false">
      <c r="A73" s="3" t="s">
        <v>519</v>
      </c>
      <c r="B73" s="0" t="s">
        <v>54</v>
      </c>
      <c r="D73" s="13" t="n">
        <f aca="false">(D56+D62)/D61</f>
        <v>1</v>
      </c>
      <c r="E73" s="13" t="n">
        <f aca="false">(E56+E62)/E61</f>
        <v>1.01580709763633</v>
      </c>
      <c r="F73" s="13" t="n">
        <f aca="false">(F56+F62)/F61</f>
        <v>0.859734109790395</v>
      </c>
      <c r="G73" s="13" t="n">
        <f aca="false">(G56+G62)/G61</f>
        <v>0.762330305309308</v>
      </c>
      <c r="H73" s="3" t="s">
        <v>520</v>
      </c>
    </row>
    <row r="74" customFormat="false" ht="17.15" hidden="false" customHeight="false" outlineLevel="0" collapsed="false">
      <c r="A74" s="3" t="s">
        <v>456</v>
      </c>
      <c r="B74" s="0" t="s">
        <v>94</v>
      </c>
      <c r="D74" s="17" t="n">
        <f aca="false">D63/fx/D45*1000</f>
        <v>160.757158009399</v>
      </c>
      <c r="E74" s="17" t="n">
        <f aca="false">E63/fx/E45*1000</f>
        <v>180.408412082255</v>
      </c>
      <c r="F74" s="17" t="n">
        <f aca="false">F63/fx/F45*1000</f>
        <v>186.252554310441</v>
      </c>
      <c r="G74" s="17" t="n">
        <f aca="false">G63/fx/G45*1000</f>
        <v>170.285234764616</v>
      </c>
    </row>
    <row r="75" customFormat="false" ht="17.15" hidden="false" customHeight="false" outlineLevel="0" collapsed="false">
      <c r="A75" s="5" t="s">
        <v>521</v>
      </c>
    </row>
    <row r="76" customFormat="false" ht="17.15" hidden="false" customHeight="false" outlineLevel="0" collapsed="false">
      <c r="A76" s="3" t="s">
        <v>522</v>
      </c>
      <c r="B76" s="0" t="s">
        <v>54</v>
      </c>
      <c r="D76" s="13" t="n">
        <f aca="false">a26_gp/D65-d_ai*D72</f>
        <v>0.291564442755356</v>
      </c>
      <c r="H76" s="7" t="s">
        <v>523</v>
      </c>
    </row>
    <row r="77" customFormat="false" ht="17.15" hidden="false" customHeight="false" outlineLevel="0" collapsed="false">
      <c r="A77" s="0" t="s">
        <v>524</v>
      </c>
      <c r="B77" s="0" t="s">
        <v>54</v>
      </c>
      <c r="D77" s="13" t="n">
        <f aca="false">D76+d_ai</f>
        <v>0.371564442755356</v>
      </c>
      <c r="E77" s="13" t="n">
        <f aca="false">1-(1-$D$77)/E52</f>
        <v>0.371564442755356</v>
      </c>
      <c r="F77" s="13" t="n">
        <f aca="false">1-(1-$D$77)/F52</f>
        <v>0.352128291500367</v>
      </c>
      <c r="G77" s="13" t="n">
        <f aca="false">1-(1-$D$77)/G52</f>
        <v>0.324262841672425</v>
      </c>
      <c r="H77" s="7" t="s">
        <v>525</v>
      </c>
    </row>
    <row r="78" customFormat="false" ht="15" hidden="false" customHeight="false" outlineLevel="0" collapsed="false">
      <c r="A78" s="3" t="s">
        <v>392</v>
      </c>
      <c r="B78" s="0" t="s">
        <v>214</v>
      </c>
      <c r="C78" s="18" t="n">
        <f aca="false">a25_gp</f>
        <v>28.12</v>
      </c>
      <c r="D78" s="18" t="n">
        <f aca="false">a26_gp</f>
        <v>69.6235934</v>
      </c>
      <c r="E78" s="18" t="n">
        <f aca="false">E63*E77+E62*$D$76</f>
        <v>116.2243280384</v>
      </c>
      <c r="F78" s="18" t="n">
        <f aca="false">F63*F77+F62*$D$76</f>
        <v>139.298135934897</v>
      </c>
      <c r="G78" s="18" t="n">
        <f aca="false">G63*G77+G62*$D$76</f>
        <v>136.189555444869</v>
      </c>
    </row>
    <row r="79" customFormat="false" ht="15" hidden="false" customHeight="false" outlineLevel="0" collapsed="false">
      <c r="A79" s="3" t="s">
        <v>395</v>
      </c>
      <c r="B79" s="0" t="s">
        <v>54</v>
      </c>
      <c r="C79" s="13" t="n">
        <f aca="false">C78/C65</f>
        <v>0.298320620405046</v>
      </c>
      <c r="D79" s="13" t="n">
        <f aca="false">D78/D65</f>
        <v>0.338364442755356</v>
      </c>
      <c r="E79" s="13" t="n">
        <f aca="false">E78/E65</f>
        <v>0.349385473683191</v>
      </c>
      <c r="F79" s="13" t="n">
        <f aca="false">F78/F65</f>
        <v>0.337772032602172</v>
      </c>
      <c r="G79" s="13" t="n">
        <f aca="false">G78/G65</f>
        <v>0.316463726118316</v>
      </c>
    </row>
    <row r="80" customFormat="false" ht="15" hidden="false" customHeight="false" outlineLevel="0" collapsed="false">
      <c r="A80" s="3" t="s">
        <v>526</v>
      </c>
      <c r="B80" s="0" t="s">
        <v>214</v>
      </c>
      <c r="C80" s="18" t="n">
        <f aca="false">a25_opx</f>
        <v>9.012</v>
      </c>
      <c r="D80" s="18" t="n">
        <f aca="false">a26_opx</f>
        <v>14.0153081141857</v>
      </c>
      <c r="E80" s="18" t="n">
        <f aca="false">D80*(1+MAX(0,phi*E66))</f>
        <v>19.2009721164345</v>
      </c>
      <c r="F80" s="18" t="n">
        <f aca="false">E80*(1+MAX(0,phi*F66))</f>
        <v>21.9628774219402</v>
      </c>
      <c r="G80" s="18" t="n">
        <f aca="false">F80*(1+MAX(0,phi*G66))</f>
        <v>22.536291980302</v>
      </c>
    </row>
    <row r="81" customFormat="false" ht="15" hidden="false" customHeight="false" outlineLevel="0" collapsed="false">
      <c r="A81" s="3" t="s">
        <v>397</v>
      </c>
      <c r="B81" s="0" t="s">
        <v>214</v>
      </c>
      <c r="C81" s="18" t="n">
        <f aca="false">C80</f>
        <v>9.012</v>
      </c>
      <c r="D81" s="18" t="n">
        <f aca="false">D80</f>
        <v>14.0153081141857</v>
      </c>
      <c r="E81" s="18" t="n">
        <f aca="false">E80+0*E65</f>
        <v>19.2009721164345</v>
      </c>
      <c r="F81" s="18" t="n">
        <f aca="false">F80+0*F65</f>
        <v>21.9628774219402</v>
      </c>
      <c r="G81" s="18" t="n">
        <f aca="false">G80+0*G65</f>
        <v>22.536291980302</v>
      </c>
    </row>
    <row r="82" customFormat="false" ht="15" hidden="false" customHeight="false" outlineLevel="0" collapsed="false">
      <c r="A82" s="3" t="s">
        <v>400</v>
      </c>
      <c r="B82" s="0" t="s">
        <v>214</v>
      </c>
      <c r="C82" s="18" t="n">
        <f aca="false">C78-C81</f>
        <v>19.108</v>
      </c>
      <c r="D82" s="18" t="n">
        <f aca="false">D78-D81</f>
        <v>55.6082852858143</v>
      </c>
      <c r="E82" s="18" t="n">
        <f aca="false">E78-E81</f>
        <v>97.0233559219655</v>
      </c>
      <c r="F82" s="18" t="n">
        <f aca="false">F78-F81</f>
        <v>117.335258512956</v>
      </c>
      <c r="G82" s="18" t="n">
        <f aca="false">G78-G81</f>
        <v>113.653263464567</v>
      </c>
    </row>
    <row r="83" customFormat="false" ht="15" hidden="false" customHeight="false" outlineLevel="0" collapsed="false">
      <c r="A83" s="3" t="s">
        <v>403</v>
      </c>
      <c r="B83" s="0" t="s">
        <v>54</v>
      </c>
      <c r="C83" s="13" t="n">
        <f aca="false">C82/C65</f>
        <v>0.202713741632276</v>
      </c>
      <c r="D83" s="13" t="n">
        <f aca="false">D82/D65</f>
        <v>0.270251297648699</v>
      </c>
      <c r="E83" s="13" t="n">
        <f aca="false">E82/E65</f>
        <v>0.291664849685591</v>
      </c>
      <c r="F83" s="13" t="n">
        <f aca="false">F82/F65</f>
        <v>0.284516145875388</v>
      </c>
      <c r="G83" s="13" t="n">
        <f aca="false">G82/G65</f>
        <v>0.264096135155265</v>
      </c>
    </row>
    <row r="84" customFormat="false" ht="17.15" hidden="false" customHeight="false" outlineLevel="0" collapsed="false">
      <c r="A84" s="3" t="s">
        <v>405</v>
      </c>
      <c r="B84" s="0" t="s">
        <v>214</v>
      </c>
      <c r="E84" s="18" t="n">
        <f aca="false">nop_f</f>
        <v>0.5</v>
      </c>
      <c r="F84" s="18" t="n">
        <f aca="false">nop_f</f>
        <v>0.5</v>
      </c>
      <c r="G84" s="18" t="n">
        <f aca="false">nop_f</f>
        <v>0.5</v>
      </c>
      <c r="H84" s="7" t="s">
        <v>527</v>
      </c>
    </row>
    <row r="85" customFormat="false" ht="15" hidden="false" customHeight="false" outlineLevel="0" collapsed="false">
      <c r="A85" s="3" t="s">
        <v>408</v>
      </c>
      <c r="B85" s="0" t="s">
        <v>214</v>
      </c>
      <c r="C85" s="18" t="n">
        <f aca="false">a25_ni</f>
        <v>14.649</v>
      </c>
      <c r="D85" s="18" t="n">
        <f aca="false">a26_ni</f>
        <v>42.891099295</v>
      </c>
      <c r="E85" s="18" t="n">
        <f aca="false">(E82+E84)*nir_f</f>
        <v>75.0929840599135</v>
      </c>
      <c r="F85" s="18" t="n">
        <f aca="false">(F82+F84)*nir_f</f>
        <v>90.7331490549764</v>
      </c>
      <c r="G85" s="18" t="n">
        <f aca="false">(G82+G84)*nir_f</f>
        <v>87.8980128677164</v>
      </c>
    </row>
    <row r="86" customFormat="false" ht="17.15" hidden="false" customHeight="false" outlineLevel="0" collapsed="false">
      <c r="A86" s="3" t="s">
        <v>411</v>
      </c>
      <c r="B86" s="0" t="s">
        <v>54</v>
      </c>
      <c r="C86" s="13" t="n">
        <f aca="false">C85/C82</f>
        <v>0.766642244086247</v>
      </c>
      <c r="D86" s="13" t="n">
        <f aca="false">D85/D82</f>
        <v>0.771307712053146</v>
      </c>
      <c r="E86" s="13" t="n">
        <f aca="false">E85/E82</f>
        <v>0.77396811671109</v>
      </c>
      <c r="F86" s="13" t="n">
        <f aca="false">F85/F82</f>
        <v>0.773281196162852</v>
      </c>
      <c r="G86" s="13" t="n">
        <f aca="false">G85/G82</f>
        <v>0.773387496216684</v>
      </c>
    </row>
    <row r="87" customFormat="false" ht="15" hidden="false" customHeight="false" outlineLevel="0" collapsed="false">
      <c r="A87" s="3" t="s">
        <v>528</v>
      </c>
      <c r="B87" s="3" t="s">
        <v>243</v>
      </c>
      <c r="C87" s="20" t="n">
        <f aca="false">a25_sh</f>
        <v>0.351547876169906</v>
      </c>
      <c r="D87" s="20" t="n">
        <f aca="false">a26_sh</f>
        <v>0.358290155440415</v>
      </c>
      <c r="E87" s="20" t="n">
        <f aca="false">D87*(1+sh_g)</f>
        <v>0.358290155440415</v>
      </c>
      <c r="F87" s="20" t="n">
        <f aca="false">E87*(1+sh_g)</f>
        <v>0.358290155440415</v>
      </c>
      <c r="G87" s="20" t="n">
        <f aca="false">F87*(1+sh_g)</f>
        <v>0.358290155440415</v>
      </c>
    </row>
    <row r="88" customFormat="false" ht="15" hidden="false" customHeight="false" outlineLevel="0" collapsed="false">
      <c r="A88" s="0" t="s">
        <v>414</v>
      </c>
      <c r="B88" s="0" t="s">
        <v>274</v>
      </c>
      <c r="C88" s="19" t="n">
        <f aca="false">C85/C87</f>
        <v>41.67</v>
      </c>
      <c r="D88" s="19" t="n">
        <f aca="false">D85/D87</f>
        <v>119.710515747433</v>
      </c>
      <c r="E88" s="19" t="n">
        <f aca="false">E85/E87</f>
        <v>209.587070478139</v>
      </c>
      <c r="F88" s="19" t="n">
        <f aca="false">F85/F87</f>
        <v>253.239302496174</v>
      </c>
      <c r="G88" s="19" t="n">
        <f aca="false">G85/G87</f>
        <v>245.326341048001</v>
      </c>
    </row>
    <row r="89" customFormat="false" ht="17.15" hidden="false" customHeight="false" outlineLevel="0" collapsed="false">
      <c r="A89" s="0" t="s">
        <v>529</v>
      </c>
      <c r="B89" s="0" t="s">
        <v>54</v>
      </c>
      <c r="D89" s="13" t="n">
        <f aca="false">D88/C88-1</f>
        <v>1.87282255213422</v>
      </c>
      <c r="E89" s="13" t="n">
        <f aca="false">E88/D88-1</f>
        <v>0.750782453567642</v>
      </c>
      <c r="F89" s="13" t="n">
        <f aca="false">F88/E88-1</f>
        <v>0.208277313664673</v>
      </c>
      <c r="G89" s="13" t="n">
        <f aca="false">G88/F88-1</f>
        <v>-0.031246972212351</v>
      </c>
    </row>
    <row r="92" customFormat="false" ht="17.15" hidden="false" customHeight="false" outlineLevel="0" collapsed="false">
      <c r="A92" s="1" t="s">
        <v>839</v>
      </c>
    </row>
    <row r="93" customFormat="false" ht="17.15" hidden="false" customHeight="false" outlineLevel="0" collapsed="false">
      <c r="A93" s="4" t="s">
        <v>23</v>
      </c>
      <c r="B93" s="4" t="s">
        <v>24</v>
      </c>
      <c r="C93" s="10" t="s">
        <v>383</v>
      </c>
      <c r="D93" s="10" t="s">
        <v>469</v>
      </c>
      <c r="E93" s="10" t="s">
        <v>470</v>
      </c>
      <c r="F93" s="10" t="s">
        <v>471</v>
      </c>
      <c r="G93" s="10" t="s">
        <v>472</v>
      </c>
      <c r="H93" s="4" t="s">
        <v>437</v>
      </c>
    </row>
    <row r="94" customFormat="false" ht="17.15" hidden="false" customHeight="false" outlineLevel="0" collapsed="false">
      <c r="A94" s="5" t="s">
        <v>487</v>
      </c>
    </row>
    <row r="95" customFormat="false" ht="17.15" hidden="false" customHeight="false" outlineLevel="0" collapsed="false">
      <c r="A95" s="0" t="s">
        <v>488</v>
      </c>
      <c r="B95" s="0" t="s">
        <v>34</v>
      </c>
      <c r="D95" s="19" t="n">
        <f aca="false">itc_26*1</f>
        <v>781.872916666666</v>
      </c>
      <c r="E95" s="19" t="n">
        <f aca="false">itc_27*1*1</f>
        <v>1565.35</v>
      </c>
      <c r="F95" s="19" t="n">
        <f aca="false">itc_28*um28_A*1</f>
        <v>1984.26388888889</v>
      </c>
      <c r="G95" s="19" t="n">
        <f aca="false">itc_29*um29_A*1</f>
        <v>2260.39027777778</v>
      </c>
    </row>
    <row r="96" customFormat="false" ht="17.15" hidden="false" customHeight="false" outlineLevel="0" collapsed="false">
      <c r="A96" s="3" t="s">
        <v>489</v>
      </c>
      <c r="B96" s="0" t="s">
        <v>34</v>
      </c>
      <c r="D96" s="19" t="n">
        <f aca="false">itpg_gb*(1-vr26)+itpg_vr*vr26</f>
        <v>33.41403216</v>
      </c>
      <c r="E96" s="19" t="n">
        <f aca="false">itpg_vr</f>
        <v>37.586352</v>
      </c>
      <c r="F96" s="19" t="n">
        <f aca="false">itpg_vr</f>
        <v>37.586352</v>
      </c>
      <c r="G96" s="19" t="n">
        <f aca="false">itpg_vr</f>
        <v>37.586352</v>
      </c>
    </row>
    <row r="97" customFormat="false" ht="17.15" hidden="false" customHeight="false" outlineLevel="0" collapsed="false">
      <c r="A97" s="3" t="s">
        <v>490</v>
      </c>
      <c r="B97" s="0" t="s">
        <v>439</v>
      </c>
      <c r="D97" s="16" t="n">
        <f aca="false">D95/D96</f>
        <v>23.3995380420639</v>
      </c>
      <c r="E97" s="16" t="n">
        <f aca="false">E95/E96</f>
        <v>41.6467658260637</v>
      </c>
      <c r="F97" s="16" t="n">
        <f aca="false">F95/F96</f>
        <v>52.792138191248</v>
      </c>
      <c r="G97" s="16" t="n">
        <f aca="false">G95/G96</f>
        <v>60.1385917361116</v>
      </c>
    </row>
    <row r="98" customFormat="false" ht="17.15" hidden="false" customHeight="false" outlineLevel="0" collapsed="false">
      <c r="A98" s="3" t="s">
        <v>441</v>
      </c>
      <c r="B98" s="0" t="s">
        <v>94</v>
      </c>
      <c r="D98" s="17" t="n">
        <f aca="false">cmp_26</f>
        <v>190</v>
      </c>
      <c r="E98" s="17" t="n">
        <f aca="false">cmp_26*CXHI_27</f>
        <v>342</v>
      </c>
      <c r="F98" s="17" t="n">
        <f aca="false">cmp_26*CXHI_28</f>
        <v>380</v>
      </c>
      <c r="G98" s="17" t="n">
        <f aca="false">cmp_26*CXHI_29</f>
        <v>418</v>
      </c>
    </row>
    <row r="99" customFormat="false" ht="17.15" hidden="false" customHeight="false" outlineLevel="0" collapsed="false">
      <c r="A99" s="3" t="s">
        <v>443</v>
      </c>
      <c r="B99" s="0" t="s">
        <v>94</v>
      </c>
      <c r="D99" s="17" t="n">
        <f aca="false">sw_26</f>
        <v>90</v>
      </c>
      <c r="E99" s="17" t="n">
        <f aca="false">sw_26*SXHI_27</f>
        <v>153</v>
      </c>
      <c r="F99" s="17" t="n">
        <f aca="false">sw_26*SXHI_28</f>
        <v>180</v>
      </c>
      <c r="G99" s="17" t="n">
        <f aca="false">sw_26*SXHI_29</f>
        <v>198</v>
      </c>
    </row>
    <row r="100" customFormat="false" ht="17.15" hidden="false" customHeight="false" outlineLevel="0" collapsed="false">
      <c r="A100" s="3" t="s">
        <v>444</v>
      </c>
      <c r="B100" s="0" t="s">
        <v>94</v>
      </c>
      <c r="D100" s="17" t="n">
        <f aca="false">ubb_26</f>
        <v>70</v>
      </c>
      <c r="E100" s="17" t="n">
        <f aca="false">ubb_26*UXHI_27</f>
        <v>175</v>
      </c>
      <c r="F100" s="17" t="n">
        <f aca="false">ubb_26*UXHI_28</f>
        <v>210</v>
      </c>
      <c r="G100" s="17" t="n">
        <f aca="false">ubb_26*UXHI_29</f>
        <v>245</v>
      </c>
    </row>
    <row r="101" customFormat="false" ht="17.15" hidden="false" customHeight="false" outlineLevel="0" collapsed="false">
      <c r="A101" s="3" t="s">
        <v>491</v>
      </c>
      <c r="B101" s="0" t="s">
        <v>94</v>
      </c>
      <c r="D101" s="17" t="n">
        <f aca="false">D98+D99+D100</f>
        <v>350</v>
      </c>
      <c r="E101" s="17" t="n">
        <f aca="false">E98+E99+E100</f>
        <v>670</v>
      </c>
      <c r="F101" s="17" t="n">
        <f aca="false">F98+F99+F100</f>
        <v>770</v>
      </c>
      <c r="G101" s="17" t="n">
        <f aca="false">G98+G99+G100</f>
        <v>861</v>
      </c>
    </row>
    <row r="102" customFormat="false" ht="17.15" hidden="false" customHeight="false" outlineLevel="0" collapsed="false">
      <c r="A102" s="0" t="s">
        <v>492</v>
      </c>
      <c r="B102" s="0" t="s">
        <v>34</v>
      </c>
      <c r="D102" s="19" t="n">
        <f aca="false">D97*D101/1000</f>
        <v>8.18983831472236</v>
      </c>
      <c r="E102" s="19" t="n">
        <f aca="false">E97*E101/1000</f>
        <v>27.9033331034627</v>
      </c>
      <c r="F102" s="19" t="n">
        <f aca="false">F97*F101/1000</f>
        <v>40.649946407261</v>
      </c>
      <c r="G102" s="19" t="n">
        <f aca="false">G97*G101/1000</f>
        <v>51.7793274847921</v>
      </c>
    </row>
    <row r="103" customFormat="false" ht="17.15" hidden="false" customHeight="false" outlineLevel="0" collapsed="false">
      <c r="A103" s="0" t="s">
        <v>493</v>
      </c>
      <c r="B103" s="0" t="s">
        <v>214</v>
      </c>
      <c r="D103" s="18" t="n">
        <f aca="false">D102*fx</f>
        <v>262.074826071116</v>
      </c>
      <c r="E103" s="18" t="n">
        <f aca="false">E102*fx</f>
        <v>892.906659310805</v>
      </c>
      <c r="F103" s="18" t="n">
        <f aca="false">F102*fx</f>
        <v>1300.79828503235</v>
      </c>
      <c r="G103" s="18" t="n">
        <f aca="false">G102*fx</f>
        <v>1656.93847951335</v>
      </c>
    </row>
    <row r="104" customFormat="false" ht="17.15" hidden="false" customHeight="false" outlineLevel="0" collapsed="false">
      <c r="A104" s="0" t="s">
        <v>494</v>
      </c>
      <c r="B104" s="0" t="s">
        <v>67</v>
      </c>
      <c r="D104" s="14" t="n">
        <f aca="false">1</f>
        <v>1</v>
      </c>
      <c r="E104" s="14" t="n">
        <f aca="false">pp_27</f>
        <v>1</v>
      </c>
      <c r="F104" s="14" t="n">
        <f aca="false">pp_28</f>
        <v>0.97</v>
      </c>
      <c r="G104" s="14" t="n">
        <f aca="false">pp_29</f>
        <v>0.93</v>
      </c>
    </row>
    <row r="105" customFormat="false" ht="17.15" hidden="false" customHeight="false" outlineLevel="0" collapsed="false">
      <c r="A105" s="3" t="s">
        <v>495</v>
      </c>
      <c r="B105" s="0" t="s">
        <v>54</v>
      </c>
      <c r="D105" s="13" t="n">
        <f aca="false">a26_ai/D103</f>
        <v>0.459306165741139</v>
      </c>
      <c r="H105" s="7" t="s">
        <v>496</v>
      </c>
    </row>
    <row r="106" customFormat="false" ht="17.15" hidden="false" customHeight="false" outlineLevel="0" collapsed="false">
      <c r="A106" s="3" t="s">
        <v>497</v>
      </c>
      <c r="B106" s="0" t="s">
        <v>67</v>
      </c>
      <c r="D106" s="14" t="n">
        <f aca="false">1</f>
        <v>1</v>
      </c>
      <c r="E106" s="14" t="n">
        <f aca="false">rel_27</f>
        <v>0.95</v>
      </c>
      <c r="F106" s="14" t="n">
        <f aca="false">rel_28</f>
        <v>0.9</v>
      </c>
      <c r="G106" s="14" t="n">
        <f aca="false">rel_29</f>
        <v>0.85</v>
      </c>
    </row>
    <row r="107" customFormat="false" ht="15" hidden="false" customHeight="false" outlineLevel="0" collapsed="false">
      <c r="A107" s="3" t="s">
        <v>452</v>
      </c>
      <c r="B107" s="0" t="s">
        <v>54</v>
      </c>
      <c r="D107" s="13" t="n">
        <f aca="false">$D$105*D106</f>
        <v>0.459306165741139</v>
      </c>
      <c r="E107" s="13" t="n">
        <f aca="false">$D$105*E106</f>
        <v>0.436340857454082</v>
      </c>
      <c r="F107" s="13" t="n">
        <f aca="false">$D$105*F106</f>
        <v>0.413375549167025</v>
      </c>
      <c r="G107" s="13" t="n">
        <f aca="false">$D$105*G106</f>
        <v>0.390410240879968</v>
      </c>
    </row>
    <row r="108" customFormat="false" ht="17.15" hidden="false" customHeight="false" outlineLevel="0" collapsed="false">
      <c r="A108" s="0" t="s">
        <v>498</v>
      </c>
      <c r="B108" s="0" t="s">
        <v>214</v>
      </c>
      <c r="D108" s="18" t="n">
        <f aca="false">D103*D107*D104</f>
        <v>120.3725835</v>
      </c>
      <c r="E108" s="18" t="n">
        <f aca="false">E103*E107*E104</f>
        <v>389.611657350137</v>
      </c>
      <c r="F108" s="18" t="n">
        <f aca="false">F103*F107*F104</f>
        <v>521.586659267849</v>
      </c>
      <c r="G108" s="18" t="n">
        <f aca="false">G103*G107*G104</f>
        <v>601.603748346387</v>
      </c>
    </row>
    <row r="109" customFormat="false" ht="17.15" hidden="false" customHeight="false" outlineLevel="0" collapsed="false">
      <c r="A109" s="5" t="s">
        <v>499</v>
      </c>
    </row>
    <row r="110" customFormat="false" ht="15" hidden="false" customHeight="false" outlineLevel="0" collapsed="false">
      <c r="A110" s="3" t="s">
        <v>457</v>
      </c>
      <c r="B110" s="3" t="s">
        <v>151</v>
      </c>
      <c r="D110" s="14" t="n">
        <f aca="false">cap_26</f>
        <v>6</v>
      </c>
      <c r="E110" s="14" t="n">
        <f aca="false">cap_27</f>
        <v>7.76</v>
      </c>
      <c r="F110" s="14" t="n">
        <f aca="false">cap_28</f>
        <v>10.3</v>
      </c>
      <c r="G110" s="14" t="n">
        <f aca="false">cap_29</f>
        <v>11.8</v>
      </c>
    </row>
    <row r="111" customFormat="false" ht="17.15" hidden="false" customHeight="false" outlineLevel="0" collapsed="false">
      <c r="A111" s="3" t="s">
        <v>500</v>
      </c>
      <c r="B111" s="0" t="s">
        <v>460</v>
      </c>
      <c r="D111" s="17" t="n">
        <f aca="false">a26_rev/(D110*12)*1000</f>
        <v>2857.84861111111</v>
      </c>
      <c r="H111" s="7" t="s">
        <v>501</v>
      </c>
    </row>
    <row r="112" customFormat="false" ht="17.15" hidden="false" customHeight="false" outlineLevel="0" collapsed="false">
      <c r="A112" s="3" t="s">
        <v>502</v>
      </c>
      <c r="B112" s="0" t="s">
        <v>67</v>
      </c>
      <c r="D112" s="14" t="n">
        <f aca="false">1</f>
        <v>1</v>
      </c>
      <c r="E112" s="14" t="n">
        <f aca="false">mix_27</f>
        <v>1.25</v>
      </c>
      <c r="F112" s="14" t="n">
        <f aca="false">mix_28</f>
        <v>1.4</v>
      </c>
      <c r="G112" s="14" t="n">
        <f aca="false">mix_29</f>
        <v>1.5</v>
      </c>
    </row>
    <row r="113" customFormat="false" ht="17.15" hidden="false" customHeight="false" outlineLevel="0" collapsed="false">
      <c r="A113" s="3" t="s">
        <v>503</v>
      </c>
      <c r="B113" s="0" t="s">
        <v>214</v>
      </c>
      <c r="D113" s="18" t="n">
        <f aca="false">D110*12*$D$111*D112*D104/1000</f>
        <v>205.7651</v>
      </c>
      <c r="E113" s="18" t="n">
        <f aca="false">E110*12*$D$111*E112*E104/1000</f>
        <v>332.653578333333</v>
      </c>
      <c r="F113" s="18" t="n">
        <f aca="false">F110*12*$D$111*F112*F104/1000</f>
        <v>479.686459956667</v>
      </c>
      <c r="G113" s="18" t="n">
        <f aca="false">G110*12*$D$111*G112*G104/1000</f>
        <v>564.51655185</v>
      </c>
    </row>
    <row r="114" customFormat="false" ht="17.15" hidden="false" customHeight="false" outlineLevel="0" collapsed="false">
      <c r="A114" s="3" t="s">
        <v>504</v>
      </c>
      <c r="B114" s="0" t="s">
        <v>214</v>
      </c>
      <c r="C114" s="18" t="n">
        <f aca="false">a25_nai</f>
        <v>47.1305</v>
      </c>
      <c r="D114" s="18" t="n">
        <f aca="false">a26_nai</f>
        <v>85.3925165</v>
      </c>
      <c r="E114" s="18" t="n">
        <f aca="false">D114*(1+g_nai27)</f>
        <v>92.22391782</v>
      </c>
      <c r="F114" s="18" t="n">
        <f aca="false">E114*(1+g_nai28)</f>
        <v>97.7573528892</v>
      </c>
      <c r="G114" s="18" t="n">
        <f aca="false">F114*(1+g_nai29)</f>
        <v>102.64522053366</v>
      </c>
    </row>
    <row r="115" customFormat="false" ht="17.15" hidden="false" customHeight="false" outlineLevel="0" collapsed="false">
      <c r="A115" s="0" t="s">
        <v>505</v>
      </c>
      <c r="B115" s="0" t="s">
        <v>214</v>
      </c>
      <c r="C115" s="18" t="n">
        <f aca="false">a25_ai</f>
        <v>47.1305</v>
      </c>
      <c r="D115" s="18" t="n">
        <f aca="false">D108</f>
        <v>120.3725835</v>
      </c>
      <c r="E115" s="18" t="n">
        <f aca="false">MIN(E108,E113-E114)</f>
        <v>240.429660513333</v>
      </c>
      <c r="F115" s="18" t="n">
        <f aca="false">MIN(F108,F113-F114)</f>
        <v>381.929107067467</v>
      </c>
      <c r="G115" s="18" t="n">
        <f aca="false">MIN(G108,G113-G114)</f>
        <v>461.87133131634</v>
      </c>
      <c r="H115" s="3" t="s">
        <v>506</v>
      </c>
    </row>
    <row r="116" customFormat="false" ht="15" hidden="false" customHeight="false" outlineLevel="0" collapsed="false">
      <c r="A116" s="3" t="s">
        <v>507</v>
      </c>
      <c r="E116" s="0" t="str">
        <f aca="false">IF(E108&gt;E113-E114+0.0001,"受限","未受限")</f>
        <v>受限</v>
      </c>
      <c r="F116" s="0" t="str">
        <f aca="false">IF(F108&gt;F113-F114+0.0001,"受限","未受限")</f>
        <v>受限</v>
      </c>
      <c r="G116" s="0" t="str">
        <f aca="false">IF(G108&gt;G113-G114+0.0001,"受限","未受限")</f>
        <v>受限</v>
      </c>
    </row>
    <row r="117" customFormat="false" ht="15" hidden="false" customHeight="false" outlineLevel="0" collapsed="false">
      <c r="A117" s="3" t="s">
        <v>388</v>
      </c>
      <c r="B117" s="0" t="s">
        <v>214</v>
      </c>
      <c r="C117" s="18" t="n">
        <f aca="false">C115+C114</f>
        <v>94.261</v>
      </c>
      <c r="D117" s="18" t="n">
        <f aca="false">D115+D114</f>
        <v>205.7651</v>
      </c>
      <c r="E117" s="18" t="n">
        <f aca="false">E115+E114</f>
        <v>332.653578333333</v>
      </c>
      <c r="F117" s="18" t="n">
        <f aca="false">F115+F114</f>
        <v>479.686459956667</v>
      </c>
      <c r="G117" s="18" t="n">
        <f aca="false">G115+G114</f>
        <v>564.51655185</v>
      </c>
    </row>
    <row r="118" customFormat="false" ht="15" hidden="false" customHeight="false" outlineLevel="0" collapsed="false">
      <c r="A118" s="3" t="s">
        <v>508</v>
      </c>
      <c r="B118" s="0" t="s">
        <v>54</v>
      </c>
      <c r="D118" s="13" t="n">
        <f aca="false">D117/C117-1</f>
        <v>1.1829293132897</v>
      </c>
      <c r="E118" s="13" t="n">
        <f aca="false">E117/D117-1</f>
        <v>0.616666666666667</v>
      </c>
      <c r="F118" s="13" t="n">
        <f aca="false">F117/E117-1</f>
        <v>0.442</v>
      </c>
      <c r="G118" s="13" t="n">
        <f aca="false">G117/F117-1</f>
        <v>0.17684487467292</v>
      </c>
    </row>
    <row r="119" customFormat="false" ht="17.15" hidden="false" customHeight="false" outlineLevel="0" collapsed="false">
      <c r="A119" s="3" t="s">
        <v>509</v>
      </c>
      <c r="B119" s="0" t="s">
        <v>214</v>
      </c>
      <c r="C119" s="18" t="n">
        <f aca="false">inf25*C117-C115</f>
        <v>16.495675</v>
      </c>
      <c r="D119" s="18" t="n">
        <f aca="false">inf26*D117-D115</f>
        <v>33.9512415</v>
      </c>
      <c r="E119" s="18" t="n">
        <f aca="false">E114*$D119/$D114</f>
        <v>36.66734082</v>
      </c>
      <c r="F119" s="18" t="n">
        <f aca="false">F114*$D119/$D114</f>
        <v>38.8673812692</v>
      </c>
      <c r="G119" s="18" t="n">
        <f aca="false">G114*$D119/$D114</f>
        <v>40.81075033266</v>
      </c>
      <c r="H119" s="3" t="s">
        <v>510</v>
      </c>
    </row>
    <row r="120" customFormat="false" ht="17.15" hidden="false" customHeight="false" outlineLevel="0" collapsed="false">
      <c r="A120" s="3" t="s">
        <v>511</v>
      </c>
      <c r="B120" s="0" t="s">
        <v>214</v>
      </c>
      <c r="C120" s="18" t="n">
        <f aca="false">C115+C119</f>
        <v>63.626175</v>
      </c>
      <c r="D120" s="18" t="n">
        <f aca="false">D115+D119</f>
        <v>154.323825</v>
      </c>
      <c r="E120" s="18" t="n">
        <f aca="false">E115+E119</f>
        <v>277.097001333333</v>
      </c>
      <c r="F120" s="18" t="n">
        <f aca="false">F115+F119</f>
        <v>420.796488336667</v>
      </c>
      <c r="G120" s="18" t="n">
        <f aca="false">G115+G119</f>
        <v>502.682081649</v>
      </c>
      <c r="H120" s="3" t="s">
        <v>512</v>
      </c>
    </row>
    <row r="121" customFormat="false" ht="15" hidden="false" customHeight="false" outlineLevel="0" collapsed="false">
      <c r="A121" s="3" t="s">
        <v>513</v>
      </c>
      <c r="B121" s="0" t="s">
        <v>214</v>
      </c>
      <c r="C121" s="18" t="n">
        <f aca="false">mob25*C117</f>
        <v>21.208725</v>
      </c>
      <c r="D121" s="18" t="n">
        <f aca="false">mob26*D117</f>
        <v>37.037718</v>
      </c>
      <c r="E121" s="18" t="n">
        <f aca="false">E114*$D121/$D114</f>
        <v>40.00073544</v>
      </c>
      <c r="F121" s="18" t="n">
        <f aca="false">F114*$D121/$D114</f>
        <v>42.4007795664</v>
      </c>
      <c r="G121" s="18" t="n">
        <f aca="false">G114*$D121/$D114</f>
        <v>44.52081854472</v>
      </c>
      <c r="H121" s="3" t="s">
        <v>514</v>
      </c>
    </row>
    <row r="122" customFormat="false" ht="15" hidden="false" customHeight="false" outlineLevel="0" collapsed="false">
      <c r="A122" s="3" t="s">
        <v>515</v>
      </c>
      <c r="B122" s="0" t="s">
        <v>214</v>
      </c>
      <c r="C122" s="18" t="n">
        <f aca="false">C117-C120-C121</f>
        <v>9.42609999999999</v>
      </c>
      <c r="D122" s="18" t="n">
        <f aca="false">D117-D120-D121</f>
        <v>14.403557</v>
      </c>
      <c r="E122" s="18" t="n">
        <f aca="false">E117-E120-E121</f>
        <v>15.55584156</v>
      </c>
      <c r="F122" s="18" t="n">
        <f aca="false">F117-F120-F121</f>
        <v>16.4891920536</v>
      </c>
      <c r="G122" s="18" t="n">
        <f aca="false">G117-G120-G121</f>
        <v>17.31365165628</v>
      </c>
      <c r="H122" s="3" t="s">
        <v>516</v>
      </c>
    </row>
    <row r="123" customFormat="false" ht="15" hidden="false" customHeight="false" outlineLevel="0" collapsed="false">
      <c r="A123" s="3" t="s">
        <v>517</v>
      </c>
      <c r="B123" s="0" t="s">
        <v>214</v>
      </c>
      <c r="C123" s="21" t="n">
        <f aca="false">C120+C121+C122-C117</f>
        <v>0</v>
      </c>
      <c r="D123" s="21" t="n">
        <f aca="false">D120+D121+D122-D117</f>
        <v>0</v>
      </c>
      <c r="E123" s="21" t="n">
        <f aca="false">E120+E121+E122-E117</f>
        <v>0</v>
      </c>
      <c r="F123" s="21" t="n">
        <f aca="false">F120+F121+F122-F117</f>
        <v>0</v>
      </c>
      <c r="G123" s="21" t="n">
        <f aca="false">G120+G121+G122-G117</f>
        <v>0</v>
      </c>
    </row>
    <row r="124" customFormat="false" ht="17.15" hidden="false" customHeight="false" outlineLevel="0" collapsed="false">
      <c r="A124" s="0" t="s">
        <v>518</v>
      </c>
      <c r="B124" s="0" t="s">
        <v>54</v>
      </c>
      <c r="C124" s="13" t="n">
        <f aca="false">C115/C117</f>
        <v>0.5</v>
      </c>
      <c r="D124" s="13" t="n">
        <f aca="false">D115/D117</f>
        <v>0.585</v>
      </c>
      <c r="E124" s="13" t="n">
        <f aca="false">E115/E117</f>
        <v>0.722762886597938</v>
      </c>
      <c r="F124" s="13" t="n">
        <f aca="false">F115/F117</f>
        <v>0.796205728012354</v>
      </c>
      <c r="G124" s="13" t="n">
        <f aca="false">G115/G117</f>
        <v>0.818171459814106</v>
      </c>
    </row>
    <row r="125" customFormat="false" ht="17.15" hidden="false" customHeight="false" outlineLevel="0" collapsed="false">
      <c r="A125" s="3" t="s">
        <v>519</v>
      </c>
      <c r="B125" s="0" t="s">
        <v>54</v>
      </c>
      <c r="D125" s="13" t="n">
        <f aca="false">(D108+D114)/D113</f>
        <v>1</v>
      </c>
      <c r="E125" s="13" t="n">
        <f aca="false">(E108+E114)/E113</f>
        <v>1.44846052035345</v>
      </c>
      <c r="F125" s="13" t="n">
        <f aca="false">(F108+F114)/F113</f>
        <v>1.29114341107939</v>
      </c>
      <c r="G125" s="13" t="n">
        <f aca="false">(G108+G114)/G113</f>
        <v>1.24752581048709</v>
      </c>
      <c r="H125" s="3" t="s">
        <v>520</v>
      </c>
    </row>
    <row r="126" customFormat="false" ht="17.15" hidden="false" customHeight="false" outlineLevel="0" collapsed="false">
      <c r="A126" s="3" t="s">
        <v>456</v>
      </c>
      <c r="B126" s="0" t="s">
        <v>94</v>
      </c>
      <c r="D126" s="17" t="n">
        <f aca="false">D115/fx/D97*1000</f>
        <v>160.757158009399</v>
      </c>
      <c r="E126" s="17" t="n">
        <f aca="false">E115/fx/E97*1000</f>
        <v>180.408412082255</v>
      </c>
      <c r="F126" s="17" t="n">
        <f aca="false">F115/fx/F97*1000</f>
        <v>226.080719682557</v>
      </c>
      <c r="G126" s="17" t="n">
        <f aca="false">G115/fx/G97*1000</f>
        <v>240.003609778057</v>
      </c>
    </row>
    <row r="127" customFormat="false" ht="17.15" hidden="false" customHeight="false" outlineLevel="0" collapsed="false">
      <c r="A127" s="5" t="s">
        <v>521</v>
      </c>
    </row>
    <row r="128" customFormat="false" ht="17.15" hidden="false" customHeight="false" outlineLevel="0" collapsed="false">
      <c r="A128" s="3" t="s">
        <v>522</v>
      </c>
      <c r="B128" s="0" t="s">
        <v>54</v>
      </c>
      <c r="D128" s="13" t="n">
        <f aca="false">a26_gp/D117-d_ai*D124</f>
        <v>0.291564442755356</v>
      </c>
      <c r="H128" s="7" t="s">
        <v>523</v>
      </c>
    </row>
    <row r="129" customFormat="false" ht="17.15" hidden="false" customHeight="false" outlineLevel="0" collapsed="false">
      <c r="A129" s="0" t="s">
        <v>524</v>
      </c>
      <c r="B129" s="0" t="s">
        <v>54</v>
      </c>
      <c r="D129" s="13" t="n">
        <f aca="false">D128+d_ai</f>
        <v>0.371564442755356</v>
      </c>
      <c r="E129" s="13" t="n">
        <f aca="false">1-(1-$D$129)/E104</f>
        <v>0.371564442755356</v>
      </c>
      <c r="F129" s="13" t="n">
        <f aca="false">1-(1-$D$129)/F104</f>
        <v>0.352128291500367</v>
      </c>
      <c r="G129" s="13" t="n">
        <f aca="false">1-(1-$D$129)/G104</f>
        <v>0.324262841672425</v>
      </c>
      <c r="H129" s="7" t="s">
        <v>525</v>
      </c>
    </row>
    <row r="130" customFormat="false" ht="15" hidden="false" customHeight="false" outlineLevel="0" collapsed="false">
      <c r="A130" s="3" t="s">
        <v>392</v>
      </c>
      <c r="B130" s="0" t="s">
        <v>214</v>
      </c>
      <c r="C130" s="18" t="n">
        <f aca="false">a25_gp</f>
        <v>28.12</v>
      </c>
      <c r="D130" s="18" t="n">
        <f aca="false">a26_gp</f>
        <v>69.6235934</v>
      </c>
      <c r="E130" s="18" t="n">
        <f aca="false">E115*E129+E114*$D$128</f>
        <v>116.2243280384</v>
      </c>
      <c r="F130" s="18" t="n">
        <f aca="false">F115*F129+F114*$D$128</f>
        <v>162.990612066306</v>
      </c>
      <c r="G130" s="18" t="n">
        <f aca="false">G115*G129+G114*$D$128</f>
        <v>179.69540690606</v>
      </c>
    </row>
    <row r="131" customFormat="false" ht="15" hidden="false" customHeight="false" outlineLevel="0" collapsed="false">
      <c r="A131" s="3" t="s">
        <v>395</v>
      </c>
      <c r="B131" s="0" t="s">
        <v>54</v>
      </c>
      <c r="C131" s="13" t="n">
        <f aca="false">C130/C117</f>
        <v>0.298320620405046</v>
      </c>
      <c r="D131" s="13" t="n">
        <f aca="false">D130/D117</f>
        <v>0.338364442755356</v>
      </c>
      <c r="E131" s="13" t="n">
        <f aca="false">E130/E117</f>
        <v>0.349385473683191</v>
      </c>
      <c r="F131" s="13" t="n">
        <f aca="false">F130/F117</f>
        <v>0.339785726036607</v>
      </c>
      <c r="G131" s="13" t="n">
        <f aca="false">G130/G117</f>
        <v>0.318317339530918</v>
      </c>
    </row>
    <row r="132" customFormat="false" ht="15" hidden="false" customHeight="false" outlineLevel="0" collapsed="false">
      <c r="A132" s="3" t="s">
        <v>526</v>
      </c>
      <c r="B132" s="0" t="s">
        <v>214</v>
      </c>
      <c r="C132" s="18" t="n">
        <f aca="false">a25_opx</f>
        <v>9.012</v>
      </c>
      <c r="D132" s="18" t="n">
        <f aca="false">a26_opx</f>
        <v>14.0153081141857</v>
      </c>
      <c r="E132" s="18" t="n">
        <f aca="false">D132*(1+MAX(0,phi*E118))</f>
        <v>19.2009721164345</v>
      </c>
      <c r="F132" s="18" t="n">
        <f aca="false">E132*(1+MAX(0,phi*F118))</f>
        <v>24.2930699217129</v>
      </c>
      <c r="G132" s="18" t="n">
        <f aca="false">F132*(1+MAX(0,phi*G118))</f>
        <v>26.8707328651484</v>
      </c>
    </row>
    <row r="133" customFormat="false" ht="15" hidden="false" customHeight="false" outlineLevel="0" collapsed="false">
      <c r="A133" s="3" t="s">
        <v>397</v>
      </c>
      <c r="B133" s="0" t="s">
        <v>214</v>
      </c>
      <c r="C133" s="18" t="n">
        <f aca="false">C132</f>
        <v>9.012</v>
      </c>
      <c r="D133" s="18" t="n">
        <f aca="false">D132</f>
        <v>14.0153081141857</v>
      </c>
      <c r="E133" s="18" t="n">
        <f aca="false">E132+0*E117</f>
        <v>19.2009721164345</v>
      </c>
      <c r="F133" s="18" t="n">
        <f aca="false">F132+0*F117</f>
        <v>24.2930699217129</v>
      </c>
      <c r="G133" s="18" t="n">
        <f aca="false">G132+0*G117</f>
        <v>26.8707328651484</v>
      </c>
    </row>
    <row r="134" customFormat="false" ht="15" hidden="false" customHeight="false" outlineLevel="0" collapsed="false">
      <c r="A134" s="3" t="s">
        <v>400</v>
      </c>
      <c r="B134" s="0" t="s">
        <v>214</v>
      </c>
      <c r="C134" s="18" t="n">
        <f aca="false">C130-C133</f>
        <v>19.108</v>
      </c>
      <c r="D134" s="18" t="n">
        <f aca="false">D130-D133</f>
        <v>55.6082852858143</v>
      </c>
      <c r="E134" s="18" t="n">
        <f aca="false">E130-E133</f>
        <v>97.0233559219655</v>
      </c>
      <c r="F134" s="18" t="n">
        <f aca="false">F130-F133</f>
        <v>138.697542144593</v>
      </c>
      <c r="G134" s="18" t="n">
        <f aca="false">G130-G133</f>
        <v>152.824674040911</v>
      </c>
    </row>
    <row r="135" customFormat="false" ht="15" hidden="false" customHeight="false" outlineLevel="0" collapsed="false">
      <c r="A135" s="3" t="s">
        <v>403</v>
      </c>
      <c r="B135" s="0" t="s">
        <v>54</v>
      </c>
      <c r="C135" s="13" t="n">
        <f aca="false">C134/C117</f>
        <v>0.202713741632276</v>
      </c>
      <c r="D135" s="13" t="n">
        <f aca="false">D134/D117</f>
        <v>0.270251297648699</v>
      </c>
      <c r="E135" s="13" t="n">
        <f aca="false">E134/E117</f>
        <v>0.291664849685591</v>
      </c>
      <c r="F135" s="13" t="n">
        <f aca="false">F134/F117</f>
        <v>0.28914208284537</v>
      </c>
      <c r="G135" s="13" t="n">
        <f aca="false">G134/G117</f>
        <v>0.270717791250024</v>
      </c>
    </row>
    <row r="136" customFormat="false" ht="17.15" hidden="false" customHeight="false" outlineLevel="0" collapsed="false">
      <c r="A136" s="3" t="s">
        <v>405</v>
      </c>
      <c r="B136" s="0" t="s">
        <v>214</v>
      </c>
      <c r="E136" s="18" t="n">
        <f aca="false">nop_f</f>
        <v>0.5</v>
      </c>
      <c r="F136" s="18" t="n">
        <f aca="false">nop_f</f>
        <v>0.5</v>
      </c>
      <c r="G136" s="18" t="n">
        <f aca="false">nop_f</f>
        <v>0.5</v>
      </c>
      <c r="H136" s="7" t="s">
        <v>527</v>
      </c>
    </row>
    <row r="137" customFormat="false" ht="15" hidden="false" customHeight="false" outlineLevel="0" collapsed="false">
      <c r="A137" s="3" t="s">
        <v>408</v>
      </c>
      <c r="B137" s="0" t="s">
        <v>214</v>
      </c>
      <c r="C137" s="18" t="n">
        <f aca="false">a25_ni</f>
        <v>14.649</v>
      </c>
      <c r="D137" s="18" t="n">
        <f aca="false">a26_ni</f>
        <v>42.891099295</v>
      </c>
      <c r="E137" s="18" t="n">
        <f aca="false">(E134+E136)*nir_f</f>
        <v>75.0929840599135</v>
      </c>
      <c r="F137" s="18" t="n">
        <f aca="false">(F134+F136)*nir_f</f>
        <v>107.182107451337</v>
      </c>
      <c r="G137" s="18" t="n">
        <f aca="false">(G134+G136)*nir_f</f>
        <v>118.059999011502</v>
      </c>
    </row>
    <row r="138" customFormat="false" ht="17.15" hidden="false" customHeight="false" outlineLevel="0" collapsed="false">
      <c r="A138" s="3" t="s">
        <v>411</v>
      </c>
      <c r="B138" s="0" t="s">
        <v>54</v>
      </c>
      <c r="C138" s="13" t="n">
        <f aca="false">C137/C134</f>
        <v>0.766642244086247</v>
      </c>
      <c r="D138" s="13" t="n">
        <f aca="false">D137/D134</f>
        <v>0.771307712053146</v>
      </c>
      <c r="E138" s="13" t="n">
        <f aca="false">E137/E134</f>
        <v>0.77396811671109</v>
      </c>
      <c r="F138" s="13" t="n">
        <f aca="false">F137/F134</f>
        <v>0.772775824243508</v>
      </c>
      <c r="G138" s="13" t="n">
        <f aca="false">G137/G134</f>
        <v>0.772519226704825</v>
      </c>
    </row>
    <row r="139" customFormat="false" ht="15" hidden="false" customHeight="false" outlineLevel="0" collapsed="false">
      <c r="A139" s="3" t="s">
        <v>528</v>
      </c>
      <c r="B139" s="3" t="s">
        <v>243</v>
      </c>
      <c r="C139" s="20" t="n">
        <f aca="false">a25_sh</f>
        <v>0.351547876169906</v>
      </c>
      <c r="D139" s="20" t="n">
        <f aca="false">a26_sh</f>
        <v>0.358290155440415</v>
      </c>
      <c r="E139" s="20" t="n">
        <f aca="false">D139*(1+sh_g)</f>
        <v>0.358290155440415</v>
      </c>
      <c r="F139" s="20" t="n">
        <f aca="false">E139*(1+sh_g)</f>
        <v>0.358290155440415</v>
      </c>
      <c r="G139" s="20" t="n">
        <f aca="false">F139*(1+sh_g)</f>
        <v>0.358290155440415</v>
      </c>
    </row>
    <row r="140" customFormat="false" ht="15" hidden="false" customHeight="false" outlineLevel="0" collapsed="false">
      <c r="A140" s="0" t="s">
        <v>414</v>
      </c>
      <c r="B140" s="0" t="s">
        <v>274</v>
      </c>
      <c r="C140" s="19" t="n">
        <f aca="false">C137/C139</f>
        <v>41.67</v>
      </c>
      <c r="D140" s="19" t="n">
        <f aca="false">D137/D139</f>
        <v>119.710515747433</v>
      </c>
      <c r="E140" s="19" t="n">
        <f aca="false">E137/E139</f>
        <v>209.587070478139</v>
      </c>
      <c r="F140" s="19" t="n">
        <f aca="false">F137/F139</f>
        <v>299.14890438334</v>
      </c>
      <c r="G140" s="19" t="n">
        <f aca="false">G137/G139</f>
        <v>329.509469403035</v>
      </c>
    </row>
    <row r="141" customFormat="false" ht="17.15" hidden="false" customHeight="false" outlineLevel="0" collapsed="false">
      <c r="A141" s="0" t="s">
        <v>529</v>
      </c>
      <c r="B141" s="0" t="s">
        <v>54</v>
      </c>
      <c r="D141" s="13" t="n">
        <f aca="false">D140/C140-1</f>
        <v>1.87282255213422</v>
      </c>
      <c r="E141" s="13" t="n">
        <f aca="false">E140/D140-1</f>
        <v>0.750782453567642</v>
      </c>
      <c r="F141" s="13" t="n">
        <f aca="false">F140/E140-1</f>
        <v>0.42732518614283</v>
      </c>
      <c r="G141" s="13" t="n">
        <f aca="false">G140/F140-1</f>
        <v>0.101489808502824</v>
      </c>
    </row>
    <row r="144" customFormat="false" ht="17.15" hidden="false" customHeight="false" outlineLevel="0" collapsed="false">
      <c r="A144" s="1" t="s">
        <v>840</v>
      </c>
    </row>
    <row r="145" customFormat="false" ht="17.15" hidden="false" customHeight="false" outlineLevel="0" collapsed="false">
      <c r="A145" s="4" t="s">
        <v>23</v>
      </c>
      <c r="B145" s="4" t="s">
        <v>24</v>
      </c>
      <c r="C145" s="10" t="s">
        <v>383</v>
      </c>
      <c r="D145" s="10" t="s">
        <v>469</v>
      </c>
      <c r="E145" s="10" t="s">
        <v>470</v>
      </c>
      <c r="F145" s="10" t="s">
        <v>471</v>
      </c>
      <c r="G145" s="10" t="s">
        <v>472</v>
      </c>
      <c r="H145" s="4" t="s">
        <v>437</v>
      </c>
    </row>
    <row r="146" customFormat="false" ht="17.15" hidden="false" customHeight="false" outlineLevel="0" collapsed="false">
      <c r="A146" s="5" t="s">
        <v>487</v>
      </c>
    </row>
    <row r="147" customFormat="false" ht="17.15" hidden="false" customHeight="false" outlineLevel="0" collapsed="false">
      <c r="A147" s="0" t="s">
        <v>488</v>
      </c>
      <c r="B147" s="0" t="s">
        <v>34</v>
      </c>
      <c r="D147" s="19" t="n">
        <f aca="false">itc_26*1</f>
        <v>781.872916666666</v>
      </c>
      <c r="E147" s="19" t="n">
        <f aca="false">itc_27*1*1</f>
        <v>1565.35</v>
      </c>
      <c r="F147" s="19" t="n">
        <f aca="false">itc_28*um28_A*1</f>
        <v>1984.26388888889</v>
      </c>
      <c r="G147" s="19" t="n">
        <f aca="false">itc_29*um29_A*1</f>
        <v>2260.39027777778</v>
      </c>
    </row>
    <row r="148" customFormat="false" ht="17.15" hidden="false" customHeight="false" outlineLevel="0" collapsed="false">
      <c r="A148" s="3" t="s">
        <v>489</v>
      </c>
      <c r="B148" s="0" t="s">
        <v>34</v>
      </c>
      <c r="D148" s="19" t="n">
        <f aca="false">itpg_gb*(1-vr26)+itpg_vr*vr26</f>
        <v>33.41403216</v>
      </c>
      <c r="E148" s="19" t="n">
        <f aca="false">itpg_vr</f>
        <v>37.586352</v>
      </c>
      <c r="F148" s="19" t="n">
        <f aca="false">itpg_vr</f>
        <v>37.586352</v>
      </c>
      <c r="G148" s="19" t="n">
        <f aca="false">itpg_vr</f>
        <v>37.586352</v>
      </c>
    </row>
    <row r="149" customFormat="false" ht="17.15" hidden="false" customHeight="false" outlineLevel="0" collapsed="false">
      <c r="A149" s="3" t="s">
        <v>490</v>
      </c>
      <c r="B149" s="0" t="s">
        <v>439</v>
      </c>
      <c r="D149" s="16" t="n">
        <f aca="false">D147/D148</f>
        <v>23.3995380420639</v>
      </c>
      <c r="E149" s="16" t="n">
        <f aca="false">E147/E148</f>
        <v>41.6467658260637</v>
      </c>
      <c r="F149" s="16" t="n">
        <f aca="false">F147/F148</f>
        <v>52.792138191248</v>
      </c>
      <c r="G149" s="16" t="n">
        <f aca="false">G147/G148</f>
        <v>60.1385917361116</v>
      </c>
    </row>
    <row r="150" customFormat="false" ht="17.15" hidden="false" customHeight="false" outlineLevel="0" collapsed="false">
      <c r="A150" s="3" t="s">
        <v>441</v>
      </c>
      <c r="B150" s="0" t="s">
        <v>94</v>
      </c>
      <c r="D150" s="17" t="n">
        <f aca="false">cmp_26</f>
        <v>190</v>
      </c>
      <c r="E150" s="17" t="n">
        <f aca="false">cmp_26*cmpx_27</f>
        <v>275.5</v>
      </c>
      <c r="F150" s="17" t="n">
        <f aca="false">cmp_26*cmpx_28</f>
        <v>304</v>
      </c>
      <c r="G150" s="17" t="n">
        <f aca="false">cmp_26*cmpx_29</f>
        <v>323</v>
      </c>
    </row>
    <row r="151" customFormat="false" ht="17.15" hidden="false" customHeight="false" outlineLevel="0" collapsed="false">
      <c r="A151" s="3" t="s">
        <v>443</v>
      </c>
      <c r="B151" s="0" t="s">
        <v>94</v>
      </c>
      <c r="D151" s="17" t="n">
        <f aca="false">sw_26</f>
        <v>90</v>
      </c>
      <c r="E151" s="17" t="n">
        <f aca="false">sw_26*swx_27</f>
        <v>126</v>
      </c>
      <c r="F151" s="17" t="n">
        <f aca="false">sw_26*swx_28</f>
        <v>144</v>
      </c>
      <c r="G151" s="17" t="n">
        <f aca="false">sw_26*swx_29</f>
        <v>157.5</v>
      </c>
    </row>
    <row r="152" customFormat="false" ht="17.15" hidden="false" customHeight="false" outlineLevel="0" collapsed="false">
      <c r="A152" s="3" t="s">
        <v>444</v>
      </c>
      <c r="B152" s="0" t="s">
        <v>94</v>
      </c>
      <c r="D152" s="17" t="n">
        <f aca="false">ubb_26</f>
        <v>70</v>
      </c>
      <c r="E152" s="17" t="n">
        <f aca="false">ubb_26*UXLO_27</f>
        <v>91</v>
      </c>
      <c r="F152" s="17" t="n">
        <f aca="false">ubb_26*UXLO_28</f>
        <v>105</v>
      </c>
      <c r="G152" s="17" t="n">
        <f aca="false">ubb_26*UXLO_29</f>
        <v>105</v>
      </c>
    </row>
    <row r="153" customFormat="false" ht="17.15" hidden="false" customHeight="false" outlineLevel="0" collapsed="false">
      <c r="A153" s="3" t="s">
        <v>491</v>
      </c>
      <c r="B153" s="0" t="s">
        <v>94</v>
      </c>
      <c r="D153" s="17" t="n">
        <f aca="false">D150+D151+D152</f>
        <v>350</v>
      </c>
      <c r="E153" s="17" t="n">
        <f aca="false">E150+E151+E152</f>
        <v>492.5</v>
      </c>
      <c r="F153" s="17" t="n">
        <f aca="false">F150+F151+F152</f>
        <v>553</v>
      </c>
      <c r="G153" s="17" t="n">
        <f aca="false">G150+G151+G152</f>
        <v>585.5</v>
      </c>
    </row>
    <row r="154" customFormat="false" ht="17.15" hidden="false" customHeight="false" outlineLevel="0" collapsed="false">
      <c r="A154" s="0" t="s">
        <v>492</v>
      </c>
      <c r="B154" s="0" t="s">
        <v>34</v>
      </c>
      <c r="D154" s="19" t="n">
        <f aca="false">D149*D153/1000</f>
        <v>8.18983831472236</v>
      </c>
      <c r="E154" s="19" t="n">
        <f aca="false">E149*E153/1000</f>
        <v>20.5110321693364</v>
      </c>
      <c r="F154" s="19" t="n">
        <f aca="false">F149*F153/1000</f>
        <v>29.1940524197601</v>
      </c>
      <c r="G154" s="19" t="n">
        <f aca="false">G149*G153/1000</f>
        <v>35.2111454614933</v>
      </c>
    </row>
    <row r="155" customFormat="false" ht="17.15" hidden="false" customHeight="false" outlineLevel="0" collapsed="false">
      <c r="A155" s="0" t="s">
        <v>493</v>
      </c>
      <c r="B155" s="0" t="s">
        <v>214</v>
      </c>
      <c r="D155" s="18" t="n">
        <f aca="false">D154*fx</f>
        <v>262.074826071116</v>
      </c>
      <c r="E155" s="18" t="n">
        <f aca="false">E154*fx</f>
        <v>656.353029418764</v>
      </c>
      <c r="F155" s="18" t="n">
        <f aca="false">F154*fx</f>
        <v>934.209677432324</v>
      </c>
      <c r="G155" s="18" t="n">
        <f aca="false">G154*fx</f>
        <v>1126.75665476779</v>
      </c>
    </row>
    <row r="156" customFormat="false" ht="17.15" hidden="false" customHeight="false" outlineLevel="0" collapsed="false">
      <c r="A156" s="0" t="s">
        <v>494</v>
      </c>
      <c r="B156" s="0" t="s">
        <v>67</v>
      </c>
      <c r="D156" s="14" t="n">
        <f aca="false">1</f>
        <v>1</v>
      </c>
      <c r="E156" s="14" t="n">
        <f aca="false">pp_27</f>
        <v>1</v>
      </c>
      <c r="F156" s="14" t="n">
        <f aca="false">pp_28</f>
        <v>0.97</v>
      </c>
      <c r="G156" s="14" t="n">
        <f aca="false">pp_29</f>
        <v>0.93</v>
      </c>
    </row>
    <row r="157" customFormat="false" ht="17.15" hidden="false" customHeight="false" outlineLevel="0" collapsed="false">
      <c r="A157" s="3" t="s">
        <v>495</v>
      </c>
      <c r="B157" s="0" t="s">
        <v>54</v>
      </c>
      <c r="D157" s="13" t="n">
        <f aca="false">a26_ai/D155</f>
        <v>0.459306165741139</v>
      </c>
      <c r="H157" s="7" t="s">
        <v>496</v>
      </c>
    </row>
    <row r="158" customFormat="false" ht="17.15" hidden="false" customHeight="false" outlineLevel="0" collapsed="false">
      <c r="A158" s="3" t="s">
        <v>497</v>
      </c>
      <c r="B158" s="0" t="s">
        <v>67</v>
      </c>
      <c r="D158" s="14" t="n">
        <f aca="false">1</f>
        <v>1</v>
      </c>
      <c r="E158" s="14" t="n">
        <f aca="false">rel_27</f>
        <v>0.95</v>
      </c>
      <c r="F158" s="14" t="n">
        <f aca="false">rel_28</f>
        <v>0.9</v>
      </c>
      <c r="G158" s="14" t="n">
        <f aca="false">rel_29</f>
        <v>0.85</v>
      </c>
    </row>
    <row r="159" customFormat="false" ht="15" hidden="false" customHeight="false" outlineLevel="0" collapsed="false">
      <c r="A159" s="3" t="s">
        <v>452</v>
      </c>
      <c r="B159" s="0" t="s">
        <v>54</v>
      </c>
      <c r="D159" s="13" t="n">
        <f aca="false">$D$157*D158</f>
        <v>0.459306165741139</v>
      </c>
      <c r="E159" s="13" t="n">
        <f aca="false">$D$157*E158</f>
        <v>0.436340857454082</v>
      </c>
      <c r="F159" s="13" t="n">
        <f aca="false">$D$157*F158</f>
        <v>0.413375549167025</v>
      </c>
      <c r="G159" s="13" t="n">
        <f aca="false">$D$157*G158</f>
        <v>0.390410240879968</v>
      </c>
    </row>
    <row r="160" customFormat="false" ht="17.15" hidden="false" customHeight="false" outlineLevel="0" collapsed="false">
      <c r="A160" s="0" t="s">
        <v>498</v>
      </c>
      <c r="B160" s="0" t="s">
        <v>214</v>
      </c>
      <c r="D160" s="18" t="n">
        <f aca="false">D155*D159*D156</f>
        <v>120.3725835</v>
      </c>
      <c r="E160" s="18" t="n">
        <f aca="false">E155*E159*E156</f>
        <v>286.393643649168</v>
      </c>
      <c r="F160" s="18" t="n">
        <f aca="false">F155*F159*F156</f>
        <v>374.594055292365</v>
      </c>
      <c r="G160" s="18" t="n">
        <f aca="false">G155*G159*G156</f>
        <v>409.104523410929</v>
      </c>
    </row>
    <row r="161" customFormat="false" ht="17.15" hidden="false" customHeight="false" outlineLevel="0" collapsed="false">
      <c r="A161" s="5" t="s">
        <v>499</v>
      </c>
    </row>
    <row r="162" customFormat="false" ht="15" hidden="false" customHeight="false" outlineLevel="0" collapsed="false">
      <c r="A162" s="3" t="s">
        <v>457</v>
      </c>
      <c r="B162" s="3" t="s">
        <v>151</v>
      </c>
      <c r="D162" s="14" t="n">
        <f aca="false">cap_26</f>
        <v>6</v>
      </c>
      <c r="E162" s="14" t="n">
        <f aca="false">cap_27</f>
        <v>7.76</v>
      </c>
      <c r="F162" s="14" t="n">
        <f aca="false">cap_28</f>
        <v>10.3</v>
      </c>
      <c r="G162" s="14" t="n">
        <f aca="false">cap_29</f>
        <v>11.8</v>
      </c>
    </row>
    <row r="163" customFormat="false" ht="17.15" hidden="false" customHeight="false" outlineLevel="0" collapsed="false">
      <c r="A163" s="3" t="s">
        <v>500</v>
      </c>
      <c r="B163" s="0" t="s">
        <v>460</v>
      </c>
      <c r="D163" s="17" t="n">
        <f aca="false">a26_rev/(D162*12)*1000</f>
        <v>2857.84861111111</v>
      </c>
      <c r="H163" s="7" t="s">
        <v>501</v>
      </c>
    </row>
    <row r="164" customFormat="false" ht="17.15" hidden="false" customHeight="false" outlineLevel="0" collapsed="false">
      <c r="A164" s="3" t="s">
        <v>502</v>
      </c>
      <c r="B164" s="0" t="s">
        <v>67</v>
      </c>
      <c r="D164" s="14" t="n">
        <f aca="false">1</f>
        <v>1</v>
      </c>
      <c r="E164" s="14" t="n">
        <f aca="false">mix_27</f>
        <v>1.25</v>
      </c>
      <c r="F164" s="14" t="n">
        <f aca="false">mix_28</f>
        <v>1.4</v>
      </c>
      <c r="G164" s="14" t="n">
        <f aca="false">mix_29</f>
        <v>1.5</v>
      </c>
    </row>
    <row r="165" customFormat="false" ht="17.15" hidden="false" customHeight="false" outlineLevel="0" collapsed="false">
      <c r="A165" s="3" t="s">
        <v>503</v>
      </c>
      <c r="B165" s="0" t="s">
        <v>214</v>
      </c>
      <c r="D165" s="18" t="n">
        <f aca="false">D162*12*$D$163*D164*D156/1000</f>
        <v>205.7651</v>
      </c>
      <c r="E165" s="18" t="n">
        <f aca="false">E162*12*$D$163*E164*E156/1000</f>
        <v>332.653578333333</v>
      </c>
      <c r="F165" s="18" t="n">
        <f aca="false">F162*12*$D$163*F164*F156/1000</f>
        <v>479.686459956667</v>
      </c>
      <c r="G165" s="18" t="n">
        <f aca="false">G162*12*$D$163*G164*G156/1000</f>
        <v>564.51655185</v>
      </c>
    </row>
    <row r="166" customFormat="false" ht="17.15" hidden="false" customHeight="false" outlineLevel="0" collapsed="false">
      <c r="A166" s="3" t="s">
        <v>504</v>
      </c>
      <c r="B166" s="0" t="s">
        <v>214</v>
      </c>
      <c r="C166" s="18" t="n">
        <f aca="false">a25_nai</f>
        <v>47.1305</v>
      </c>
      <c r="D166" s="18" t="n">
        <f aca="false">a26_nai</f>
        <v>85.3925165</v>
      </c>
      <c r="E166" s="18" t="n">
        <f aca="false">D166*(1+g_nai27)</f>
        <v>92.22391782</v>
      </c>
      <c r="F166" s="18" t="n">
        <f aca="false">E166*(1+g_nai28)</f>
        <v>97.7573528892</v>
      </c>
      <c r="G166" s="18" t="n">
        <f aca="false">F166*(1+g_nai29)</f>
        <v>102.64522053366</v>
      </c>
    </row>
    <row r="167" customFormat="false" ht="17.15" hidden="false" customHeight="false" outlineLevel="0" collapsed="false">
      <c r="A167" s="0" t="s">
        <v>505</v>
      </c>
      <c r="B167" s="0" t="s">
        <v>214</v>
      </c>
      <c r="C167" s="18" t="n">
        <f aca="false">a25_ai</f>
        <v>47.1305</v>
      </c>
      <c r="D167" s="18" t="n">
        <f aca="false">D160</f>
        <v>120.3725835</v>
      </c>
      <c r="E167" s="18" t="n">
        <f aca="false">MIN(E160,E165-E166)</f>
        <v>240.429660513333</v>
      </c>
      <c r="F167" s="18" t="n">
        <f aca="false">MIN(F160,F165-F166)</f>
        <v>374.594055292365</v>
      </c>
      <c r="G167" s="18" t="n">
        <f aca="false">MIN(G160,G165-G166)</f>
        <v>409.104523410929</v>
      </c>
      <c r="H167" s="3" t="s">
        <v>506</v>
      </c>
    </row>
    <row r="168" customFormat="false" ht="15" hidden="false" customHeight="false" outlineLevel="0" collapsed="false">
      <c r="A168" s="3" t="s">
        <v>507</v>
      </c>
      <c r="E168" s="0" t="str">
        <f aca="false">IF(E160&gt;E165-E166+0.0001,"受限","未受限")</f>
        <v>受限</v>
      </c>
      <c r="F168" s="0" t="str">
        <f aca="false">IF(F160&gt;F165-F166+0.0001,"受限","未受限")</f>
        <v>未受限</v>
      </c>
      <c r="G168" s="0" t="str">
        <f aca="false">IF(G160&gt;G165-G166+0.0001,"受限","未受限")</f>
        <v>未受限</v>
      </c>
    </row>
    <row r="169" customFormat="false" ht="15" hidden="false" customHeight="false" outlineLevel="0" collapsed="false">
      <c r="A169" s="3" t="s">
        <v>388</v>
      </c>
      <c r="B169" s="0" t="s">
        <v>214</v>
      </c>
      <c r="C169" s="18" t="n">
        <f aca="false">C167+C166</f>
        <v>94.261</v>
      </c>
      <c r="D169" s="18" t="n">
        <f aca="false">D167+D166</f>
        <v>205.7651</v>
      </c>
      <c r="E169" s="18" t="n">
        <f aca="false">E167+E166</f>
        <v>332.653578333333</v>
      </c>
      <c r="F169" s="18" t="n">
        <f aca="false">F167+F166</f>
        <v>472.351408181565</v>
      </c>
      <c r="G169" s="18" t="n">
        <f aca="false">G167+G166</f>
        <v>511.749743944589</v>
      </c>
    </row>
    <row r="170" customFormat="false" ht="15" hidden="false" customHeight="false" outlineLevel="0" collapsed="false">
      <c r="A170" s="3" t="s">
        <v>508</v>
      </c>
      <c r="B170" s="0" t="s">
        <v>54</v>
      </c>
      <c r="D170" s="13" t="n">
        <f aca="false">D169/C169-1</f>
        <v>1.1829293132897</v>
      </c>
      <c r="E170" s="13" t="n">
        <f aca="false">E169/D169-1</f>
        <v>0.616666666666667</v>
      </c>
      <c r="F170" s="13" t="n">
        <f aca="false">F169/E169-1</f>
        <v>0.419949878633946</v>
      </c>
      <c r="G170" s="13" t="n">
        <f aca="false">G169/F169-1</f>
        <v>0.0834089516419523</v>
      </c>
    </row>
    <row r="171" customFormat="false" ht="17.15" hidden="false" customHeight="false" outlineLevel="0" collapsed="false">
      <c r="A171" s="3" t="s">
        <v>509</v>
      </c>
      <c r="B171" s="0" t="s">
        <v>214</v>
      </c>
      <c r="C171" s="18" t="n">
        <f aca="false">inf25*C169-C167</f>
        <v>16.495675</v>
      </c>
      <c r="D171" s="18" t="n">
        <f aca="false">inf26*D169-D167</f>
        <v>33.9512415</v>
      </c>
      <c r="E171" s="18" t="n">
        <f aca="false">E166*$D171/$D166</f>
        <v>36.66734082</v>
      </c>
      <c r="F171" s="18" t="n">
        <f aca="false">F166*$D171/$D166</f>
        <v>38.8673812692</v>
      </c>
      <c r="G171" s="18" t="n">
        <f aca="false">G166*$D171/$D166</f>
        <v>40.81075033266</v>
      </c>
      <c r="H171" s="3" t="s">
        <v>510</v>
      </c>
    </row>
    <row r="172" customFormat="false" ht="17.15" hidden="false" customHeight="false" outlineLevel="0" collapsed="false">
      <c r="A172" s="3" t="s">
        <v>511</v>
      </c>
      <c r="B172" s="0" t="s">
        <v>214</v>
      </c>
      <c r="C172" s="18" t="n">
        <f aca="false">C167+C171</f>
        <v>63.626175</v>
      </c>
      <c r="D172" s="18" t="n">
        <f aca="false">D167+D171</f>
        <v>154.323825</v>
      </c>
      <c r="E172" s="18" t="n">
        <f aca="false">E167+E171</f>
        <v>277.097001333333</v>
      </c>
      <c r="F172" s="18" t="n">
        <f aca="false">F167+F171</f>
        <v>413.461436561565</v>
      </c>
      <c r="G172" s="18" t="n">
        <f aca="false">G167+G171</f>
        <v>449.915273743589</v>
      </c>
      <c r="H172" s="3" t="s">
        <v>512</v>
      </c>
    </row>
    <row r="173" customFormat="false" ht="15" hidden="false" customHeight="false" outlineLevel="0" collapsed="false">
      <c r="A173" s="3" t="s">
        <v>513</v>
      </c>
      <c r="B173" s="0" t="s">
        <v>214</v>
      </c>
      <c r="C173" s="18" t="n">
        <f aca="false">mob25*C169</f>
        <v>21.208725</v>
      </c>
      <c r="D173" s="18" t="n">
        <f aca="false">mob26*D169</f>
        <v>37.037718</v>
      </c>
      <c r="E173" s="18" t="n">
        <f aca="false">E166*$D173/$D166</f>
        <v>40.00073544</v>
      </c>
      <c r="F173" s="18" t="n">
        <f aca="false">F166*$D173/$D166</f>
        <v>42.4007795664</v>
      </c>
      <c r="G173" s="18" t="n">
        <f aca="false">G166*$D173/$D166</f>
        <v>44.52081854472</v>
      </c>
      <c r="H173" s="3" t="s">
        <v>514</v>
      </c>
    </row>
    <row r="174" customFormat="false" ht="15" hidden="false" customHeight="false" outlineLevel="0" collapsed="false">
      <c r="A174" s="3" t="s">
        <v>515</v>
      </c>
      <c r="B174" s="0" t="s">
        <v>214</v>
      </c>
      <c r="C174" s="18" t="n">
        <f aca="false">C169-C172-C173</f>
        <v>9.42609999999999</v>
      </c>
      <c r="D174" s="18" t="n">
        <f aca="false">D169-D172-D173</f>
        <v>14.403557</v>
      </c>
      <c r="E174" s="18" t="n">
        <f aca="false">E169-E172-E173</f>
        <v>15.55584156</v>
      </c>
      <c r="F174" s="18" t="n">
        <f aca="false">F169-F172-F173</f>
        <v>16.4891920536</v>
      </c>
      <c r="G174" s="18" t="n">
        <f aca="false">G169-G172-G173</f>
        <v>17.31365165628</v>
      </c>
      <c r="H174" s="3" t="s">
        <v>516</v>
      </c>
    </row>
    <row r="175" customFormat="false" ht="15" hidden="false" customHeight="false" outlineLevel="0" collapsed="false">
      <c r="A175" s="3" t="s">
        <v>517</v>
      </c>
      <c r="B175" s="0" t="s">
        <v>214</v>
      </c>
      <c r="C175" s="21" t="n">
        <f aca="false">C172+C173+C174-C169</f>
        <v>0</v>
      </c>
      <c r="D175" s="21" t="n">
        <f aca="false">D172+D173+D174-D169</f>
        <v>0</v>
      </c>
      <c r="E175" s="21" t="n">
        <f aca="false">E172+E173+E174-E169</f>
        <v>0</v>
      </c>
      <c r="F175" s="21" t="n">
        <f aca="false">F172+F173+F174-F169</f>
        <v>0</v>
      </c>
      <c r="G175" s="21" t="n">
        <f aca="false">G172+G173+G174-G169</f>
        <v>0</v>
      </c>
    </row>
    <row r="176" customFormat="false" ht="17.15" hidden="false" customHeight="false" outlineLevel="0" collapsed="false">
      <c r="A176" s="0" t="s">
        <v>518</v>
      </c>
      <c r="B176" s="0" t="s">
        <v>54</v>
      </c>
      <c r="C176" s="13" t="n">
        <f aca="false">C167/C169</f>
        <v>0.5</v>
      </c>
      <c r="D176" s="13" t="n">
        <f aca="false">D167/D169</f>
        <v>0.585</v>
      </c>
      <c r="E176" s="13" t="n">
        <f aca="false">E167/E169</f>
        <v>0.722762886597938</v>
      </c>
      <c r="F176" s="13" t="n">
        <f aca="false">F167/F169</f>
        <v>0.793041046991812</v>
      </c>
      <c r="G176" s="13" t="n">
        <f aca="false">G167/G169</f>
        <v>0.799423015354211</v>
      </c>
    </row>
    <row r="177" customFormat="false" ht="17.15" hidden="false" customHeight="false" outlineLevel="0" collapsed="false">
      <c r="A177" s="3" t="s">
        <v>519</v>
      </c>
      <c r="B177" s="0" t="s">
        <v>54</v>
      </c>
      <c r="D177" s="13" t="n">
        <f aca="false">(D160+D166)/D165</f>
        <v>1</v>
      </c>
      <c r="E177" s="13" t="n">
        <f aca="false">(E160+E166)/E165</f>
        <v>1.13817372224319</v>
      </c>
      <c r="F177" s="13" t="n">
        <f aca="false">(F160+F166)/F165</f>
        <v>0.984708653698992</v>
      </c>
      <c r="G177" s="13" t="n">
        <f aca="false">(G160+G166)/G165</f>
        <v>0.906527438863418</v>
      </c>
      <c r="H177" s="3" t="s">
        <v>520</v>
      </c>
    </row>
    <row r="178" customFormat="false" ht="17.15" hidden="false" customHeight="false" outlineLevel="0" collapsed="false">
      <c r="A178" s="3" t="s">
        <v>456</v>
      </c>
      <c r="B178" s="0" t="s">
        <v>94</v>
      </c>
      <c r="D178" s="17" t="n">
        <f aca="false">D167/fx/D149*1000</f>
        <v>160.757158009399</v>
      </c>
      <c r="E178" s="17" t="n">
        <f aca="false">E167/fx/E149*1000</f>
        <v>180.408412082255</v>
      </c>
      <c r="F178" s="17" t="n">
        <f aca="false">F167/fx/F149*1000</f>
        <v>221.738778328684</v>
      </c>
      <c r="G178" s="17" t="n">
        <f aca="false">G167/fx/G149*1000</f>
        <v>212.584232312756</v>
      </c>
    </row>
    <row r="179" customFormat="false" ht="17.15" hidden="false" customHeight="false" outlineLevel="0" collapsed="false">
      <c r="A179" s="5" t="s">
        <v>521</v>
      </c>
    </row>
    <row r="180" customFormat="false" ht="17.15" hidden="false" customHeight="false" outlineLevel="0" collapsed="false">
      <c r="A180" s="3" t="s">
        <v>522</v>
      </c>
      <c r="B180" s="0" t="s">
        <v>54</v>
      </c>
      <c r="D180" s="13" t="n">
        <f aca="false">a26_gp/D169-d_ai*D176</f>
        <v>0.291564442755356</v>
      </c>
      <c r="H180" s="7" t="s">
        <v>523</v>
      </c>
    </row>
    <row r="181" customFormat="false" ht="17.15" hidden="false" customHeight="false" outlineLevel="0" collapsed="false">
      <c r="A181" s="0" t="s">
        <v>524</v>
      </c>
      <c r="B181" s="0" t="s">
        <v>54</v>
      </c>
      <c r="D181" s="13" t="n">
        <f aca="false">D180+d_ai</f>
        <v>0.371564442755356</v>
      </c>
      <c r="E181" s="13" t="n">
        <f aca="false">1-(1-$D$181)/E156</f>
        <v>0.371564442755356</v>
      </c>
      <c r="F181" s="13" t="n">
        <f aca="false">1-(1-$D$181)/F156</f>
        <v>0.352128291500367</v>
      </c>
      <c r="G181" s="13" t="n">
        <f aca="false">1-(1-$D$181)/G156</f>
        <v>0.324262841672425</v>
      </c>
      <c r="H181" s="7" t="s">
        <v>525</v>
      </c>
    </row>
    <row r="182" customFormat="false" ht="15" hidden="false" customHeight="false" outlineLevel="0" collapsed="false">
      <c r="A182" s="3" t="s">
        <v>392</v>
      </c>
      <c r="B182" s="0" t="s">
        <v>214</v>
      </c>
      <c r="C182" s="18" t="n">
        <f aca="false">a25_gp</f>
        <v>28.12</v>
      </c>
      <c r="D182" s="18" t="n">
        <f aca="false">a26_gp</f>
        <v>69.6235934</v>
      </c>
      <c r="E182" s="18" t="n">
        <f aca="false">E167*E181+E166*$D$180</f>
        <v>116.2243280384</v>
      </c>
      <c r="F182" s="18" t="n">
        <f aca="false">F167*F181+F166*$D$180</f>
        <v>160.407732816672</v>
      </c>
      <c r="G182" s="18" t="n">
        <f aca="false">G167*G181+G166*$D$180</f>
        <v>162.585091828668</v>
      </c>
    </row>
    <row r="183" customFormat="false" ht="15" hidden="false" customHeight="false" outlineLevel="0" collapsed="false">
      <c r="A183" s="3" t="s">
        <v>395</v>
      </c>
      <c r="B183" s="0" t="s">
        <v>54</v>
      </c>
      <c r="C183" s="13" t="n">
        <f aca="false">C182/C169</f>
        <v>0.298320620405046</v>
      </c>
      <c r="D183" s="13" t="n">
        <f aca="false">D182/D169</f>
        <v>0.338364442755356</v>
      </c>
      <c r="E183" s="13" t="n">
        <f aca="false">E182/E169</f>
        <v>0.349385473683191</v>
      </c>
      <c r="F183" s="13" t="n">
        <f aca="false">F182/F169</f>
        <v>0.339594060773953</v>
      </c>
      <c r="G183" s="13" t="n">
        <f aca="false">G182/G169</f>
        <v>0.317704295414894</v>
      </c>
    </row>
    <row r="184" customFormat="false" ht="15" hidden="false" customHeight="false" outlineLevel="0" collapsed="false">
      <c r="A184" s="3" t="s">
        <v>526</v>
      </c>
      <c r="B184" s="0" t="s">
        <v>214</v>
      </c>
      <c r="C184" s="18" t="n">
        <f aca="false">a25_opx</f>
        <v>9.012</v>
      </c>
      <c r="D184" s="18" t="n">
        <f aca="false">a26_opx</f>
        <v>14.0153081141857</v>
      </c>
      <c r="E184" s="18" t="n">
        <f aca="false">D184*(1+MAX(0,phi*E170))</f>
        <v>19.2009721164345</v>
      </c>
      <c r="F184" s="18" t="n">
        <f aca="false">E184*(1+MAX(0,phi*F170))</f>
        <v>24.0390396624047</v>
      </c>
      <c r="G184" s="18" t="n">
        <f aca="false">F184*(1+MAX(0,phi*G170))</f>
        <v>25.242082320437</v>
      </c>
    </row>
    <row r="185" customFormat="false" ht="15" hidden="false" customHeight="false" outlineLevel="0" collapsed="false">
      <c r="A185" s="3" t="s">
        <v>397</v>
      </c>
      <c r="B185" s="0" t="s">
        <v>214</v>
      </c>
      <c r="C185" s="18" t="n">
        <f aca="false">C184</f>
        <v>9.012</v>
      </c>
      <c r="D185" s="18" t="n">
        <f aca="false">D184</f>
        <v>14.0153081141857</v>
      </c>
      <c r="E185" s="18" t="n">
        <f aca="false">E184+0*E169</f>
        <v>19.2009721164345</v>
      </c>
      <c r="F185" s="18" t="n">
        <f aca="false">F184+0*F169</f>
        <v>24.0390396624047</v>
      </c>
      <c r="G185" s="18" t="n">
        <f aca="false">G184+0*G169</f>
        <v>25.242082320437</v>
      </c>
    </row>
    <row r="186" customFormat="false" ht="15" hidden="false" customHeight="false" outlineLevel="0" collapsed="false">
      <c r="A186" s="3" t="s">
        <v>400</v>
      </c>
      <c r="B186" s="0" t="s">
        <v>214</v>
      </c>
      <c r="C186" s="18" t="n">
        <f aca="false">C182-C185</f>
        <v>19.108</v>
      </c>
      <c r="D186" s="18" t="n">
        <f aca="false">D182-D185</f>
        <v>55.6082852858143</v>
      </c>
      <c r="E186" s="18" t="n">
        <f aca="false">E182-E185</f>
        <v>97.0233559219655</v>
      </c>
      <c r="F186" s="18" t="n">
        <f aca="false">F182-F185</f>
        <v>136.368693154268</v>
      </c>
      <c r="G186" s="18" t="n">
        <f aca="false">G182-G185</f>
        <v>137.343009508231</v>
      </c>
    </row>
    <row r="187" customFormat="false" ht="15" hidden="false" customHeight="false" outlineLevel="0" collapsed="false">
      <c r="A187" s="3" t="s">
        <v>403</v>
      </c>
      <c r="B187" s="0" t="s">
        <v>54</v>
      </c>
      <c r="C187" s="13" t="n">
        <f aca="false">C186/C169</f>
        <v>0.202713741632276</v>
      </c>
      <c r="D187" s="13" t="n">
        <f aca="false">D186/D169</f>
        <v>0.270251297648699</v>
      </c>
      <c r="E187" s="13" t="n">
        <f aca="false">E186/E169</f>
        <v>0.291664849685591</v>
      </c>
      <c r="F187" s="13" t="n">
        <f aca="false">F186/F169</f>
        <v>0.288701781750272</v>
      </c>
      <c r="G187" s="13" t="n">
        <f aca="false">G186/G169</f>
        <v>0.268379244217272</v>
      </c>
    </row>
    <row r="188" customFormat="false" ht="17.15" hidden="false" customHeight="false" outlineLevel="0" collapsed="false">
      <c r="A188" s="3" t="s">
        <v>405</v>
      </c>
      <c r="B188" s="0" t="s">
        <v>214</v>
      </c>
      <c r="E188" s="18" t="n">
        <f aca="false">nop_f</f>
        <v>0.5</v>
      </c>
      <c r="F188" s="18" t="n">
        <f aca="false">nop_f</f>
        <v>0.5</v>
      </c>
      <c r="G188" s="18" t="n">
        <f aca="false">nop_f</f>
        <v>0.5</v>
      </c>
      <c r="H188" s="7" t="s">
        <v>527</v>
      </c>
    </row>
    <row r="189" customFormat="false" ht="15" hidden="false" customHeight="false" outlineLevel="0" collapsed="false">
      <c r="A189" s="3" t="s">
        <v>408</v>
      </c>
      <c r="B189" s="0" t="s">
        <v>214</v>
      </c>
      <c r="C189" s="18" t="n">
        <f aca="false">a25_ni</f>
        <v>14.649</v>
      </c>
      <c r="D189" s="18" t="n">
        <f aca="false">a26_ni</f>
        <v>42.891099295</v>
      </c>
      <c r="E189" s="18" t="n">
        <f aca="false">(E186+E188)*nir_f</f>
        <v>75.0929840599135</v>
      </c>
      <c r="F189" s="18" t="n">
        <f aca="false">(F186+F188)*nir_f</f>
        <v>105.388893728786</v>
      </c>
      <c r="G189" s="18" t="n">
        <f aca="false">(G186+G188)*nir_f</f>
        <v>106.139117321338</v>
      </c>
    </row>
    <row r="190" customFormat="false" ht="17.15" hidden="false" customHeight="false" outlineLevel="0" collapsed="false">
      <c r="A190" s="3" t="s">
        <v>411</v>
      </c>
      <c r="B190" s="0" t="s">
        <v>54</v>
      </c>
      <c r="C190" s="13" t="n">
        <f aca="false">C189/C186</f>
        <v>0.766642244086247</v>
      </c>
      <c r="D190" s="13" t="n">
        <f aca="false">D189/D186</f>
        <v>0.771307712053146</v>
      </c>
      <c r="E190" s="13" t="n">
        <f aca="false">E189/E186</f>
        <v>0.77396811671109</v>
      </c>
      <c r="F190" s="13" t="n">
        <f aca="false">F189/F186</f>
        <v>0.772823228639175</v>
      </c>
      <c r="G190" s="13" t="n">
        <f aca="false">G189/G186</f>
        <v>0.772803200551514</v>
      </c>
    </row>
    <row r="191" customFormat="false" ht="15" hidden="false" customHeight="false" outlineLevel="0" collapsed="false">
      <c r="A191" s="3" t="s">
        <v>528</v>
      </c>
      <c r="B191" s="3" t="s">
        <v>243</v>
      </c>
      <c r="C191" s="20" t="n">
        <f aca="false">a25_sh</f>
        <v>0.351547876169906</v>
      </c>
      <c r="D191" s="20" t="n">
        <f aca="false">a26_sh</f>
        <v>0.358290155440415</v>
      </c>
      <c r="E191" s="20" t="n">
        <f aca="false">D191*(1+sh_g)</f>
        <v>0.358290155440415</v>
      </c>
      <c r="F191" s="20" t="n">
        <f aca="false">E191*(1+sh_g)</f>
        <v>0.358290155440415</v>
      </c>
      <c r="G191" s="20" t="n">
        <f aca="false">F191*(1+sh_g)</f>
        <v>0.358290155440415</v>
      </c>
    </row>
    <row r="192" customFormat="false" ht="15" hidden="false" customHeight="false" outlineLevel="0" collapsed="false">
      <c r="A192" s="0" t="s">
        <v>414</v>
      </c>
      <c r="B192" s="0" t="s">
        <v>274</v>
      </c>
      <c r="C192" s="19" t="n">
        <f aca="false">C189/C191</f>
        <v>41.67</v>
      </c>
      <c r="D192" s="19" t="n">
        <f aca="false">D189/D191</f>
        <v>119.710515747433</v>
      </c>
      <c r="E192" s="19" t="n">
        <f aca="false">E189/E191</f>
        <v>209.587070478139</v>
      </c>
      <c r="F192" s="19" t="n">
        <f aca="false">F189/F191</f>
        <v>294.14398394296</v>
      </c>
      <c r="G192" s="19" t="n">
        <f aca="false">G189/G191</f>
        <v>296.237883485441</v>
      </c>
    </row>
    <row r="193" customFormat="false" ht="17.15" hidden="false" customHeight="false" outlineLevel="0" collapsed="false">
      <c r="A193" s="0" t="s">
        <v>529</v>
      </c>
      <c r="B193" s="0" t="s">
        <v>54</v>
      </c>
      <c r="D193" s="13" t="n">
        <f aca="false">D192/C192-1</f>
        <v>1.87282255213422</v>
      </c>
      <c r="E193" s="13" t="n">
        <f aca="false">E192/D192-1</f>
        <v>0.750782453567642</v>
      </c>
      <c r="F193" s="13" t="n">
        <f aca="false">F192/E192-1</f>
        <v>0.403445275855608</v>
      </c>
      <c r="G193" s="13" t="n">
        <f aca="false">G192/F192-1</f>
        <v>0.00711862100462457</v>
      </c>
    </row>
    <row r="196" customFormat="false" ht="17.15" hidden="false" customHeight="false" outlineLevel="0" collapsed="false">
      <c r="A196" s="1" t="s">
        <v>841</v>
      </c>
    </row>
    <row r="197" customFormat="false" ht="17.15" hidden="false" customHeight="false" outlineLevel="0" collapsed="false">
      <c r="A197" s="4" t="s">
        <v>23</v>
      </c>
      <c r="B197" s="4" t="s">
        <v>24</v>
      </c>
      <c r="C197" s="10" t="s">
        <v>383</v>
      </c>
      <c r="D197" s="10" t="s">
        <v>469</v>
      </c>
      <c r="E197" s="10" t="s">
        <v>470</v>
      </c>
      <c r="F197" s="10" t="s">
        <v>471</v>
      </c>
      <c r="G197" s="10" t="s">
        <v>472</v>
      </c>
      <c r="H197" s="4" t="s">
        <v>437</v>
      </c>
    </row>
    <row r="198" customFormat="false" ht="17.15" hidden="false" customHeight="false" outlineLevel="0" collapsed="false">
      <c r="A198" s="5" t="s">
        <v>487</v>
      </c>
    </row>
    <row r="199" customFormat="false" ht="17.15" hidden="false" customHeight="false" outlineLevel="0" collapsed="false">
      <c r="A199" s="0" t="s">
        <v>488</v>
      </c>
      <c r="B199" s="0" t="s">
        <v>34</v>
      </c>
      <c r="D199" s="19" t="n">
        <f aca="false">itc_26*1</f>
        <v>781.872916666666</v>
      </c>
      <c r="E199" s="19" t="n">
        <f aca="false">itc_27*1*1</f>
        <v>1565.35</v>
      </c>
      <c r="F199" s="19" t="n">
        <f aca="false">itc_28*um28_A*1</f>
        <v>1984.26388888889</v>
      </c>
      <c r="G199" s="19" t="n">
        <f aca="false">itc_29*um29_A*1</f>
        <v>2260.39027777778</v>
      </c>
    </row>
    <row r="200" customFormat="false" ht="17.15" hidden="false" customHeight="false" outlineLevel="0" collapsed="false">
      <c r="A200" s="3" t="s">
        <v>489</v>
      </c>
      <c r="B200" s="0" t="s">
        <v>34</v>
      </c>
      <c r="D200" s="19" t="n">
        <f aca="false">itpg_gb*(1-vr26)+itpg_vr*vr26</f>
        <v>33.41403216</v>
      </c>
      <c r="E200" s="19" t="n">
        <f aca="false">itpg_vr</f>
        <v>37.586352</v>
      </c>
      <c r="F200" s="19" t="n">
        <f aca="false">itpg_vr</f>
        <v>37.586352</v>
      </c>
      <c r="G200" s="19" t="n">
        <f aca="false">itpg_vr</f>
        <v>37.586352</v>
      </c>
    </row>
    <row r="201" customFormat="false" ht="17.15" hidden="false" customHeight="false" outlineLevel="0" collapsed="false">
      <c r="A201" s="3" t="s">
        <v>490</v>
      </c>
      <c r="B201" s="0" t="s">
        <v>439</v>
      </c>
      <c r="D201" s="16" t="n">
        <f aca="false">D199/D200</f>
        <v>23.3995380420639</v>
      </c>
      <c r="E201" s="16" t="n">
        <f aca="false">E199/E200</f>
        <v>41.6467658260637</v>
      </c>
      <c r="F201" s="16" t="n">
        <f aca="false">F199/F200</f>
        <v>52.792138191248</v>
      </c>
      <c r="G201" s="16" t="n">
        <f aca="false">G199/G200</f>
        <v>60.1385917361116</v>
      </c>
    </row>
    <row r="202" customFormat="false" ht="17.15" hidden="false" customHeight="false" outlineLevel="0" collapsed="false">
      <c r="A202" s="3" t="s">
        <v>441</v>
      </c>
      <c r="B202" s="0" t="s">
        <v>94</v>
      </c>
      <c r="D202" s="17" t="n">
        <f aca="false">cmp_26</f>
        <v>190</v>
      </c>
      <c r="E202" s="17" t="n">
        <f aca="false">cmp_26*cmpx_27</f>
        <v>275.5</v>
      </c>
      <c r="F202" s="17" t="n">
        <f aca="false">cmp_26*cmpx_28</f>
        <v>304</v>
      </c>
      <c r="G202" s="17" t="n">
        <f aca="false">cmp_26*cmpx_29</f>
        <v>323</v>
      </c>
    </row>
    <row r="203" customFormat="false" ht="17.15" hidden="false" customHeight="false" outlineLevel="0" collapsed="false">
      <c r="A203" s="3" t="s">
        <v>443</v>
      </c>
      <c r="B203" s="0" t="s">
        <v>94</v>
      </c>
      <c r="D203" s="17" t="n">
        <f aca="false">sw_26</f>
        <v>90</v>
      </c>
      <c r="E203" s="17" t="n">
        <f aca="false">sw_26*swx_27</f>
        <v>126</v>
      </c>
      <c r="F203" s="17" t="n">
        <f aca="false">sw_26*swx_28</f>
        <v>144</v>
      </c>
      <c r="G203" s="17" t="n">
        <f aca="false">sw_26*swx_29</f>
        <v>157.5</v>
      </c>
    </row>
    <row r="204" customFormat="false" ht="17.15" hidden="false" customHeight="false" outlineLevel="0" collapsed="false">
      <c r="A204" s="3" t="s">
        <v>444</v>
      </c>
      <c r="B204" s="0" t="s">
        <v>94</v>
      </c>
      <c r="D204" s="17" t="n">
        <f aca="false">ubb_26</f>
        <v>70</v>
      </c>
      <c r="E204" s="17" t="n">
        <f aca="false">ubb_26*UXHI_27</f>
        <v>175</v>
      </c>
      <c r="F204" s="17" t="n">
        <f aca="false">ubb_26*UXHI_28</f>
        <v>210</v>
      </c>
      <c r="G204" s="17" t="n">
        <f aca="false">ubb_26*UXHI_29</f>
        <v>245</v>
      </c>
    </row>
    <row r="205" customFormat="false" ht="17.15" hidden="false" customHeight="false" outlineLevel="0" collapsed="false">
      <c r="A205" s="3" t="s">
        <v>491</v>
      </c>
      <c r="B205" s="0" t="s">
        <v>94</v>
      </c>
      <c r="D205" s="17" t="n">
        <f aca="false">D202+D203+D204</f>
        <v>350</v>
      </c>
      <c r="E205" s="17" t="n">
        <f aca="false">E202+E203+E204</f>
        <v>576.5</v>
      </c>
      <c r="F205" s="17" t="n">
        <f aca="false">F202+F203+F204</f>
        <v>658</v>
      </c>
      <c r="G205" s="17" t="n">
        <f aca="false">G202+G203+G204</f>
        <v>725.5</v>
      </c>
    </row>
    <row r="206" customFormat="false" ht="17.15" hidden="false" customHeight="false" outlineLevel="0" collapsed="false">
      <c r="A206" s="0" t="s">
        <v>492</v>
      </c>
      <c r="B206" s="0" t="s">
        <v>34</v>
      </c>
      <c r="D206" s="19" t="n">
        <f aca="false">D201*D205/1000</f>
        <v>8.18983831472236</v>
      </c>
      <c r="E206" s="19" t="n">
        <f aca="false">E201*E205/1000</f>
        <v>24.0093604987257</v>
      </c>
      <c r="F206" s="19" t="n">
        <f aca="false">F201*F205/1000</f>
        <v>34.7372269298412</v>
      </c>
      <c r="G206" s="19" t="n">
        <f aca="false">G201*G205/1000</f>
        <v>43.6305483045489</v>
      </c>
    </row>
    <row r="207" customFormat="false" ht="17.15" hidden="false" customHeight="false" outlineLevel="0" collapsed="false">
      <c r="A207" s="0" t="s">
        <v>493</v>
      </c>
      <c r="B207" s="0" t="s">
        <v>214</v>
      </c>
      <c r="D207" s="18" t="n">
        <f aca="false">D206*fx</f>
        <v>262.074826071116</v>
      </c>
      <c r="E207" s="18" t="n">
        <f aca="false">E206*fx</f>
        <v>768.299535959223</v>
      </c>
      <c r="F207" s="18" t="n">
        <f aca="false">F206*fx</f>
        <v>1111.59126175492</v>
      </c>
      <c r="G207" s="18" t="n">
        <f aca="false">G206*fx</f>
        <v>1396.17754574557</v>
      </c>
    </row>
    <row r="208" customFormat="false" ht="17.15" hidden="false" customHeight="false" outlineLevel="0" collapsed="false">
      <c r="A208" s="0" t="s">
        <v>494</v>
      </c>
      <c r="B208" s="0" t="s">
        <v>67</v>
      </c>
      <c r="D208" s="14" t="n">
        <f aca="false">1</f>
        <v>1</v>
      </c>
      <c r="E208" s="14" t="n">
        <f aca="false">pp_27</f>
        <v>1</v>
      </c>
      <c r="F208" s="14" t="n">
        <f aca="false">pp_28</f>
        <v>0.97</v>
      </c>
      <c r="G208" s="14" t="n">
        <f aca="false">pp_29</f>
        <v>0.93</v>
      </c>
    </row>
    <row r="209" customFormat="false" ht="17.15" hidden="false" customHeight="false" outlineLevel="0" collapsed="false">
      <c r="A209" s="3" t="s">
        <v>495</v>
      </c>
      <c r="B209" s="0" t="s">
        <v>54</v>
      </c>
      <c r="D209" s="13" t="n">
        <f aca="false">a26_ai/D207</f>
        <v>0.459306165741139</v>
      </c>
      <c r="H209" s="7" t="s">
        <v>496</v>
      </c>
    </row>
    <row r="210" customFormat="false" ht="17.15" hidden="false" customHeight="false" outlineLevel="0" collapsed="false">
      <c r="A210" s="3" t="s">
        <v>497</v>
      </c>
      <c r="B210" s="0" t="s">
        <v>67</v>
      </c>
      <c r="D210" s="14" t="n">
        <f aca="false">1</f>
        <v>1</v>
      </c>
      <c r="E210" s="14" t="n">
        <f aca="false">rel_27</f>
        <v>0.95</v>
      </c>
      <c r="F210" s="14" t="n">
        <f aca="false">rel_28</f>
        <v>0.9</v>
      </c>
      <c r="G210" s="14" t="n">
        <f aca="false">rel_29</f>
        <v>0.85</v>
      </c>
    </row>
    <row r="211" customFormat="false" ht="15" hidden="false" customHeight="false" outlineLevel="0" collapsed="false">
      <c r="A211" s="3" t="s">
        <v>452</v>
      </c>
      <c r="B211" s="0" t="s">
        <v>54</v>
      </c>
      <c r="D211" s="13" t="n">
        <f aca="false">$D$209*D210</f>
        <v>0.459306165741139</v>
      </c>
      <c r="E211" s="13" t="n">
        <f aca="false">$D$209*E210</f>
        <v>0.436340857454082</v>
      </c>
      <c r="F211" s="13" t="n">
        <f aca="false">$D$209*F210</f>
        <v>0.413375549167025</v>
      </c>
      <c r="G211" s="13" t="n">
        <f aca="false">$D$209*G210</f>
        <v>0.390410240879968</v>
      </c>
    </row>
    <row r="212" customFormat="false" ht="17.15" hidden="false" customHeight="false" outlineLevel="0" collapsed="false">
      <c r="A212" s="0" t="s">
        <v>498</v>
      </c>
      <c r="B212" s="0" t="s">
        <v>214</v>
      </c>
      <c r="D212" s="18" t="n">
        <f aca="false">D207*D211*D208</f>
        <v>120.3725835</v>
      </c>
      <c r="E212" s="18" t="n">
        <f aca="false">E207*E211*E208</f>
        <v>335.240478302021</v>
      </c>
      <c r="F212" s="18" t="n">
        <f aca="false">F207*F211*F208</f>
        <v>445.719508828889</v>
      </c>
      <c r="G212" s="18" t="n">
        <f aca="false">G207*G211*G208</f>
        <v>506.926271109528</v>
      </c>
    </row>
    <row r="213" customFormat="false" ht="17.15" hidden="false" customHeight="false" outlineLevel="0" collapsed="false">
      <c r="A213" s="5" t="s">
        <v>499</v>
      </c>
    </row>
    <row r="214" customFormat="false" ht="15" hidden="false" customHeight="false" outlineLevel="0" collapsed="false">
      <c r="A214" s="3" t="s">
        <v>457</v>
      </c>
      <c r="B214" s="3" t="s">
        <v>151</v>
      </c>
      <c r="D214" s="14" t="n">
        <f aca="false">cap_26</f>
        <v>6</v>
      </c>
      <c r="E214" s="14" t="n">
        <f aca="false">cap_27</f>
        <v>7.76</v>
      </c>
      <c r="F214" s="14" t="n">
        <f aca="false">cap_28</f>
        <v>10.3</v>
      </c>
      <c r="G214" s="14" t="n">
        <f aca="false">cap_29</f>
        <v>11.8</v>
      </c>
    </row>
    <row r="215" customFormat="false" ht="17.15" hidden="false" customHeight="false" outlineLevel="0" collapsed="false">
      <c r="A215" s="3" t="s">
        <v>500</v>
      </c>
      <c r="B215" s="0" t="s">
        <v>460</v>
      </c>
      <c r="D215" s="17" t="n">
        <f aca="false">a26_rev/(D214*12)*1000</f>
        <v>2857.84861111111</v>
      </c>
      <c r="H215" s="7" t="s">
        <v>501</v>
      </c>
    </row>
    <row r="216" customFormat="false" ht="17.15" hidden="false" customHeight="false" outlineLevel="0" collapsed="false">
      <c r="A216" s="3" t="s">
        <v>502</v>
      </c>
      <c r="B216" s="0" t="s">
        <v>67</v>
      </c>
      <c r="D216" s="14" t="n">
        <f aca="false">1</f>
        <v>1</v>
      </c>
      <c r="E216" s="14" t="n">
        <f aca="false">mix_27</f>
        <v>1.25</v>
      </c>
      <c r="F216" s="14" t="n">
        <f aca="false">mix_28</f>
        <v>1.4</v>
      </c>
      <c r="G216" s="14" t="n">
        <f aca="false">mix_29</f>
        <v>1.5</v>
      </c>
    </row>
    <row r="217" customFormat="false" ht="17.15" hidden="false" customHeight="false" outlineLevel="0" collapsed="false">
      <c r="A217" s="3" t="s">
        <v>503</v>
      </c>
      <c r="B217" s="0" t="s">
        <v>214</v>
      </c>
      <c r="D217" s="18" t="n">
        <f aca="false">D214*12*$D$215*D216*D208/1000</f>
        <v>205.7651</v>
      </c>
      <c r="E217" s="18" t="n">
        <f aca="false">E214*12*$D$215*E216*E208/1000</f>
        <v>332.653578333333</v>
      </c>
      <c r="F217" s="18" t="n">
        <f aca="false">F214*12*$D$215*F216*F208/1000</f>
        <v>479.686459956667</v>
      </c>
      <c r="G217" s="18" t="n">
        <f aca="false">G214*12*$D$215*G216*G208/1000</f>
        <v>564.51655185</v>
      </c>
    </row>
    <row r="218" customFormat="false" ht="17.15" hidden="false" customHeight="false" outlineLevel="0" collapsed="false">
      <c r="A218" s="3" t="s">
        <v>504</v>
      </c>
      <c r="B218" s="0" t="s">
        <v>214</v>
      </c>
      <c r="C218" s="18" t="n">
        <f aca="false">a25_nai</f>
        <v>47.1305</v>
      </c>
      <c r="D218" s="18" t="n">
        <f aca="false">a26_nai</f>
        <v>85.3925165</v>
      </c>
      <c r="E218" s="18" t="n">
        <f aca="false">D218*(1+g_nai27)</f>
        <v>92.22391782</v>
      </c>
      <c r="F218" s="18" t="n">
        <f aca="false">E218*(1+g_nai28)</f>
        <v>97.7573528892</v>
      </c>
      <c r="G218" s="18" t="n">
        <f aca="false">F218*(1+g_nai29)</f>
        <v>102.64522053366</v>
      </c>
    </row>
    <row r="219" customFormat="false" ht="17.15" hidden="false" customHeight="false" outlineLevel="0" collapsed="false">
      <c r="A219" s="0" t="s">
        <v>505</v>
      </c>
      <c r="B219" s="0" t="s">
        <v>214</v>
      </c>
      <c r="C219" s="18" t="n">
        <f aca="false">a25_ai</f>
        <v>47.1305</v>
      </c>
      <c r="D219" s="18" t="n">
        <f aca="false">D212</f>
        <v>120.3725835</v>
      </c>
      <c r="E219" s="18" t="n">
        <f aca="false">MIN(E212,E217-E218)</f>
        <v>240.429660513333</v>
      </c>
      <c r="F219" s="18" t="n">
        <f aca="false">MIN(F212,F217-F218)</f>
        <v>381.929107067467</v>
      </c>
      <c r="G219" s="18" t="n">
        <f aca="false">MIN(G212,G217-G218)</f>
        <v>461.87133131634</v>
      </c>
      <c r="H219" s="3" t="s">
        <v>506</v>
      </c>
    </row>
    <row r="220" customFormat="false" ht="15" hidden="false" customHeight="false" outlineLevel="0" collapsed="false">
      <c r="A220" s="3" t="s">
        <v>507</v>
      </c>
      <c r="E220" s="0" t="str">
        <f aca="false">IF(E212&gt;E217-E218+0.0001,"受限","未受限")</f>
        <v>受限</v>
      </c>
      <c r="F220" s="0" t="str">
        <f aca="false">IF(F212&gt;F217-F218+0.0001,"受限","未受限")</f>
        <v>受限</v>
      </c>
      <c r="G220" s="0" t="str">
        <f aca="false">IF(G212&gt;G217-G218+0.0001,"受限","未受限")</f>
        <v>受限</v>
      </c>
    </row>
    <row r="221" customFormat="false" ht="15" hidden="false" customHeight="false" outlineLevel="0" collapsed="false">
      <c r="A221" s="3" t="s">
        <v>388</v>
      </c>
      <c r="B221" s="0" t="s">
        <v>214</v>
      </c>
      <c r="C221" s="18" t="n">
        <f aca="false">C219+C218</f>
        <v>94.261</v>
      </c>
      <c r="D221" s="18" t="n">
        <f aca="false">D219+D218</f>
        <v>205.7651</v>
      </c>
      <c r="E221" s="18" t="n">
        <f aca="false">E219+E218</f>
        <v>332.653578333333</v>
      </c>
      <c r="F221" s="18" t="n">
        <f aca="false">F219+F218</f>
        <v>479.686459956667</v>
      </c>
      <c r="G221" s="18" t="n">
        <f aca="false">G219+G218</f>
        <v>564.51655185</v>
      </c>
    </row>
    <row r="222" customFormat="false" ht="15" hidden="false" customHeight="false" outlineLevel="0" collapsed="false">
      <c r="A222" s="3" t="s">
        <v>508</v>
      </c>
      <c r="B222" s="0" t="s">
        <v>54</v>
      </c>
      <c r="D222" s="13" t="n">
        <f aca="false">D221/C221-1</f>
        <v>1.1829293132897</v>
      </c>
      <c r="E222" s="13" t="n">
        <f aca="false">E221/D221-1</f>
        <v>0.616666666666667</v>
      </c>
      <c r="F222" s="13" t="n">
        <f aca="false">F221/E221-1</f>
        <v>0.442</v>
      </c>
      <c r="G222" s="13" t="n">
        <f aca="false">G221/F221-1</f>
        <v>0.17684487467292</v>
      </c>
    </row>
    <row r="223" customFormat="false" ht="17.15" hidden="false" customHeight="false" outlineLevel="0" collapsed="false">
      <c r="A223" s="3" t="s">
        <v>509</v>
      </c>
      <c r="B223" s="0" t="s">
        <v>214</v>
      </c>
      <c r="C223" s="18" t="n">
        <f aca="false">inf25*C221-C219</f>
        <v>16.495675</v>
      </c>
      <c r="D223" s="18" t="n">
        <f aca="false">inf26*D221-D219</f>
        <v>33.9512415</v>
      </c>
      <c r="E223" s="18" t="n">
        <f aca="false">E218*$D223/$D218</f>
        <v>36.66734082</v>
      </c>
      <c r="F223" s="18" t="n">
        <f aca="false">F218*$D223/$D218</f>
        <v>38.8673812692</v>
      </c>
      <c r="G223" s="18" t="n">
        <f aca="false">G218*$D223/$D218</f>
        <v>40.81075033266</v>
      </c>
      <c r="H223" s="3" t="s">
        <v>510</v>
      </c>
    </row>
    <row r="224" customFormat="false" ht="17.15" hidden="false" customHeight="false" outlineLevel="0" collapsed="false">
      <c r="A224" s="3" t="s">
        <v>511</v>
      </c>
      <c r="B224" s="0" t="s">
        <v>214</v>
      </c>
      <c r="C224" s="18" t="n">
        <f aca="false">C219+C223</f>
        <v>63.626175</v>
      </c>
      <c r="D224" s="18" t="n">
        <f aca="false">D219+D223</f>
        <v>154.323825</v>
      </c>
      <c r="E224" s="18" t="n">
        <f aca="false">E219+E223</f>
        <v>277.097001333333</v>
      </c>
      <c r="F224" s="18" t="n">
        <f aca="false">F219+F223</f>
        <v>420.796488336667</v>
      </c>
      <c r="G224" s="18" t="n">
        <f aca="false">G219+G223</f>
        <v>502.682081649</v>
      </c>
      <c r="H224" s="3" t="s">
        <v>512</v>
      </c>
    </row>
    <row r="225" customFormat="false" ht="15" hidden="false" customHeight="false" outlineLevel="0" collapsed="false">
      <c r="A225" s="3" t="s">
        <v>513</v>
      </c>
      <c r="B225" s="0" t="s">
        <v>214</v>
      </c>
      <c r="C225" s="18" t="n">
        <f aca="false">mob25*C221</f>
        <v>21.208725</v>
      </c>
      <c r="D225" s="18" t="n">
        <f aca="false">mob26*D221</f>
        <v>37.037718</v>
      </c>
      <c r="E225" s="18" t="n">
        <f aca="false">E218*$D225/$D218</f>
        <v>40.00073544</v>
      </c>
      <c r="F225" s="18" t="n">
        <f aca="false">F218*$D225/$D218</f>
        <v>42.4007795664</v>
      </c>
      <c r="G225" s="18" t="n">
        <f aca="false">G218*$D225/$D218</f>
        <v>44.52081854472</v>
      </c>
      <c r="H225" s="3" t="s">
        <v>514</v>
      </c>
    </row>
    <row r="226" customFormat="false" ht="15" hidden="false" customHeight="false" outlineLevel="0" collapsed="false">
      <c r="A226" s="3" t="s">
        <v>515</v>
      </c>
      <c r="B226" s="0" t="s">
        <v>214</v>
      </c>
      <c r="C226" s="18" t="n">
        <f aca="false">C221-C224-C225</f>
        <v>9.42609999999999</v>
      </c>
      <c r="D226" s="18" t="n">
        <f aca="false">D221-D224-D225</f>
        <v>14.403557</v>
      </c>
      <c r="E226" s="18" t="n">
        <f aca="false">E221-E224-E225</f>
        <v>15.55584156</v>
      </c>
      <c r="F226" s="18" t="n">
        <f aca="false">F221-F224-F225</f>
        <v>16.4891920536</v>
      </c>
      <c r="G226" s="18" t="n">
        <f aca="false">G221-G224-G225</f>
        <v>17.31365165628</v>
      </c>
      <c r="H226" s="3" t="s">
        <v>516</v>
      </c>
    </row>
    <row r="227" customFormat="false" ht="15" hidden="false" customHeight="false" outlineLevel="0" collapsed="false">
      <c r="A227" s="3" t="s">
        <v>517</v>
      </c>
      <c r="B227" s="0" t="s">
        <v>214</v>
      </c>
      <c r="C227" s="21" t="n">
        <f aca="false">C224+C225+C226-C221</f>
        <v>0</v>
      </c>
      <c r="D227" s="21" t="n">
        <f aca="false">D224+D225+D226-D221</f>
        <v>0</v>
      </c>
      <c r="E227" s="21" t="n">
        <f aca="false">E224+E225+E226-E221</f>
        <v>0</v>
      </c>
      <c r="F227" s="21" t="n">
        <f aca="false">F224+F225+F226-F221</f>
        <v>0</v>
      </c>
      <c r="G227" s="21" t="n">
        <f aca="false">G224+G225+G226-G221</f>
        <v>0</v>
      </c>
    </row>
    <row r="228" customFormat="false" ht="17.15" hidden="false" customHeight="false" outlineLevel="0" collapsed="false">
      <c r="A228" s="0" t="s">
        <v>518</v>
      </c>
      <c r="B228" s="0" t="s">
        <v>54</v>
      </c>
      <c r="C228" s="13" t="n">
        <f aca="false">C219/C221</f>
        <v>0.5</v>
      </c>
      <c r="D228" s="13" t="n">
        <f aca="false">D219/D221</f>
        <v>0.585</v>
      </c>
      <c r="E228" s="13" t="n">
        <f aca="false">E219/E221</f>
        <v>0.722762886597938</v>
      </c>
      <c r="F228" s="13" t="n">
        <f aca="false">F219/F221</f>
        <v>0.796205728012354</v>
      </c>
      <c r="G228" s="13" t="n">
        <f aca="false">G219/G221</f>
        <v>0.818171459814106</v>
      </c>
    </row>
    <row r="229" customFormat="false" ht="17.15" hidden="false" customHeight="false" outlineLevel="0" collapsed="false">
      <c r="A229" s="3" t="s">
        <v>519</v>
      </c>
      <c r="B229" s="0" t="s">
        <v>54</v>
      </c>
      <c r="D229" s="13" t="n">
        <f aca="false">(D212+D218)/D217</f>
        <v>1</v>
      </c>
      <c r="E229" s="13" t="n">
        <f aca="false">(E212+E218)/E217</f>
        <v>1.28501367177143</v>
      </c>
      <c r="F229" s="13" t="n">
        <f aca="false">(F212+F218)/F217</f>
        <v>1.13298353630241</v>
      </c>
      <c r="G229" s="13" t="n">
        <f aca="false">(G212+G218)/G217</f>
        <v>1.07981154785548</v>
      </c>
      <c r="H229" s="3" t="s">
        <v>520</v>
      </c>
    </row>
    <row r="230" customFormat="false" ht="17.15" hidden="false" customHeight="false" outlineLevel="0" collapsed="false">
      <c r="A230" s="3" t="s">
        <v>456</v>
      </c>
      <c r="B230" s="0" t="s">
        <v>94</v>
      </c>
      <c r="D230" s="17" t="n">
        <f aca="false">D219/fx/D201*1000</f>
        <v>160.757158009399</v>
      </c>
      <c r="E230" s="17" t="n">
        <f aca="false">E219/fx/E201*1000</f>
        <v>180.408412082255</v>
      </c>
      <c r="F230" s="17" t="n">
        <f aca="false">F219/fx/F201*1000</f>
        <v>226.080719682557</v>
      </c>
      <c r="G230" s="17" t="n">
        <f aca="false">G219/fx/G201*1000</f>
        <v>240.003609778057</v>
      </c>
    </row>
    <row r="231" customFormat="false" ht="17.15" hidden="false" customHeight="false" outlineLevel="0" collapsed="false">
      <c r="A231" s="5" t="s">
        <v>521</v>
      </c>
    </row>
    <row r="232" customFormat="false" ht="17.15" hidden="false" customHeight="false" outlineLevel="0" collapsed="false">
      <c r="A232" s="3" t="s">
        <v>522</v>
      </c>
      <c r="B232" s="0" t="s">
        <v>54</v>
      </c>
      <c r="D232" s="13" t="n">
        <f aca="false">a26_gp/D221-d_ai*D228</f>
        <v>0.291564442755356</v>
      </c>
      <c r="H232" s="7" t="s">
        <v>523</v>
      </c>
    </row>
    <row r="233" customFormat="false" ht="17.15" hidden="false" customHeight="false" outlineLevel="0" collapsed="false">
      <c r="A233" s="0" t="s">
        <v>524</v>
      </c>
      <c r="B233" s="0" t="s">
        <v>54</v>
      </c>
      <c r="D233" s="13" t="n">
        <f aca="false">D232+d_ai</f>
        <v>0.371564442755356</v>
      </c>
      <c r="E233" s="13" t="n">
        <f aca="false">1-(1-$D$233)/E208</f>
        <v>0.371564442755356</v>
      </c>
      <c r="F233" s="13" t="n">
        <f aca="false">1-(1-$D$233)/F208</f>
        <v>0.352128291500367</v>
      </c>
      <c r="G233" s="13" t="n">
        <f aca="false">1-(1-$D$233)/G208</f>
        <v>0.324262841672425</v>
      </c>
      <c r="H233" s="7" t="s">
        <v>525</v>
      </c>
    </row>
    <row r="234" customFormat="false" ht="15" hidden="false" customHeight="false" outlineLevel="0" collapsed="false">
      <c r="A234" s="3" t="s">
        <v>392</v>
      </c>
      <c r="B234" s="0" t="s">
        <v>214</v>
      </c>
      <c r="C234" s="18" t="n">
        <f aca="false">a25_gp</f>
        <v>28.12</v>
      </c>
      <c r="D234" s="18" t="n">
        <f aca="false">a26_gp</f>
        <v>69.6235934</v>
      </c>
      <c r="E234" s="18" t="n">
        <f aca="false">E219*E233+E218*$D$232</f>
        <v>116.2243280384</v>
      </c>
      <c r="F234" s="18" t="n">
        <f aca="false">F219*F233+F218*$D$232</f>
        <v>162.990612066306</v>
      </c>
      <c r="G234" s="18" t="n">
        <f aca="false">G219*G233+G218*$D$232</f>
        <v>179.69540690606</v>
      </c>
    </row>
    <row r="235" customFormat="false" ht="15" hidden="false" customHeight="false" outlineLevel="0" collapsed="false">
      <c r="A235" s="3" t="s">
        <v>395</v>
      </c>
      <c r="B235" s="0" t="s">
        <v>54</v>
      </c>
      <c r="C235" s="13" t="n">
        <f aca="false">C234/C221</f>
        <v>0.298320620405046</v>
      </c>
      <c r="D235" s="13" t="n">
        <f aca="false">D234/D221</f>
        <v>0.338364442755356</v>
      </c>
      <c r="E235" s="13" t="n">
        <f aca="false">E234/E221</f>
        <v>0.349385473683191</v>
      </c>
      <c r="F235" s="13" t="n">
        <f aca="false">F234/F221</f>
        <v>0.339785726036607</v>
      </c>
      <c r="G235" s="13" t="n">
        <f aca="false">G234/G221</f>
        <v>0.318317339530918</v>
      </c>
    </row>
    <row r="236" customFormat="false" ht="15" hidden="false" customHeight="false" outlineLevel="0" collapsed="false">
      <c r="A236" s="3" t="s">
        <v>526</v>
      </c>
      <c r="B236" s="0" t="s">
        <v>214</v>
      </c>
      <c r="C236" s="18" t="n">
        <f aca="false">a25_opx</f>
        <v>9.012</v>
      </c>
      <c r="D236" s="18" t="n">
        <f aca="false">a26_opx</f>
        <v>14.0153081141857</v>
      </c>
      <c r="E236" s="18" t="n">
        <f aca="false">D236*(1+MAX(0,phi*E222))</f>
        <v>19.2009721164345</v>
      </c>
      <c r="F236" s="18" t="n">
        <f aca="false">E236*(1+MAX(0,phi*F222))</f>
        <v>24.2930699217129</v>
      </c>
      <c r="G236" s="18" t="n">
        <f aca="false">F236*(1+MAX(0,phi*G222))</f>
        <v>26.8707328651484</v>
      </c>
    </row>
    <row r="237" customFormat="false" ht="15" hidden="false" customHeight="false" outlineLevel="0" collapsed="false">
      <c r="A237" s="3" t="s">
        <v>397</v>
      </c>
      <c r="B237" s="0" t="s">
        <v>214</v>
      </c>
      <c r="C237" s="18" t="n">
        <f aca="false">C236</f>
        <v>9.012</v>
      </c>
      <c r="D237" s="18" t="n">
        <f aca="false">D236</f>
        <v>14.0153081141857</v>
      </c>
      <c r="E237" s="18" t="n">
        <f aca="false">E236+0*E221</f>
        <v>19.2009721164345</v>
      </c>
      <c r="F237" s="18" t="n">
        <f aca="false">F236+0*F221</f>
        <v>24.2930699217129</v>
      </c>
      <c r="G237" s="18" t="n">
        <f aca="false">G236+0*G221</f>
        <v>26.8707328651484</v>
      </c>
    </row>
    <row r="238" customFormat="false" ht="15" hidden="false" customHeight="false" outlineLevel="0" collapsed="false">
      <c r="A238" s="3" t="s">
        <v>400</v>
      </c>
      <c r="B238" s="0" t="s">
        <v>214</v>
      </c>
      <c r="C238" s="18" t="n">
        <f aca="false">C234-C237</f>
        <v>19.108</v>
      </c>
      <c r="D238" s="18" t="n">
        <f aca="false">D234-D237</f>
        <v>55.6082852858143</v>
      </c>
      <c r="E238" s="18" t="n">
        <f aca="false">E234-E237</f>
        <v>97.0233559219655</v>
      </c>
      <c r="F238" s="18" t="n">
        <f aca="false">F234-F237</f>
        <v>138.697542144593</v>
      </c>
      <c r="G238" s="18" t="n">
        <f aca="false">G234-G237</f>
        <v>152.824674040911</v>
      </c>
    </row>
    <row r="239" customFormat="false" ht="15" hidden="false" customHeight="false" outlineLevel="0" collapsed="false">
      <c r="A239" s="3" t="s">
        <v>403</v>
      </c>
      <c r="B239" s="0" t="s">
        <v>54</v>
      </c>
      <c r="C239" s="13" t="n">
        <f aca="false">C238/C221</f>
        <v>0.202713741632276</v>
      </c>
      <c r="D239" s="13" t="n">
        <f aca="false">D238/D221</f>
        <v>0.270251297648699</v>
      </c>
      <c r="E239" s="13" t="n">
        <f aca="false">E238/E221</f>
        <v>0.291664849685591</v>
      </c>
      <c r="F239" s="13" t="n">
        <f aca="false">F238/F221</f>
        <v>0.28914208284537</v>
      </c>
      <c r="G239" s="13" t="n">
        <f aca="false">G238/G221</f>
        <v>0.270717791250024</v>
      </c>
    </row>
    <row r="240" customFormat="false" ht="17.15" hidden="false" customHeight="false" outlineLevel="0" collapsed="false">
      <c r="A240" s="3" t="s">
        <v>405</v>
      </c>
      <c r="B240" s="0" t="s">
        <v>214</v>
      </c>
      <c r="E240" s="18" t="n">
        <f aca="false">nop_f</f>
        <v>0.5</v>
      </c>
      <c r="F240" s="18" t="n">
        <f aca="false">nop_f</f>
        <v>0.5</v>
      </c>
      <c r="G240" s="18" t="n">
        <f aca="false">nop_f</f>
        <v>0.5</v>
      </c>
      <c r="H240" s="7" t="s">
        <v>527</v>
      </c>
    </row>
    <row r="241" customFormat="false" ht="15" hidden="false" customHeight="false" outlineLevel="0" collapsed="false">
      <c r="A241" s="3" t="s">
        <v>408</v>
      </c>
      <c r="B241" s="0" t="s">
        <v>214</v>
      </c>
      <c r="C241" s="18" t="n">
        <f aca="false">a25_ni</f>
        <v>14.649</v>
      </c>
      <c r="D241" s="18" t="n">
        <f aca="false">a26_ni</f>
        <v>42.891099295</v>
      </c>
      <c r="E241" s="18" t="n">
        <f aca="false">(E238+E240)*nir_f</f>
        <v>75.0929840599135</v>
      </c>
      <c r="F241" s="18" t="n">
        <f aca="false">(F238+F240)*nir_f</f>
        <v>107.182107451337</v>
      </c>
      <c r="G241" s="18" t="n">
        <f aca="false">(G238+G240)*nir_f</f>
        <v>118.059999011502</v>
      </c>
    </row>
    <row r="242" customFormat="false" ht="17.15" hidden="false" customHeight="false" outlineLevel="0" collapsed="false">
      <c r="A242" s="3" t="s">
        <v>411</v>
      </c>
      <c r="B242" s="0" t="s">
        <v>54</v>
      </c>
      <c r="C242" s="13" t="n">
        <f aca="false">C241/C238</f>
        <v>0.766642244086247</v>
      </c>
      <c r="D242" s="13" t="n">
        <f aca="false">D241/D238</f>
        <v>0.771307712053146</v>
      </c>
      <c r="E242" s="13" t="n">
        <f aca="false">E241/E238</f>
        <v>0.77396811671109</v>
      </c>
      <c r="F242" s="13" t="n">
        <f aca="false">F241/F238</f>
        <v>0.772775824243508</v>
      </c>
      <c r="G242" s="13" t="n">
        <f aca="false">G241/G238</f>
        <v>0.772519226704825</v>
      </c>
    </row>
    <row r="243" customFormat="false" ht="15" hidden="false" customHeight="false" outlineLevel="0" collapsed="false">
      <c r="A243" s="3" t="s">
        <v>528</v>
      </c>
      <c r="B243" s="3" t="s">
        <v>243</v>
      </c>
      <c r="C243" s="20" t="n">
        <f aca="false">a25_sh</f>
        <v>0.351547876169906</v>
      </c>
      <c r="D243" s="20" t="n">
        <f aca="false">a26_sh</f>
        <v>0.358290155440415</v>
      </c>
      <c r="E243" s="20" t="n">
        <f aca="false">D243*(1+sh_g)</f>
        <v>0.358290155440415</v>
      </c>
      <c r="F243" s="20" t="n">
        <f aca="false">E243*(1+sh_g)</f>
        <v>0.358290155440415</v>
      </c>
      <c r="G243" s="20" t="n">
        <f aca="false">F243*(1+sh_g)</f>
        <v>0.358290155440415</v>
      </c>
    </row>
    <row r="244" customFormat="false" ht="15" hidden="false" customHeight="false" outlineLevel="0" collapsed="false">
      <c r="A244" s="0" t="s">
        <v>414</v>
      </c>
      <c r="B244" s="0" t="s">
        <v>274</v>
      </c>
      <c r="C244" s="19" t="n">
        <f aca="false">C241/C243</f>
        <v>41.67</v>
      </c>
      <c r="D244" s="19" t="n">
        <f aca="false">D241/D243</f>
        <v>119.710515747433</v>
      </c>
      <c r="E244" s="19" t="n">
        <f aca="false">E241/E243</f>
        <v>209.587070478139</v>
      </c>
      <c r="F244" s="19" t="n">
        <f aca="false">F241/F243</f>
        <v>299.14890438334</v>
      </c>
      <c r="G244" s="19" t="n">
        <f aca="false">G241/G243</f>
        <v>329.509469403035</v>
      </c>
    </row>
    <row r="245" customFormat="false" ht="17.15" hidden="false" customHeight="false" outlineLevel="0" collapsed="false">
      <c r="A245" s="0" t="s">
        <v>529</v>
      </c>
      <c r="B245" s="0" t="s">
        <v>54</v>
      </c>
      <c r="D245" s="13" t="n">
        <f aca="false">D244/C244-1</f>
        <v>1.87282255213422</v>
      </c>
      <c r="E245" s="13" t="n">
        <f aca="false">E244/D244-1</f>
        <v>0.750782453567642</v>
      </c>
      <c r="F245" s="13" t="n">
        <f aca="false">F244/E244-1</f>
        <v>0.42732518614283</v>
      </c>
      <c r="G245" s="13" t="n">
        <f aca="false">G244/F244-1</f>
        <v>0.101489808502824</v>
      </c>
    </row>
    <row r="248" customFormat="false" ht="17.15" hidden="false" customHeight="false" outlineLevel="0" collapsed="false">
      <c r="A248" s="1" t="s">
        <v>842</v>
      </c>
    </row>
    <row r="249" customFormat="false" ht="17.15" hidden="false" customHeight="false" outlineLevel="0" collapsed="false">
      <c r="A249" s="4" t="s">
        <v>23</v>
      </c>
      <c r="B249" s="4" t="s">
        <v>24</v>
      </c>
      <c r="C249" s="10" t="s">
        <v>383</v>
      </c>
      <c r="D249" s="10" t="s">
        <v>469</v>
      </c>
      <c r="E249" s="10" t="s">
        <v>470</v>
      </c>
      <c r="F249" s="10" t="s">
        <v>471</v>
      </c>
      <c r="G249" s="10" t="s">
        <v>472</v>
      </c>
      <c r="H249" s="4" t="s">
        <v>437</v>
      </c>
    </row>
    <row r="250" customFormat="false" ht="17.15" hidden="false" customHeight="false" outlineLevel="0" collapsed="false">
      <c r="A250" s="5" t="s">
        <v>487</v>
      </c>
    </row>
    <row r="251" customFormat="false" ht="17.15" hidden="false" customHeight="false" outlineLevel="0" collapsed="false">
      <c r="A251" s="0" t="s">
        <v>488</v>
      </c>
      <c r="B251" s="0" t="s">
        <v>34</v>
      </c>
      <c r="D251" s="19" t="n">
        <f aca="false">itc_26*1</f>
        <v>781.872916666666</v>
      </c>
      <c r="E251" s="19" t="n">
        <f aca="false">itc_27*1*1</f>
        <v>1565.35</v>
      </c>
      <c r="F251" s="19" t="n">
        <f aca="false">itc_28*um28_A*1</f>
        <v>1984.26388888889</v>
      </c>
      <c r="G251" s="19" t="n">
        <f aca="false">itc_29*um29_A*1</f>
        <v>2260.39027777778</v>
      </c>
    </row>
    <row r="252" customFormat="false" ht="17.15" hidden="false" customHeight="false" outlineLevel="0" collapsed="false">
      <c r="A252" s="3" t="s">
        <v>489</v>
      </c>
      <c r="B252" s="0" t="s">
        <v>34</v>
      </c>
      <c r="D252" s="19" t="n">
        <f aca="false">itpg_gb*(1-vr26)+itpg_vr*vr26</f>
        <v>33.41403216</v>
      </c>
      <c r="E252" s="19" t="n">
        <f aca="false">itpg_vr</f>
        <v>37.586352</v>
      </c>
      <c r="F252" s="19" t="n">
        <f aca="false">itpg_vr</f>
        <v>37.586352</v>
      </c>
      <c r="G252" s="19" t="n">
        <f aca="false">itpg_vr</f>
        <v>37.586352</v>
      </c>
    </row>
    <row r="253" customFormat="false" ht="17.15" hidden="false" customHeight="false" outlineLevel="0" collapsed="false">
      <c r="A253" s="3" t="s">
        <v>490</v>
      </c>
      <c r="B253" s="0" t="s">
        <v>439</v>
      </c>
      <c r="D253" s="16" t="n">
        <f aca="false">D251/D252</f>
        <v>23.3995380420639</v>
      </c>
      <c r="E253" s="16" t="n">
        <f aca="false">E251/E252</f>
        <v>41.6467658260637</v>
      </c>
      <c r="F253" s="16" t="n">
        <f aca="false">F251/F252</f>
        <v>52.792138191248</v>
      </c>
      <c r="G253" s="16" t="n">
        <f aca="false">G251/G252</f>
        <v>60.1385917361116</v>
      </c>
    </row>
    <row r="254" customFormat="false" ht="17.15" hidden="false" customHeight="false" outlineLevel="0" collapsed="false">
      <c r="A254" s="3" t="s">
        <v>441</v>
      </c>
      <c r="B254" s="0" t="s">
        <v>94</v>
      </c>
      <c r="D254" s="17" t="n">
        <f aca="false">cmp_26</f>
        <v>190</v>
      </c>
      <c r="E254" s="17" t="n">
        <f aca="false">cmp_26*cmpx_27</f>
        <v>275.5</v>
      </c>
      <c r="F254" s="17" t="n">
        <f aca="false">cmp_26*cmpx_28</f>
        <v>304</v>
      </c>
      <c r="G254" s="17" t="n">
        <f aca="false">cmp_26*cmpx_29</f>
        <v>323</v>
      </c>
    </row>
    <row r="255" customFormat="false" ht="17.15" hidden="false" customHeight="false" outlineLevel="0" collapsed="false">
      <c r="A255" s="3" t="s">
        <v>443</v>
      </c>
      <c r="B255" s="0" t="s">
        <v>94</v>
      </c>
      <c r="D255" s="17" t="n">
        <f aca="false">sw_26</f>
        <v>90</v>
      </c>
      <c r="E255" s="17" t="n">
        <f aca="false">sw_26*swx_27</f>
        <v>126</v>
      </c>
      <c r="F255" s="17" t="n">
        <f aca="false">sw_26*swx_28</f>
        <v>144</v>
      </c>
      <c r="G255" s="17" t="n">
        <f aca="false">sw_26*swx_29</f>
        <v>157.5</v>
      </c>
    </row>
    <row r="256" customFormat="false" ht="17.15" hidden="false" customHeight="false" outlineLevel="0" collapsed="false">
      <c r="A256" s="3" t="s">
        <v>444</v>
      </c>
      <c r="B256" s="0" t="s">
        <v>94</v>
      </c>
      <c r="D256" s="17" t="n">
        <f aca="false">ubb_26</f>
        <v>70</v>
      </c>
      <c r="E256" s="17" t="n">
        <f aca="false">ubb_26*ubbx_27</f>
        <v>126</v>
      </c>
      <c r="F256" s="17" t="n">
        <f aca="false">ubb_26*ubbx_28</f>
        <v>161</v>
      </c>
      <c r="G256" s="17" t="n">
        <f aca="false">ubb_26*ubbx_29</f>
        <v>182</v>
      </c>
    </row>
    <row r="257" customFormat="false" ht="17.15" hidden="false" customHeight="false" outlineLevel="0" collapsed="false">
      <c r="A257" s="3" t="s">
        <v>491</v>
      </c>
      <c r="B257" s="0" t="s">
        <v>94</v>
      </c>
      <c r="D257" s="17" t="n">
        <f aca="false">D254+D255+D256</f>
        <v>350</v>
      </c>
      <c r="E257" s="17" t="n">
        <f aca="false">E254+E255+E256</f>
        <v>527.5</v>
      </c>
      <c r="F257" s="17" t="n">
        <f aca="false">F254+F255+F256</f>
        <v>609</v>
      </c>
      <c r="G257" s="17" t="n">
        <f aca="false">G254+G255+G256</f>
        <v>662.5</v>
      </c>
    </row>
    <row r="258" customFormat="false" ht="17.15" hidden="false" customHeight="false" outlineLevel="0" collapsed="false">
      <c r="A258" s="0" t="s">
        <v>492</v>
      </c>
      <c r="B258" s="0" t="s">
        <v>34</v>
      </c>
      <c r="D258" s="19" t="n">
        <f aca="false">D253*D257/1000</f>
        <v>8.18983831472236</v>
      </c>
      <c r="E258" s="19" t="n">
        <f aca="false">E253*E257/1000</f>
        <v>21.9686689732486</v>
      </c>
      <c r="F258" s="19" t="n">
        <f aca="false">F253*F257/1000</f>
        <v>32.15041215847</v>
      </c>
      <c r="G258" s="19" t="n">
        <f aca="false">G253*G257/1000</f>
        <v>39.8418170251739</v>
      </c>
    </row>
    <row r="259" customFormat="false" ht="17.15" hidden="false" customHeight="false" outlineLevel="0" collapsed="false">
      <c r="A259" s="0" t="s">
        <v>493</v>
      </c>
      <c r="B259" s="0" t="s">
        <v>214</v>
      </c>
      <c r="D259" s="18" t="n">
        <f aca="false">D258*fx</f>
        <v>262.074826071116</v>
      </c>
      <c r="E259" s="18" t="n">
        <f aca="false">E258*fx</f>
        <v>702.997407143955</v>
      </c>
      <c r="F259" s="18" t="n">
        <f aca="false">F258*fx</f>
        <v>1028.81318907104</v>
      </c>
      <c r="G259" s="18" t="n">
        <f aca="false">G258*fx</f>
        <v>1274.93814480557</v>
      </c>
    </row>
    <row r="260" customFormat="false" ht="17.15" hidden="false" customHeight="false" outlineLevel="0" collapsed="false">
      <c r="A260" s="0" t="s">
        <v>494</v>
      </c>
      <c r="B260" s="0" t="s">
        <v>67</v>
      </c>
      <c r="D260" s="14" t="n">
        <f aca="false">1</f>
        <v>1</v>
      </c>
      <c r="E260" s="14" t="n">
        <f aca="false">pp_27</f>
        <v>1</v>
      </c>
      <c r="F260" s="14" t="n">
        <f aca="false">pp_28</f>
        <v>0.97</v>
      </c>
      <c r="G260" s="14" t="n">
        <f aca="false">pp_29</f>
        <v>0.93</v>
      </c>
    </row>
    <row r="261" customFormat="false" ht="17.15" hidden="false" customHeight="false" outlineLevel="0" collapsed="false">
      <c r="A261" s="3" t="s">
        <v>495</v>
      </c>
      <c r="B261" s="0" t="s">
        <v>54</v>
      </c>
      <c r="D261" s="13" t="n">
        <f aca="false">a26_ai/D259</f>
        <v>0.459306165741139</v>
      </c>
      <c r="H261" s="7" t="s">
        <v>496</v>
      </c>
    </row>
    <row r="262" customFormat="false" ht="17.15" hidden="false" customHeight="false" outlineLevel="0" collapsed="false">
      <c r="A262" s="3" t="s">
        <v>497</v>
      </c>
      <c r="B262" s="0" t="s">
        <v>67</v>
      </c>
      <c r="D262" s="14" t="n">
        <f aca="false">1</f>
        <v>1</v>
      </c>
      <c r="E262" s="14" t="n">
        <f aca="false">RLO_27</f>
        <v>0.85</v>
      </c>
      <c r="F262" s="14" t="n">
        <f aca="false">RLO_28</f>
        <v>0.75</v>
      </c>
      <c r="G262" s="14" t="n">
        <f aca="false">RLO_29</f>
        <v>0.7</v>
      </c>
    </row>
    <row r="263" customFormat="false" ht="15" hidden="false" customHeight="false" outlineLevel="0" collapsed="false">
      <c r="A263" s="3" t="s">
        <v>452</v>
      </c>
      <c r="B263" s="0" t="s">
        <v>54</v>
      </c>
      <c r="D263" s="13" t="n">
        <f aca="false">$D$261*D262</f>
        <v>0.459306165741139</v>
      </c>
      <c r="E263" s="13" t="n">
        <f aca="false">$D$261*E262</f>
        <v>0.390410240879968</v>
      </c>
      <c r="F263" s="13" t="n">
        <f aca="false">$D$261*F262</f>
        <v>0.344479624305854</v>
      </c>
      <c r="G263" s="13" t="n">
        <f aca="false">$D$261*G262</f>
        <v>0.321514316018797</v>
      </c>
    </row>
    <row r="264" customFormat="false" ht="17.15" hidden="false" customHeight="false" outlineLevel="0" collapsed="false">
      <c r="A264" s="0" t="s">
        <v>498</v>
      </c>
      <c r="B264" s="0" t="s">
        <v>214</v>
      </c>
      <c r="D264" s="18" t="n">
        <f aca="false">D259*D263*D260</f>
        <v>120.3725835</v>
      </c>
      <c r="E264" s="18" t="n">
        <f aca="false">E259*E263*E260</f>
        <v>274.457387061065</v>
      </c>
      <c r="F264" s="18" t="n">
        <f aca="false">F259*F263*F260</f>
        <v>343.773025426537</v>
      </c>
      <c r="G264" s="18" t="n">
        <f aca="false">G259*G263*G260</f>
        <v>381.217105001895</v>
      </c>
    </row>
    <row r="265" customFormat="false" ht="17.15" hidden="false" customHeight="false" outlineLevel="0" collapsed="false">
      <c r="A265" s="5" t="s">
        <v>499</v>
      </c>
    </row>
    <row r="266" customFormat="false" ht="15" hidden="false" customHeight="false" outlineLevel="0" collapsed="false">
      <c r="A266" s="3" t="s">
        <v>457</v>
      </c>
      <c r="B266" s="3" t="s">
        <v>151</v>
      </c>
      <c r="D266" s="14" t="n">
        <f aca="false">cap_26</f>
        <v>6</v>
      </c>
      <c r="E266" s="14" t="n">
        <f aca="false">cap_27</f>
        <v>7.76</v>
      </c>
      <c r="F266" s="14" t="n">
        <f aca="false">cap_28</f>
        <v>10.3</v>
      </c>
      <c r="G266" s="14" t="n">
        <f aca="false">cap_29</f>
        <v>11.8</v>
      </c>
    </row>
    <row r="267" customFormat="false" ht="17.15" hidden="false" customHeight="false" outlineLevel="0" collapsed="false">
      <c r="A267" s="3" t="s">
        <v>500</v>
      </c>
      <c r="B267" s="0" t="s">
        <v>460</v>
      </c>
      <c r="D267" s="17" t="n">
        <f aca="false">a26_rev/(D266*12)*1000</f>
        <v>2857.84861111111</v>
      </c>
      <c r="H267" s="7" t="s">
        <v>501</v>
      </c>
    </row>
    <row r="268" customFormat="false" ht="17.15" hidden="false" customHeight="false" outlineLevel="0" collapsed="false">
      <c r="A268" s="3" t="s">
        <v>502</v>
      </c>
      <c r="B268" s="0" t="s">
        <v>67</v>
      </c>
      <c r="D268" s="14" t="n">
        <f aca="false">1</f>
        <v>1</v>
      </c>
      <c r="E268" s="14" t="n">
        <f aca="false">mix_27</f>
        <v>1.25</v>
      </c>
      <c r="F268" s="14" t="n">
        <f aca="false">mix_28</f>
        <v>1.4</v>
      </c>
      <c r="G268" s="14" t="n">
        <f aca="false">mix_29</f>
        <v>1.5</v>
      </c>
    </row>
    <row r="269" customFormat="false" ht="17.15" hidden="false" customHeight="false" outlineLevel="0" collapsed="false">
      <c r="A269" s="3" t="s">
        <v>503</v>
      </c>
      <c r="B269" s="0" t="s">
        <v>214</v>
      </c>
      <c r="D269" s="18" t="n">
        <f aca="false">D266*12*$D$267*D268*D260/1000</f>
        <v>205.7651</v>
      </c>
      <c r="E269" s="18" t="n">
        <f aca="false">E266*12*$D$267*E268*E260/1000</f>
        <v>332.653578333333</v>
      </c>
      <c r="F269" s="18" t="n">
        <f aca="false">F266*12*$D$267*F268*F260/1000</f>
        <v>479.686459956667</v>
      </c>
      <c r="G269" s="18" t="n">
        <f aca="false">G266*12*$D$267*G268*G260/1000</f>
        <v>564.51655185</v>
      </c>
    </row>
    <row r="270" customFormat="false" ht="17.15" hidden="false" customHeight="false" outlineLevel="0" collapsed="false">
      <c r="A270" s="3" t="s">
        <v>504</v>
      </c>
      <c r="B270" s="0" t="s">
        <v>214</v>
      </c>
      <c r="C270" s="18" t="n">
        <f aca="false">a25_nai</f>
        <v>47.1305</v>
      </c>
      <c r="D270" s="18" t="n">
        <f aca="false">a26_nai</f>
        <v>85.3925165</v>
      </c>
      <c r="E270" s="18" t="n">
        <f aca="false">D270*(1+g_nai27)</f>
        <v>92.22391782</v>
      </c>
      <c r="F270" s="18" t="n">
        <f aca="false">E270*(1+g_nai28)</f>
        <v>97.7573528892</v>
      </c>
      <c r="G270" s="18" t="n">
        <f aca="false">F270*(1+g_nai29)</f>
        <v>102.64522053366</v>
      </c>
    </row>
    <row r="271" customFormat="false" ht="17.15" hidden="false" customHeight="false" outlineLevel="0" collapsed="false">
      <c r="A271" s="0" t="s">
        <v>505</v>
      </c>
      <c r="B271" s="0" t="s">
        <v>214</v>
      </c>
      <c r="C271" s="18" t="n">
        <f aca="false">a25_ai</f>
        <v>47.1305</v>
      </c>
      <c r="D271" s="18" t="n">
        <f aca="false">D264</f>
        <v>120.3725835</v>
      </c>
      <c r="E271" s="18" t="n">
        <f aca="false">MIN(E264,E269-E270)</f>
        <v>240.429660513333</v>
      </c>
      <c r="F271" s="18" t="n">
        <f aca="false">MIN(F264,F269-F270)</f>
        <v>343.773025426537</v>
      </c>
      <c r="G271" s="18" t="n">
        <f aca="false">MIN(G264,G269-G270)</f>
        <v>381.217105001895</v>
      </c>
      <c r="H271" s="3" t="s">
        <v>506</v>
      </c>
    </row>
    <row r="272" customFormat="false" ht="15" hidden="false" customHeight="false" outlineLevel="0" collapsed="false">
      <c r="A272" s="3" t="s">
        <v>507</v>
      </c>
      <c r="E272" s="0" t="str">
        <f aca="false">IF(E264&gt;E269-E270+0.0001,"受限","未受限")</f>
        <v>受限</v>
      </c>
      <c r="F272" s="0" t="str">
        <f aca="false">IF(F264&gt;F269-F270+0.0001,"受限","未受限")</f>
        <v>未受限</v>
      </c>
      <c r="G272" s="0" t="str">
        <f aca="false">IF(G264&gt;G269-G270+0.0001,"受限","未受限")</f>
        <v>未受限</v>
      </c>
    </row>
    <row r="273" customFormat="false" ht="15" hidden="false" customHeight="false" outlineLevel="0" collapsed="false">
      <c r="A273" s="3" t="s">
        <v>388</v>
      </c>
      <c r="B273" s="0" t="s">
        <v>214</v>
      </c>
      <c r="C273" s="18" t="n">
        <f aca="false">C271+C270</f>
        <v>94.261</v>
      </c>
      <c r="D273" s="18" t="n">
        <f aca="false">D271+D270</f>
        <v>205.7651</v>
      </c>
      <c r="E273" s="18" t="n">
        <f aca="false">E271+E270</f>
        <v>332.653578333333</v>
      </c>
      <c r="F273" s="18" t="n">
        <f aca="false">F271+F270</f>
        <v>441.530378315737</v>
      </c>
      <c r="G273" s="18" t="n">
        <f aca="false">G271+G270</f>
        <v>483.862325535555</v>
      </c>
    </row>
    <row r="274" customFormat="false" ht="15" hidden="false" customHeight="false" outlineLevel="0" collapsed="false">
      <c r="A274" s="3" t="s">
        <v>508</v>
      </c>
      <c r="B274" s="0" t="s">
        <v>54</v>
      </c>
      <c r="D274" s="13" t="n">
        <f aca="false">D273/C273-1</f>
        <v>1.1829293132897</v>
      </c>
      <c r="E274" s="13" t="n">
        <f aca="false">E273/D273-1</f>
        <v>0.616666666666667</v>
      </c>
      <c r="F274" s="13" t="n">
        <f aca="false">F273/E273-1</f>
        <v>0.327297846991156</v>
      </c>
      <c r="G274" s="13" t="n">
        <f aca="false">G273/F273-1</f>
        <v>0.0958755032469061</v>
      </c>
    </row>
    <row r="275" customFormat="false" ht="17.15" hidden="false" customHeight="false" outlineLevel="0" collapsed="false">
      <c r="A275" s="3" t="s">
        <v>509</v>
      </c>
      <c r="B275" s="0" t="s">
        <v>214</v>
      </c>
      <c r="C275" s="18" t="n">
        <f aca="false">inf25*C273-C271</f>
        <v>16.495675</v>
      </c>
      <c r="D275" s="18" t="n">
        <f aca="false">inf26*D273-D271</f>
        <v>33.9512415</v>
      </c>
      <c r="E275" s="18" t="n">
        <f aca="false">E270*$D275/$D270</f>
        <v>36.66734082</v>
      </c>
      <c r="F275" s="18" t="n">
        <f aca="false">F270*$D275/$D270</f>
        <v>38.8673812692</v>
      </c>
      <c r="G275" s="18" t="n">
        <f aca="false">G270*$D275/$D270</f>
        <v>40.81075033266</v>
      </c>
      <c r="H275" s="3" t="s">
        <v>510</v>
      </c>
    </row>
    <row r="276" customFormat="false" ht="17.15" hidden="false" customHeight="false" outlineLevel="0" collapsed="false">
      <c r="A276" s="3" t="s">
        <v>511</v>
      </c>
      <c r="B276" s="0" t="s">
        <v>214</v>
      </c>
      <c r="C276" s="18" t="n">
        <f aca="false">C271+C275</f>
        <v>63.626175</v>
      </c>
      <c r="D276" s="18" t="n">
        <f aca="false">D271+D275</f>
        <v>154.323825</v>
      </c>
      <c r="E276" s="18" t="n">
        <f aca="false">E271+E275</f>
        <v>277.097001333333</v>
      </c>
      <c r="F276" s="18" t="n">
        <f aca="false">F271+F275</f>
        <v>382.640406695737</v>
      </c>
      <c r="G276" s="18" t="n">
        <f aca="false">G271+G275</f>
        <v>422.027855334555</v>
      </c>
      <c r="H276" s="3" t="s">
        <v>512</v>
      </c>
    </row>
    <row r="277" customFormat="false" ht="15" hidden="false" customHeight="false" outlineLevel="0" collapsed="false">
      <c r="A277" s="3" t="s">
        <v>513</v>
      </c>
      <c r="B277" s="0" t="s">
        <v>214</v>
      </c>
      <c r="C277" s="18" t="n">
        <f aca="false">mob25*C273</f>
        <v>21.208725</v>
      </c>
      <c r="D277" s="18" t="n">
        <f aca="false">mob26*D273</f>
        <v>37.037718</v>
      </c>
      <c r="E277" s="18" t="n">
        <f aca="false">E270*$D277/$D270</f>
        <v>40.00073544</v>
      </c>
      <c r="F277" s="18" t="n">
        <f aca="false">F270*$D277/$D270</f>
        <v>42.4007795664</v>
      </c>
      <c r="G277" s="18" t="n">
        <f aca="false">G270*$D277/$D270</f>
        <v>44.52081854472</v>
      </c>
      <c r="H277" s="3" t="s">
        <v>514</v>
      </c>
    </row>
    <row r="278" customFormat="false" ht="15" hidden="false" customHeight="false" outlineLevel="0" collapsed="false">
      <c r="A278" s="3" t="s">
        <v>515</v>
      </c>
      <c r="B278" s="0" t="s">
        <v>214</v>
      </c>
      <c r="C278" s="18" t="n">
        <f aca="false">C273-C276-C277</f>
        <v>9.42609999999999</v>
      </c>
      <c r="D278" s="18" t="n">
        <f aca="false">D273-D276-D277</f>
        <v>14.403557</v>
      </c>
      <c r="E278" s="18" t="n">
        <f aca="false">E273-E276-E277</f>
        <v>15.55584156</v>
      </c>
      <c r="F278" s="18" t="n">
        <f aca="false">F273-F276-F277</f>
        <v>16.4891920536</v>
      </c>
      <c r="G278" s="18" t="n">
        <f aca="false">G273-G276-G277</f>
        <v>17.31365165628</v>
      </c>
      <c r="H278" s="3" t="s">
        <v>516</v>
      </c>
    </row>
    <row r="279" customFormat="false" ht="15" hidden="false" customHeight="false" outlineLevel="0" collapsed="false">
      <c r="A279" s="3" t="s">
        <v>517</v>
      </c>
      <c r="B279" s="0" t="s">
        <v>214</v>
      </c>
      <c r="C279" s="21" t="n">
        <f aca="false">C276+C277+C278-C273</f>
        <v>0</v>
      </c>
      <c r="D279" s="21" t="n">
        <f aca="false">D276+D277+D278-D273</f>
        <v>0</v>
      </c>
      <c r="E279" s="21" t="n">
        <f aca="false">E276+E277+E278-E273</f>
        <v>0</v>
      </c>
      <c r="F279" s="21" t="n">
        <f aca="false">F276+F277+F278-F273</f>
        <v>0</v>
      </c>
      <c r="G279" s="21" t="n">
        <f aca="false">G276+G277+G278-G273</f>
        <v>0</v>
      </c>
    </row>
    <row r="280" customFormat="false" ht="17.15" hidden="false" customHeight="false" outlineLevel="0" collapsed="false">
      <c r="A280" s="0" t="s">
        <v>518</v>
      </c>
      <c r="B280" s="0" t="s">
        <v>54</v>
      </c>
      <c r="C280" s="13" t="n">
        <f aca="false">C271/C273</f>
        <v>0.5</v>
      </c>
      <c r="D280" s="13" t="n">
        <f aca="false">D271/D273</f>
        <v>0.585</v>
      </c>
      <c r="E280" s="13" t="n">
        <f aca="false">E271/E273</f>
        <v>0.722762886597938</v>
      </c>
      <c r="F280" s="13" t="n">
        <f aca="false">F271/F273</f>
        <v>0.778594276429845</v>
      </c>
      <c r="G280" s="13" t="n">
        <f aca="false">G271/G273</f>
        <v>0.787862755340481</v>
      </c>
    </row>
    <row r="281" customFormat="false" ht="17.15" hidden="false" customHeight="false" outlineLevel="0" collapsed="false">
      <c r="A281" s="3" t="s">
        <v>519</v>
      </c>
      <c r="B281" s="0" t="s">
        <v>54</v>
      </c>
      <c r="D281" s="13" t="n">
        <f aca="false">(D264+D270)/D269</f>
        <v>1</v>
      </c>
      <c r="E281" s="13" t="n">
        <f aca="false">(E264+E270)/E269</f>
        <v>1.1022917796893</v>
      </c>
      <c r="F281" s="13" t="n">
        <f aca="false">(F264+F270)/F269</f>
        <v>0.920456204570843</v>
      </c>
      <c r="G281" s="13" t="n">
        <f aca="false">(G264+G270)/G269</f>
        <v>0.857126906110849</v>
      </c>
      <c r="H281" s="3" t="s">
        <v>520</v>
      </c>
    </row>
    <row r="282" customFormat="false" ht="17.15" hidden="false" customHeight="false" outlineLevel="0" collapsed="false">
      <c r="A282" s="3" t="s">
        <v>456</v>
      </c>
      <c r="B282" s="0" t="s">
        <v>94</v>
      </c>
      <c r="D282" s="17" t="n">
        <f aca="false">D271/fx/D253*1000</f>
        <v>160.757158009399</v>
      </c>
      <c r="E282" s="17" t="n">
        <f aca="false">E271/fx/E253*1000</f>
        <v>180.408412082255</v>
      </c>
      <c r="F282" s="17" t="n">
        <f aca="false">F271/fx/F253*1000</f>
        <v>203.494448466197</v>
      </c>
      <c r="G282" s="17" t="n">
        <f aca="false">G271/fx/G253*1000</f>
        <v>198.093007957082</v>
      </c>
    </row>
    <row r="283" customFormat="false" ht="17.15" hidden="false" customHeight="false" outlineLevel="0" collapsed="false">
      <c r="A283" s="5" t="s">
        <v>521</v>
      </c>
    </row>
    <row r="284" customFormat="false" ht="17.15" hidden="false" customHeight="false" outlineLevel="0" collapsed="false">
      <c r="A284" s="3" t="s">
        <v>522</v>
      </c>
      <c r="B284" s="0" t="s">
        <v>54</v>
      </c>
      <c r="D284" s="13" t="n">
        <f aca="false">a26_gp/D273-d_ai*D280</f>
        <v>0.291564442755356</v>
      </c>
      <c r="H284" s="7" t="s">
        <v>523</v>
      </c>
    </row>
    <row r="285" customFormat="false" ht="17.15" hidden="false" customHeight="false" outlineLevel="0" collapsed="false">
      <c r="A285" s="0" t="s">
        <v>524</v>
      </c>
      <c r="B285" s="0" t="s">
        <v>54</v>
      </c>
      <c r="D285" s="13" t="n">
        <f aca="false">D284+d_ai</f>
        <v>0.371564442755356</v>
      </c>
      <c r="E285" s="13" t="n">
        <f aca="false">1-(1-$D$285)/E260</f>
        <v>0.371564442755356</v>
      </c>
      <c r="F285" s="13" t="n">
        <f aca="false">1-(1-$D$285)/F260</f>
        <v>0.352128291500367</v>
      </c>
      <c r="G285" s="13" t="n">
        <f aca="false">1-(1-$D$285)/G260</f>
        <v>0.324262841672425</v>
      </c>
      <c r="H285" s="7" t="s">
        <v>525</v>
      </c>
    </row>
    <row r="286" customFormat="false" ht="15" hidden="false" customHeight="false" outlineLevel="0" collapsed="false">
      <c r="A286" s="3" t="s">
        <v>392</v>
      </c>
      <c r="B286" s="0" t="s">
        <v>214</v>
      </c>
      <c r="C286" s="18" t="n">
        <f aca="false">a25_gp</f>
        <v>28.12</v>
      </c>
      <c r="D286" s="18" t="n">
        <f aca="false">a26_gp</f>
        <v>69.6235934</v>
      </c>
      <c r="E286" s="18" t="n">
        <f aca="false">E271*E285+E270*$D$284</f>
        <v>116.2243280384</v>
      </c>
      <c r="F286" s="18" t="n">
        <f aca="false">F271*F285+F270*$D$284</f>
        <v>149.554776227737</v>
      </c>
      <c r="G286" s="18" t="n">
        <f aca="false">G271*G285+G270*$D$284</f>
        <v>153.542238288447</v>
      </c>
    </row>
    <row r="287" customFormat="false" ht="15" hidden="false" customHeight="false" outlineLevel="0" collapsed="false">
      <c r="A287" s="3" t="s">
        <v>395</v>
      </c>
      <c r="B287" s="0" t="s">
        <v>54</v>
      </c>
      <c r="C287" s="13" t="n">
        <f aca="false">C286/C273</f>
        <v>0.298320620405046</v>
      </c>
      <c r="D287" s="13" t="n">
        <f aca="false">D286/D273</f>
        <v>0.338364442755356</v>
      </c>
      <c r="E287" s="13" t="n">
        <f aca="false">E286/E273</f>
        <v>0.349385473683191</v>
      </c>
      <c r="F287" s="13" t="n">
        <f aca="false">F286/F273</f>
        <v>0.338719108746784</v>
      </c>
      <c r="G287" s="13" t="n">
        <f aca="false">G286/G273</f>
        <v>0.31732629342138</v>
      </c>
    </row>
    <row r="288" customFormat="false" ht="15" hidden="false" customHeight="false" outlineLevel="0" collapsed="false">
      <c r="A288" s="3" t="s">
        <v>526</v>
      </c>
      <c r="B288" s="0" t="s">
        <v>214</v>
      </c>
      <c r="C288" s="18" t="n">
        <f aca="false">a25_opx</f>
        <v>9.012</v>
      </c>
      <c r="D288" s="18" t="n">
        <f aca="false">a26_opx</f>
        <v>14.0153081141857</v>
      </c>
      <c r="E288" s="18" t="n">
        <f aca="false">D288*(1+MAX(0,phi*E274))</f>
        <v>19.2009721164345</v>
      </c>
      <c r="F288" s="18" t="n">
        <f aca="false">E288*(1+MAX(0,phi*F274))</f>
        <v>22.9716342167422</v>
      </c>
      <c r="G288" s="18" t="n">
        <f aca="false">F288*(1+MAX(0,phi*G274))</f>
        <v>24.2930844113026</v>
      </c>
    </row>
    <row r="289" customFormat="false" ht="15" hidden="false" customHeight="false" outlineLevel="0" collapsed="false">
      <c r="A289" s="3" t="s">
        <v>397</v>
      </c>
      <c r="B289" s="0" t="s">
        <v>214</v>
      </c>
      <c r="C289" s="18" t="n">
        <f aca="false">C288</f>
        <v>9.012</v>
      </c>
      <c r="D289" s="18" t="n">
        <f aca="false">D288</f>
        <v>14.0153081141857</v>
      </c>
      <c r="E289" s="18" t="n">
        <f aca="false">E288+0*E273</f>
        <v>19.2009721164345</v>
      </c>
      <c r="F289" s="18" t="n">
        <f aca="false">F288+0*F273</f>
        <v>22.9716342167422</v>
      </c>
      <c r="G289" s="18" t="n">
        <f aca="false">G288+0*G273</f>
        <v>24.2930844113026</v>
      </c>
    </row>
    <row r="290" customFormat="false" ht="15" hidden="false" customHeight="false" outlineLevel="0" collapsed="false">
      <c r="A290" s="3" t="s">
        <v>400</v>
      </c>
      <c r="B290" s="0" t="s">
        <v>214</v>
      </c>
      <c r="C290" s="18" t="n">
        <f aca="false">C286-C289</f>
        <v>19.108</v>
      </c>
      <c r="D290" s="18" t="n">
        <f aca="false">D286-D289</f>
        <v>55.6082852858143</v>
      </c>
      <c r="E290" s="18" t="n">
        <f aca="false">E286-E289</f>
        <v>97.0233559219655</v>
      </c>
      <c r="F290" s="18" t="n">
        <f aca="false">F286-F289</f>
        <v>126.583142010995</v>
      </c>
      <c r="G290" s="18" t="n">
        <f aca="false">G286-G289</f>
        <v>129.249153877144</v>
      </c>
    </row>
    <row r="291" customFormat="false" ht="15" hidden="false" customHeight="false" outlineLevel="0" collapsed="false">
      <c r="A291" s="3" t="s">
        <v>403</v>
      </c>
      <c r="B291" s="0" t="s">
        <v>54</v>
      </c>
      <c r="C291" s="13" t="n">
        <f aca="false">C290/C273</f>
        <v>0.202713741632276</v>
      </c>
      <c r="D291" s="13" t="n">
        <f aca="false">D290/D273</f>
        <v>0.270251297648699</v>
      </c>
      <c r="E291" s="13" t="n">
        <f aca="false">E290/E273</f>
        <v>0.291664849685591</v>
      </c>
      <c r="F291" s="13" t="n">
        <f aca="false">F290/F273</f>
        <v>0.286691807014183</v>
      </c>
      <c r="G291" s="13" t="n">
        <f aca="false">G290/G273</f>
        <v>0.267119688919957</v>
      </c>
    </row>
    <row r="292" customFormat="false" ht="17.15" hidden="false" customHeight="false" outlineLevel="0" collapsed="false">
      <c r="A292" s="3" t="s">
        <v>405</v>
      </c>
      <c r="B292" s="0" t="s">
        <v>214</v>
      </c>
      <c r="E292" s="18" t="n">
        <f aca="false">nop_f</f>
        <v>0.5</v>
      </c>
      <c r="F292" s="18" t="n">
        <f aca="false">nop_f</f>
        <v>0.5</v>
      </c>
      <c r="G292" s="18" t="n">
        <f aca="false">nop_f</f>
        <v>0.5</v>
      </c>
      <c r="H292" s="7" t="s">
        <v>527</v>
      </c>
    </row>
    <row r="293" customFormat="false" ht="15" hidden="false" customHeight="false" outlineLevel="0" collapsed="false">
      <c r="A293" s="3" t="s">
        <v>408</v>
      </c>
      <c r="B293" s="0" t="s">
        <v>214</v>
      </c>
      <c r="C293" s="18" t="n">
        <f aca="false">a25_ni</f>
        <v>14.649</v>
      </c>
      <c r="D293" s="18" t="n">
        <f aca="false">a26_ni</f>
        <v>42.891099295</v>
      </c>
      <c r="E293" s="18" t="n">
        <f aca="false">(E290+E292)*nir_f</f>
        <v>75.0929840599135</v>
      </c>
      <c r="F293" s="18" t="n">
        <f aca="false">(F290+F292)*nir_f</f>
        <v>97.8540193484658</v>
      </c>
      <c r="G293" s="18" t="n">
        <f aca="false">(G290+G292)*nir_f</f>
        <v>99.9068484854012</v>
      </c>
    </row>
    <row r="294" customFormat="false" ht="17.15" hidden="false" customHeight="false" outlineLevel="0" collapsed="false">
      <c r="A294" s="3" t="s">
        <v>411</v>
      </c>
      <c r="B294" s="0" t="s">
        <v>54</v>
      </c>
      <c r="C294" s="13" t="n">
        <f aca="false">C293/C290</f>
        <v>0.766642244086247</v>
      </c>
      <c r="D294" s="13" t="n">
        <f aca="false">D293/D290</f>
        <v>0.771307712053146</v>
      </c>
      <c r="E294" s="13" t="n">
        <f aca="false">E293/E290</f>
        <v>0.77396811671109</v>
      </c>
      <c r="F294" s="13" t="n">
        <f aca="false">F293/F290</f>
        <v>0.773041479251373</v>
      </c>
      <c r="G294" s="13" t="n">
        <f aca="false">G293/G290</f>
        <v>0.772978742904313</v>
      </c>
    </row>
    <row r="295" customFormat="false" ht="15" hidden="false" customHeight="false" outlineLevel="0" collapsed="false">
      <c r="A295" s="3" t="s">
        <v>528</v>
      </c>
      <c r="B295" s="3" t="s">
        <v>243</v>
      </c>
      <c r="C295" s="20" t="n">
        <f aca="false">a25_sh</f>
        <v>0.351547876169906</v>
      </c>
      <c r="D295" s="20" t="n">
        <f aca="false">a26_sh</f>
        <v>0.358290155440415</v>
      </c>
      <c r="E295" s="20" t="n">
        <f aca="false">D295*(1+sh_g)</f>
        <v>0.358290155440415</v>
      </c>
      <c r="F295" s="20" t="n">
        <f aca="false">E295*(1+sh_g)</f>
        <v>0.358290155440415</v>
      </c>
      <c r="G295" s="20" t="n">
        <f aca="false">F295*(1+sh_g)</f>
        <v>0.358290155440415</v>
      </c>
    </row>
    <row r="296" customFormat="false" ht="15" hidden="false" customHeight="false" outlineLevel="0" collapsed="false">
      <c r="A296" s="0" t="s">
        <v>414</v>
      </c>
      <c r="B296" s="0" t="s">
        <v>274</v>
      </c>
      <c r="C296" s="19" t="n">
        <f aca="false">C293/C295</f>
        <v>41.67</v>
      </c>
      <c r="D296" s="19" t="n">
        <f aca="false">D293/D295</f>
        <v>119.710515747433</v>
      </c>
      <c r="E296" s="19" t="n">
        <f aca="false">E293/E295</f>
        <v>209.587070478139</v>
      </c>
      <c r="F296" s="19" t="n">
        <f aca="false">F293/F295</f>
        <v>273.113893481618</v>
      </c>
      <c r="G296" s="19" t="n">
        <f aca="false">G293/G295</f>
        <v>278.84340936634</v>
      </c>
    </row>
    <row r="297" customFormat="false" ht="17.15" hidden="false" customHeight="false" outlineLevel="0" collapsed="false">
      <c r="A297" s="0" t="s">
        <v>529</v>
      </c>
      <c r="B297" s="0" t="s">
        <v>54</v>
      </c>
      <c r="D297" s="13" t="n">
        <f aca="false">D296/C296-1</f>
        <v>1.87282255213422</v>
      </c>
      <c r="E297" s="13" t="n">
        <f aca="false">E296/D296-1</f>
        <v>0.750782453567642</v>
      </c>
      <c r="F297" s="13" t="n">
        <f aca="false">F296/E296-1</f>
        <v>0.303104685124676</v>
      </c>
      <c r="G297" s="13" t="n">
        <f aca="false">G296/F296-1</f>
        <v>0.0209784856115627</v>
      </c>
    </row>
    <row r="300" customFormat="false" ht="17.15" hidden="false" customHeight="false" outlineLevel="0" collapsed="false">
      <c r="A300" s="1" t="s">
        <v>843</v>
      </c>
    </row>
    <row r="301" customFormat="false" ht="17.15" hidden="false" customHeight="false" outlineLevel="0" collapsed="false">
      <c r="A301" s="4" t="s">
        <v>23</v>
      </c>
      <c r="B301" s="4" t="s">
        <v>24</v>
      </c>
      <c r="C301" s="10" t="s">
        <v>383</v>
      </c>
      <c r="D301" s="10" t="s">
        <v>469</v>
      </c>
      <c r="E301" s="10" t="s">
        <v>470</v>
      </c>
      <c r="F301" s="10" t="s">
        <v>471</v>
      </c>
      <c r="G301" s="10" t="s">
        <v>472</v>
      </c>
      <c r="H301" s="4" t="s">
        <v>437</v>
      </c>
    </row>
    <row r="302" customFormat="false" ht="17.15" hidden="false" customHeight="false" outlineLevel="0" collapsed="false">
      <c r="A302" s="5" t="s">
        <v>487</v>
      </c>
    </row>
    <row r="303" customFormat="false" ht="17.15" hidden="false" customHeight="false" outlineLevel="0" collapsed="false">
      <c r="A303" s="0" t="s">
        <v>488</v>
      </c>
      <c r="B303" s="0" t="s">
        <v>34</v>
      </c>
      <c r="D303" s="19" t="n">
        <f aca="false">itc_26*1</f>
        <v>781.872916666666</v>
      </c>
      <c r="E303" s="19" t="n">
        <f aca="false">itc_27*1*1</f>
        <v>1565.35</v>
      </c>
      <c r="F303" s="19" t="n">
        <f aca="false">itc_28*um28_A*1</f>
        <v>1984.26388888889</v>
      </c>
      <c r="G303" s="19" t="n">
        <f aca="false">itc_29*um29_A*1</f>
        <v>2260.39027777778</v>
      </c>
    </row>
    <row r="304" customFormat="false" ht="17.15" hidden="false" customHeight="false" outlineLevel="0" collapsed="false">
      <c r="A304" s="3" t="s">
        <v>489</v>
      </c>
      <c r="B304" s="0" t="s">
        <v>34</v>
      </c>
      <c r="D304" s="19" t="n">
        <f aca="false">itpg_gb*(1-vr26)+itpg_vr*vr26</f>
        <v>33.41403216</v>
      </c>
      <c r="E304" s="19" t="n">
        <f aca="false">itpg_vr</f>
        <v>37.586352</v>
      </c>
      <c r="F304" s="19" t="n">
        <f aca="false">itpg_vr</f>
        <v>37.586352</v>
      </c>
      <c r="G304" s="19" t="n">
        <f aca="false">itpg_vr</f>
        <v>37.586352</v>
      </c>
    </row>
    <row r="305" customFormat="false" ht="17.15" hidden="false" customHeight="false" outlineLevel="0" collapsed="false">
      <c r="A305" s="3" t="s">
        <v>490</v>
      </c>
      <c r="B305" s="0" t="s">
        <v>439</v>
      </c>
      <c r="D305" s="16" t="n">
        <f aca="false">D303/D304</f>
        <v>23.3995380420639</v>
      </c>
      <c r="E305" s="16" t="n">
        <f aca="false">E303/E304</f>
        <v>41.6467658260637</v>
      </c>
      <c r="F305" s="16" t="n">
        <f aca="false">F303/F304</f>
        <v>52.792138191248</v>
      </c>
      <c r="G305" s="16" t="n">
        <f aca="false">G303/G304</f>
        <v>60.1385917361116</v>
      </c>
    </row>
    <row r="306" customFormat="false" ht="17.15" hidden="false" customHeight="false" outlineLevel="0" collapsed="false">
      <c r="A306" s="3" t="s">
        <v>441</v>
      </c>
      <c r="B306" s="0" t="s">
        <v>94</v>
      </c>
      <c r="D306" s="17" t="n">
        <f aca="false">cmp_26</f>
        <v>190</v>
      </c>
      <c r="E306" s="17" t="n">
        <f aca="false">cmp_26*cmpx_27</f>
        <v>275.5</v>
      </c>
      <c r="F306" s="17" t="n">
        <f aca="false">cmp_26*cmpx_28</f>
        <v>304</v>
      </c>
      <c r="G306" s="17" t="n">
        <f aca="false">cmp_26*cmpx_29</f>
        <v>323</v>
      </c>
    </row>
    <row r="307" customFormat="false" ht="17.15" hidden="false" customHeight="false" outlineLevel="0" collapsed="false">
      <c r="A307" s="3" t="s">
        <v>443</v>
      </c>
      <c r="B307" s="0" t="s">
        <v>94</v>
      </c>
      <c r="D307" s="17" t="n">
        <f aca="false">sw_26</f>
        <v>90</v>
      </c>
      <c r="E307" s="17" t="n">
        <f aca="false">sw_26*swx_27</f>
        <v>126</v>
      </c>
      <c r="F307" s="17" t="n">
        <f aca="false">sw_26*swx_28</f>
        <v>144</v>
      </c>
      <c r="G307" s="17" t="n">
        <f aca="false">sw_26*swx_29</f>
        <v>157.5</v>
      </c>
    </row>
    <row r="308" customFormat="false" ht="17.15" hidden="false" customHeight="false" outlineLevel="0" collapsed="false">
      <c r="A308" s="3" t="s">
        <v>444</v>
      </c>
      <c r="B308" s="0" t="s">
        <v>94</v>
      </c>
      <c r="D308" s="17" t="n">
        <f aca="false">ubb_26</f>
        <v>70</v>
      </c>
      <c r="E308" s="17" t="n">
        <f aca="false">ubb_26*ubbx_27</f>
        <v>126</v>
      </c>
      <c r="F308" s="17" t="n">
        <f aca="false">ubb_26*ubbx_28</f>
        <v>161</v>
      </c>
      <c r="G308" s="17" t="n">
        <f aca="false">ubb_26*ubbx_29</f>
        <v>182</v>
      </c>
    </row>
    <row r="309" customFormat="false" ht="17.15" hidden="false" customHeight="false" outlineLevel="0" collapsed="false">
      <c r="A309" s="3" t="s">
        <v>491</v>
      </c>
      <c r="B309" s="0" t="s">
        <v>94</v>
      </c>
      <c r="D309" s="17" t="n">
        <f aca="false">D306+D307+D308</f>
        <v>350</v>
      </c>
      <c r="E309" s="17" t="n">
        <f aca="false">E306+E307+E308</f>
        <v>527.5</v>
      </c>
      <c r="F309" s="17" t="n">
        <f aca="false">F306+F307+F308</f>
        <v>609</v>
      </c>
      <c r="G309" s="17" t="n">
        <f aca="false">G306+G307+G308</f>
        <v>662.5</v>
      </c>
    </row>
    <row r="310" customFormat="false" ht="17.15" hidden="false" customHeight="false" outlineLevel="0" collapsed="false">
      <c r="A310" s="0" t="s">
        <v>492</v>
      </c>
      <c r="B310" s="0" t="s">
        <v>34</v>
      </c>
      <c r="D310" s="19" t="n">
        <f aca="false">D305*D309/1000</f>
        <v>8.18983831472236</v>
      </c>
      <c r="E310" s="19" t="n">
        <f aca="false">E305*E309/1000</f>
        <v>21.9686689732486</v>
      </c>
      <c r="F310" s="19" t="n">
        <f aca="false">F305*F309/1000</f>
        <v>32.15041215847</v>
      </c>
      <c r="G310" s="19" t="n">
        <f aca="false">G305*G309/1000</f>
        <v>39.8418170251739</v>
      </c>
    </row>
    <row r="311" customFormat="false" ht="17.15" hidden="false" customHeight="false" outlineLevel="0" collapsed="false">
      <c r="A311" s="0" t="s">
        <v>493</v>
      </c>
      <c r="B311" s="0" t="s">
        <v>214</v>
      </c>
      <c r="D311" s="18" t="n">
        <f aca="false">D310*fx</f>
        <v>262.074826071116</v>
      </c>
      <c r="E311" s="18" t="n">
        <f aca="false">E310*fx</f>
        <v>702.997407143955</v>
      </c>
      <c r="F311" s="18" t="n">
        <f aca="false">F310*fx</f>
        <v>1028.81318907104</v>
      </c>
      <c r="G311" s="18" t="n">
        <f aca="false">G310*fx</f>
        <v>1274.93814480557</v>
      </c>
    </row>
    <row r="312" customFormat="false" ht="17.15" hidden="false" customHeight="false" outlineLevel="0" collapsed="false">
      <c r="A312" s="0" t="s">
        <v>494</v>
      </c>
      <c r="B312" s="0" t="s">
        <v>67</v>
      </c>
      <c r="D312" s="14" t="n">
        <f aca="false">1</f>
        <v>1</v>
      </c>
      <c r="E312" s="14" t="n">
        <f aca="false">pp_27</f>
        <v>1</v>
      </c>
      <c r="F312" s="14" t="n">
        <f aca="false">pp_28</f>
        <v>0.97</v>
      </c>
      <c r="G312" s="14" t="n">
        <f aca="false">pp_29</f>
        <v>0.93</v>
      </c>
    </row>
    <row r="313" customFormat="false" ht="17.15" hidden="false" customHeight="false" outlineLevel="0" collapsed="false">
      <c r="A313" s="3" t="s">
        <v>495</v>
      </c>
      <c r="B313" s="0" t="s">
        <v>54</v>
      </c>
      <c r="D313" s="13" t="n">
        <f aca="false">a26_ai/D311</f>
        <v>0.459306165741139</v>
      </c>
      <c r="H313" s="7" t="s">
        <v>496</v>
      </c>
    </row>
    <row r="314" customFormat="false" ht="17.15" hidden="false" customHeight="false" outlineLevel="0" collapsed="false">
      <c r="A314" s="3" t="s">
        <v>497</v>
      </c>
      <c r="B314" s="0" t="s">
        <v>67</v>
      </c>
      <c r="D314" s="14" t="n">
        <f aca="false">1</f>
        <v>1</v>
      </c>
      <c r="E314" s="14" t="n">
        <f aca="false">RHI_27</f>
        <v>1.05</v>
      </c>
      <c r="F314" s="14" t="n">
        <f aca="false">RHI_28</f>
        <v>1</v>
      </c>
      <c r="G314" s="14" t="n">
        <f aca="false">RHI_29</f>
        <v>1</v>
      </c>
    </row>
    <row r="315" customFormat="false" ht="15" hidden="false" customHeight="false" outlineLevel="0" collapsed="false">
      <c r="A315" s="3" t="s">
        <v>452</v>
      </c>
      <c r="B315" s="0" t="s">
        <v>54</v>
      </c>
      <c r="D315" s="13" t="n">
        <f aca="false">$D$313*D314</f>
        <v>0.459306165741139</v>
      </c>
      <c r="E315" s="13" t="n">
        <f aca="false">$D$313*E314</f>
        <v>0.482271474028196</v>
      </c>
      <c r="F315" s="13" t="n">
        <f aca="false">$D$313*F314</f>
        <v>0.459306165741139</v>
      </c>
      <c r="G315" s="13" t="n">
        <f aca="false">$D$313*G314</f>
        <v>0.459306165741139</v>
      </c>
    </row>
    <row r="316" customFormat="false" ht="17.15" hidden="false" customHeight="false" outlineLevel="0" collapsed="false">
      <c r="A316" s="0" t="s">
        <v>498</v>
      </c>
      <c r="B316" s="0" t="s">
        <v>214</v>
      </c>
      <c r="D316" s="18" t="n">
        <f aca="false">D311*D315*D312</f>
        <v>120.3725835</v>
      </c>
      <c r="E316" s="18" t="n">
        <f aca="false">E311*E315*E312</f>
        <v>339.035595781315</v>
      </c>
      <c r="F316" s="18" t="n">
        <f aca="false">F311*F315*F312</f>
        <v>458.364033902049</v>
      </c>
      <c r="G316" s="18" t="n">
        <f aca="false">G311*G315*G312</f>
        <v>544.595864288422</v>
      </c>
    </row>
    <row r="317" customFormat="false" ht="17.15" hidden="false" customHeight="false" outlineLevel="0" collapsed="false">
      <c r="A317" s="5" t="s">
        <v>499</v>
      </c>
    </row>
    <row r="318" customFormat="false" ht="15" hidden="false" customHeight="false" outlineLevel="0" collapsed="false">
      <c r="A318" s="3" t="s">
        <v>457</v>
      </c>
      <c r="B318" s="3" t="s">
        <v>151</v>
      </c>
      <c r="D318" s="14" t="n">
        <f aca="false">cap_26</f>
        <v>6</v>
      </c>
      <c r="E318" s="14" t="n">
        <f aca="false">cap_27</f>
        <v>7.76</v>
      </c>
      <c r="F318" s="14" t="n">
        <f aca="false">cap_28</f>
        <v>10.3</v>
      </c>
      <c r="G318" s="14" t="n">
        <f aca="false">cap_29</f>
        <v>11.8</v>
      </c>
    </row>
    <row r="319" customFormat="false" ht="17.15" hidden="false" customHeight="false" outlineLevel="0" collapsed="false">
      <c r="A319" s="3" t="s">
        <v>500</v>
      </c>
      <c r="B319" s="0" t="s">
        <v>460</v>
      </c>
      <c r="D319" s="17" t="n">
        <f aca="false">a26_rev/(D318*12)*1000</f>
        <v>2857.84861111111</v>
      </c>
      <c r="H319" s="7" t="s">
        <v>501</v>
      </c>
    </row>
    <row r="320" customFormat="false" ht="17.15" hidden="false" customHeight="false" outlineLevel="0" collapsed="false">
      <c r="A320" s="3" t="s">
        <v>502</v>
      </c>
      <c r="B320" s="0" t="s">
        <v>67</v>
      </c>
      <c r="D320" s="14" t="n">
        <f aca="false">1</f>
        <v>1</v>
      </c>
      <c r="E320" s="14" t="n">
        <f aca="false">mix_27</f>
        <v>1.25</v>
      </c>
      <c r="F320" s="14" t="n">
        <f aca="false">mix_28</f>
        <v>1.4</v>
      </c>
      <c r="G320" s="14" t="n">
        <f aca="false">mix_29</f>
        <v>1.5</v>
      </c>
    </row>
    <row r="321" customFormat="false" ht="17.15" hidden="false" customHeight="false" outlineLevel="0" collapsed="false">
      <c r="A321" s="3" t="s">
        <v>503</v>
      </c>
      <c r="B321" s="0" t="s">
        <v>214</v>
      </c>
      <c r="D321" s="18" t="n">
        <f aca="false">D318*12*$D$319*D320*D312/1000</f>
        <v>205.7651</v>
      </c>
      <c r="E321" s="18" t="n">
        <f aca="false">E318*12*$D$319*E320*E312/1000</f>
        <v>332.653578333333</v>
      </c>
      <c r="F321" s="18" t="n">
        <f aca="false">F318*12*$D$319*F320*F312/1000</f>
        <v>479.686459956667</v>
      </c>
      <c r="G321" s="18" t="n">
        <f aca="false">G318*12*$D$319*G320*G312/1000</f>
        <v>564.51655185</v>
      </c>
    </row>
    <row r="322" customFormat="false" ht="17.15" hidden="false" customHeight="false" outlineLevel="0" collapsed="false">
      <c r="A322" s="3" t="s">
        <v>504</v>
      </c>
      <c r="B322" s="0" t="s">
        <v>214</v>
      </c>
      <c r="C322" s="18" t="n">
        <f aca="false">a25_nai</f>
        <v>47.1305</v>
      </c>
      <c r="D322" s="18" t="n">
        <f aca="false">a26_nai</f>
        <v>85.3925165</v>
      </c>
      <c r="E322" s="18" t="n">
        <f aca="false">D322*(1+g_nai27)</f>
        <v>92.22391782</v>
      </c>
      <c r="F322" s="18" t="n">
        <f aca="false">E322*(1+g_nai28)</f>
        <v>97.7573528892</v>
      </c>
      <c r="G322" s="18" t="n">
        <f aca="false">F322*(1+g_nai29)</f>
        <v>102.64522053366</v>
      </c>
    </row>
    <row r="323" customFormat="false" ht="17.15" hidden="false" customHeight="false" outlineLevel="0" collapsed="false">
      <c r="A323" s="0" t="s">
        <v>505</v>
      </c>
      <c r="B323" s="0" t="s">
        <v>214</v>
      </c>
      <c r="C323" s="18" t="n">
        <f aca="false">a25_ai</f>
        <v>47.1305</v>
      </c>
      <c r="D323" s="18" t="n">
        <f aca="false">D316</f>
        <v>120.3725835</v>
      </c>
      <c r="E323" s="18" t="n">
        <f aca="false">MIN(E316,E321-E322)</f>
        <v>240.429660513333</v>
      </c>
      <c r="F323" s="18" t="n">
        <f aca="false">MIN(F316,F321-F322)</f>
        <v>381.929107067467</v>
      </c>
      <c r="G323" s="18" t="n">
        <f aca="false">MIN(G316,G321-G322)</f>
        <v>461.87133131634</v>
      </c>
      <c r="H323" s="3" t="s">
        <v>506</v>
      </c>
    </row>
    <row r="324" customFormat="false" ht="15" hidden="false" customHeight="false" outlineLevel="0" collapsed="false">
      <c r="A324" s="3" t="s">
        <v>507</v>
      </c>
      <c r="E324" s="0" t="str">
        <f aca="false">IF(E316&gt;E321-E322+0.0001,"受限","未受限")</f>
        <v>受限</v>
      </c>
      <c r="F324" s="0" t="str">
        <f aca="false">IF(F316&gt;F321-F322+0.0001,"受限","未受限")</f>
        <v>受限</v>
      </c>
      <c r="G324" s="0" t="str">
        <f aca="false">IF(G316&gt;G321-G322+0.0001,"受限","未受限")</f>
        <v>受限</v>
      </c>
    </row>
    <row r="325" customFormat="false" ht="15" hidden="false" customHeight="false" outlineLevel="0" collapsed="false">
      <c r="A325" s="3" t="s">
        <v>388</v>
      </c>
      <c r="B325" s="0" t="s">
        <v>214</v>
      </c>
      <c r="C325" s="18" t="n">
        <f aca="false">C323+C322</f>
        <v>94.261</v>
      </c>
      <c r="D325" s="18" t="n">
        <f aca="false">D323+D322</f>
        <v>205.7651</v>
      </c>
      <c r="E325" s="18" t="n">
        <f aca="false">E323+E322</f>
        <v>332.653578333333</v>
      </c>
      <c r="F325" s="18" t="n">
        <f aca="false">F323+F322</f>
        <v>479.686459956667</v>
      </c>
      <c r="G325" s="18" t="n">
        <f aca="false">G323+G322</f>
        <v>564.51655185</v>
      </c>
    </row>
    <row r="326" customFormat="false" ht="15" hidden="false" customHeight="false" outlineLevel="0" collapsed="false">
      <c r="A326" s="3" t="s">
        <v>508</v>
      </c>
      <c r="B326" s="0" t="s">
        <v>54</v>
      </c>
      <c r="D326" s="13" t="n">
        <f aca="false">D325/C325-1</f>
        <v>1.1829293132897</v>
      </c>
      <c r="E326" s="13" t="n">
        <f aca="false">E325/D325-1</f>
        <v>0.616666666666667</v>
      </c>
      <c r="F326" s="13" t="n">
        <f aca="false">F325/E325-1</f>
        <v>0.442</v>
      </c>
      <c r="G326" s="13" t="n">
        <f aca="false">G325/F325-1</f>
        <v>0.17684487467292</v>
      </c>
    </row>
    <row r="327" customFormat="false" ht="17.15" hidden="false" customHeight="false" outlineLevel="0" collapsed="false">
      <c r="A327" s="3" t="s">
        <v>509</v>
      </c>
      <c r="B327" s="0" t="s">
        <v>214</v>
      </c>
      <c r="C327" s="18" t="n">
        <f aca="false">inf25*C325-C323</f>
        <v>16.495675</v>
      </c>
      <c r="D327" s="18" t="n">
        <f aca="false">inf26*D325-D323</f>
        <v>33.9512415</v>
      </c>
      <c r="E327" s="18" t="n">
        <f aca="false">E322*$D327/$D322</f>
        <v>36.66734082</v>
      </c>
      <c r="F327" s="18" t="n">
        <f aca="false">F322*$D327/$D322</f>
        <v>38.8673812692</v>
      </c>
      <c r="G327" s="18" t="n">
        <f aca="false">G322*$D327/$D322</f>
        <v>40.81075033266</v>
      </c>
      <c r="H327" s="3" t="s">
        <v>510</v>
      </c>
    </row>
    <row r="328" customFormat="false" ht="17.15" hidden="false" customHeight="false" outlineLevel="0" collapsed="false">
      <c r="A328" s="3" t="s">
        <v>511</v>
      </c>
      <c r="B328" s="0" t="s">
        <v>214</v>
      </c>
      <c r="C328" s="18" t="n">
        <f aca="false">C323+C327</f>
        <v>63.626175</v>
      </c>
      <c r="D328" s="18" t="n">
        <f aca="false">D323+D327</f>
        <v>154.323825</v>
      </c>
      <c r="E328" s="18" t="n">
        <f aca="false">E323+E327</f>
        <v>277.097001333333</v>
      </c>
      <c r="F328" s="18" t="n">
        <f aca="false">F323+F327</f>
        <v>420.796488336667</v>
      </c>
      <c r="G328" s="18" t="n">
        <f aca="false">G323+G327</f>
        <v>502.682081649</v>
      </c>
      <c r="H328" s="3" t="s">
        <v>512</v>
      </c>
    </row>
    <row r="329" customFormat="false" ht="15" hidden="false" customHeight="false" outlineLevel="0" collapsed="false">
      <c r="A329" s="3" t="s">
        <v>513</v>
      </c>
      <c r="B329" s="0" t="s">
        <v>214</v>
      </c>
      <c r="C329" s="18" t="n">
        <f aca="false">mob25*C325</f>
        <v>21.208725</v>
      </c>
      <c r="D329" s="18" t="n">
        <f aca="false">mob26*D325</f>
        <v>37.037718</v>
      </c>
      <c r="E329" s="18" t="n">
        <f aca="false">E322*$D329/$D322</f>
        <v>40.00073544</v>
      </c>
      <c r="F329" s="18" t="n">
        <f aca="false">F322*$D329/$D322</f>
        <v>42.4007795664</v>
      </c>
      <c r="G329" s="18" t="n">
        <f aca="false">G322*$D329/$D322</f>
        <v>44.52081854472</v>
      </c>
      <c r="H329" s="3" t="s">
        <v>514</v>
      </c>
    </row>
    <row r="330" customFormat="false" ht="15" hidden="false" customHeight="false" outlineLevel="0" collapsed="false">
      <c r="A330" s="3" t="s">
        <v>515</v>
      </c>
      <c r="B330" s="0" t="s">
        <v>214</v>
      </c>
      <c r="C330" s="18" t="n">
        <f aca="false">C325-C328-C329</f>
        <v>9.42609999999999</v>
      </c>
      <c r="D330" s="18" t="n">
        <f aca="false">D325-D328-D329</f>
        <v>14.403557</v>
      </c>
      <c r="E330" s="18" t="n">
        <f aca="false">E325-E328-E329</f>
        <v>15.55584156</v>
      </c>
      <c r="F330" s="18" t="n">
        <f aca="false">F325-F328-F329</f>
        <v>16.4891920536</v>
      </c>
      <c r="G330" s="18" t="n">
        <f aca="false">G325-G328-G329</f>
        <v>17.31365165628</v>
      </c>
      <c r="H330" s="3" t="s">
        <v>516</v>
      </c>
    </row>
    <row r="331" customFormat="false" ht="15" hidden="false" customHeight="false" outlineLevel="0" collapsed="false">
      <c r="A331" s="3" t="s">
        <v>517</v>
      </c>
      <c r="B331" s="0" t="s">
        <v>214</v>
      </c>
      <c r="C331" s="21" t="n">
        <f aca="false">C328+C329+C330-C325</f>
        <v>0</v>
      </c>
      <c r="D331" s="21" t="n">
        <f aca="false">D328+D329+D330-D325</f>
        <v>0</v>
      </c>
      <c r="E331" s="21" t="n">
        <f aca="false">E328+E329+E330-E325</f>
        <v>0</v>
      </c>
      <c r="F331" s="21" t="n">
        <f aca="false">F328+F329+F330-F325</f>
        <v>0</v>
      </c>
      <c r="G331" s="21" t="n">
        <f aca="false">G328+G329+G330-G325</f>
        <v>0</v>
      </c>
    </row>
    <row r="332" customFormat="false" ht="17.15" hidden="false" customHeight="false" outlineLevel="0" collapsed="false">
      <c r="A332" s="0" t="s">
        <v>518</v>
      </c>
      <c r="B332" s="0" t="s">
        <v>54</v>
      </c>
      <c r="C332" s="13" t="n">
        <f aca="false">C323/C325</f>
        <v>0.5</v>
      </c>
      <c r="D332" s="13" t="n">
        <f aca="false">D323/D325</f>
        <v>0.585</v>
      </c>
      <c r="E332" s="13" t="n">
        <f aca="false">E323/E325</f>
        <v>0.722762886597938</v>
      </c>
      <c r="F332" s="13" t="n">
        <f aca="false">F323/F325</f>
        <v>0.796205728012354</v>
      </c>
      <c r="G332" s="13" t="n">
        <f aca="false">G323/G325</f>
        <v>0.818171459814106</v>
      </c>
    </row>
    <row r="333" customFormat="false" ht="17.15" hidden="false" customHeight="false" outlineLevel="0" collapsed="false">
      <c r="A333" s="3" t="s">
        <v>519</v>
      </c>
      <c r="B333" s="0" t="s">
        <v>54</v>
      </c>
      <c r="D333" s="13" t="n">
        <f aca="false">(D316+D322)/D321</f>
        <v>1</v>
      </c>
      <c r="E333" s="13" t="n">
        <f aca="false">(E316+E322)/E321</f>
        <v>1.29642228940395</v>
      </c>
      <c r="F333" s="13" t="n">
        <f aca="false">(F316+F322)/F321</f>
        <v>1.15934351543191</v>
      </c>
      <c r="G333" s="13" t="n">
        <f aca="false">(G316+G322)/G321</f>
        <v>1.14654049150726</v>
      </c>
      <c r="H333" s="3" t="s">
        <v>520</v>
      </c>
    </row>
    <row r="334" customFormat="false" ht="17.15" hidden="false" customHeight="false" outlineLevel="0" collapsed="false">
      <c r="A334" s="3" t="s">
        <v>456</v>
      </c>
      <c r="B334" s="0" t="s">
        <v>94</v>
      </c>
      <c r="D334" s="17" t="n">
        <f aca="false">D323/fx/D305*1000</f>
        <v>160.757158009399</v>
      </c>
      <c r="E334" s="17" t="n">
        <f aca="false">E323/fx/E305*1000</f>
        <v>180.408412082255</v>
      </c>
      <c r="F334" s="17" t="n">
        <f aca="false">F323/fx/F305*1000</f>
        <v>226.080719682557</v>
      </c>
      <c r="G334" s="17" t="n">
        <f aca="false">G323/fx/G305*1000</f>
        <v>240.003609778057</v>
      </c>
    </row>
    <row r="335" customFormat="false" ht="17.15" hidden="false" customHeight="false" outlineLevel="0" collapsed="false">
      <c r="A335" s="5" t="s">
        <v>521</v>
      </c>
    </row>
    <row r="336" customFormat="false" ht="17.15" hidden="false" customHeight="false" outlineLevel="0" collapsed="false">
      <c r="A336" s="3" t="s">
        <v>522</v>
      </c>
      <c r="B336" s="0" t="s">
        <v>54</v>
      </c>
      <c r="D336" s="13" t="n">
        <f aca="false">a26_gp/D325-d_ai*D332</f>
        <v>0.291564442755356</v>
      </c>
      <c r="H336" s="7" t="s">
        <v>523</v>
      </c>
    </row>
    <row r="337" customFormat="false" ht="17.15" hidden="false" customHeight="false" outlineLevel="0" collapsed="false">
      <c r="A337" s="0" t="s">
        <v>524</v>
      </c>
      <c r="B337" s="0" t="s">
        <v>54</v>
      </c>
      <c r="D337" s="13" t="n">
        <f aca="false">D336+d_ai</f>
        <v>0.371564442755356</v>
      </c>
      <c r="E337" s="13" t="n">
        <f aca="false">1-(1-$D$337)/E312</f>
        <v>0.371564442755356</v>
      </c>
      <c r="F337" s="13" t="n">
        <f aca="false">1-(1-$D$337)/F312</f>
        <v>0.352128291500367</v>
      </c>
      <c r="G337" s="13" t="n">
        <f aca="false">1-(1-$D$337)/G312</f>
        <v>0.324262841672425</v>
      </c>
      <c r="H337" s="7" t="s">
        <v>525</v>
      </c>
    </row>
    <row r="338" customFormat="false" ht="15" hidden="false" customHeight="false" outlineLevel="0" collapsed="false">
      <c r="A338" s="3" t="s">
        <v>392</v>
      </c>
      <c r="B338" s="0" t="s">
        <v>214</v>
      </c>
      <c r="C338" s="18" t="n">
        <f aca="false">a25_gp</f>
        <v>28.12</v>
      </c>
      <c r="D338" s="18" t="n">
        <f aca="false">a26_gp</f>
        <v>69.6235934</v>
      </c>
      <c r="E338" s="18" t="n">
        <f aca="false">E323*E337+E322*$D$336</f>
        <v>116.2243280384</v>
      </c>
      <c r="F338" s="18" t="n">
        <f aca="false">F323*F337+F322*$D$336</f>
        <v>162.990612066306</v>
      </c>
      <c r="G338" s="18" t="n">
        <f aca="false">G323*G337+G322*$D$336</f>
        <v>179.69540690606</v>
      </c>
    </row>
    <row r="339" customFormat="false" ht="15" hidden="false" customHeight="false" outlineLevel="0" collapsed="false">
      <c r="A339" s="3" t="s">
        <v>395</v>
      </c>
      <c r="B339" s="0" t="s">
        <v>54</v>
      </c>
      <c r="C339" s="13" t="n">
        <f aca="false">C338/C325</f>
        <v>0.298320620405046</v>
      </c>
      <c r="D339" s="13" t="n">
        <f aca="false">D338/D325</f>
        <v>0.338364442755356</v>
      </c>
      <c r="E339" s="13" t="n">
        <f aca="false">E338/E325</f>
        <v>0.349385473683191</v>
      </c>
      <c r="F339" s="13" t="n">
        <f aca="false">F338/F325</f>
        <v>0.339785726036607</v>
      </c>
      <c r="G339" s="13" t="n">
        <f aca="false">G338/G325</f>
        <v>0.318317339530918</v>
      </c>
    </row>
    <row r="340" customFormat="false" ht="15" hidden="false" customHeight="false" outlineLevel="0" collapsed="false">
      <c r="A340" s="3" t="s">
        <v>526</v>
      </c>
      <c r="B340" s="0" t="s">
        <v>214</v>
      </c>
      <c r="C340" s="18" t="n">
        <f aca="false">a25_opx</f>
        <v>9.012</v>
      </c>
      <c r="D340" s="18" t="n">
        <f aca="false">a26_opx</f>
        <v>14.0153081141857</v>
      </c>
      <c r="E340" s="18" t="n">
        <f aca="false">D340*(1+MAX(0,phi*E326))</f>
        <v>19.2009721164345</v>
      </c>
      <c r="F340" s="18" t="n">
        <f aca="false">E340*(1+MAX(0,phi*F326))</f>
        <v>24.2930699217129</v>
      </c>
      <c r="G340" s="18" t="n">
        <f aca="false">F340*(1+MAX(0,phi*G326))</f>
        <v>26.8707328651484</v>
      </c>
    </row>
    <row r="341" customFormat="false" ht="15" hidden="false" customHeight="false" outlineLevel="0" collapsed="false">
      <c r="A341" s="3" t="s">
        <v>397</v>
      </c>
      <c r="B341" s="0" t="s">
        <v>214</v>
      </c>
      <c r="C341" s="18" t="n">
        <f aca="false">C340</f>
        <v>9.012</v>
      </c>
      <c r="D341" s="18" t="n">
        <f aca="false">D340</f>
        <v>14.0153081141857</v>
      </c>
      <c r="E341" s="18" t="n">
        <f aca="false">E340+0*E325</f>
        <v>19.2009721164345</v>
      </c>
      <c r="F341" s="18" t="n">
        <f aca="false">F340+0*F325</f>
        <v>24.2930699217129</v>
      </c>
      <c r="G341" s="18" t="n">
        <f aca="false">G340+0*G325</f>
        <v>26.8707328651484</v>
      </c>
    </row>
    <row r="342" customFormat="false" ht="15" hidden="false" customHeight="false" outlineLevel="0" collapsed="false">
      <c r="A342" s="3" t="s">
        <v>400</v>
      </c>
      <c r="B342" s="0" t="s">
        <v>214</v>
      </c>
      <c r="C342" s="18" t="n">
        <f aca="false">C338-C341</f>
        <v>19.108</v>
      </c>
      <c r="D342" s="18" t="n">
        <f aca="false">D338-D341</f>
        <v>55.6082852858143</v>
      </c>
      <c r="E342" s="18" t="n">
        <f aca="false">E338-E341</f>
        <v>97.0233559219655</v>
      </c>
      <c r="F342" s="18" t="n">
        <f aca="false">F338-F341</f>
        <v>138.697542144593</v>
      </c>
      <c r="G342" s="18" t="n">
        <f aca="false">G338-G341</f>
        <v>152.824674040911</v>
      </c>
    </row>
    <row r="343" customFormat="false" ht="15" hidden="false" customHeight="false" outlineLevel="0" collapsed="false">
      <c r="A343" s="3" t="s">
        <v>403</v>
      </c>
      <c r="B343" s="0" t="s">
        <v>54</v>
      </c>
      <c r="C343" s="13" t="n">
        <f aca="false">C342/C325</f>
        <v>0.202713741632276</v>
      </c>
      <c r="D343" s="13" t="n">
        <f aca="false">D342/D325</f>
        <v>0.270251297648699</v>
      </c>
      <c r="E343" s="13" t="n">
        <f aca="false">E342/E325</f>
        <v>0.291664849685591</v>
      </c>
      <c r="F343" s="13" t="n">
        <f aca="false">F342/F325</f>
        <v>0.28914208284537</v>
      </c>
      <c r="G343" s="13" t="n">
        <f aca="false">G342/G325</f>
        <v>0.270717791250024</v>
      </c>
    </row>
    <row r="344" customFormat="false" ht="17.15" hidden="false" customHeight="false" outlineLevel="0" collapsed="false">
      <c r="A344" s="3" t="s">
        <v>405</v>
      </c>
      <c r="B344" s="0" t="s">
        <v>214</v>
      </c>
      <c r="E344" s="18" t="n">
        <f aca="false">nop_f</f>
        <v>0.5</v>
      </c>
      <c r="F344" s="18" t="n">
        <f aca="false">nop_f</f>
        <v>0.5</v>
      </c>
      <c r="G344" s="18" t="n">
        <f aca="false">nop_f</f>
        <v>0.5</v>
      </c>
      <c r="H344" s="7" t="s">
        <v>527</v>
      </c>
    </row>
    <row r="345" customFormat="false" ht="15" hidden="false" customHeight="false" outlineLevel="0" collapsed="false">
      <c r="A345" s="3" t="s">
        <v>408</v>
      </c>
      <c r="B345" s="0" t="s">
        <v>214</v>
      </c>
      <c r="C345" s="18" t="n">
        <f aca="false">a25_ni</f>
        <v>14.649</v>
      </c>
      <c r="D345" s="18" t="n">
        <f aca="false">a26_ni</f>
        <v>42.891099295</v>
      </c>
      <c r="E345" s="18" t="n">
        <f aca="false">(E342+E344)*nir_f</f>
        <v>75.0929840599135</v>
      </c>
      <c r="F345" s="18" t="n">
        <f aca="false">(F342+F344)*nir_f</f>
        <v>107.182107451337</v>
      </c>
      <c r="G345" s="18" t="n">
        <f aca="false">(G342+G344)*nir_f</f>
        <v>118.059999011502</v>
      </c>
    </row>
    <row r="346" customFormat="false" ht="17.15" hidden="false" customHeight="false" outlineLevel="0" collapsed="false">
      <c r="A346" s="3" t="s">
        <v>411</v>
      </c>
      <c r="B346" s="0" t="s">
        <v>54</v>
      </c>
      <c r="C346" s="13" t="n">
        <f aca="false">C345/C342</f>
        <v>0.766642244086247</v>
      </c>
      <c r="D346" s="13" t="n">
        <f aca="false">D345/D342</f>
        <v>0.771307712053146</v>
      </c>
      <c r="E346" s="13" t="n">
        <f aca="false">E345/E342</f>
        <v>0.77396811671109</v>
      </c>
      <c r="F346" s="13" t="n">
        <f aca="false">F345/F342</f>
        <v>0.772775824243508</v>
      </c>
      <c r="G346" s="13" t="n">
        <f aca="false">G345/G342</f>
        <v>0.772519226704825</v>
      </c>
    </row>
    <row r="347" customFormat="false" ht="15" hidden="false" customHeight="false" outlineLevel="0" collapsed="false">
      <c r="A347" s="3" t="s">
        <v>528</v>
      </c>
      <c r="B347" s="3" t="s">
        <v>243</v>
      </c>
      <c r="C347" s="20" t="n">
        <f aca="false">a25_sh</f>
        <v>0.351547876169906</v>
      </c>
      <c r="D347" s="20" t="n">
        <f aca="false">a26_sh</f>
        <v>0.358290155440415</v>
      </c>
      <c r="E347" s="20" t="n">
        <f aca="false">D347*(1+sh_g)</f>
        <v>0.358290155440415</v>
      </c>
      <c r="F347" s="20" t="n">
        <f aca="false">E347*(1+sh_g)</f>
        <v>0.358290155440415</v>
      </c>
      <c r="G347" s="20" t="n">
        <f aca="false">F347*(1+sh_g)</f>
        <v>0.358290155440415</v>
      </c>
    </row>
    <row r="348" customFormat="false" ht="15" hidden="false" customHeight="false" outlineLevel="0" collapsed="false">
      <c r="A348" s="0" t="s">
        <v>414</v>
      </c>
      <c r="B348" s="0" t="s">
        <v>274</v>
      </c>
      <c r="C348" s="19" t="n">
        <f aca="false">C345/C347</f>
        <v>41.67</v>
      </c>
      <c r="D348" s="19" t="n">
        <f aca="false">D345/D347</f>
        <v>119.710515747433</v>
      </c>
      <c r="E348" s="19" t="n">
        <f aca="false">E345/E347</f>
        <v>209.587070478139</v>
      </c>
      <c r="F348" s="19" t="n">
        <f aca="false">F345/F347</f>
        <v>299.14890438334</v>
      </c>
      <c r="G348" s="19" t="n">
        <f aca="false">G345/G347</f>
        <v>329.509469403035</v>
      </c>
    </row>
    <row r="349" customFormat="false" ht="17.15" hidden="false" customHeight="false" outlineLevel="0" collapsed="false">
      <c r="A349" s="0" t="s">
        <v>529</v>
      </c>
      <c r="B349" s="0" t="s">
        <v>54</v>
      </c>
      <c r="D349" s="13" t="n">
        <f aca="false">D348/C348-1</f>
        <v>1.87282255213422</v>
      </c>
      <c r="E349" s="13" t="n">
        <f aca="false">E348/D348-1</f>
        <v>0.750782453567642</v>
      </c>
      <c r="F349" s="13" t="n">
        <f aca="false">F348/E348-1</f>
        <v>0.42732518614283</v>
      </c>
      <c r="G349" s="13" t="n">
        <f aca="false">G348/F348-1</f>
        <v>0.101489808502824</v>
      </c>
    </row>
    <row r="352" customFormat="false" ht="17.15" hidden="false" customHeight="false" outlineLevel="0" collapsed="false">
      <c r="A352" s="1" t="s">
        <v>844</v>
      </c>
    </row>
    <row r="353" customFormat="false" ht="17.15" hidden="false" customHeight="false" outlineLevel="0" collapsed="false">
      <c r="A353" s="4" t="s">
        <v>23</v>
      </c>
      <c r="B353" s="4" t="s">
        <v>24</v>
      </c>
      <c r="C353" s="10" t="s">
        <v>383</v>
      </c>
      <c r="D353" s="10" t="s">
        <v>469</v>
      </c>
      <c r="E353" s="10" t="s">
        <v>470</v>
      </c>
      <c r="F353" s="10" t="s">
        <v>471</v>
      </c>
      <c r="G353" s="10" t="s">
        <v>472</v>
      </c>
      <c r="H353" s="4" t="s">
        <v>437</v>
      </c>
    </row>
    <row r="354" customFormat="false" ht="17.15" hidden="false" customHeight="false" outlineLevel="0" collapsed="false">
      <c r="A354" s="5" t="s">
        <v>487</v>
      </c>
    </row>
    <row r="355" customFormat="false" ht="17.15" hidden="false" customHeight="false" outlineLevel="0" collapsed="false">
      <c r="A355" s="0" t="s">
        <v>488</v>
      </c>
      <c r="B355" s="0" t="s">
        <v>34</v>
      </c>
      <c r="D355" s="19" t="n">
        <f aca="false">itc_26*1</f>
        <v>781.872916666666</v>
      </c>
      <c r="E355" s="19" t="n">
        <f aca="false">itc_27*1*1</f>
        <v>1565.35</v>
      </c>
      <c r="F355" s="19" t="n">
        <f aca="false">itc_28*um28_A*1</f>
        <v>1984.26388888889</v>
      </c>
      <c r="G355" s="19" t="n">
        <f aca="false">itc_29*um29_A*1</f>
        <v>2260.39027777778</v>
      </c>
    </row>
    <row r="356" customFormat="false" ht="17.15" hidden="false" customHeight="false" outlineLevel="0" collapsed="false">
      <c r="A356" s="3" t="s">
        <v>489</v>
      </c>
      <c r="B356" s="0" t="s">
        <v>34</v>
      </c>
      <c r="D356" s="19" t="n">
        <f aca="false">itpg_gb*(1-vr26)+itpg_vr*vr26</f>
        <v>33.41403216</v>
      </c>
      <c r="E356" s="19" t="n">
        <f aca="false">itpg_vr</f>
        <v>37.586352</v>
      </c>
      <c r="F356" s="19" t="n">
        <f aca="false">itpg_vr</f>
        <v>37.586352</v>
      </c>
      <c r="G356" s="19" t="n">
        <f aca="false">itpg_vr</f>
        <v>37.586352</v>
      </c>
    </row>
    <row r="357" customFormat="false" ht="17.15" hidden="false" customHeight="false" outlineLevel="0" collapsed="false">
      <c r="A357" s="3" t="s">
        <v>490</v>
      </c>
      <c r="B357" s="0" t="s">
        <v>439</v>
      </c>
      <c r="D357" s="16" t="n">
        <f aca="false">D355/D356</f>
        <v>23.3995380420639</v>
      </c>
      <c r="E357" s="16" t="n">
        <f aca="false">E355/E356</f>
        <v>41.6467658260637</v>
      </c>
      <c r="F357" s="16" t="n">
        <f aca="false">F355/F356</f>
        <v>52.792138191248</v>
      </c>
      <c r="G357" s="16" t="n">
        <f aca="false">G355/G356</f>
        <v>60.1385917361116</v>
      </c>
    </row>
    <row r="358" customFormat="false" ht="17.15" hidden="false" customHeight="false" outlineLevel="0" collapsed="false">
      <c r="A358" s="3" t="s">
        <v>441</v>
      </c>
      <c r="B358" s="0" t="s">
        <v>94</v>
      </c>
      <c r="D358" s="17" t="n">
        <f aca="false">cmp_26</f>
        <v>190</v>
      </c>
      <c r="E358" s="17" t="n">
        <f aca="false">cmp_26*cmpx_27</f>
        <v>275.5</v>
      </c>
      <c r="F358" s="17" t="n">
        <f aca="false">cmp_26*cmpx_28</f>
        <v>304</v>
      </c>
      <c r="G358" s="17" t="n">
        <f aca="false">cmp_26*cmpx_29</f>
        <v>323</v>
      </c>
    </row>
    <row r="359" customFormat="false" ht="17.15" hidden="false" customHeight="false" outlineLevel="0" collapsed="false">
      <c r="A359" s="3" t="s">
        <v>443</v>
      </c>
      <c r="B359" s="0" t="s">
        <v>94</v>
      </c>
      <c r="D359" s="17" t="n">
        <f aca="false">sw_26</f>
        <v>90</v>
      </c>
      <c r="E359" s="17" t="n">
        <f aca="false">sw_26*swx_27</f>
        <v>126</v>
      </c>
      <c r="F359" s="17" t="n">
        <f aca="false">sw_26*swx_28</f>
        <v>144</v>
      </c>
      <c r="G359" s="17" t="n">
        <f aca="false">sw_26*swx_29</f>
        <v>157.5</v>
      </c>
    </row>
    <row r="360" customFormat="false" ht="17.15" hidden="false" customHeight="false" outlineLevel="0" collapsed="false">
      <c r="A360" s="3" t="s">
        <v>444</v>
      </c>
      <c r="B360" s="0" t="s">
        <v>94</v>
      </c>
      <c r="D360" s="17" t="n">
        <f aca="false">ubb_26</f>
        <v>70</v>
      </c>
      <c r="E360" s="17" t="n">
        <f aca="false">ubb_26*ubbx_27</f>
        <v>126</v>
      </c>
      <c r="F360" s="17" t="n">
        <f aca="false">ubb_26*ubbx_28</f>
        <v>161</v>
      </c>
      <c r="G360" s="17" t="n">
        <f aca="false">ubb_26*ubbx_29</f>
        <v>182</v>
      </c>
    </row>
    <row r="361" customFormat="false" ht="17.15" hidden="false" customHeight="false" outlineLevel="0" collapsed="false">
      <c r="A361" s="3" t="s">
        <v>491</v>
      </c>
      <c r="B361" s="0" t="s">
        <v>94</v>
      </c>
      <c r="D361" s="17" t="n">
        <f aca="false">D358+D359+D360</f>
        <v>350</v>
      </c>
      <c r="E361" s="17" t="n">
        <f aca="false">E358+E359+E360</f>
        <v>527.5</v>
      </c>
      <c r="F361" s="17" t="n">
        <f aca="false">F358+F359+F360</f>
        <v>609</v>
      </c>
      <c r="G361" s="17" t="n">
        <f aca="false">G358+G359+G360</f>
        <v>662.5</v>
      </c>
    </row>
    <row r="362" customFormat="false" ht="17.15" hidden="false" customHeight="false" outlineLevel="0" collapsed="false">
      <c r="A362" s="0" t="s">
        <v>492</v>
      </c>
      <c r="B362" s="0" t="s">
        <v>34</v>
      </c>
      <c r="D362" s="19" t="n">
        <f aca="false">D357*D361/1000</f>
        <v>8.18983831472236</v>
      </c>
      <c r="E362" s="19" t="n">
        <f aca="false">E357*E361/1000</f>
        <v>21.9686689732486</v>
      </c>
      <c r="F362" s="19" t="n">
        <f aca="false">F357*F361/1000</f>
        <v>32.15041215847</v>
      </c>
      <c r="G362" s="19" t="n">
        <f aca="false">G357*G361/1000</f>
        <v>39.8418170251739</v>
      </c>
    </row>
    <row r="363" customFormat="false" ht="17.15" hidden="false" customHeight="false" outlineLevel="0" collapsed="false">
      <c r="A363" s="0" t="s">
        <v>493</v>
      </c>
      <c r="B363" s="0" t="s">
        <v>214</v>
      </c>
      <c r="D363" s="18" t="n">
        <f aca="false">D362*fx</f>
        <v>262.074826071116</v>
      </c>
      <c r="E363" s="18" t="n">
        <f aca="false">E362*fx</f>
        <v>702.997407143955</v>
      </c>
      <c r="F363" s="18" t="n">
        <f aca="false">F362*fx</f>
        <v>1028.81318907104</v>
      </c>
      <c r="G363" s="18" t="n">
        <f aca="false">G362*fx</f>
        <v>1274.93814480557</v>
      </c>
    </row>
    <row r="364" customFormat="false" ht="17.15" hidden="false" customHeight="false" outlineLevel="0" collapsed="false">
      <c r="A364" s="0" t="s">
        <v>494</v>
      </c>
      <c r="B364" s="0" t="s">
        <v>67</v>
      </c>
      <c r="D364" s="14" t="n">
        <f aca="false">1</f>
        <v>1</v>
      </c>
      <c r="E364" s="14" t="n">
        <f aca="false">PPLO_27</f>
        <v>0.95</v>
      </c>
      <c r="F364" s="14" t="n">
        <f aca="false">PPLO_28</f>
        <v>0.88</v>
      </c>
      <c r="G364" s="14" t="n">
        <f aca="false">PPLO_29</f>
        <v>0.85</v>
      </c>
    </row>
    <row r="365" customFormat="false" ht="17.15" hidden="false" customHeight="false" outlineLevel="0" collapsed="false">
      <c r="A365" s="3" t="s">
        <v>495</v>
      </c>
      <c r="B365" s="0" t="s">
        <v>54</v>
      </c>
      <c r="D365" s="13" t="n">
        <f aca="false">a26_ai/D363</f>
        <v>0.459306165741139</v>
      </c>
      <c r="H365" s="7" t="s">
        <v>496</v>
      </c>
    </row>
    <row r="366" customFormat="false" ht="17.15" hidden="false" customHeight="false" outlineLevel="0" collapsed="false">
      <c r="A366" s="3" t="s">
        <v>497</v>
      </c>
      <c r="B366" s="0" t="s">
        <v>67</v>
      </c>
      <c r="D366" s="14" t="n">
        <f aca="false">1</f>
        <v>1</v>
      </c>
      <c r="E366" s="14" t="n">
        <f aca="false">rel_27</f>
        <v>0.95</v>
      </c>
      <c r="F366" s="14" t="n">
        <f aca="false">rel_28</f>
        <v>0.9</v>
      </c>
      <c r="G366" s="14" t="n">
        <f aca="false">rel_29</f>
        <v>0.85</v>
      </c>
    </row>
    <row r="367" customFormat="false" ht="15" hidden="false" customHeight="false" outlineLevel="0" collapsed="false">
      <c r="A367" s="3" t="s">
        <v>452</v>
      </c>
      <c r="B367" s="0" t="s">
        <v>54</v>
      </c>
      <c r="D367" s="13" t="n">
        <f aca="false">$D$365*D366</f>
        <v>0.459306165741139</v>
      </c>
      <c r="E367" s="13" t="n">
        <f aca="false">$D$365*E366</f>
        <v>0.436340857454082</v>
      </c>
      <c r="F367" s="13" t="n">
        <f aca="false">$D$365*F366</f>
        <v>0.413375549167025</v>
      </c>
      <c r="G367" s="13" t="n">
        <f aca="false">$D$365*G366</f>
        <v>0.390410240879968</v>
      </c>
    </row>
    <row r="368" customFormat="false" ht="17.15" hidden="false" customHeight="false" outlineLevel="0" collapsed="false">
      <c r="A368" s="0" t="s">
        <v>498</v>
      </c>
      <c r="B368" s="0" t="s">
        <v>214</v>
      </c>
      <c r="D368" s="18" t="n">
        <f aca="false">D363*D367*D364</f>
        <v>120.3725835</v>
      </c>
      <c r="E368" s="18" t="n">
        <f aca="false">E363*E367*E364</f>
        <v>291.40916685013</v>
      </c>
      <c r="F368" s="18" t="n">
        <f aca="false">F363*F367*F364</f>
        <v>374.251870979818</v>
      </c>
      <c r="G368" s="18" t="n">
        <f aca="false">G363*G367*G364</f>
        <v>423.08657198751</v>
      </c>
    </row>
    <row r="369" customFormat="false" ht="17.15" hidden="false" customHeight="false" outlineLevel="0" collapsed="false">
      <c r="A369" s="5" t="s">
        <v>499</v>
      </c>
    </row>
    <row r="370" customFormat="false" ht="15" hidden="false" customHeight="false" outlineLevel="0" collapsed="false">
      <c r="A370" s="3" t="s">
        <v>457</v>
      </c>
      <c r="B370" s="3" t="s">
        <v>151</v>
      </c>
      <c r="D370" s="14" t="n">
        <f aca="false">cap_26</f>
        <v>6</v>
      </c>
      <c r="E370" s="14" t="n">
        <f aca="false">cap_27</f>
        <v>7.76</v>
      </c>
      <c r="F370" s="14" t="n">
        <f aca="false">cap_28</f>
        <v>10.3</v>
      </c>
      <c r="G370" s="14" t="n">
        <f aca="false">cap_29</f>
        <v>11.8</v>
      </c>
    </row>
    <row r="371" customFormat="false" ht="17.15" hidden="false" customHeight="false" outlineLevel="0" collapsed="false">
      <c r="A371" s="3" t="s">
        <v>500</v>
      </c>
      <c r="B371" s="0" t="s">
        <v>460</v>
      </c>
      <c r="D371" s="17" t="n">
        <f aca="false">a26_rev/(D370*12)*1000</f>
        <v>2857.84861111111</v>
      </c>
      <c r="H371" s="7" t="s">
        <v>501</v>
      </c>
    </row>
    <row r="372" customFormat="false" ht="17.15" hidden="false" customHeight="false" outlineLevel="0" collapsed="false">
      <c r="A372" s="3" t="s">
        <v>502</v>
      </c>
      <c r="B372" s="0" t="s">
        <v>67</v>
      </c>
      <c r="D372" s="14" t="n">
        <f aca="false">1</f>
        <v>1</v>
      </c>
      <c r="E372" s="14" t="n">
        <f aca="false">mix_27</f>
        <v>1.25</v>
      </c>
      <c r="F372" s="14" t="n">
        <f aca="false">mix_28</f>
        <v>1.4</v>
      </c>
      <c r="G372" s="14" t="n">
        <f aca="false">mix_29</f>
        <v>1.5</v>
      </c>
    </row>
    <row r="373" customFormat="false" ht="17.15" hidden="false" customHeight="false" outlineLevel="0" collapsed="false">
      <c r="A373" s="3" t="s">
        <v>503</v>
      </c>
      <c r="B373" s="0" t="s">
        <v>214</v>
      </c>
      <c r="D373" s="18" t="n">
        <f aca="false">D370*12*$D$371*D372*D364/1000</f>
        <v>205.7651</v>
      </c>
      <c r="E373" s="18" t="n">
        <f aca="false">E370*12*$D$371*E372*E364/1000</f>
        <v>316.020899416667</v>
      </c>
      <c r="F373" s="18" t="n">
        <f aca="false">F370*12*$D$371*F372*F364/1000</f>
        <v>435.179468826667</v>
      </c>
      <c r="G373" s="18" t="n">
        <f aca="false">G370*12*$D$371*G372*G364/1000</f>
        <v>515.95598825</v>
      </c>
    </row>
    <row r="374" customFormat="false" ht="17.15" hidden="false" customHeight="false" outlineLevel="0" collapsed="false">
      <c r="A374" s="3" t="s">
        <v>504</v>
      </c>
      <c r="B374" s="0" t="s">
        <v>214</v>
      </c>
      <c r="C374" s="18" t="n">
        <f aca="false">a25_nai</f>
        <v>47.1305</v>
      </c>
      <c r="D374" s="18" t="n">
        <f aca="false">a26_nai</f>
        <v>85.3925165</v>
      </c>
      <c r="E374" s="18" t="n">
        <f aca="false">D374*(1+g_nai27)</f>
        <v>92.22391782</v>
      </c>
      <c r="F374" s="18" t="n">
        <f aca="false">E374*(1+g_nai28)</f>
        <v>97.7573528892</v>
      </c>
      <c r="G374" s="18" t="n">
        <f aca="false">F374*(1+g_nai29)</f>
        <v>102.64522053366</v>
      </c>
    </row>
    <row r="375" customFormat="false" ht="17.15" hidden="false" customHeight="false" outlineLevel="0" collapsed="false">
      <c r="A375" s="0" t="s">
        <v>505</v>
      </c>
      <c r="B375" s="0" t="s">
        <v>214</v>
      </c>
      <c r="C375" s="18" t="n">
        <f aca="false">a25_ai</f>
        <v>47.1305</v>
      </c>
      <c r="D375" s="18" t="n">
        <f aca="false">D368</f>
        <v>120.3725835</v>
      </c>
      <c r="E375" s="18" t="n">
        <f aca="false">MIN(E368,E373-E374)</f>
        <v>223.796981596667</v>
      </c>
      <c r="F375" s="18" t="n">
        <f aca="false">MIN(F368,F373-F374)</f>
        <v>337.422115937467</v>
      </c>
      <c r="G375" s="18" t="n">
        <f aca="false">MIN(G368,G373-G374)</f>
        <v>413.31076771634</v>
      </c>
      <c r="H375" s="3" t="s">
        <v>506</v>
      </c>
    </row>
    <row r="376" customFormat="false" ht="15" hidden="false" customHeight="false" outlineLevel="0" collapsed="false">
      <c r="A376" s="3" t="s">
        <v>507</v>
      </c>
      <c r="E376" s="0" t="str">
        <f aca="false">IF(E368&gt;E373-E374+0.0001,"受限","未受限")</f>
        <v>受限</v>
      </c>
      <c r="F376" s="0" t="str">
        <f aca="false">IF(F368&gt;F373-F374+0.0001,"受限","未受限")</f>
        <v>受限</v>
      </c>
      <c r="G376" s="0" t="str">
        <f aca="false">IF(G368&gt;G373-G374+0.0001,"受限","未受限")</f>
        <v>受限</v>
      </c>
    </row>
    <row r="377" customFormat="false" ht="15" hidden="false" customHeight="false" outlineLevel="0" collapsed="false">
      <c r="A377" s="3" t="s">
        <v>388</v>
      </c>
      <c r="B377" s="0" t="s">
        <v>214</v>
      </c>
      <c r="C377" s="18" t="n">
        <f aca="false">C375+C374</f>
        <v>94.261</v>
      </c>
      <c r="D377" s="18" t="n">
        <f aca="false">D375+D374</f>
        <v>205.7651</v>
      </c>
      <c r="E377" s="18" t="n">
        <f aca="false">E375+E374</f>
        <v>316.020899416667</v>
      </c>
      <c r="F377" s="18" t="n">
        <f aca="false">F375+F374</f>
        <v>435.179468826667</v>
      </c>
      <c r="G377" s="18" t="n">
        <f aca="false">G375+G374</f>
        <v>515.95598825</v>
      </c>
    </row>
    <row r="378" customFormat="false" ht="15" hidden="false" customHeight="false" outlineLevel="0" collapsed="false">
      <c r="A378" s="3" t="s">
        <v>508</v>
      </c>
      <c r="B378" s="0" t="s">
        <v>54</v>
      </c>
      <c r="D378" s="13" t="n">
        <f aca="false">D377/C377-1</f>
        <v>1.1829293132897</v>
      </c>
      <c r="E378" s="13" t="n">
        <f aca="false">E377/D377-1</f>
        <v>0.535833333333334</v>
      </c>
      <c r="F378" s="13" t="n">
        <f aca="false">F377/E377-1</f>
        <v>0.377059142702116</v>
      </c>
      <c r="G378" s="13" t="n">
        <f aca="false">G377/F377-1</f>
        <v>0.185616567898121</v>
      </c>
    </row>
    <row r="379" customFormat="false" ht="17.15" hidden="false" customHeight="false" outlineLevel="0" collapsed="false">
      <c r="A379" s="3" t="s">
        <v>509</v>
      </c>
      <c r="B379" s="0" t="s">
        <v>214</v>
      </c>
      <c r="C379" s="18" t="n">
        <f aca="false">inf25*C377-C375</f>
        <v>16.495675</v>
      </c>
      <c r="D379" s="18" t="n">
        <f aca="false">inf26*D377-D375</f>
        <v>33.9512415</v>
      </c>
      <c r="E379" s="18" t="n">
        <f aca="false">E374*$D379/$D374</f>
        <v>36.66734082</v>
      </c>
      <c r="F379" s="18" t="n">
        <f aca="false">F374*$D379/$D374</f>
        <v>38.8673812692</v>
      </c>
      <c r="G379" s="18" t="n">
        <f aca="false">G374*$D379/$D374</f>
        <v>40.81075033266</v>
      </c>
      <c r="H379" s="3" t="s">
        <v>510</v>
      </c>
    </row>
    <row r="380" customFormat="false" ht="17.15" hidden="false" customHeight="false" outlineLevel="0" collapsed="false">
      <c r="A380" s="3" t="s">
        <v>511</v>
      </c>
      <c r="B380" s="0" t="s">
        <v>214</v>
      </c>
      <c r="C380" s="18" t="n">
        <f aca="false">C375+C379</f>
        <v>63.626175</v>
      </c>
      <c r="D380" s="18" t="n">
        <f aca="false">D375+D379</f>
        <v>154.323825</v>
      </c>
      <c r="E380" s="18" t="n">
        <f aca="false">E375+E379</f>
        <v>260.464322416667</v>
      </c>
      <c r="F380" s="18" t="n">
        <f aca="false">F375+F379</f>
        <v>376.289497206667</v>
      </c>
      <c r="G380" s="18" t="n">
        <f aca="false">G375+G379</f>
        <v>454.121518049</v>
      </c>
      <c r="H380" s="3" t="s">
        <v>512</v>
      </c>
    </row>
    <row r="381" customFormat="false" ht="15" hidden="false" customHeight="false" outlineLevel="0" collapsed="false">
      <c r="A381" s="3" t="s">
        <v>513</v>
      </c>
      <c r="B381" s="0" t="s">
        <v>214</v>
      </c>
      <c r="C381" s="18" t="n">
        <f aca="false">mob25*C377</f>
        <v>21.208725</v>
      </c>
      <c r="D381" s="18" t="n">
        <f aca="false">mob26*D377</f>
        <v>37.037718</v>
      </c>
      <c r="E381" s="18" t="n">
        <f aca="false">E374*$D381/$D374</f>
        <v>40.00073544</v>
      </c>
      <c r="F381" s="18" t="n">
        <f aca="false">F374*$D381/$D374</f>
        <v>42.4007795664</v>
      </c>
      <c r="G381" s="18" t="n">
        <f aca="false">G374*$D381/$D374</f>
        <v>44.52081854472</v>
      </c>
      <c r="H381" s="3" t="s">
        <v>514</v>
      </c>
    </row>
    <row r="382" customFormat="false" ht="15" hidden="false" customHeight="false" outlineLevel="0" collapsed="false">
      <c r="A382" s="3" t="s">
        <v>515</v>
      </c>
      <c r="B382" s="0" t="s">
        <v>214</v>
      </c>
      <c r="C382" s="18" t="n">
        <f aca="false">C377-C380-C381</f>
        <v>9.42609999999999</v>
      </c>
      <c r="D382" s="18" t="n">
        <f aca="false">D377-D380-D381</f>
        <v>14.403557</v>
      </c>
      <c r="E382" s="18" t="n">
        <f aca="false">E377-E380-E381</f>
        <v>15.55584156</v>
      </c>
      <c r="F382" s="18" t="n">
        <f aca="false">F377-F380-F381</f>
        <v>16.4891920536</v>
      </c>
      <c r="G382" s="18" t="n">
        <f aca="false">G377-G380-G381</f>
        <v>17.31365165628</v>
      </c>
      <c r="H382" s="3" t="s">
        <v>516</v>
      </c>
    </row>
    <row r="383" customFormat="false" ht="15" hidden="false" customHeight="false" outlineLevel="0" collapsed="false">
      <c r="A383" s="3" t="s">
        <v>517</v>
      </c>
      <c r="B383" s="0" t="s">
        <v>214</v>
      </c>
      <c r="C383" s="21" t="n">
        <f aca="false">C380+C381+C382-C377</f>
        <v>0</v>
      </c>
      <c r="D383" s="21" t="n">
        <f aca="false">D380+D381+D382-D377</f>
        <v>0</v>
      </c>
      <c r="E383" s="21" t="n">
        <f aca="false">E380+E381+E382-E377</f>
        <v>0</v>
      </c>
      <c r="F383" s="21" t="n">
        <f aca="false">F380+F381+F382-F377</f>
        <v>0</v>
      </c>
      <c r="G383" s="21" t="n">
        <f aca="false">G380+G381+G382-G377</f>
        <v>0</v>
      </c>
    </row>
    <row r="384" customFormat="false" ht="17.15" hidden="false" customHeight="false" outlineLevel="0" collapsed="false">
      <c r="A384" s="0" t="s">
        <v>518</v>
      </c>
      <c r="B384" s="0" t="s">
        <v>54</v>
      </c>
      <c r="C384" s="13" t="n">
        <f aca="false">C375/C377</f>
        <v>0.5</v>
      </c>
      <c r="D384" s="13" t="n">
        <f aca="false">D375/D377</f>
        <v>0.585</v>
      </c>
      <c r="E384" s="13" t="n">
        <f aca="false">E375/E377</f>
        <v>0.708171459576777</v>
      </c>
      <c r="F384" s="13" t="n">
        <f aca="false">F375/F377</f>
        <v>0.775363132013617</v>
      </c>
      <c r="G384" s="13" t="n">
        <f aca="false">G375/G377</f>
        <v>0.801058185443669</v>
      </c>
    </row>
    <row r="385" customFormat="false" ht="17.15" hidden="false" customHeight="false" outlineLevel="0" collapsed="false">
      <c r="A385" s="3" t="s">
        <v>519</v>
      </c>
      <c r="B385" s="0" t="s">
        <v>54</v>
      </c>
      <c r="D385" s="13" t="n">
        <f aca="false">(D368+D374)/D373</f>
        <v>1</v>
      </c>
      <c r="E385" s="13" t="n">
        <f aca="false">(E368+E374)/E373</f>
        <v>1.21394846156779</v>
      </c>
      <c r="F385" s="13" t="n">
        <f aca="false">(F368+F374)/F373</f>
        <v>1.08463118708622</v>
      </c>
      <c r="G385" s="13" t="n">
        <f aca="false">(G368+G374)/G373</f>
        <v>1.01894697317949</v>
      </c>
      <c r="H385" s="3" t="s">
        <v>520</v>
      </c>
    </row>
    <row r="386" customFormat="false" ht="17.15" hidden="false" customHeight="false" outlineLevel="0" collapsed="false">
      <c r="A386" s="3" t="s">
        <v>456</v>
      </c>
      <c r="B386" s="0" t="s">
        <v>94</v>
      </c>
      <c r="D386" s="17" t="n">
        <f aca="false">D375/fx/D357*1000</f>
        <v>160.757158009399</v>
      </c>
      <c r="E386" s="17" t="n">
        <f aca="false">E375/fx/E357*1000</f>
        <v>167.927941970443</v>
      </c>
      <c r="F386" s="17" t="n">
        <f aca="false">F375/fx/F357*1000</f>
        <v>199.735064430369</v>
      </c>
      <c r="G386" s="17" t="n">
        <f aca="false">G375/fx/G357*1000</f>
        <v>214.769935880955</v>
      </c>
    </row>
    <row r="387" customFormat="false" ht="17.15" hidden="false" customHeight="false" outlineLevel="0" collapsed="false">
      <c r="A387" s="5" t="s">
        <v>521</v>
      </c>
    </row>
    <row r="388" customFormat="false" ht="17.15" hidden="false" customHeight="false" outlineLevel="0" collapsed="false">
      <c r="A388" s="3" t="s">
        <v>522</v>
      </c>
      <c r="B388" s="0" t="s">
        <v>54</v>
      </c>
      <c r="D388" s="13" t="n">
        <f aca="false">a26_gp/D377-d_ai*D384</f>
        <v>0.291564442755356</v>
      </c>
      <c r="H388" s="7" t="s">
        <v>523</v>
      </c>
    </row>
    <row r="389" customFormat="false" ht="17.15" hidden="false" customHeight="false" outlineLevel="0" collapsed="false">
      <c r="A389" s="0" t="s">
        <v>524</v>
      </c>
      <c r="B389" s="0" t="s">
        <v>54</v>
      </c>
      <c r="D389" s="13" t="n">
        <f aca="false">D388+d_ai</f>
        <v>0.371564442755356</v>
      </c>
      <c r="E389" s="13" t="n">
        <f aca="false">1-(1-$D$389)/E364</f>
        <v>0.338488887110901</v>
      </c>
      <c r="F389" s="13" t="n">
        <f aca="false">1-(1-$D$389)/F364</f>
        <v>0.285868684949268</v>
      </c>
      <c r="G389" s="13" t="n">
        <f aca="false">1-(1-$D$389)/G364</f>
        <v>0.260664050300418</v>
      </c>
      <c r="H389" s="7" t="s">
        <v>525</v>
      </c>
    </row>
    <row r="390" customFormat="false" ht="15" hidden="false" customHeight="false" outlineLevel="0" collapsed="false">
      <c r="A390" s="3" t="s">
        <v>392</v>
      </c>
      <c r="B390" s="0" t="s">
        <v>214</v>
      </c>
      <c r="C390" s="18" t="n">
        <f aca="false">a25_gp</f>
        <v>28.12</v>
      </c>
      <c r="D390" s="18" t="n">
        <f aca="false">a26_gp</f>
        <v>69.6235934</v>
      </c>
      <c r="E390" s="18" t="n">
        <f aca="false">E375*E389+E374*$D$388</f>
        <v>102.642006447338</v>
      </c>
      <c r="F390" s="18" t="n">
        <f aca="false">F375*F389+F374*$D$388</f>
        <v>124.960984676221</v>
      </c>
      <c r="G390" s="18" t="n">
        <f aca="false">G375*G389+G374*$D$388</f>
        <v>137.662955272114</v>
      </c>
    </row>
    <row r="391" customFormat="false" ht="15" hidden="false" customHeight="false" outlineLevel="0" collapsed="false">
      <c r="A391" s="3" t="s">
        <v>395</v>
      </c>
      <c r="B391" s="0" t="s">
        <v>54</v>
      </c>
      <c r="C391" s="13" t="n">
        <f aca="false">C390/C377</f>
        <v>0.298320620405046</v>
      </c>
      <c r="D391" s="13" t="n">
        <f aca="false">D390/D377</f>
        <v>0.338364442755356</v>
      </c>
      <c r="E391" s="13" t="n">
        <f aca="false">E390/E377</f>
        <v>0.324794995004451</v>
      </c>
      <c r="F391" s="13" t="n">
        <f aca="false">F390/F377</f>
        <v>0.287148162143636</v>
      </c>
      <c r="G391" s="13" t="n">
        <f aca="false">G390/G377</f>
        <v>0.266811430445906</v>
      </c>
    </row>
    <row r="392" customFormat="false" ht="15" hidden="false" customHeight="false" outlineLevel="0" collapsed="false">
      <c r="A392" s="3" t="s">
        <v>526</v>
      </c>
      <c r="B392" s="0" t="s">
        <v>214</v>
      </c>
      <c r="C392" s="18" t="n">
        <f aca="false">a25_opx</f>
        <v>9.012</v>
      </c>
      <c r="D392" s="18" t="n">
        <f aca="false">a26_opx</f>
        <v>14.0153081141857</v>
      </c>
      <c r="E392" s="18" t="n">
        <f aca="false">D392*(1+MAX(0,phi*E378))</f>
        <v>18.5212296728965</v>
      </c>
      <c r="F392" s="18" t="n">
        <f aca="false">E392*(1+MAX(0,phi*F378))</f>
        <v>22.7113890622473</v>
      </c>
      <c r="G392" s="18" t="n">
        <f aca="false">F392*(1+MAX(0,phi*G378))</f>
        <v>25.2407551162072</v>
      </c>
    </row>
    <row r="393" customFormat="false" ht="15" hidden="false" customHeight="false" outlineLevel="0" collapsed="false">
      <c r="A393" s="3" t="s">
        <v>397</v>
      </c>
      <c r="B393" s="0" t="s">
        <v>214</v>
      </c>
      <c r="C393" s="18" t="n">
        <f aca="false">C392</f>
        <v>9.012</v>
      </c>
      <c r="D393" s="18" t="n">
        <f aca="false">D392</f>
        <v>14.0153081141857</v>
      </c>
      <c r="E393" s="18" t="n">
        <f aca="false">E392+0*E377</f>
        <v>18.5212296728965</v>
      </c>
      <c r="F393" s="18" t="n">
        <f aca="false">F392+0*F377</f>
        <v>22.7113890622473</v>
      </c>
      <c r="G393" s="18" t="n">
        <f aca="false">G392+0*G377</f>
        <v>25.2407551162072</v>
      </c>
    </row>
    <row r="394" customFormat="false" ht="15" hidden="false" customHeight="false" outlineLevel="0" collapsed="false">
      <c r="A394" s="3" t="s">
        <v>400</v>
      </c>
      <c r="B394" s="0" t="s">
        <v>214</v>
      </c>
      <c r="C394" s="18" t="n">
        <f aca="false">C390-C393</f>
        <v>19.108</v>
      </c>
      <c r="D394" s="18" t="n">
        <f aca="false">D390-D393</f>
        <v>55.6082852858143</v>
      </c>
      <c r="E394" s="18" t="n">
        <f aca="false">E390-E393</f>
        <v>84.1207767744419</v>
      </c>
      <c r="F394" s="18" t="n">
        <f aca="false">F390-F393</f>
        <v>102.249595613974</v>
      </c>
      <c r="G394" s="18" t="n">
        <f aca="false">G390-G393</f>
        <v>112.422200155906</v>
      </c>
    </row>
    <row r="395" customFormat="false" ht="15" hidden="false" customHeight="false" outlineLevel="0" collapsed="false">
      <c r="A395" s="3" t="s">
        <v>403</v>
      </c>
      <c r="B395" s="0" t="s">
        <v>54</v>
      </c>
      <c r="C395" s="13" t="n">
        <f aca="false">C394/C377</f>
        <v>0.202713741632276</v>
      </c>
      <c r="D395" s="13" t="n">
        <f aca="false">D394/D377</f>
        <v>0.270251297648699</v>
      </c>
      <c r="E395" s="13" t="n">
        <f aca="false">E394/E377</f>
        <v>0.266187384852451</v>
      </c>
      <c r="F395" s="13" t="n">
        <f aca="false">F394/F377</f>
        <v>0.234959603884025</v>
      </c>
      <c r="G395" s="13" t="n">
        <f aca="false">G394/G377</f>
        <v>0.217891065742285</v>
      </c>
    </row>
    <row r="396" customFormat="false" ht="17.15" hidden="false" customHeight="false" outlineLevel="0" collapsed="false">
      <c r="A396" s="3" t="s">
        <v>405</v>
      </c>
      <c r="B396" s="0" t="s">
        <v>214</v>
      </c>
      <c r="E396" s="18" t="n">
        <f aca="false">nop_f</f>
        <v>0.5</v>
      </c>
      <c r="F396" s="18" t="n">
        <f aca="false">nop_f</f>
        <v>0.5</v>
      </c>
      <c r="G396" s="18" t="n">
        <f aca="false">nop_f</f>
        <v>0.5</v>
      </c>
      <c r="H396" s="7" t="s">
        <v>527</v>
      </c>
    </row>
    <row r="397" customFormat="false" ht="15" hidden="false" customHeight="false" outlineLevel="0" collapsed="false">
      <c r="A397" s="3" t="s">
        <v>408</v>
      </c>
      <c r="B397" s="0" t="s">
        <v>214</v>
      </c>
      <c r="C397" s="18" t="n">
        <f aca="false">a25_ni</f>
        <v>14.649</v>
      </c>
      <c r="D397" s="18" t="n">
        <f aca="false">a26_ni</f>
        <v>42.891099295</v>
      </c>
      <c r="E397" s="18" t="n">
        <f aca="false">(E394+E396)*nir_f</f>
        <v>65.1579981163203</v>
      </c>
      <c r="F397" s="18" t="n">
        <f aca="false">(F394+F396)*nir_f</f>
        <v>79.1171886227599</v>
      </c>
      <c r="G397" s="18" t="n">
        <f aca="false">(G394+G396)*nir_f</f>
        <v>86.950094120048</v>
      </c>
    </row>
    <row r="398" customFormat="false" ht="17.15" hidden="false" customHeight="false" outlineLevel="0" collapsed="false">
      <c r="A398" s="3" t="s">
        <v>411</v>
      </c>
      <c r="B398" s="0" t="s">
        <v>54</v>
      </c>
      <c r="C398" s="13" t="n">
        <f aca="false">C397/C394</f>
        <v>0.766642244086247</v>
      </c>
      <c r="D398" s="13" t="n">
        <f aca="false">D397/D394</f>
        <v>0.771307712053146</v>
      </c>
      <c r="E398" s="13" t="n">
        <f aca="false">E397/E394</f>
        <v>0.774576752792385</v>
      </c>
      <c r="F398" s="13" t="n">
        <f aca="false">F397/F394</f>
        <v>0.773765296064872</v>
      </c>
      <c r="G398" s="13" t="n">
        <f aca="false">G397/G394</f>
        <v>0.773424590512071</v>
      </c>
    </row>
    <row r="399" customFormat="false" ht="15" hidden="false" customHeight="false" outlineLevel="0" collapsed="false">
      <c r="A399" s="3" t="s">
        <v>528</v>
      </c>
      <c r="B399" s="3" t="s">
        <v>243</v>
      </c>
      <c r="C399" s="20" t="n">
        <f aca="false">a25_sh</f>
        <v>0.351547876169906</v>
      </c>
      <c r="D399" s="20" t="n">
        <f aca="false">a26_sh</f>
        <v>0.358290155440415</v>
      </c>
      <c r="E399" s="20" t="n">
        <f aca="false">D399*(1+sh_g)</f>
        <v>0.358290155440415</v>
      </c>
      <c r="F399" s="20" t="n">
        <f aca="false">E399*(1+sh_g)</f>
        <v>0.358290155440415</v>
      </c>
      <c r="G399" s="20" t="n">
        <f aca="false">F399*(1+sh_g)</f>
        <v>0.358290155440415</v>
      </c>
    </row>
    <row r="400" customFormat="false" ht="15" hidden="false" customHeight="false" outlineLevel="0" collapsed="false">
      <c r="A400" s="0" t="s">
        <v>414</v>
      </c>
      <c r="B400" s="0" t="s">
        <v>274</v>
      </c>
      <c r="C400" s="19" t="n">
        <f aca="false">C397/C399</f>
        <v>41.67</v>
      </c>
      <c r="D400" s="19" t="n">
        <f aca="false">D397/D399</f>
        <v>119.710515747433</v>
      </c>
      <c r="E400" s="19" t="n">
        <f aca="false">E397/E399</f>
        <v>181.858187078088</v>
      </c>
      <c r="F400" s="19" t="n">
        <f aca="false">F397/F399</f>
        <v>220.818762171984</v>
      </c>
      <c r="G400" s="19" t="n">
        <f aca="false">G397/G399</f>
        <v>242.6806676091</v>
      </c>
    </row>
    <row r="401" customFormat="false" ht="17.15" hidden="false" customHeight="false" outlineLevel="0" collapsed="false">
      <c r="A401" s="0" t="s">
        <v>529</v>
      </c>
      <c r="B401" s="0" t="s">
        <v>54</v>
      </c>
      <c r="D401" s="13" t="n">
        <f aca="false">D400/C400-1</f>
        <v>1.87282255213422</v>
      </c>
      <c r="E401" s="13" t="n">
        <f aca="false">E400/D400-1</f>
        <v>0.519149641471559</v>
      </c>
      <c r="F401" s="13" t="n">
        <f aca="false">F400/E400-1</f>
        <v>0.214236024893209</v>
      </c>
      <c r="G401" s="13" t="n">
        <f aca="false">G400/F400-1</f>
        <v>0.0990038401722824</v>
      </c>
    </row>
    <row r="404" customFormat="false" ht="17.15" hidden="false" customHeight="false" outlineLevel="0" collapsed="false">
      <c r="A404" s="1" t="s">
        <v>845</v>
      </c>
    </row>
    <row r="405" customFormat="false" ht="17.15" hidden="false" customHeight="false" outlineLevel="0" collapsed="false">
      <c r="A405" s="4" t="s">
        <v>23</v>
      </c>
      <c r="B405" s="4" t="s">
        <v>24</v>
      </c>
      <c r="C405" s="10" t="s">
        <v>383</v>
      </c>
      <c r="D405" s="10" t="s">
        <v>469</v>
      </c>
      <c r="E405" s="10" t="s">
        <v>470</v>
      </c>
      <c r="F405" s="10" t="s">
        <v>471</v>
      </c>
      <c r="G405" s="10" t="s">
        <v>472</v>
      </c>
      <c r="H405" s="4" t="s">
        <v>437</v>
      </c>
    </row>
    <row r="406" customFormat="false" ht="17.15" hidden="false" customHeight="false" outlineLevel="0" collapsed="false">
      <c r="A406" s="5" t="s">
        <v>487</v>
      </c>
    </row>
    <row r="407" customFormat="false" ht="17.15" hidden="false" customHeight="false" outlineLevel="0" collapsed="false">
      <c r="A407" s="0" t="s">
        <v>488</v>
      </c>
      <c r="B407" s="0" t="s">
        <v>34</v>
      </c>
      <c r="D407" s="19" t="n">
        <f aca="false">itc_26*1</f>
        <v>781.872916666666</v>
      </c>
      <c r="E407" s="19" t="n">
        <f aca="false">itc_27*1*1</f>
        <v>1565.35</v>
      </c>
      <c r="F407" s="19" t="n">
        <f aca="false">itc_28*um28_A*1</f>
        <v>1984.26388888889</v>
      </c>
      <c r="G407" s="19" t="n">
        <f aca="false">itc_29*um29_A*1</f>
        <v>2260.39027777778</v>
      </c>
    </row>
    <row r="408" customFormat="false" ht="17.15" hidden="false" customHeight="false" outlineLevel="0" collapsed="false">
      <c r="A408" s="3" t="s">
        <v>489</v>
      </c>
      <c r="B408" s="0" t="s">
        <v>34</v>
      </c>
      <c r="D408" s="19" t="n">
        <f aca="false">itpg_gb*(1-vr26)+itpg_vr*vr26</f>
        <v>33.41403216</v>
      </c>
      <c r="E408" s="19" t="n">
        <f aca="false">itpg_vr</f>
        <v>37.586352</v>
      </c>
      <c r="F408" s="19" t="n">
        <f aca="false">itpg_vr</f>
        <v>37.586352</v>
      </c>
      <c r="G408" s="19" t="n">
        <f aca="false">itpg_vr</f>
        <v>37.586352</v>
      </c>
    </row>
    <row r="409" customFormat="false" ht="17.15" hidden="false" customHeight="false" outlineLevel="0" collapsed="false">
      <c r="A409" s="3" t="s">
        <v>490</v>
      </c>
      <c r="B409" s="0" t="s">
        <v>439</v>
      </c>
      <c r="D409" s="16" t="n">
        <f aca="false">D407/D408</f>
        <v>23.3995380420639</v>
      </c>
      <c r="E409" s="16" t="n">
        <f aca="false">E407/E408</f>
        <v>41.6467658260637</v>
      </c>
      <c r="F409" s="16" t="n">
        <f aca="false">F407/F408</f>
        <v>52.792138191248</v>
      </c>
      <c r="G409" s="16" t="n">
        <f aca="false">G407/G408</f>
        <v>60.1385917361116</v>
      </c>
    </row>
    <row r="410" customFormat="false" ht="17.15" hidden="false" customHeight="false" outlineLevel="0" collapsed="false">
      <c r="A410" s="3" t="s">
        <v>441</v>
      </c>
      <c r="B410" s="0" t="s">
        <v>94</v>
      </c>
      <c r="D410" s="17" t="n">
        <f aca="false">cmp_26</f>
        <v>190</v>
      </c>
      <c r="E410" s="17" t="n">
        <f aca="false">cmp_26*cmpx_27</f>
        <v>275.5</v>
      </c>
      <c r="F410" s="17" t="n">
        <f aca="false">cmp_26*cmpx_28</f>
        <v>304</v>
      </c>
      <c r="G410" s="17" t="n">
        <f aca="false">cmp_26*cmpx_29</f>
        <v>323</v>
      </c>
    </row>
    <row r="411" customFormat="false" ht="17.15" hidden="false" customHeight="false" outlineLevel="0" collapsed="false">
      <c r="A411" s="3" t="s">
        <v>443</v>
      </c>
      <c r="B411" s="0" t="s">
        <v>94</v>
      </c>
      <c r="D411" s="17" t="n">
        <f aca="false">sw_26</f>
        <v>90</v>
      </c>
      <c r="E411" s="17" t="n">
        <f aca="false">sw_26*swx_27</f>
        <v>126</v>
      </c>
      <c r="F411" s="17" t="n">
        <f aca="false">sw_26*swx_28</f>
        <v>144</v>
      </c>
      <c r="G411" s="17" t="n">
        <f aca="false">sw_26*swx_29</f>
        <v>157.5</v>
      </c>
    </row>
    <row r="412" customFormat="false" ht="17.15" hidden="false" customHeight="false" outlineLevel="0" collapsed="false">
      <c r="A412" s="3" t="s">
        <v>444</v>
      </c>
      <c r="B412" s="0" t="s">
        <v>94</v>
      </c>
      <c r="D412" s="17" t="n">
        <f aca="false">ubb_26</f>
        <v>70</v>
      </c>
      <c r="E412" s="17" t="n">
        <f aca="false">ubb_26*ubbx_27</f>
        <v>126</v>
      </c>
      <c r="F412" s="17" t="n">
        <f aca="false">ubb_26*ubbx_28</f>
        <v>161</v>
      </c>
      <c r="G412" s="17" t="n">
        <f aca="false">ubb_26*ubbx_29</f>
        <v>182</v>
      </c>
    </row>
    <row r="413" customFormat="false" ht="17.15" hidden="false" customHeight="false" outlineLevel="0" collapsed="false">
      <c r="A413" s="3" t="s">
        <v>491</v>
      </c>
      <c r="B413" s="0" t="s">
        <v>94</v>
      </c>
      <c r="D413" s="17" t="n">
        <f aca="false">D410+D411+D412</f>
        <v>350</v>
      </c>
      <c r="E413" s="17" t="n">
        <f aca="false">E410+E411+E412</f>
        <v>527.5</v>
      </c>
      <c r="F413" s="17" t="n">
        <f aca="false">F410+F411+F412</f>
        <v>609</v>
      </c>
      <c r="G413" s="17" t="n">
        <f aca="false">G410+G411+G412</f>
        <v>662.5</v>
      </c>
    </row>
    <row r="414" customFormat="false" ht="17.15" hidden="false" customHeight="false" outlineLevel="0" collapsed="false">
      <c r="A414" s="0" t="s">
        <v>492</v>
      </c>
      <c r="B414" s="0" t="s">
        <v>34</v>
      </c>
      <c r="D414" s="19" t="n">
        <f aca="false">D409*D413/1000</f>
        <v>8.18983831472236</v>
      </c>
      <c r="E414" s="19" t="n">
        <f aca="false">E409*E413/1000</f>
        <v>21.9686689732486</v>
      </c>
      <c r="F414" s="19" t="n">
        <f aca="false">F409*F413/1000</f>
        <v>32.15041215847</v>
      </c>
      <c r="G414" s="19" t="n">
        <f aca="false">G409*G413/1000</f>
        <v>39.8418170251739</v>
      </c>
    </row>
    <row r="415" customFormat="false" ht="17.15" hidden="false" customHeight="false" outlineLevel="0" collapsed="false">
      <c r="A415" s="0" t="s">
        <v>493</v>
      </c>
      <c r="B415" s="0" t="s">
        <v>214</v>
      </c>
      <c r="D415" s="18" t="n">
        <f aca="false">D414*fx</f>
        <v>262.074826071116</v>
      </c>
      <c r="E415" s="18" t="n">
        <f aca="false">E414*fx</f>
        <v>702.997407143955</v>
      </c>
      <c r="F415" s="18" t="n">
        <f aca="false">F414*fx</f>
        <v>1028.81318907104</v>
      </c>
      <c r="G415" s="18" t="n">
        <f aca="false">G414*fx</f>
        <v>1274.93814480557</v>
      </c>
    </row>
    <row r="416" customFormat="false" ht="17.15" hidden="false" customHeight="false" outlineLevel="0" collapsed="false">
      <c r="A416" s="0" t="s">
        <v>494</v>
      </c>
      <c r="B416" s="0" t="s">
        <v>67</v>
      </c>
      <c r="D416" s="14" t="n">
        <f aca="false">1</f>
        <v>1</v>
      </c>
      <c r="E416" s="14" t="n">
        <f aca="false">PPHI_27</f>
        <v>1.08</v>
      </c>
      <c r="F416" s="14" t="n">
        <f aca="false">PPHI_28</f>
        <v>1.05</v>
      </c>
      <c r="G416" s="14" t="n">
        <f aca="false">PPHI_29</f>
        <v>1</v>
      </c>
    </row>
    <row r="417" customFormat="false" ht="17.15" hidden="false" customHeight="false" outlineLevel="0" collapsed="false">
      <c r="A417" s="3" t="s">
        <v>495</v>
      </c>
      <c r="B417" s="0" t="s">
        <v>54</v>
      </c>
      <c r="D417" s="13" t="n">
        <f aca="false">a26_ai/D415</f>
        <v>0.459306165741139</v>
      </c>
      <c r="H417" s="7" t="s">
        <v>496</v>
      </c>
    </row>
    <row r="418" customFormat="false" ht="17.15" hidden="false" customHeight="false" outlineLevel="0" collapsed="false">
      <c r="A418" s="3" t="s">
        <v>497</v>
      </c>
      <c r="B418" s="0" t="s">
        <v>67</v>
      </c>
      <c r="D418" s="14" t="n">
        <f aca="false">1</f>
        <v>1</v>
      </c>
      <c r="E418" s="14" t="n">
        <f aca="false">rel_27</f>
        <v>0.95</v>
      </c>
      <c r="F418" s="14" t="n">
        <f aca="false">rel_28</f>
        <v>0.9</v>
      </c>
      <c r="G418" s="14" t="n">
        <f aca="false">rel_29</f>
        <v>0.85</v>
      </c>
    </row>
    <row r="419" customFormat="false" ht="15" hidden="false" customHeight="false" outlineLevel="0" collapsed="false">
      <c r="A419" s="3" t="s">
        <v>452</v>
      </c>
      <c r="B419" s="0" t="s">
        <v>54</v>
      </c>
      <c r="D419" s="13" t="n">
        <f aca="false">$D$417*D418</f>
        <v>0.459306165741139</v>
      </c>
      <c r="E419" s="13" t="n">
        <f aca="false">$D$417*E418</f>
        <v>0.436340857454082</v>
      </c>
      <c r="F419" s="13" t="n">
        <f aca="false">$D$417*F418</f>
        <v>0.413375549167025</v>
      </c>
      <c r="G419" s="13" t="n">
        <f aca="false">$D$417*G418</f>
        <v>0.390410240879968</v>
      </c>
    </row>
    <row r="420" customFormat="false" ht="17.15" hidden="false" customHeight="false" outlineLevel="0" collapsed="false">
      <c r="A420" s="0" t="s">
        <v>498</v>
      </c>
      <c r="B420" s="0" t="s">
        <v>214</v>
      </c>
      <c r="D420" s="18" t="n">
        <f aca="false">D415*D419*D416</f>
        <v>120.3725835</v>
      </c>
      <c r="E420" s="18" t="n">
        <f aca="false">E415*E419*E416</f>
        <v>331.286210734885</v>
      </c>
      <c r="F420" s="18" t="n">
        <f aca="false">F415*F419*F416</f>
        <v>446.550527873646</v>
      </c>
      <c r="G420" s="18" t="n">
        <f aca="false">G415*G419*G416</f>
        <v>497.7489082206</v>
      </c>
    </row>
    <row r="421" customFormat="false" ht="17.15" hidden="false" customHeight="false" outlineLevel="0" collapsed="false">
      <c r="A421" s="5" t="s">
        <v>499</v>
      </c>
    </row>
    <row r="422" customFormat="false" ht="15" hidden="false" customHeight="false" outlineLevel="0" collapsed="false">
      <c r="A422" s="3" t="s">
        <v>457</v>
      </c>
      <c r="B422" s="3" t="s">
        <v>151</v>
      </c>
      <c r="D422" s="14" t="n">
        <f aca="false">cap_26</f>
        <v>6</v>
      </c>
      <c r="E422" s="14" t="n">
        <f aca="false">cap_27</f>
        <v>7.76</v>
      </c>
      <c r="F422" s="14" t="n">
        <f aca="false">cap_28</f>
        <v>10.3</v>
      </c>
      <c r="G422" s="14" t="n">
        <f aca="false">cap_29</f>
        <v>11.8</v>
      </c>
    </row>
    <row r="423" customFormat="false" ht="17.15" hidden="false" customHeight="false" outlineLevel="0" collapsed="false">
      <c r="A423" s="3" t="s">
        <v>500</v>
      </c>
      <c r="B423" s="0" t="s">
        <v>460</v>
      </c>
      <c r="D423" s="17" t="n">
        <f aca="false">a26_rev/(D422*12)*1000</f>
        <v>2857.84861111111</v>
      </c>
      <c r="H423" s="7" t="s">
        <v>501</v>
      </c>
    </row>
    <row r="424" customFormat="false" ht="17.15" hidden="false" customHeight="false" outlineLevel="0" collapsed="false">
      <c r="A424" s="3" t="s">
        <v>502</v>
      </c>
      <c r="B424" s="0" t="s">
        <v>67</v>
      </c>
      <c r="D424" s="14" t="n">
        <f aca="false">1</f>
        <v>1</v>
      </c>
      <c r="E424" s="14" t="n">
        <f aca="false">mix_27</f>
        <v>1.25</v>
      </c>
      <c r="F424" s="14" t="n">
        <f aca="false">mix_28</f>
        <v>1.4</v>
      </c>
      <c r="G424" s="14" t="n">
        <f aca="false">mix_29</f>
        <v>1.5</v>
      </c>
    </row>
    <row r="425" customFormat="false" ht="17.15" hidden="false" customHeight="false" outlineLevel="0" collapsed="false">
      <c r="A425" s="3" t="s">
        <v>503</v>
      </c>
      <c r="B425" s="0" t="s">
        <v>214</v>
      </c>
      <c r="D425" s="18" t="n">
        <f aca="false">D422*12*$D$423*D424*D416/1000</f>
        <v>205.7651</v>
      </c>
      <c r="E425" s="18" t="n">
        <f aca="false">E422*12*$D$423*E424*E416/1000</f>
        <v>359.2658646</v>
      </c>
      <c r="F425" s="18" t="n">
        <f aca="false">F422*12*$D$423*F424*F416/1000</f>
        <v>519.24822985</v>
      </c>
      <c r="G425" s="18" t="n">
        <f aca="false">G422*12*$D$423*G424*G416/1000</f>
        <v>607.007045</v>
      </c>
    </row>
    <row r="426" customFormat="false" ht="17.15" hidden="false" customHeight="false" outlineLevel="0" collapsed="false">
      <c r="A426" s="3" t="s">
        <v>504</v>
      </c>
      <c r="B426" s="0" t="s">
        <v>214</v>
      </c>
      <c r="C426" s="18" t="n">
        <f aca="false">a25_nai</f>
        <v>47.1305</v>
      </c>
      <c r="D426" s="18" t="n">
        <f aca="false">a26_nai</f>
        <v>85.3925165</v>
      </c>
      <c r="E426" s="18" t="n">
        <f aca="false">D426*(1+g_nai27)</f>
        <v>92.22391782</v>
      </c>
      <c r="F426" s="18" t="n">
        <f aca="false">E426*(1+g_nai28)</f>
        <v>97.7573528892</v>
      </c>
      <c r="G426" s="18" t="n">
        <f aca="false">F426*(1+g_nai29)</f>
        <v>102.64522053366</v>
      </c>
    </row>
    <row r="427" customFormat="false" ht="17.15" hidden="false" customHeight="false" outlineLevel="0" collapsed="false">
      <c r="A427" s="0" t="s">
        <v>505</v>
      </c>
      <c r="B427" s="0" t="s">
        <v>214</v>
      </c>
      <c r="C427" s="18" t="n">
        <f aca="false">a25_ai</f>
        <v>47.1305</v>
      </c>
      <c r="D427" s="18" t="n">
        <f aca="false">D420</f>
        <v>120.3725835</v>
      </c>
      <c r="E427" s="18" t="n">
        <f aca="false">MIN(E420,E425-E426)</f>
        <v>267.04194678</v>
      </c>
      <c r="F427" s="18" t="n">
        <f aca="false">MIN(F420,F425-F426)</f>
        <v>421.4908769608</v>
      </c>
      <c r="G427" s="18" t="n">
        <f aca="false">MIN(G420,G425-G426)</f>
        <v>497.7489082206</v>
      </c>
      <c r="H427" s="3" t="s">
        <v>506</v>
      </c>
    </row>
    <row r="428" customFormat="false" ht="15" hidden="false" customHeight="false" outlineLevel="0" collapsed="false">
      <c r="A428" s="3" t="s">
        <v>507</v>
      </c>
      <c r="E428" s="0" t="str">
        <f aca="false">IF(E420&gt;E425-E426+0.0001,"受限","未受限")</f>
        <v>受限</v>
      </c>
      <c r="F428" s="0" t="str">
        <f aca="false">IF(F420&gt;F425-F426+0.0001,"受限","未受限")</f>
        <v>受限</v>
      </c>
      <c r="G428" s="0" t="str">
        <f aca="false">IF(G420&gt;G425-G426+0.0001,"受限","未受限")</f>
        <v>未受限</v>
      </c>
    </row>
    <row r="429" customFormat="false" ht="15" hidden="false" customHeight="false" outlineLevel="0" collapsed="false">
      <c r="A429" s="3" t="s">
        <v>388</v>
      </c>
      <c r="B429" s="0" t="s">
        <v>214</v>
      </c>
      <c r="C429" s="18" t="n">
        <f aca="false">C427+C426</f>
        <v>94.261</v>
      </c>
      <c r="D429" s="18" t="n">
        <f aca="false">D427+D426</f>
        <v>205.7651</v>
      </c>
      <c r="E429" s="18" t="n">
        <f aca="false">E427+E426</f>
        <v>359.2658646</v>
      </c>
      <c r="F429" s="18" t="n">
        <f aca="false">F427+F426</f>
        <v>519.24822985</v>
      </c>
      <c r="G429" s="18" t="n">
        <f aca="false">G427+G426</f>
        <v>600.394128754261</v>
      </c>
    </row>
    <row r="430" customFormat="false" ht="15" hidden="false" customHeight="false" outlineLevel="0" collapsed="false">
      <c r="A430" s="3" t="s">
        <v>508</v>
      </c>
      <c r="B430" s="0" t="s">
        <v>54</v>
      </c>
      <c r="D430" s="13" t="n">
        <f aca="false">D429/C429-1</f>
        <v>1.1829293132897</v>
      </c>
      <c r="E430" s="13" t="n">
        <f aca="false">E429/D429-1</f>
        <v>0.746</v>
      </c>
      <c r="F430" s="13" t="n">
        <f aca="false">F429/E429-1</f>
        <v>0.445303550973654</v>
      </c>
      <c r="G430" s="13" t="n">
        <f aca="false">G429/F429-1</f>
        <v>0.156275735263848</v>
      </c>
    </row>
    <row r="431" customFormat="false" ht="17.15" hidden="false" customHeight="false" outlineLevel="0" collapsed="false">
      <c r="A431" s="3" t="s">
        <v>509</v>
      </c>
      <c r="B431" s="0" t="s">
        <v>214</v>
      </c>
      <c r="C431" s="18" t="n">
        <f aca="false">inf25*C429-C427</f>
        <v>16.495675</v>
      </c>
      <c r="D431" s="18" t="n">
        <f aca="false">inf26*D429-D427</f>
        <v>33.9512415</v>
      </c>
      <c r="E431" s="18" t="n">
        <f aca="false">E426*$D431/$D426</f>
        <v>36.66734082</v>
      </c>
      <c r="F431" s="18" t="n">
        <f aca="false">F426*$D431/$D426</f>
        <v>38.8673812692</v>
      </c>
      <c r="G431" s="18" t="n">
        <f aca="false">G426*$D431/$D426</f>
        <v>40.81075033266</v>
      </c>
      <c r="H431" s="3" t="s">
        <v>510</v>
      </c>
    </row>
    <row r="432" customFormat="false" ht="17.15" hidden="false" customHeight="false" outlineLevel="0" collapsed="false">
      <c r="A432" s="3" t="s">
        <v>511</v>
      </c>
      <c r="B432" s="0" t="s">
        <v>214</v>
      </c>
      <c r="C432" s="18" t="n">
        <f aca="false">C427+C431</f>
        <v>63.626175</v>
      </c>
      <c r="D432" s="18" t="n">
        <f aca="false">D427+D431</f>
        <v>154.323825</v>
      </c>
      <c r="E432" s="18" t="n">
        <f aca="false">E427+E431</f>
        <v>303.7092876</v>
      </c>
      <c r="F432" s="18" t="n">
        <f aca="false">F427+F431</f>
        <v>460.35825823</v>
      </c>
      <c r="G432" s="18" t="n">
        <f aca="false">G427+G431</f>
        <v>538.55965855326</v>
      </c>
      <c r="H432" s="3" t="s">
        <v>512</v>
      </c>
    </row>
    <row r="433" customFormat="false" ht="15" hidden="false" customHeight="false" outlineLevel="0" collapsed="false">
      <c r="A433" s="3" t="s">
        <v>513</v>
      </c>
      <c r="B433" s="0" t="s">
        <v>214</v>
      </c>
      <c r="C433" s="18" t="n">
        <f aca="false">mob25*C429</f>
        <v>21.208725</v>
      </c>
      <c r="D433" s="18" t="n">
        <f aca="false">mob26*D429</f>
        <v>37.037718</v>
      </c>
      <c r="E433" s="18" t="n">
        <f aca="false">E426*$D433/$D426</f>
        <v>40.00073544</v>
      </c>
      <c r="F433" s="18" t="n">
        <f aca="false">F426*$D433/$D426</f>
        <v>42.4007795664</v>
      </c>
      <c r="G433" s="18" t="n">
        <f aca="false">G426*$D433/$D426</f>
        <v>44.52081854472</v>
      </c>
      <c r="H433" s="3" t="s">
        <v>514</v>
      </c>
    </row>
    <row r="434" customFormat="false" ht="15" hidden="false" customHeight="false" outlineLevel="0" collapsed="false">
      <c r="A434" s="3" t="s">
        <v>515</v>
      </c>
      <c r="B434" s="0" t="s">
        <v>214</v>
      </c>
      <c r="C434" s="18" t="n">
        <f aca="false">C429-C432-C433</f>
        <v>9.42609999999999</v>
      </c>
      <c r="D434" s="18" t="n">
        <f aca="false">D429-D432-D433</f>
        <v>14.403557</v>
      </c>
      <c r="E434" s="18" t="n">
        <f aca="false">E429-E432-E433</f>
        <v>15.55584156</v>
      </c>
      <c r="F434" s="18" t="n">
        <f aca="false">F429-F432-F433</f>
        <v>16.4891920536</v>
      </c>
      <c r="G434" s="18" t="n">
        <f aca="false">G429-G432-G433</f>
        <v>17.31365165628</v>
      </c>
      <c r="H434" s="3" t="s">
        <v>516</v>
      </c>
    </row>
    <row r="435" customFormat="false" ht="15" hidden="false" customHeight="false" outlineLevel="0" collapsed="false">
      <c r="A435" s="3" t="s">
        <v>517</v>
      </c>
      <c r="B435" s="0" t="s">
        <v>214</v>
      </c>
      <c r="C435" s="21" t="n">
        <f aca="false">C432+C433+C434-C429</f>
        <v>0</v>
      </c>
      <c r="D435" s="21" t="n">
        <f aca="false">D432+D433+D434-D429</f>
        <v>0</v>
      </c>
      <c r="E435" s="21" t="n">
        <f aca="false">E432+E433+E434-E429</f>
        <v>0</v>
      </c>
      <c r="F435" s="21" t="n">
        <f aca="false">F432+F433+F434-F429</f>
        <v>0</v>
      </c>
      <c r="G435" s="21" t="n">
        <f aca="false">G432+G433+G434-G429</f>
        <v>0</v>
      </c>
    </row>
    <row r="436" customFormat="false" ht="17.15" hidden="false" customHeight="false" outlineLevel="0" collapsed="false">
      <c r="A436" s="0" t="s">
        <v>518</v>
      </c>
      <c r="B436" s="0" t="s">
        <v>54</v>
      </c>
      <c r="C436" s="13" t="n">
        <f aca="false">C427/C429</f>
        <v>0.5</v>
      </c>
      <c r="D436" s="13" t="n">
        <f aca="false">D427/D429</f>
        <v>0.585</v>
      </c>
      <c r="E436" s="13" t="n">
        <f aca="false">E427/E429</f>
        <v>0.743298969072165</v>
      </c>
      <c r="F436" s="13" t="n">
        <f aca="false">F427/F429</f>
        <v>0.811732910639984</v>
      </c>
      <c r="G436" s="13" t="n">
        <f aca="false">G427/G429</f>
        <v>0.829036934877036</v>
      </c>
    </row>
    <row r="437" customFormat="false" ht="17.15" hidden="false" customHeight="false" outlineLevel="0" collapsed="false">
      <c r="A437" s="3" t="s">
        <v>519</v>
      </c>
      <c r="B437" s="0" t="s">
        <v>54</v>
      </c>
      <c r="D437" s="13" t="n">
        <f aca="false">(D420+D426)/D425</f>
        <v>1</v>
      </c>
      <c r="E437" s="13" t="n">
        <f aca="false">(E420+E426)/E425</f>
        <v>1.1788209520724</v>
      </c>
      <c r="F437" s="13" t="n">
        <f aca="false">(F420+F426)/F425</f>
        <v>1.04826140845985</v>
      </c>
      <c r="G437" s="13" t="n">
        <f aca="false">(G420+G426)/G425</f>
        <v>0.989105700996041</v>
      </c>
      <c r="H437" s="3" t="s">
        <v>520</v>
      </c>
    </row>
    <row r="438" customFormat="false" ht="17.15" hidden="false" customHeight="false" outlineLevel="0" collapsed="false">
      <c r="A438" s="3" t="s">
        <v>456</v>
      </c>
      <c r="B438" s="0" t="s">
        <v>94</v>
      </c>
      <c r="D438" s="17" t="n">
        <f aca="false">D427/fx/D409*1000</f>
        <v>160.757158009399</v>
      </c>
      <c r="E438" s="17" t="n">
        <f aca="false">E427/fx/E409*1000</f>
        <v>200.377164261155</v>
      </c>
      <c r="F438" s="17" t="n">
        <f aca="false">F427/fx/F409*1000</f>
        <v>249.499079906724</v>
      </c>
      <c r="G438" s="17" t="n">
        <f aca="false">G427/fx/G409*1000</f>
        <v>258.646784582979</v>
      </c>
    </row>
    <row r="439" customFormat="false" ht="17.15" hidden="false" customHeight="false" outlineLevel="0" collapsed="false">
      <c r="A439" s="5" t="s">
        <v>521</v>
      </c>
    </row>
    <row r="440" customFormat="false" ht="17.15" hidden="false" customHeight="false" outlineLevel="0" collapsed="false">
      <c r="A440" s="3" t="s">
        <v>522</v>
      </c>
      <c r="B440" s="0" t="s">
        <v>54</v>
      </c>
      <c r="D440" s="13" t="n">
        <f aca="false">a26_gp/D429-d_ai*D436</f>
        <v>0.291564442755356</v>
      </c>
      <c r="H440" s="7" t="s">
        <v>523</v>
      </c>
    </row>
    <row r="441" customFormat="false" ht="17.15" hidden="false" customHeight="false" outlineLevel="0" collapsed="false">
      <c r="A441" s="0" t="s">
        <v>524</v>
      </c>
      <c r="B441" s="0" t="s">
        <v>54</v>
      </c>
      <c r="D441" s="13" t="n">
        <f aca="false">D440+d_ai</f>
        <v>0.371564442755356</v>
      </c>
      <c r="E441" s="13" t="n">
        <f aca="false">1-(1-$D$441)/E416</f>
        <v>0.418115224773477</v>
      </c>
      <c r="F441" s="13" t="n">
        <f aca="false">1-(1-$D$441)/F416</f>
        <v>0.401489945481291</v>
      </c>
      <c r="G441" s="13" t="n">
        <f aca="false">1-(1-$D$441)/G416</f>
        <v>0.371564442755356</v>
      </c>
      <c r="H441" s="7" t="s">
        <v>525</v>
      </c>
    </row>
    <row r="442" customFormat="false" ht="15" hidden="false" customHeight="false" outlineLevel="0" collapsed="false">
      <c r="A442" s="3" t="s">
        <v>392</v>
      </c>
      <c r="B442" s="0" t="s">
        <v>214</v>
      </c>
      <c r="C442" s="18" t="n">
        <f aca="false">a25_gp</f>
        <v>28.12</v>
      </c>
      <c r="D442" s="18" t="n">
        <f aca="false">a26_gp</f>
        <v>69.6235934</v>
      </c>
      <c r="E442" s="18" t="n">
        <f aca="false">E427*E441+E426*$D$440</f>
        <v>138.543518809771</v>
      </c>
      <c r="F442" s="18" t="n">
        <f aca="false">F427*F441+F426*$D$440</f>
        <v>197.726917332231</v>
      </c>
      <c r="G442" s="18" t="n">
        <f aca="false">G427*G441+G426*$D$440</f>
        <v>214.873492241471</v>
      </c>
    </row>
    <row r="443" customFormat="false" ht="15" hidden="false" customHeight="false" outlineLevel="0" collapsed="false">
      <c r="A443" s="3" t="s">
        <v>395</v>
      </c>
      <c r="B443" s="0" t="s">
        <v>54</v>
      </c>
      <c r="C443" s="13" t="n">
        <f aca="false">C442/C429</f>
        <v>0.298320620405046</v>
      </c>
      <c r="D443" s="13" t="n">
        <f aca="false">D442/D429</f>
        <v>0.338364442755356</v>
      </c>
      <c r="E443" s="13" t="n">
        <f aca="false">E442/E429</f>
        <v>0.385629508564702</v>
      </c>
      <c r="F443" s="13" t="n">
        <f aca="false">F442/F429</f>
        <v>0.380794591036643</v>
      </c>
      <c r="G443" s="13" t="n">
        <f aca="false">G442/G429</f>
        <v>0.357887397545518</v>
      </c>
    </row>
    <row r="444" customFormat="false" ht="15" hidden="false" customHeight="false" outlineLevel="0" collapsed="false">
      <c r="A444" s="3" t="s">
        <v>526</v>
      </c>
      <c r="B444" s="0" t="s">
        <v>214</v>
      </c>
      <c r="C444" s="18" t="n">
        <f aca="false">a25_opx</f>
        <v>9.012</v>
      </c>
      <c r="D444" s="18" t="n">
        <f aca="false">a26_opx</f>
        <v>14.0153081141857</v>
      </c>
      <c r="E444" s="18" t="n">
        <f aca="false">D444*(1+MAX(0,phi*E430))</f>
        <v>20.2885600260953</v>
      </c>
      <c r="F444" s="18" t="n">
        <f aca="false">E444*(1+MAX(0,phi*F430))</f>
        <v>25.7093007203527</v>
      </c>
      <c r="G444" s="18" t="n">
        <f aca="false">F444*(1+MAX(0,phi*G430))</f>
        <v>28.1199446442682</v>
      </c>
    </row>
    <row r="445" customFormat="false" ht="15" hidden="false" customHeight="false" outlineLevel="0" collapsed="false">
      <c r="A445" s="3" t="s">
        <v>397</v>
      </c>
      <c r="B445" s="0" t="s">
        <v>214</v>
      </c>
      <c r="C445" s="18" t="n">
        <f aca="false">C444</f>
        <v>9.012</v>
      </c>
      <c r="D445" s="18" t="n">
        <f aca="false">D444</f>
        <v>14.0153081141857</v>
      </c>
      <c r="E445" s="18" t="n">
        <f aca="false">E444+0*E429</f>
        <v>20.2885600260953</v>
      </c>
      <c r="F445" s="18" t="n">
        <f aca="false">F444+0*F429</f>
        <v>25.7093007203527</v>
      </c>
      <c r="G445" s="18" t="n">
        <f aca="false">G444+0*G429</f>
        <v>28.1199446442682</v>
      </c>
    </row>
    <row r="446" customFormat="false" ht="15" hidden="false" customHeight="false" outlineLevel="0" collapsed="false">
      <c r="A446" s="3" t="s">
        <v>400</v>
      </c>
      <c r="B446" s="0" t="s">
        <v>214</v>
      </c>
      <c r="C446" s="18" t="n">
        <f aca="false">C442-C445</f>
        <v>19.108</v>
      </c>
      <c r="D446" s="18" t="n">
        <f aca="false">D442-D445</f>
        <v>55.6082852858143</v>
      </c>
      <c r="E446" s="18" t="n">
        <f aca="false">E442-E445</f>
        <v>118.254958783675</v>
      </c>
      <c r="F446" s="18" t="n">
        <f aca="false">F442-F445</f>
        <v>172.017616611879</v>
      </c>
      <c r="G446" s="18" t="n">
        <f aca="false">G442-G445</f>
        <v>186.753547597203</v>
      </c>
    </row>
    <row r="447" customFormat="false" ht="15" hidden="false" customHeight="false" outlineLevel="0" collapsed="false">
      <c r="A447" s="3" t="s">
        <v>403</v>
      </c>
      <c r="B447" s="0" t="s">
        <v>54</v>
      </c>
      <c r="C447" s="13" t="n">
        <f aca="false">C446/C429</f>
        <v>0.202713741632276</v>
      </c>
      <c r="D447" s="13" t="n">
        <f aca="false">D446/D429</f>
        <v>0.270251297648699</v>
      </c>
      <c r="E447" s="13" t="n">
        <f aca="false">E446/E429</f>
        <v>0.329157235451073</v>
      </c>
      <c r="F447" s="13" t="n">
        <f aca="false">F446/F429</f>
        <v>0.331282047242744</v>
      </c>
      <c r="G447" s="13" t="n">
        <f aca="false">G446/G429</f>
        <v>0.311051588703394</v>
      </c>
    </row>
    <row r="448" customFormat="false" ht="17.15" hidden="false" customHeight="false" outlineLevel="0" collapsed="false">
      <c r="A448" s="3" t="s">
        <v>405</v>
      </c>
      <c r="B448" s="0" t="s">
        <v>214</v>
      </c>
      <c r="E448" s="18" t="n">
        <f aca="false">nop_f</f>
        <v>0.5</v>
      </c>
      <c r="F448" s="18" t="n">
        <f aca="false">nop_f</f>
        <v>0.5</v>
      </c>
      <c r="G448" s="18" t="n">
        <f aca="false">nop_f</f>
        <v>0.5</v>
      </c>
      <c r="H448" s="7" t="s">
        <v>527</v>
      </c>
    </row>
    <row r="449" customFormat="false" ht="15" hidden="false" customHeight="false" outlineLevel="0" collapsed="false">
      <c r="A449" s="3" t="s">
        <v>408</v>
      </c>
      <c r="B449" s="0" t="s">
        <v>214</v>
      </c>
      <c r="C449" s="18" t="n">
        <f aca="false">a25_ni</f>
        <v>14.649</v>
      </c>
      <c r="D449" s="18" t="n">
        <f aca="false">a26_ni</f>
        <v>42.891099295</v>
      </c>
      <c r="E449" s="18" t="n">
        <f aca="false">(E446+E448)*nir_f</f>
        <v>91.4413182634301</v>
      </c>
      <c r="F449" s="18" t="n">
        <f aca="false">(F446+F448)*nir_f</f>
        <v>132.838564791147</v>
      </c>
      <c r="G449" s="18" t="n">
        <f aca="false">(G446+G448)*nir_f</f>
        <v>144.185231649846</v>
      </c>
    </row>
    <row r="450" customFormat="false" ht="17.15" hidden="false" customHeight="false" outlineLevel="0" collapsed="false">
      <c r="A450" s="3" t="s">
        <v>411</v>
      </c>
      <c r="B450" s="0" t="s">
        <v>54</v>
      </c>
      <c r="C450" s="13" t="n">
        <f aca="false">C449/C446</f>
        <v>0.766642244086247</v>
      </c>
      <c r="D450" s="13" t="n">
        <f aca="false">D449/D446</f>
        <v>0.771307712053146</v>
      </c>
      <c r="E450" s="13" t="n">
        <f aca="false">E449/E446</f>
        <v>0.773255677427484</v>
      </c>
      <c r="F450" s="13" t="n">
        <f aca="false">F449/F446</f>
        <v>0.772238142857593</v>
      </c>
      <c r="G450" s="13" t="n">
        <f aca="false">G449/G446</f>
        <v>0.772061540489878</v>
      </c>
    </row>
    <row r="451" customFormat="false" ht="15" hidden="false" customHeight="false" outlineLevel="0" collapsed="false">
      <c r="A451" s="3" t="s">
        <v>528</v>
      </c>
      <c r="B451" s="3" t="s">
        <v>243</v>
      </c>
      <c r="C451" s="20" t="n">
        <f aca="false">a25_sh</f>
        <v>0.351547876169906</v>
      </c>
      <c r="D451" s="20" t="n">
        <f aca="false">a26_sh</f>
        <v>0.358290155440415</v>
      </c>
      <c r="E451" s="20" t="n">
        <f aca="false">D451*(1+sh_g)</f>
        <v>0.358290155440415</v>
      </c>
      <c r="F451" s="20" t="n">
        <f aca="false">E451*(1+sh_g)</f>
        <v>0.358290155440415</v>
      </c>
      <c r="G451" s="20" t="n">
        <f aca="false">F451*(1+sh_g)</f>
        <v>0.358290155440415</v>
      </c>
    </row>
    <row r="452" customFormat="false" ht="15" hidden="false" customHeight="false" outlineLevel="0" collapsed="false">
      <c r="A452" s="0" t="s">
        <v>414</v>
      </c>
      <c r="B452" s="0" t="s">
        <v>274</v>
      </c>
      <c r="C452" s="19" t="n">
        <f aca="false">C449/C451</f>
        <v>41.67</v>
      </c>
      <c r="D452" s="19" t="n">
        <f aca="false">D449/D451</f>
        <v>119.710515747433</v>
      </c>
      <c r="E452" s="19" t="n">
        <f aca="false">E449/E451</f>
        <v>255.215826823456</v>
      </c>
      <c r="F452" s="19" t="n">
        <f aca="false">F449/F451</f>
        <v>370.756948730171</v>
      </c>
      <c r="G452" s="19" t="n">
        <f aca="false">G449/G451</f>
        <v>402.425881538978</v>
      </c>
    </row>
    <row r="453" customFormat="false" ht="17.15" hidden="false" customHeight="false" outlineLevel="0" collapsed="false">
      <c r="A453" s="0" t="s">
        <v>529</v>
      </c>
      <c r="B453" s="0" t="s">
        <v>54</v>
      </c>
      <c r="D453" s="13" t="n">
        <f aca="false">D452/C452-1</f>
        <v>1.87282255213422</v>
      </c>
      <c r="E453" s="13" t="n">
        <f aca="false">E452/D452-1</f>
        <v>1.13194158616703</v>
      </c>
      <c r="F453" s="13" t="n">
        <f aca="false">F452/E452-1</f>
        <v>0.452719266453012</v>
      </c>
      <c r="G453" s="13" t="n">
        <f aca="false">G452/F452-1</f>
        <v>0.0854169636395827</v>
      </c>
    </row>
    <row r="456" customFormat="false" ht="17.15" hidden="false" customHeight="false" outlineLevel="0" collapsed="false">
      <c r="A456" s="1" t="s">
        <v>846</v>
      </c>
    </row>
    <row r="457" customFormat="false" ht="17.15" hidden="false" customHeight="false" outlineLevel="0" collapsed="false">
      <c r="A457" s="4" t="s">
        <v>23</v>
      </c>
      <c r="B457" s="4" t="s">
        <v>24</v>
      </c>
      <c r="C457" s="10" t="s">
        <v>383</v>
      </c>
      <c r="D457" s="10" t="s">
        <v>469</v>
      </c>
      <c r="E457" s="10" t="s">
        <v>470</v>
      </c>
      <c r="F457" s="10" t="s">
        <v>471</v>
      </c>
      <c r="G457" s="10" t="s">
        <v>472</v>
      </c>
      <c r="H457" s="4" t="s">
        <v>437</v>
      </c>
    </row>
    <row r="458" customFormat="false" ht="17.15" hidden="false" customHeight="false" outlineLevel="0" collapsed="false">
      <c r="A458" s="5" t="s">
        <v>487</v>
      </c>
    </row>
    <row r="459" customFormat="false" ht="17.15" hidden="false" customHeight="false" outlineLevel="0" collapsed="false">
      <c r="A459" s="0" t="s">
        <v>488</v>
      </c>
      <c r="B459" s="0" t="s">
        <v>34</v>
      </c>
      <c r="D459" s="19" t="n">
        <f aca="false">itc_26*1</f>
        <v>781.872916666666</v>
      </c>
      <c r="E459" s="19" t="n">
        <f aca="false">itc_27*1*1</f>
        <v>1565.35</v>
      </c>
      <c r="F459" s="19" t="n">
        <f aca="false">itc_28*um28_A*1</f>
        <v>1984.26388888889</v>
      </c>
      <c r="G459" s="19" t="n">
        <f aca="false">itc_29*um29_A*1</f>
        <v>2260.39027777778</v>
      </c>
    </row>
    <row r="460" customFormat="false" ht="17.15" hidden="false" customHeight="false" outlineLevel="0" collapsed="false">
      <c r="A460" s="3" t="s">
        <v>489</v>
      </c>
      <c r="B460" s="0" t="s">
        <v>34</v>
      </c>
      <c r="D460" s="19" t="n">
        <f aca="false">itpg_gb*(1-vr26)+itpg_vr*vr26</f>
        <v>33.41403216</v>
      </c>
      <c r="E460" s="19" t="n">
        <f aca="false">itpg_vr</f>
        <v>37.586352</v>
      </c>
      <c r="F460" s="19" t="n">
        <f aca="false">itpg_vr</f>
        <v>37.586352</v>
      </c>
      <c r="G460" s="19" t="n">
        <f aca="false">itpg_vr</f>
        <v>37.586352</v>
      </c>
    </row>
    <row r="461" customFormat="false" ht="17.15" hidden="false" customHeight="false" outlineLevel="0" collapsed="false">
      <c r="A461" s="3" t="s">
        <v>490</v>
      </c>
      <c r="B461" s="0" t="s">
        <v>439</v>
      </c>
      <c r="D461" s="16" t="n">
        <f aca="false">D459/D460</f>
        <v>23.3995380420639</v>
      </c>
      <c r="E461" s="16" t="n">
        <f aca="false">E459/E460</f>
        <v>41.6467658260637</v>
      </c>
      <c r="F461" s="16" t="n">
        <f aca="false">F459/F460</f>
        <v>52.792138191248</v>
      </c>
      <c r="G461" s="16" t="n">
        <f aca="false">G459/G460</f>
        <v>60.1385917361116</v>
      </c>
    </row>
    <row r="462" customFormat="false" ht="17.15" hidden="false" customHeight="false" outlineLevel="0" collapsed="false">
      <c r="A462" s="3" t="s">
        <v>441</v>
      </c>
      <c r="B462" s="0" t="s">
        <v>94</v>
      </c>
      <c r="D462" s="17" t="n">
        <f aca="false">cmp_26</f>
        <v>190</v>
      </c>
      <c r="E462" s="17" t="n">
        <f aca="false">cmp_26*cmpx_27</f>
        <v>275.5</v>
      </c>
      <c r="F462" s="17" t="n">
        <f aca="false">cmp_26*cmpx_28</f>
        <v>304</v>
      </c>
      <c r="G462" s="17" t="n">
        <f aca="false">cmp_26*cmpx_29</f>
        <v>323</v>
      </c>
    </row>
    <row r="463" customFormat="false" ht="17.15" hidden="false" customHeight="false" outlineLevel="0" collapsed="false">
      <c r="A463" s="3" t="s">
        <v>443</v>
      </c>
      <c r="B463" s="0" t="s">
        <v>94</v>
      </c>
      <c r="D463" s="17" t="n">
        <f aca="false">sw_26</f>
        <v>90</v>
      </c>
      <c r="E463" s="17" t="n">
        <f aca="false">sw_26*swx_27</f>
        <v>126</v>
      </c>
      <c r="F463" s="17" t="n">
        <f aca="false">sw_26*swx_28</f>
        <v>144</v>
      </c>
      <c r="G463" s="17" t="n">
        <f aca="false">sw_26*swx_29</f>
        <v>157.5</v>
      </c>
    </row>
    <row r="464" customFormat="false" ht="17.15" hidden="false" customHeight="false" outlineLevel="0" collapsed="false">
      <c r="A464" s="3" t="s">
        <v>444</v>
      </c>
      <c r="B464" s="0" t="s">
        <v>94</v>
      </c>
      <c r="D464" s="17" t="n">
        <f aca="false">ubb_26</f>
        <v>70</v>
      </c>
      <c r="E464" s="17" t="n">
        <f aca="false">ubb_26*ubbx_27</f>
        <v>126</v>
      </c>
      <c r="F464" s="17" t="n">
        <f aca="false">ubb_26*ubbx_28</f>
        <v>161</v>
      </c>
      <c r="G464" s="17" t="n">
        <f aca="false">ubb_26*ubbx_29</f>
        <v>182</v>
      </c>
    </row>
    <row r="465" customFormat="false" ht="17.15" hidden="false" customHeight="false" outlineLevel="0" collapsed="false">
      <c r="A465" s="3" t="s">
        <v>491</v>
      </c>
      <c r="B465" s="0" t="s">
        <v>94</v>
      </c>
      <c r="D465" s="17" t="n">
        <f aca="false">D462+D463+D464</f>
        <v>350</v>
      </c>
      <c r="E465" s="17" t="n">
        <f aca="false">E462+E463+E464</f>
        <v>527.5</v>
      </c>
      <c r="F465" s="17" t="n">
        <f aca="false">F462+F463+F464</f>
        <v>609</v>
      </c>
      <c r="G465" s="17" t="n">
        <f aca="false">G462+G463+G464</f>
        <v>662.5</v>
      </c>
    </row>
    <row r="466" customFormat="false" ht="17.15" hidden="false" customHeight="false" outlineLevel="0" collapsed="false">
      <c r="A466" s="0" t="s">
        <v>492</v>
      </c>
      <c r="B466" s="0" t="s">
        <v>34</v>
      </c>
      <c r="D466" s="19" t="n">
        <f aca="false">D461*D465/1000</f>
        <v>8.18983831472236</v>
      </c>
      <c r="E466" s="19" t="n">
        <f aca="false">E461*E465/1000</f>
        <v>21.9686689732486</v>
      </c>
      <c r="F466" s="19" t="n">
        <f aca="false">F461*F465/1000</f>
        <v>32.15041215847</v>
      </c>
      <c r="G466" s="19" t="n">
        <f aca="false">G461*G465/1000</f>
        <v>39.8418170251739</v>
      </c>
    </row>
    <row r="467" customFormat="false" ht="17.15" hidden="false" customHeight="false" outlineLevel="0" collapsed="false">
      <c r="A467" s="0" t="s">
        <v>493</v>
      </c>
      <c r="B467" s="0" t="s">
        <v>214</v>
      </c>
      <c r="D467" s="18" t="n">
        <f aca="false">D466*fx</f>
        <v>262.074826071116</v>
      </c>
      <c r="E467" s="18" t="n">
        <f aca="false">E466*fx</f>
        <v>702.997407143955</v>
      </c>
      <c r="F467" s="18" t="n">
        <f aca="false">F466*fx</f>
        <v>1028.81318907104</v>
      </c>
      <c r="G467" s="18" t="n">
        <f aca="false">G466*fx</f>
        <v>1274.93814480557</v>
      </c>
    </row>
    <row r="468" customFormat="false" ht="17.15" hidden="false" customHeight="false" outlineLevel="0" collapsed="false">
      <c r="A468" s="0" t="s">
        <v>494</v>
      </c>
      <c r="B468" s="0" t="s">
        <v>67</v>
      </c>
      <c r="D468" s="14" t="n">
        <f aca="false">1</f>
        <v>1</v>
      </c>
      <c r="E468" s="14" t="n">
        <f aca="false">pp_27</f>
        <v>1</v>
      </c>
      <c r="F468" s="14" t="n">
        <f aca="false">pp_28</f>
        <v>0.97</v>
      </c>
      <c r="G468" s="14" t="n">
        <f aca="false">pp_29</f>
        <v>0.93</v>
      </c>
    </row>
    <row r="469" customFormat="false" ht="17.15" hidden="false" customHeight="false" outlineLevel="0" collapsed="false">
      <c r="A469" s="3" t="s">
        <v>495</v>
      </c>
      <c r="B469" s="0" t="s">
        <v>54</v>
      </c>
      <c r="D469" s="13" t="n">
        <f aca="false">a26_ai/D467</f>
        <v>0.459306165741139</v>
      </c>
      <c r="H469" s="7" t="s">
        <v>496</v>
      </c>
    </row>
    <row r="470" customFormat="false" ht="17.15" hidden="false" customHeight="false" outlineLevel="0" collapsed="false">
      <c r="A470" s="3" t="s">
        <v>497</v>
      </c>
      <c r="B470" s="0" t="s">
        <v>67</v>
      </c>
      <c r="D470" s="14" t="n">
        <f aca="false">1</f>
        <v>1</v>
      </c>
      <c r="E470" s="14" t="n">
        <f aca="false">rel_27</f>
        <v>0.95</v>
      </c>
      <c r="F470" s="14" t="n">
        <f aca="false">rel_28</f>
        <v>0.9</v>
      </c>
      <c r="G470" s="14" t="n">
        <f aca="false">rel_29</f>
        <v>0.85</v>
      </c>
    </row>
    <row r="471" customFormat="false" ht="15" hidden="false" customHeight="false" outlineLevel="0" collapsed="false">
      <c r="A471" s="3" t="s">
        <v>452</v>
      </c>
      <c r="B471" s="0" t="s">
        <v>54</v>
      </c>
      <c r="D471" s="13" t="n">
        <f aca="false">$D$469*D470</f>
        <v>0.459306165741139</v>
      </c>
      <c r="E471" s="13" t="n">
        <f aca="false">$D$469*E470</f>
        <v>0.436340857454082</v>
      </c>
      <c r="F471" s="13" t="n">
        <f aca="false">$D$469*F470</f>
        <v>0.413375549167025</v>
      </c>
      <c r="G471" s="13" t="n">
        <f aca="false">$D$469*G470</f>
        <v>0.390410240879968</v>
      </c>
    </row>
    <row r="472" customFormat="false" ht="17.15" hidden="false" customHeight="false" outlineLevel="0" collapsed="false">
      <c r="A472" s="0" t="s">
        <v>498</v>
      </c>
      <c r="B472" s="0" t="s">
        <v>214</v>
      </c>
      <c r="D472" s="18" t="n">
        <f aca="false">D467*D471*D468</f>
        <v>120.3725835</v>
      </c>
      <c r="E472" s="18" t="n">
        <f aca="false">E467*E471*E468</f>
        <v>306.74649142119</v>
      </c>
      <c r="F472" s="18" t="n">
        <f aca="false">F467*F471*F468</f>
        <v>412.527630511844</v>
      </c>
      <c r="G472" s="18" t="n">
        <f aca="false">G467*G471*G468</f>
        <v>462.906484645158</v>
      </c>
    </row>
    <row r="473" customFormat="false" ht="17.15" hidden="false" customHeight="false" outlineLevel="0" collapsed="false">
      <c r="A473" s="5" t="s">
        <v>499</v>
      </c>
    </row>
    <row r="474" customFormat="false" ht="15" hidden="false" customHeight="false" outlineLevel="0" collapsed="false">
      <c r="A474" s="3" t="s">
        <v>457</v>
      </c>
      <c r="B474" s="3" t="s">
        <v>151</v>
      </c>
      <c r="D474" s="14" t="n">
        <f aca="false">cap_26</f>
        <v>6</v>
      </c>
      <c r="E474" s="14" t="n">
        <f aca="false">CAPLO_27</f>
        <v>7</v>
      </c>
      <c r="F474" s="14" t="n">
        <f aca="false">CAPLO_28</f>
        <v>9.5</v>
      </c>
      <c r="G474" s="14" t="n">
        <f aca="false">CAPLO_29</f>
        <v>11.1</v>
      </c>
    </row>
    <row r="475" customFormat="false" ht="17.15" hidden="false" customHeight="false" outlineLevel="0" collapsed="false">
      <c r="A475" s="3" t="s">
        <v>500</v>
      </c>
      <c r="B475" s="0" t="s">
        <v>460</v>
      </c>
      <c r="D475" s="17" t="n">
        <f aca="false">a26_rev/(D474*12)*1000</f>
        <v>2857.84861111111</v>
      </c>
      <c r="H475" s="7" t="s">
        <v>501</v>
      </c>
    </row>
    <row r="476" customFormat="false" ht="17.15" hidden="false" customHeight="false" outlineLevel="0" collapsed="false">
      <c r="A476" s="3" t="s">
        <v>502</v>
      </c>
      <c r="B476" s="0" t="s">
        <v>67</v>
      </c>
      <c r="D476" s="14" t="n">
        <f aca="false">1</f>
        <v>1</v>
      </c>
      <c r="E476" s="14" t="n">
        <f aca="false">mix_27</f>
        <v>1.25</v>
      </c>
      <c r="F476" s="14" t="n">
        <f aca="false">mix_28</f>
        <v>1.4</v>
      </c>
      <c r="G476" s="14" t="n">
        <f aca="false">mix_29</f>
        <v>1.5</v>
      </c>
    </row>
    <row r="477" customFormat="false" ht="17.15" hidden="false" customHeight="false" outlineLevel="0" collapsed="false">
      <c r="A477" s="3" t="s">
        <v>503</v>
      </c>
      <c r="B477" s="0" t="s">
        <v>214</v>
      </c>
      <c r="D477" s="18" t="n">
        <f aca="false">D474*12*$D$475*D476*D468/1000</f>
        <v>205.7651</v>
      </c>
      <c r="E477" s="18" t="n">
        <f aca="false">E474*12*$D$475*E476*E468/1000</f>
        <v>300.074104166667</v>
      </c>
      <c r="F477" s="18" t="n">
        <f aca="false">F474*12*$D$475*F476*F468/1000</f>
        <v>442.429259183333</v>
      </c>
      <c r="G477" s="18" t="n">
        <f aca="false">G474*12*$D$475*G476*G468/1000</f>
        <v>531.028281825</v>
      </c>
    </row>
    <row r="478" customFormat="false" ht="17.15" hidden="false" customHeight="false" outlineLevel="0" collapsed="false">
      <c r="A478" s="3" t="s">
        <v>504</v>
      </c>
      <c r="B478" s="0" t="s">
        <v>214</v>
      </c>
      <c r="C478" s="18" t="n">
        <f aca="false">a25_nai</f>
        <v>47.1305</v>
      </c>
      <c r="D478" s="18" t="n">
        <f aca="false">a26_nai</f>
        <v>85.3925165</v>
      </c>
      <c r="E478" s="18" t="n">
        <f aca="false">D478*(1+g_nai27)</f>
        <v>92.22391782</v>
      </c>
      <c r="F478" s="18" t="n">
        <f aca="false">E478*(1+g_nai28)</f>
        <v>97.7573528892</v>
      </c>
      <c r="G478" s="18" t="n">
        <f aca="false">F478*(1+g_nai29)</f>
        <v>102.64522053366</v>
      </c>
    </row>
    <row r="479" customFormat="false" ht="17.15" hidden="false" customHeight="false" outlineLevel="0" collapsed="false">
      <c r="A479" s="0" t="s">
        <v>505</v>
      </c>
      <c r="B479" s="0" t="s">
        <v>214</v>
      </c>
      <c r="C479" s="18" t="n">
        <f aca="false">a25_ai</f>
        <v>47.1305</v>
      </c>
      <c r="D479" s="18" t="n">
        <f aca="false">D472</f>
        <v>120.3725835</v>
      </c>
      <c r="E479" s="18" t="n">
        <f aca="false">MIN(E472,E477-E478)</f>
        <v>207.850186346667</v>
      </c>
      <c r="F479" s="18" t="n">
        <f aca="false">MIN(F472,F477-F478)</f>
        <v>344.671906294133</v>
      </c>
      <c r="G479" s="18" t="n">
        <f aca="false">MIN(G472,G477-G478)</f>
        <v>428.38306129134</v>
      </c>
      <c r="H479" s="3" t="s">
        <v>506</v>
      </c>
    </row>
    <row r="480" customFormat="false" ht="15" hidden="false" customHeight="false" outlineLevel="0" collapsed="false">
      <c r="A480" s="3" t="s">
        <v>507</v>
      </c>
      <c r="E480" s="0" t="str">
        <f aca="false">IF(E472&gt;E477-E478+0.0001,"受限","未受限")</f>
        <v>受限</v>
      </c>
      <c r="F480" s="0" t="str">
        <f aca="false">IF(F472&gt;F477-F478+0.0001,"受限","未受限")</f>
        <v>受限</v>
      </c>
      <c r="G480" s="0" t="str">
        <f aca="false">IF(G472&gt;G477-G478+0.0001,"受限","未受限")</f>
        <v>受限</v>
      </c>
    </row>
    <row r="481" customFormat="false" ht="15" hidden="false" customHeight="false" outlineLevel="0" collapsed="false">
      <c r="A481" s="3" t="s">
        <v>388</v>
      </c>
      <c r="B481" s="0" t="s">
        <v>214</v>
      </c>
      <c r="C481" s="18" t="n">
        <f aca="false">C479+C478</f>
        <v>94.261</v>
      </c>
      <c r="D481" s="18" t="n">
        <f aca="false">D479+D478</f>
        <v>205.7651</v>
      </c>
      <c r="E481" s="18" t="n">
        <f aca="false">E479+E478</f>
        <v>300.074104166667</v>
      </c>
      <c r="F481" s="18" t="n">
        <f aca="false">F479+F478</f>
        <v>442.429259183333</v>
      </c>
      <c r="G481" s="18" t="n">
        <f aca="false">G479+G478</f>
        <v>531.028281825</v>
      </c>
    </row>
    <row r="482" customFormat="false" ht="15" hidden="false" customHeight="false" outlineLevel="0" collapsed="false">
      <c r="A482" s="3" t="s">
        <v>508</v>
      </c>
      <c r="B482" s="0" t="s">
        <v>54</v>
      </c>
      <c r="D482" s="13" t="n">
        <f aca="false">D481/C481-1</f>
        <v>1.1829293132897</v>
      </c>
      <c r="E482" s="13" t="n">
        <f aca="false">E481/D481-1</f>
        <v>0.458333333333333</v>
      </c>
      <c r="F482" s="13" t="n">
        <f aca="false">F481/E481-1</f>
        <v>0.4744</v>
      </c>
      <c r="G482" s="13" t="n">
        <f aca="false">G481/F481-1</f>
        <v>0.200255794124486</v>
      </c>
    </row>
    <row r="483" customFormat="false" ht="17.15" hidden="false" customHeight="false" outlineLevel="0" collapsed="false">
      <c r="A483" s="3" t="s">
        <v>509</v>
      </c>
      <c r="B483" s="0" t="s">
        <v>214</v>
      </c>
      <c r="C483" s="18" t="n">
        <f aca="false">inf25*C481-C479</f>
        <v>16.495675</v>
      </c>
      <c r="D483" s="18" t="n">
        <f aca="false">inf26*D481-D479</f>
        <v>33.9512415</v>
      </c>
      <c r="E483" s="18" t="n">
        <f aca="false">E478*$D483/$D478</f>
        <v>36.66734082</v>
      </c>
      <c r="F483" s="18" t="n">
        <f aca="false">F478*$D483/$D478</f>
        <v>38.8673812692</v>
      </c>
      <c r="G483" s="18" t="n">
        <f aca="false">G478*$D483/$D478</f>
        <v>40.81075033266</v>
      </c>
      <c r="H483" s="3" t="s">
        <v>510</v>
      </c>
    </row>
    <row r="484" customFormat="false" ht="17.15" hidden="false" customHeight="false" outlineLevel="0" collapsed="false">
      <c r="A484" s="3" t="s">
        <v>511</v>
      </c>
      <c r="B484" s="0" t="s">
        <v>214</v>
      </c>
      <c r="C484" s="18" t="n">
        <f aca="false">C479+C483</f>
        <v>63.626175</v>
      </c>
      <c r="D484" s="18" t="n">
        <f aca="false">D479+D483</f>
        <v>154.323825</v>
      </c>
      <c r="E484" s="18" t="n">
        <f aca="false">E479+E483</f>
        <v>244.517527166667</v>
      </c>
      <c r="F484" s="18" t="n">
        <f aca="false">F479+F483</f>
        <v>383.539287563333</v>
      </c>
      <c r="G484" s="18" t="n">
        <f aca="false">G479+G483</f>
        <v>469.193811624</v>
      </c>
      <c r="H484" s="3" t="s">
        <v>512</v>
      </c>
    </row>
    <row r="485" customFormat="false" ht="15" hidden="false" customHeight="false" outlineLevel="0" collapsed="false">
      <c r="A485" s="3" t="s">
        <v>513</v>
      </c>
      <c r="B485" s="0" t="s">
        <v>214</v>
      </c>
      <c r="C485" s="18" t="n">
        <f aca="false">mob25*C481</f>
        <v>21.208725</v>
      </c>
      <c r="D485" s="18" t="n">
        <f aca="false">mob26*D481</f>
        <v>37.037718</v>
      </c>
      <c r="E485" s="18" t="n">
        <f aca="false">E478*$D485/$D478</f>
        <v>40.00073544</v>
      </c>
      <c r="F485" s="18" t="n">
        <f aca="false">F478*$D485/$D478</f>
        <v>42.4007795664</v>
      </c>
      <c r="G485" s="18" t="n">
        <f aca="false">G478*$D485/$D478</f>
        <v>44.52081854472</v>
      </c>
      <c r="H485" s="3" t="s">
        <v>514</v>
      </c>
    </row>
    <row r="486" customFormat="false" ht="15" hidden="false" customHeight="false" outlineLevel="0" collapsed="false">
      <c r="A486" s="3" t="s">
        <v>515</v>
      </c>
      <c r="B486" s="0" t="s">
        <v>214</v>
      </c>
      <c r="C486" s="18" t="n">
        <f aca="false">C481-C484-C485</f>
        <v>9.42609999999999</v>
      </c>
      <c r="D486" s="18" t="n">
        <f aca="false">D481-D484-D485</f>
        <v>14.403557</v>
      </c>
      <c r="E486" s="18" t="n">
        <f aca="false">E481-E484-E485</f>
        <v>15.55584156</v>
      </c>
      <c r="F486" s="18" t="n">
        <f aca="false">F481-F484-F485</f>
        <v>16.4891920536</v>
      </c>
      <c r="G486" s="18" t="n">
        <f aca="false">G481-G484-G485</f>
        <v>17.31365165628</v>
      </c>
      <c r="H486" s="3" t="s">
        <v>516</v>
      </c>
    </row>
    <row r="487" customFormat="false" ht="15" hidden="false" customHeight="false" outlineLevel="0" collapsed="false">
      <c r="A487" s="3" t="s">
        <v>517</v>
      </c>
      <c r="B487" s="0" t="s">
        <v>214</v>
      </c>
      <c r="C487" s="21" t="n">
        <f aca="false">C484+C485+C486-C481</f>
        <v>0</v>
      </c>
      <c r="D487" s="21" t="n">
        <f aca="false">D484+D485+D486-D481</f>
        <v>0</v>
      </c>
      <c r="E487" s="21" t="n">
        <f aca="false">E484+E485+E486-E481</f>
        <v>0</v>
      </c>
      <c r="F487" s="21" t="n">
        <f aca="false">F484+F485+F486-F481</f>
        <v>0</v>
      </c>
      <c r="G487" s="21" t="n">
        <f aca="false">G484+G485+G486-G481</f>
        <v>0</v>
      </c>
    </row>
    <row r="488" customFormat="false" ht="17.15" hidden="false" customHeight="false" outlineLevel="0" collapsed="false">
      <c r="A488" s="0" t="s">
        <v>518</v>
      </c>
      <c r="B488" s="0" t="s">
        <v>54</v>
      </c>
      <c r="C488" s="13" t="n">
        <f aca="false">C479/C481</f>
        <v>0.5</v>
      </c>
      <c r="D488" s="13" t="n">
        <f aca="false">D479/D481</f>
        <v>0.585</v>
      </c>
      <c r="E488" s="13" t="n">
        <f aca="false">E479/E481</f>
        <v>0.692662857142857</v>
      </c>
      <c r="F488" s="13" t="n">
        <f aca="false">F479/F481</f>
        <v>0.779044105108131</v>
      </c>
      <c r="G488" s="13" t="n">
        <f aca="false">G479/G481</f>
        <v>0.806704795117698</v>
      </c>
    </row>
    <row r="489" customFormat="false" ht="17.15" hidden="false" customHeight="false" outlineLevel="0" collapsed="false">
      <c r="A489" s="3" t="s">
        <v>519</v>
      </c>
      <c r="B489" s="0" t="s">
        <v>54</v>
      </c>
      <c r="D489" s="13" t="n">
        <f aca="false">(D472+D478)/D477</f>
        <v>1</v>
      </c>
      <c r="E489" s="13" t="n">
        <f aca="false">(E472+E478)/E477</f>
        <v>1.32957294115454</v>
      </c>
      <c r="F489" s="13" t="n">
        <f aca="false">(F472+F478)/F477</f>
        <v>1.15337078823169</v>
      </c>
      <c r="G489" s="13" t="n">
        <f aca="false">(G472+G478)/G477</f>
        <v>1.06501240053575</v>
      </c>
      <c r="H489" s="3" t="s">
        <v>520</v>
      </c>
    </row>
    <row r="490" customFormat="false" ht="17.15" hidden="false" customHeight="false" outlineLevel="0" collapsed="false">
      <c r="A490" s="3" t="s">
        <v>456</v>
      </c>
      <c r="B490" s="0" t="s">
        <v>94</v>
      </c>
      <c r="D490" s="17" t="n">
        <f aca="false">D479/fx/D461*1000</f>
        <v>160.757158009399</v>
      </c>
      <c r="E490" s="17" t="n">
        <f aca="false">E479/fx/E461*1000</f>
        <v>155.962130419942</v>
      </c>
      <c r="F490" s="17" t="n">
        <f aca="false">F479/fx/F461*1000</f>
        <v>204.026535782127</v>
      </c>
      <c r="G490" s="17" t="n">
        <f aca="false">G479/fx/G461*1000</f>
        <v>222.601997800289</v>
      </c>
    </row>
    <row r="491" customFormat="false" ht="17.15" hidden="false" customHeight="false" outlineLevel="0" collapsed="false">
      <c r="A491" s="5" t="s">
        <v>521</v>
      </c>
    </row>
    <row r="492" customFormat="false" ht="17.15" hidden="false" customHeight="false" outlineLevel="0" collapsed="false">
      <c r="A492" s="3" t="s">
        <v>522</v>
      </c>
      <c r="B492" s="0" t="s">
        <v>54</v>
      </c>
      <c r="D492" s="13" t="n">
        <f aca="false">a26_gp/D481-d_ai*D488</f>
        <v>0.291564442755356</v>
      </c>
      <c r="H492" s="7" t="s">
        <v>523</v>
      </c>
    </row>
    <row r="493" customFormat="false" ht="17.15" hidden="false" customHeight="false" outlineLevel="0" collapsed="false">
      <c r="A493" s="0" t="s">
        <v>524</v>
      </c>
      <c r="B493" s="0" t="s">
        <v>54</v>
      </c>
      <c r="D493" s="13" t="n">
        <f aca="false">D492+d_ai</f>
        <v>0.371564442755356</v>
      </c>
      <c r="E493" s="13" t="n">
        <f aca="false">1-(1-$D$493)/E468</f>
        <v>0.371564442755356</v>
      </c>
      <c r="F493" s="13" t="n">
        <f aca="false">1-(1-$D$493)/F468</f>
        <v>0.352128291500367</v>
      </c>
      <c r="G493" s="13" t="n">
        <f aca="false">1-(1-$D$493)/G468</f>
        <v>0.324262841672425</v>
      </c>
      <c r="H493" s="7" t="s">
        <v>525</v>
      </c>
    </row>
    <row r="494" customFormat="false" ht="15" hidden="false" customHeight="false" outlineLevel="0" collapsed="false">
      <c r="A494" s="3" t="s">
        <v>392</v>
      </c>
      <c r="B494" s="0" t="s">
        <v>214</v>
      </c>
      <c r="C494" s="18" t="n">
        <f aca="false">a25_gp</f>
        <v>28.12</v>
      </c>
      <c r="D494" s="18" t="n">
        <f aca="false">a26_gp</f>
        <v>69.6235934</v>
      </c>
      <c r="E494" s="18" t="n">
        <f aca="false">E479*E493+E478*$D$492</f>
        <v>104.1189538744</v>
      </c>
      <c r="F494" s="18" t="n">
        <f aca="false">F479*F493+F478*$D$492</f>
        <v>149.871297611906</v>
      </c>
      <c r="G494" s="18" t="n">
        <f aca="false">G479*G493+G478*$D$492</f>
        <v>168.83640530506</v>
      </c>
    </row>
    <row r="495" customFormat="false" ht="15" hidden="false" customHeight="false" outlineLevel="0" collapsed="false">
      <c r="A495" s="3" t="s">
        <v>395</v>
      </c>
      <c r="B495" s="0" t="s">
        <v>54</v>
      </c>
      <c r="C495" s="13" t="n">
        <f aca="false">C494/C481</f>
        <v>0.298320620405046</v>
      </c>
      <c r="D495" s="13" t="n">
        <f aca="false">D494/D481</f>
        <v>0.338364442755356</v>
      </c>
      <c r="E495" s="13" t="n">
        <f aca="false">E494/E481</f>
        <v>0.346977471326784</v>
      </c>
      <c r="F495" s="13" t="n">
        <f aca="false">F494/F481</f>
        <v>0.338746352102817</v>
      </c>
      <c r="G495" s="13" t="n">
        <f aca="false">G494/G481</f>
        <v>0.317942397954427</v>
      </c>
    </row>
    <row r="496" customFormat="false" ht="15" hidden="false" customHeight="false" outlineLevel="0" collapsed="false">
      <c r="A496" s="3" t="s">
        <v>526</v>
      </c>
      <c r="B496" s="0" t="s">
        <v>214</v>
      </c>
      <c r="C496" s="18" t="n">
        <f aca="false">a25_opx</f>
        <v>9.012</v>
      </c>
      <c r="D496" s="18" t="n">
        <f aca="false">a26_opx</f>
        <v>14.0153081141857</v>
      </c>
      <c r="E496" s="18" t="n">
        <f aca="false">D496*(1+MAX(0,phi*E482))</f>
        <v>17.8695178455868</v>
      </c>
      <c r="F496" s="18" t="n">
        <f aca="false">E496*(1+MAX(0,phi*F482))</f>
        <v>22.9558974051547</v>
      </c>
      <c r="G496" s="18" t="n">
        <f aca="false">F496*(1+MAX(0,phi*G482))</f>
        <v>25.7141282839803</v>
      </c>
    </row>
    <row r="497" customFormat="false" ht="15" hidden="false" customHeight="false" outlineLevel="0" collapsed="false">
      <c r="A497" s="3" t="s">
        <v>397</v>
      </c>
      <c r="B497" s="0" t="s">
        <v>214</v>
      </c>
      <c r="C497" s="18" t="n">
        <f aca="false">C496</f>
        <v>9.012</v>
      </c>
      <c r="D497" s="18" t="n">
        <f aca="false">D496</f>
        <v>14.0153081141857</v>
      </c>
      <c r="E497" s="18" t="n">
        <f aca="false">E496+0*E481</f>
        <v>17.8695178455868</v>
      </c>
      <c r="F497" s="18" t="n">
        <f aca="false">F496+0*F481</f>
        <v>22.9558974051547</v>
      </c>
      <c r="G497" s="18" t="n">
        <f aca="false">G496+0*G481</f>
        <v>25.7141282839803</v>
      </c>
    </row>
    <row r="498" customFormat="false" ht="15" hidden="false" customHeight="false" outlineLevel="0" collapsed="false">
      <c r="A498" s="3" t="s">
        <v>400</v>
      </c>
      <c r="B498" s="0" t="s">
        <v>214</v>
      </c>
      <c r="C498" s="18" t="n">
        <f aca="false">C494-C497</f>
        <v>19.108</v>
      </c>
      <c r="D498" s="18" t="n">
        <f aca="false">D494-D497</f>
        <v>55.6082852858143</v>
      </c>
      <c r="E498" s="18" t="n">
        <f aca="false">E494-E497</f>
        <v>86.2494360288132</v>
      </c>
      <c r="F498" s="18" t="n">
        <f aca="false">F494-F497</f>
        <v>126.915400206751</v>
      </c>
      <c r="G498" s="18" t="n">
        <f aca="false">G494-G497</f>
        <v>143.122277021079</v>
      </c>
    </row>
    <row r="499" customFormat="false" ht="15" hidden="false" customHeight="false" outlineLevel="0" collapsed="false">
      <c r="A499" s="3" t="s">
        <v>403</v>
      </c>
      <c r="B499" s="0" t="s">
        <v>54</v>
      </c>
      <c r="C499" s="13" t="n">
        <f aca="false">C498/C481</f>
        <v>0.202713741632276</v>
      </c>
      <c r="D499" s="13" t="n">
        <f aca="false">D498/D481</f>
        <v>0.270251297648699</v>
      </c>
      <c r="E499" s="13" t="n">
        <f aca="false">E498/E481</f>
        <v>0.287427121604964</v>
      </c>
      <c r="F499" s="13" t="n">
        <f aca="false">F498/F481</f>
        <v>0.286860323028862</v>
      </c>
      <c r="G499" s="13" t="n">
        <f aca="false">G498/G481</f>
        <v>0.269519123405644</v>
      </c>
    </row>
    <row r="500" customFormat="false" ht="17.15" hidden="false" customHeight="false" outlineLevel="0" collapsed="false">
      <c r="A500" s="3" t="s">
        <v>405</v>
      </c>
      <c r="B500" s="0" t="s">
        <v>214</v>
      </c>
      <c r="E500" s="18" t="n">
        <f aca="false">nop_f</f>
        <v>0.5</v>
      </c>
      <c r="F500" s="18" t="n">
        <f aca="false">nop_f</f>
        <v>0.5</v>
      </c>
      <c r="G500" s="18" t="n">
        <f aca="false">nop_f</f>
        <v>0.5</v>
      </c>
      <c r="H500" s="7" t="s">
        <v>527</v>
      </c>
    </row>
    <row r="501" customFormat="false" ht="15" hidden="false" customHeight="false" outlineLevel="0" collapsed="false">
      <c r="A501" s="3" t="s">
        <v>408</v>
      </c>
      <c r="B501" s="0" t="s">
        <v>214</v>
      </c>
      <c r="C501" s="18" t="n">
        <f aca="false">a25_ni</f>
        <v>14.649</v>
      </c>
      <c r="D501" s="18" t="n">
        <f aca="false">a26_ni</f>
        <v>42.891099295</v>
      </c>
      <c r="E501" s="18" t="n">
        <f aca="false">(E498+E500)*nir_f</f>
        <v>66.7970657421861</v>
      </c>
      <c r="F501" s="18" t="n">
        <f aca="false">(F498+F500)*nir_f</f>
        <v>98.1098581591984</v>
      </c>
      <c r="G501" s="18" t="n">
        <f aca="false">(G498+G500)*nir_f</f>
        <v>110.589153306231</v>
      </c>
    </row>
    <row r="502" customFormat="false" ht="17.15" hidden="false" customHeight="false" outlineLevel="0" collapsed="false">
      <c r="A502" s="3" t="s">
        <v>411</v>
      </c>
      <c r="B502" s="0" t="s">
        <v>54</v>
      </c>
      <c r="C502" s="13" t="n">
        <f aca="false">C501/C498</f>
        <v>0.766642244086247</v>
      </c>
      <c r="D502" s="13" t="n">
        <f aca="false">D501/D498</f>
        <v>0.771307712053146</v>
      </c>
      <c r="E502" s="13" t="n">
        <f aca="false">E501/E498</f>
        <v>0.774463797303804</v>
      </c>
      <c r="F502" s="13" t="n">
        <f aca="false">F501/F498</f>
        <v>0.773033516810197</v>
      </c>
      <c r="G502" s="13" t="n">
        <f aca="false">G501/G498</f>
        <v>0.772690007509756</v>
      </c>
    </row>
    <row r="503" customFormat="false" ht="15" hidden="false" customHeight="false" outlineLevel="0" collapsed="false">
      <c r="A503" s="3" t="s">
        <v>528</v>
      </c>
      <c r="B503" s="3" t="s">
        <v>243</v>
      </c>
      <c r="C503" s="20" t="n">
        <f aca="false">a25_sh</f>
        <v>0.351547876169906</v>
      </c>
      <c r="D503" s="20" t="n">
        <f aca="false">a26_sh</f>
        <v>0.358290155440415</v>
      </c>
      <c r="E503" s="20" t="n">
        <f aca="false">D503*(1+sh_g)</f>
        <v>0.358290155440415</v>
      </c>
      <c r="F503" s="20" t="n">
        <f aca="false">E503*(1+sh_g)</f>
        <v>0.358290155440415</v>
      </c>
      <c r="G503" s="20" t="n">
        <f aca="false">F503*(1+sh_g)</f>
        <v>0.358290155440415</v>
      </c>
    </row>
    <row r="504" customFormat="false" ht="15" hidden="false" customHeight="false" outlineLevel="0" collapsed="false">
      <c r="A504" s="0" t="s">
        <v>414</v>
      </c>
      <c r="B504" s="0" t="s">
        <v>274</v>
      </c>
      <c r="C504" s="19" t="n">
        <f aca="false">C501/C503</f>
        <v>41.67</v>
      </c>
      <c r="D504" s="19" t="n">
        <f aca="false">D501/D503</f>
        <v>119.710515747433</v>
      </c>
      <c r="E504" s="19" t="n">
        <f aca="false">E501/E503</f>
        <v>186.432880524106</v>
      </c>
      <c r="F504" s="19" t="n">
        <f aca="false">F501/F503</f>
        <v>273.827948296823</v>
      </c>
      <c r="G504" s="19" t="n">
        <f aca="false">G501/G503</f>
        <v>308.658085149712</v>
      </c>
    </row>
    <row r="505" customFormat="false" ht="17.15" hidden="false" customHeight="false" outlineLevel="0" collapsed="false">
      <c r="A505" s="0" t="s">
        <v>529</v>
      </c>
      <c r="B505" s="0" t="s">
        <v>54</v>
      </c>
      <c r="D505" s="13" t="n">
        <f aca="false">D504/C504-1</f>
        <v>1.87282255213422</v>
      </c>
      <c r="E505" s="13" t="n">
        <f aca="false">E504/D504-1</f>
        <v>0.55736427464271</v>
      </c>
      <c r="F505" s="13" t="n">
        <f aca="false">F504/E504-1</f>
        <v>0.468774968916583</v>
      </c>
      <c r="G505" s="13" t="n">
        <f aca="false">G504/F504-1</f>
        <v>0.127197158177348</v>
      </c>
    </row>
    <row r="508" customFormat="false" ht="17.15" hidden="false" customHeight="false" outlineLevel="0" collapsed="false">
      <c r="A508" s="1" t="s">
        <v>847</v>
      </c>
    </row>
    <row r="509" customFormat="false" ht="17.15" hidden="false" customHeight="false" outlineLevel="0" collapsed="false">
      <c r="A509" s="4" t="s">
        <v>23</v>
      </c>
      <c r="B509" s="4" t="s">
        <v>24</v>
      </c>
      <c r="C509" s="10" t="s">
        <v>383</v>
      </c>
      <c r="D509" s="10" t="s">
        <v>469</v>
      </c>
      <c r="E509" s="10" t="s">
        <v>470</v>
      </c>
      <c r="F509" s="10" t="s">
        <v>471</v>
      </c>
      <c r="G509" s="10" t="s">
        <v>472</v>
      </c>
      <c r="H509" s="4" t="s">
        <v>437</v>
      </c>
    </row>
    <row r="510" customFormat="false" ht="17.15" hidden="false" customHeight="false" outlineLevel="0" collapsed="false">
      <c r="A510" s="5" t="s">
        <v>487</v>
      </c>
    </row>
    <row r="511" customFormat="false" ht="17.15" hidden="false" customHeight="false" outlineLevel="0" collapsed="false">
      <c r="A511" s="0" t="s">
        <v>488</v>
      </c>
      <c r="B511" s="0" t="s">
        <v>34</v>
      </c>
      <c r="D511" s="19" t="n">
        <f aca="false">itc_26*1</f>
        <v>781.872916666666</v>
      </c>
      <c r="E511" s="19" t="n">
        <f aca="false">itc_27*1*1</f>
        <v>1565.35</v>
      </c>
      <c r="F511" s="19" t="n">
        <f aca="false">itc_28*um28_A*1</f>
        <v>1984.26388888889</v>
      </c>
      <c r="G511" s="19" t="n">
        <f aca="false">itc_29*um29_A*1</f>
        <v>2260.39027777778</v>
      </c>
    </row>
    <row r="512" customFormat="false" ht="17.15" hidden="false" customHeight="false" outlineLevel="0" collapsed="false">
      <c r="A512" s="3" t="s">
        <v>489</v>
      </c>
      <c r="B512" s="0" t="s">
        <v>34</v>
      </c>
      <c r="D512" s="19" t="n">
        <f aca="false">itpg_gb*(1-vr26)+itpg_vr*vr26</f>
        <v>33.41403216</v>
      </c>
      <c r="E512" s="19" t="n">
        <f aca="false">itpg_vr</f>
        <v>37.586352</v>
      </c>
      <c r="F512" s="19" t="n">
        <f aca="false">itpg_vr</f>
        <v>37.586352</v>
      </c>
      <c r="G512" s="19" t="n">
        <f aca="false">itpg_vr</f>
        <v>37.586352</v>
      </c>
    </row>
    <row r="513" customFormat="false" ht="17.15" hidden="false" customHeight="false" outlineLevel="0" collapsed="false">
      <c r="A513" s="3" t="s">
        <v>490</v>
      </c>
      <c r="B513" s="0" t="s">
        <v>439</v>
      </c>
      <c r="D513" s="16" t="n">
        <f aca="false">D511/D512</f>
        <v>23.3995380420639</v>
      </c>
      <c r="E513" s="16" t="n">
        <f aca="false">E511/E512</f>
        <v>41.6467658260637</v>
      </c>
      <c r="F513" s="16" t="n">
        <f aca="false">F511/F512</f>
        <v>52.792138191248</v>
      </c>
      <c r="G513" s="16" t="n">
        <f aca="false">G511/G512</f>
        <v>60.1385917361116</v>
      </c>
    </row>
    <row r="514" customFormat="false" ht="17.15" hidden="false" customHeight="false" outlineLevel="0" collapsed="false">
      <c r="A514" s="3" t="s">
        <v>441</v>
      </c>
      <c r="B514" s="0" t="s">
        <v>94</v>
      </c>
      <c r="D514" s="17" t="n">
        <f aca="false">cmp_26</f>
        <v>190</v>
      </c>
      <c r="E514" s="17" t="n">
        <f aca="false">cmp_26*cmpx_27</f>
        <v>275.5</v>
      </c>
      <c r="F514" s="17" t="n">
        <f aca="false">cmp_26*cmpx_28</f>
        <v>304</v>
      </c>
      <c r="G514" s="17" t="n">
        <f aca="false">cmp_26*cmpx_29</f>
        <v>323</v>
      </c>
    </row>
    <row r="515" customFormat="false" ht="17.15" hidden="false" customHeight="false" outlineLevel="0" collapsed="false">
      <c r="A515" s="3" t="s">
        <v>443</v>
      </c>
      <c r="B515" s="0" t="s">
        <v>94</v>
      </c>
      <c r="D515" s="17" t="n">
        <f aca="false">sw_26</f>
        <v>90</v>
      </c>
      <c r="E515" s="17" t="n">
        <f aca="false">sw_26*swx_27</f>
        <v>126</v>
      </c>
      <c r="F515" s="17" t="n">
        <f aca="false">sw_26*swx_28</f>
        <v>144</v>
      </c>
      <c r="G515" s="17" t="n">
        <f aca="false">sw_26*swx_29</f>
        <v>157.5</v>
      </c>
    </row>
    <row r="516" customFormat="false" ht="17.15" hidden="false" customHeight="false" outlineLevel="0" collapsed="false">
      <c r="A516" s="3" t="s">
        <v>444</v>
      </c>
      <c r="B516" s="0" t="s">
        <v>94</v>
      </c>
      <c r="D516" s="17" t="n">
        <f aca="false">ubb_26</f>
        <v>70</v>
      </c>
      <c r="E516" s="17" t="n">
        <f aca="false">ubb_26*ubbx_27</f>
        <v>126</v>
      </c>
      <c r="F516" s="17" t="n">
        <f aca="false">ubb_26*ubbx_28</f>
        <v>161</v>
      </c>
      <c r="G516" s="17" t="n">
        <f aca="false">ubb_26*ubbx_29</f>
        <v>182</v>
      </c>
    </row>
    <row r="517" customFormat="false" ht="17.15" hidden="false" customHeight="false" outlineLevel="0" collapsed="false">
      <c r="A517" s="3" t="s">
        <v>491</v>
      </c>
      <c r="B517" s="0" t="s">
        <v>94</v>
      </c>
      <c r="D517" s="17" t="n">
        <f aca="false">D514+D515+D516</f>
        <v>350</v>
      </c>
      <c r="E517" s="17" t="n">
        <f aca="false">E514+E515+E516</f>
        <v>527.5</v>
      </c>
      <c r="F517" s="17" t="n">
        <f aca="false">F514+F515+F516</f>
        <v>609</v>
      </c>
      <c r="G517" s="17" t="n">
        <f aca="false">G514+G515+G516</f>
        <v>662.5</v>
      </c>
    </row>
    <row r="518" customFormat="false" ht="17.15" hidden="false" customHeight="false" outlineLevel="0" collapsed="false">
      <c r="A518" s="0" t="s">
        <v>492</v>
      </c>
      <c r="B518" s="0" t="s">
        <v>34</v>
      </c>
      <c r="D518" s="19" t="n">
        <f aca="false">D513*D517/1000</f>
        <v>8.18983831472236</v>
      </c>
      <c r="E518" s="19" t="n">
        <f aca="false">E513*E517/1000</f>
        <v>21.9686689732486</v>
      </c>
      <c r="F518" s="19" t="n">
        <f aca="false">F513*F517/1000</f>
        <v>32.15041215847</v>
      </c>
      <c r="G518" s="19" t="n">
        <f aca="false">G513*G517/1000</f>
        <v>39.8418170251739</v>
      </c>
    </row>
    <row r="519" customFormat="false" ht="17.15" hidden="false" customHeight="false" outlineLevel="0" collapsed="false">
      <c r="A519" s="0" t="s">
        <v>493</v>
      </c>
      <c r="B519" s="0" t="s">
        <v>214</v>
      </c>
      <c r="D519" s="18" t="n">
        <f aca="false">D518*fx</f>
        <v>262.074826071116</v>
      </c>
      <c r="E519" s="18" t="n">
        <f aca="false">E518*fx</f>
        <v>702.997407143955</v>
      </c>
      <c r="F519" s="18" t="n">
        <f aca="false">F518*fx</f>
        <v>1028.81318907104</v>
      </c>
      <c r="G519" s="18" t="n">
        <f aca="false">G518*fx</f>
        <v>1274.93814480557</v>
      </c>
    </row>
    <row r="520" customFormat="false" ht="17.15" hidden="false" customHeight="false" outlineLevel="0" collapsed="false">
      <c r="A520" s="0" t="s">
        <v>494</v>
      </c>
      <c r="B520" s="0" t="s">
        <v>67</v>
      </c>
      <c r="D520" s="14" t="n">
        <f aca="false">1</f>
        <v>1</v>
      </c>
      <c r="E520" s="14" t="n">
        <f aca="false">pp_27</f>
        <v>1</v>
      </c>
      <c r="F520" s="14" t="n">
        <f aca="false">pp_28</f>
        <v>0.97</v>
      </c>
      <c r="G520" s="14" t="n">
        <f aca="false">pp_29</f>
        <v>0.93</v>
      </c>
    </row>
    <row r="521" customFormat="false" ht="17.15" hidden="false" customHeight="false" outlineLevel="0" collapsed="false">
      <c r="A521" s="3" t="s">
        <v>495</v>
      </c>
      <c r="B521" s="0" t="s">
        <v>54</v>
      </c>
      <c r="D521" s="13" t="n">
        <f aca="false">a26_ai/D519</f>
        <v>0.459306165741139</v>
      </c>
      <c r="H521" s="7" t="s">
        <v>496</v>
      </c>
    </row>
    <row r="522" customFormat="false" ht="17.15" hidden="false" customHeight="false" outlineLevel="0" collapsed="false">
      <c r="A522" s="3" t="s">
        <v>497</v>
      </c>
      <c r="B522" s="0" t="s">
        <v>67</v>
      </c>
      <c r="D522" s="14" t="n">
        <f aca="false">1</f>
        <v>1</v>
      </c>
      <c r="E522" s="14" t="n">
        <f aca="false">rel_27</f>
        <v>0.95</v>
      </c>
      <c r="F522" s="14" t="n">
        <f aca="false">rel_28</f>
        <v>0.9</v>
      </c>
      <c r="G522" s="14" t="n">
        <f aca="false">rel_29</f>
        <v>0.85</v>
      </c>
    </row>
    <row r="523" customFormat="false" ht="15" hidden="false" customHeight="false" outlineLevel="0" collapsed="false">
      <c r="A523" s="3" t="s">
        <v>452</v>
      </c>
      <c r="B523" s="0" t="s">
        <v>54</v>
      </c>
      <c r="D523" s="13" t="n">
        <f aca="false">$D$521*D522</f>
        <v>0.459306165741139</v>
      </c>
      <c r="E523" s="13" t="n">
        <f aca="false">$D$521*E522</f>
        <v>0.436340857454082</v>
      </c>
      <c r="F523" s="13" t="n">
        <f aca="false">$D$521*F522</f>
        <v>0.413375549167025</v>
      </c>
      <c r="G523" s="13" t="n">
        <f aca="false">$D$521*G522</f>
        <v>0.390410240879968</v>
      </c>
    </row>
    <row r="524" customFormat="false" ht="17.15" hidden="false" customHeight="false" outlineLevel="0" collapsed="false">
      <c r="A524" s="0" t="s">
        <v>498</v>
      </c>
      <c r="B524" s="0" t="s">
        <v>214</v>
      </c>
      <c r="D524" s="18" t="n">
        <f aca="false">D519*D523*D520</f>
        <v>120.3725835</v>
      </c>
      <c r="E524" s="18" t="n">
        <f aca="false">E519*E523*E520</f>
        <v>306.74649142119</v>
      </c>
      <c r="F524" s="18" t="n">
        <f aca="false">F519*F523*F520</f>
        <v>412.527630511844</v>
      </c>
      <c r="G524" s="18" t="n">
        <f aca="false">G519*G523*G520</f>
        <v>462.906484645158</v>
      </c>
    </row>
    <row r="525" customFormat="false" ht="17.15" hidden="false" customHeight="false" outlineLevel="0" collapsed="false">
      <c r="A525" s="5" t="s">
        <v>499</v>
      </c>
    </row>
    <row r="526" customFormat="false" ht="15" hidden="false" customHeight="false" outlineLevel="0" collapsed="false">
      <c r="A526" s="3" t="s">
        <v>457</v>
      </c>
      <c r="B526" s="3" t="s">
        <v>151</v>
      </c>
      <c r="D526" s="14" t="n">
        <f aca="false">cap_26</f>
        <v>6</v>
      </c>
      <c r="E526" s="14" t="n">
        <f aca="false">CAPHI_27</f>
        <v>8.2</v>
      </c>
      <c r="F526" s="14" t="n">
        <f aca="false">CAPHI_28</f>
        <v>10.8</v>
      </c>
      <c r="G526" s="14" t="n">
        <f aca="false">CAPHI_29</f>
        <v>13</v>
      </c>
    </row>
    <row r="527" customFormat="false" ht="17.15" hidden="false" customHeight="false" outlineLevel="0" collapsed="false">
      <c r="A527" s="3" t="s">
        <v>500</v>
      </c>
      <c r="B527" s="0" t="s">
        <v>460</v>
      </c>
      <c r="D527" s="17" t="n">
        <f aca="false">a26_rev/(D526*12)*1000</f>
        <v>2857.84861111111</v>
      </c>
      <c r="H527" s="7" t="s">
        <v>501</v>
      </c>
    </row>
    <row r="528" customFormat="false" ht="17.15" hidden="false" customHeight="false" outlineLevel="0" collapsed="false">
      <c r="A528" s="3" t="s">
        <v>502</v>
      </c>
      <c r="B528" s="0" t="s">
        <v>67</v>
      </c>
      <c r="D528" s="14" t="n">
        <f aca="false">1</f>
        <v>1</v>
      </c>
      <c r="E528" s="14" t="n">
        <f aca="false">mix_27</f>
        <v>1.25</v>
      </c>
      <c r="F528" s="14" t="n">
        <f aca="false">mix_28</f>
        <v>1.4</v>
      </c>
      <c r="G528" s="14" t="n">
        <f aca="false">mix_29</f>
        <v>1.5</v>
      </c>
    </row>
    <row r="529" customFormat="false" ht="17.15" hidden="false" customHeight="false" outlineLevel="0" collapsed="false">
      <c r="A529" s="3" t="s">
        <v>503</v>
      </c>
      <c r="B529" s="0" t="s">
        <v>214</v>
      </c>
      <c r="D529" s="18" t="n">
        <f aca="false">D526*12*$D$527*D528*D520/1000</f>
        <v>205.7651</v>
      </c>
      <c r="E529" s="18" t="n">
        <f aca="false">E526*12*$D$527*E528*E520/1000</f>
        <v>351.515379166667</v>
      </c>
      <c r="F529" s="18" t="n">
        <f aca="false">F526*12*$D$527*F528*F520/1000</f>
        <v>502.97221044</v>
      </c>
      <c r="G529" s="18" t="n">
        <f aca="false">G526*12*$D$527*G528*G520/1000</f>
        <v>621.92501475</v>
      </c>
    </row>
    <row r="530" customFormat="false" ht="17.15" hidden="false" customHeight="false" outlineLevel="0" collapsed="false">
      <c r="A530" s="3" t="s">
        <v>504</v>
      </c>
      <c r="B530" s="0" t="s">
        <v>214</v>
      </c>
      <c r="C530" s="18" t="n">
        <f aca="false">a25_nai</f>
        <v>47.1305</v>
      </c>
      <c r="D530" s="18" t="n">
        <f aca="false">a26_nai</f>
        <v>85.3925165</v>
      </c>
      <c r="E530" s="18" t="n">
        <f aca="false">D530*(1+g_nai27)</f>
        <v>92.22391782</v>
      </c>
      <c r="F530" s="18" t="n">
        <f aca="false">E530*(1+g_nai28)</f>
        <v>97.7573528892</v>
      </c>
      <c r="G530" s="18" t="n">
        <f aca="false">F530*(1+g_nai29)</f>
        <v>102.64522053366</v>
      </c>
    </row>
    <row r="531" customFormat="false" ht="17.15" hidden="false" customHeight="false" outlineLevel="0" collapsed="false">
      <c r="A531" s="0" t="s">
        <v>505</v>
      </c>
      <c r="B531" s="0" t="s">
        <v>214</v>
      </c>
      <c r="C531" s="18" t="n">
        <f aca="false">a25_ai</f>
        <v>47.1305</v>
      </c>
      <c r="D531" s="18" t="n">
        <f aca="false">D524</f>
        <v>120.3725835</v>
      </c>
      <c r="E531" s="18" t="n">
        <f aca="false">MIN(E524,E529-E530)</f>
        <v>259.291461346667</v>
      </c>
      <c r="F531" s="18" t="n">
        <f aca="false">MIN(F524,F529-F530)</f>
        <v>405.2148575508</v>
      </c>
      <c r="G531" s="18" t="n">
        <f aca="false">MIN(G524,G529-G530)</f>
        <v>462.906484645158</v>
      </c>
      <c r="H531" s="3" t="s">
        <v>506</v>
      </c>
    </row>
    <row r="532" customFormat="false" ht="15" hidden="false" customHeight="false" outlineLevel="0" collapsed="false">
      <c r="A532" s="3" t="s">
        <v>507</v>
      </c>
      <c r="E532" s="0" t="str">
        <f aca="false">IF(E524&gt;E529-E530+0.0001,"受限","未受限")</f>
        <v>受限</v>
      </c>
      <c r="F532" s="0" t="str">
        <f aca="false">IF(F524&gt;F529-F530+0.0001,"受限","未受限")</f>
        <v>受限</v>
      </c>
      <c r="G532" s="0" t="str">
        <f aca="false">IF(G524&gt;G529-G530+0.0001,"受限","未受限")</f>
        <v>未受限</v>
      </c>
    </row>
    <row r="533" customFormat="false" ht="15" hidden="false" customHeight="false" outlineLevel="0" collapsed="false">
      <c r="A533" s="3" t="s">
        <v>388</v>
      </c>
      <c r="B533" s="0" t="s">
        <v>214</v>
      </c>
      <c r="C533" s="18" t="n">
        <f aca="false">C531+C530</f>
        <v>94.261</v>
      </c>
      <c r="D533" s="18" t="n">
        <f aca="false">D531+D530</f>
        <v>205.7651</v>
      </c>
      <c r="E533" s="18" t="n">
        <f aca="false">E531+E530</f>
        <v>351.515379166667</v>
      </c>
      <c r="F533" s="18" t="n">
        <f aca="false">F531+F530</f>
        <v>502.97221044</v>
      </c>
      <c r="G533" s="18" t="n">
        <f aca="false">G531+G530</f>
        <v>565.551705178819</v>
      </c>
    </row>
    <row r="534" customFormat="false" ht="15" hidden="false" customHeight="false" outlineLevel="0" collapsed="false">
      <c r="A534" s="3" t="s">
        <v>508</v>
      </c>
      <c r="B534" s="0" t="s">
        <v>54</v>
      </c>
      <c r="D534" s="13" t="n">
        <f aca="false">D533/C533-1</f>
        <v>1.1829293132897</v>
      </c>
      <c r="E534" s="13" t="n">
        <f aca="false">E533/D533-1</f>
        <v>0.708333333333333</v>
      </c>
      <c r="F534" s="13" t="n">
        <f aca="false">F533/E533-1</f>
        <v>0.430868292682927</v>
      </c>
      <c r="G534" s="13" t="n">
        <f aca="false">G533/F533-1</f>
        <v>0.124419388268139</v>
      </c>
    </row>
    <row r="535" customFormat="false" ht="17.15" hidden="false" customHeight="false" outlineLevel="0" collapsed="false">
      <c r="A535" s="3" t="s">
        <v>509</v>
      </c>
      <c r="B535" s="0" t="s">
        <v>214</v>
      </c>
      <c r="C535" s="18" t="n">
        <f aca="false">inf25*C533-C531</f>
        <v>16.495675</v>
      </c>
      <c r="D535" s="18" t="n">
        <f aca="false">inf26*D533-D531</f>
        <v>33.9512415</v>
      </c>
      <c r="E535" s="18" t="n">
        <f aca="false">E530*$D535/$D530</f>
        <v>36.66734082</v>
      </c>
      <c r="F535" s="18" t="n">
        <f aca="false">F530*$D535/$D530</f>
        <v>38.8673812692</v>
      </c>
      <c r="G535" s="18" t="n">
        <f aca="false">G530*$D535/$D530</f>
        <v>40.81075033266</v>
      </c>
      <c r="H535" s="3" t="s">
        <v>510</v>
      </c>
    </row>
    <row r="536" customFormat="false" ht="17.15" hidden="false" customHeight="false" outlineLevel="0" collapsed="false">
      <c r="A536" s="3" t="s">
        <v>511</v>
      </c>
      <c r="B536" s="0" t="s">
        <v>214</v>
      </c>
      <c r="C536" s="18" t="n">
        <f aca="false">C531+C535</f>
        <v>63.626175</v>
      </c>
      <c r="D536" s="18" t="n">
        <f aca="false">D531+D535</f>
        <v>154.323825</v>
      </c>
      <c r="E536" s="18" t="n">
        <f aca="false">E531+E535</f>
        <v>295.958802166667</v>
      </c>
      <c r="F536" s="18" t="n">
        <f aca="false">F531+F535</f>
        <v>444.08223882</v>
      </c>
      <c r="G536" s="18" t="n">
        <f aca="false">G531+G535</f>
        <v>503.717234977818</v>
      </c>
      <c r="H536" s="3" t="s">
        <v>512</v>
      </c>
    </row>
    <row r="537" customFormat="false" ht="15" hidden="false" customHeight="false" outlineLevel="0" collapsed="false">
      <c r="A537" s="3" t="s">
        <v>513</v>
      </c>
      <c r="B537" s="0" t="s">
        <v>214</v>
      </c>
      <c r="C537" s="18" t="n">
        <f aca="false">mob25*C533</f>
        <v>21.208725</v>
      </c>
      <c r="D537" s="18" t="n">
        <f aca="false">mob26*D533</f>
        <v>37.037718</v>
      </c>
      <c r="E537" s="18" t="n">
        <f aca="false">E530*$D537/$D530</f>
        <v>40.00073544</v>
      </c>
      <c r="F537" s="18" t="n">
        <f aca="false">F530*$D537/$D530</f>
        <v>42.4007795664</v>
      </c>
      <c r="G537" s="18" t="n">
        <f aca="false">G530*$D537/$D530</f>
        <v>44.52081854472</v>
      </c>
      <c r="H537" s="3" t="s">
        <v>514</v>
      </c>
    </row>
    <row r="538" customFormat="false" ht="15" hidden="false" customHeight="false" outlineLevel="0" collapsed="false">
      <c r="A538" s="3" t="s">
        <v>515</v>
      </c>
      <c r="B538" s="0" t="s">
        <v>214</v>
      </c>
      <c r="C538" s="18" t="n">
        <f aca="false">C533-C536-C537</f>
        <v>9.42609999999999</v>
      </c>
      <c r="D538" s="18" t="n">
        <f aca="false">D533-D536-D537</f>
        <v>14.403557</v>
      </c>
      <c r="E538" s="18" t="n">
        <f aca="false">E533-E536-E537</f>
        <v>15.55584156</v>
      </c>
      <c r="F538" s="18" t="n">
        <f aca="false">F533-F536-F537</f>
        <v>16.4891920536</v>
      </c>
      <c r="G538" s="18" t="n">
        <f aca="false">G533-G536-G537</f>
        <v>17.31365165628</v>
      </c>
      <c r="H538" s="3" t="s">
        <v>516</v>
      </c>
    </row>
    <row r="539" customFormat="false" ht="15" hidden="false" customHeight="false" outlineLevel="0" collapsed="false">
      <c r="A539" s="3" t="s">
        <v>517</v>
      </c>
      <c r="B539" s="0" t="s">
        <v>214</v>
      </c>
      <c r="C539" s="21" t="n">
        <f aca="false">C536+C537+C538-C533</f>
        <v>0</v>
      </c>
      <c r="D539" s="21" t="n">
        <f aca="false">D536+D537+D538-D533</f>
        <v>0</v>
      </c>
      <c r="E539" s="21" t="n">
        <f aca="false">E536+E537+E538-E533</f>
        <v>0</v>
      </c>
      <c r="F539" s="21" t="n">
        <f aca="false">F536+F537+F538-F533</f>
        <v>0</v>
      </c>
      <c r="G539" s="21" t="n">
        <f aca="false">G536+G537+G538-G533</f>
        <v>0</v>
      </c>
    </row>
    <row r="540" customFormat="false" ht="17.15" hidden="false" customHeight="false" outlineLevel="0" collapsed="false">
      <c r="A540" s="0" t="s">
        <v>518</v>
      </c>
      <c r="B540" s="0" t="s">
        <v>54</v>
      </c>
      <c r="C540" s="13" t="n">
        <f aca="false">C531/C533</f>
        <v>0.5</v>
      </c>
      <c r="D540" s="13" t="n">
        <f aca="false">D531/D533</f>
        <v>0.585</v>
      </c>
      <c r="E540" s="13" t="n">
        <f aca="false">E531/E533</f>
        <v>0.737639024390244</v>
      </c>
      <c r="F540" s="13" t="n">
        <f aca="false">F531/F533</f>
        <v>0.805640648011782</v>
      </c>
      <c r="G540" s="13" t="n">
        <f aca="false">G531/G533</f>
        <v>0.818504268321134</v>
      </c>
    </row>
    <row r="541" customFormat="false" ht="17.15" hidden="false" customHeight="false" outlineLevel="0" collapsed="false">
      <c r="A541" s="3" t="s">
        <v>519</v>
      </c>
      <c r="B541" s="0" t="s">
        <v>54</v>
      </c>
      <c r="D541" s="13" t="n">
        <f aca="false">(D524+D530)/D529</f>
        <v>1</v>
      </c>
      <c r="E541" s="13" t="n">
        <f aca="false">(E524+E530)/E529</f>
        <v>1.13500129122949</v>
      </c>
      <c r="F541" s="13" t="n">
        <f aca="false">(F524+F530)/F529</f>
        <v>1.01453911927788</v>
      </c>
      <c r="G541" s="13" t="n">
        <f aca="false">(G524+G530)/G529</f>
        <v>0.90935674199591</v>
      </c>
      <c r="H541" s="3" t="s">
        <v>520</v>
      </c>
    </row>
    <row r="542" customFormat="false" ht="17.15" hidden="false" customHeight="false" outlineLevel="0" collapsed="false">
      <c r="A542" s="3" t="s">
        <v>456</v>
      </c>
      <c r="B542" s="0" t="s">
        <v>94</v>
      </c>
      <c r="D542" s="17" t="n">
        <f aca="false">D531/fx/D513*1000</f>
        <v>160.757158009399</v>
      </c>
      <c r="E542" s="17" t="n">
        <f aca="false">E531/fx/E513*1000</f>
        <v>194.561522518331</v>
      </c>
      <c r="F542" s="17" t="n">
        <f aca="false">F531/fx/F513*1000</f>
        <v>239.864584620325</v>
      </c>
      <c r="G542" s="17" t="n">
        <f aca="false">G531/fx/G513*1000</f>
        <v>240.54150966217</v>
      </c>
    </row>
    <row r="543" customFormat="false" ht="17.15" hidden="false" customHeight="false" outlineLevel="0" collapsed="false">
      <c r="A543" s="5" t="s">
        <v>521</v>
      </c>
    </row>
    <row r="544" customFormat="false" ht="17.15" hidden="false" customHeight="false" outlineLevel="0" collapsed="false">
      <c r="A544" s="3" t="s">
        <v>522</v>
      </c>
      <c r="B544" s="0" t="s">
        <v>54</v>
      </c>
      <c r="D544" s="13" t="n">
        <f aca="false">a26_gp/D533-d_ai*D540</f>
        <v>0.291564442755356</v>
      </c>
      <c r="H544" s="7" t="s">
        <v>523</v>
      </c>
    </row>
    <row r="545" customFormat="false" ht="17.15" hidden="false" customHeight="false" outlineLevel="0" collapsed="false">
      <c r="A545" s="0" t="s">
        <v>524</v>
      </c>
      <c r="B545" s="0" t="s">
        <v>54</v>
      </c>
      <c r="D545" s="13" t="n">
        <f aca="false">D544+d_ai</f>
        <v>0.371564442755356</v>
      </c>
      <c r="E545" s="13" t="n">
        <f aca="false">1-(1-$D$545)/E520</f>
        <v>0.371564442755356</v>
      </c>
      <c r="F545" s="13" t="n">
        <f aca="false">1-(1-$D$545)/F520</f>
        <v>0.352128291500367</v>
      </c>
      <c r="G545" s="13" t="n">
        <f aca="false">1-(1-$D$545)/G520</f>
        <v>0.324262841672425</v>
      </c>
      <c r="H545" s="7" t="s">
        <v>525</v>
      </c>
    </row>
    <row r="546" customFormat="false" ht="15" hidden="false" customHeight="false" outlineLevel="0" collapsed="false">
      <c r="A546" s="3" t="s">
        <v>392</v>
      </c>
      <c r="B546" s="0" t="s">
        <v>214</v>
      </c>
      <c r="C546" s="18" t="n">
        <f aca="false">a25_gp</f>
        <v>28.12</v>
      </c>
      <c r="D546" s="18" t="n">
        <f aca="false">a26_gp</f>
        <v>69.6235934</v>
      </c>
      <c r="E546" s="18" t="n">
        <f aca="false">E531*E545+E530*$D$544</f>
        <v>123.2327025544</v>
      </c>
      <c r="F546" s="18" t="n">
        <f aca="false">F531*F545+F530*$D$544</f>
        <v>171.190183600306</v>
      </c>
      <c r="G546" s="18" t="n">
        <f aca="false">G531*G545+G530*$D$544</f>
        <v>180.031068666029</v>
      </c>
    </row>
    <row r="547" customFormat="false" ht="15" hidden="false" customHeight="false" outlineLevel="0" collapsed="false">
      <c r="A547" s="3" t="s">
        <v>395</v>
      </c>
      <c r="B547" s="0" t="s">
        <v>54</v>
      </c>
      <c r="C547" s="13" t="n">
        <f aca="false">C546/C533</f>
        <v>0.298320620405046</v>
      </c>
      <c r="D547" s="13" t="n">
        <f aca="false">D546/D533</f>
        <v>0.338364442755356</v>
      </c>
      <c r="E547" s="13" t="n">
        <f aca="false">E546/E533</f>
        <v>0.350575564706575</v>
      </c>
      <c r="F547" s="13" t="n">
        <f aca="false">F546/F533</f>
        <v>0.340357141104374</v>
      </c>
      <c r="G547" s="13" t="n">
        <f aca="false">G546/G533</f>
        <v>0.318328221836244</v>
      </c>
    </row>
    <row r="548" customFormat="false" ht="15" hidden="false" customHeight="false" outlineLevel="0" collapsed="false">
      <c r="A548" s="3" t="s">
        <v>526</v>
      </c>
      <c r="B548" s="0" t="s">
        <v>214</v>
      </c>
      <c r="C548" s="18" t="n">
        <f aca="false">a25_opx</f>
        <v>9.012</v>
      </c>
      <c r="D548" s="18" t="n">
        <f aca="false">a26_opx</f>
        <v>14.0153081141857</v>
      </c>
      <c r="E548" s="18" t="n">
        <f aca="false">D548*(1+MAX(0,phi*E534))</f>
        <v>19.9718140627147</v>
      </c>
      <c r="F548" s="18" t="n">
        <f aca="false">E548*(1+MAX(0,phi*F534))</f>
        <v>25.1349469189043</v>
      </c>
      <c r="G548" s="18" t="n">
        <f aca="false">F548*(1+MAX(0,phi*G534))</f>
        <v>27.0113117507857</v>
      </c>
    </row>
    <row r="549" customFormat="false" ht="15" hidden="false" customHeight="false" outlineLevel="0" collapsed="false">
      <c r="A549" s="3" t="s">
        <v>397</v>
      </c>
      <c r="B549" s="0" t="s">
        <v>214</v>
      </c>
      <c r="C549" s="18" t="n">
        <f aca="false">C548</f>
        <v>9.012</v>
      </c>
      <c r="D549" s="18" t="n">
        <f aca="false">D548</f>
        <v>14.0153081141857</v>
      </c>
      <c r="E549" s="18" t="n">
        <f aca="false">E548+0*E533</f>
        <v>19.9718140627147</v>
      </c>
      <c r="F549" s="18" t="n">
        <f aca="false">F548+0*F533</f>
        <v>25.1349469189043</v>
      </c>
      <c r="G549" s="18" t="n">
        <f aca="false">G548+0*G533</f>
        <v>27.0113117507857</v>
      </c>
    </row>
    <row r="550" customFormat="false" ht="15" hidden="false" customHeight="false" outlineLevel="0" collapsed="false">
      <c r="A550" s="3" t="s">
        <v>400</v>
      </c>
      <c r="B550" s="0" t="s">
        <v>214</v>
      </c>
      <c r="C550" s="18" t="n">
        <f aca="false">C546-C549</f>
        <v>19.108</v>
      </c>
      <c r="D550" s="18" t="n">
        <f aca="false">D546-D549</f>
        <v>55.6082852858143</v>
      </c>
      <c r="E550" s="18" t="n">
        <f aca="false">E546-E549</f>
        <v>103.260888491685</v>
      </c>
      <c r="F550" s="18" t="n">
        <f aca="false">F546-F549</f>
        <v>146.055236681401</v>
      </c>
      <c r="G550" s="18" t="n">
        <f aca="false">G546-G549</f>
        <v>153.019756915243</v>
      </c>
    </row>
    <row r="551" customFormat="false" ht="15" hidden="false" customHeight="false" outlineLevel="0" collapsed="false">
      <c r="A551" s="3" t="s">
        <v>403</v>
      </c>
      <c r="B551" s="0" t="s">
        <v>54</v>
      </c>
      <c r="C551" s="13" t="n">
        <f aca="false">C550/C533</f>
        <v>0.202713741632276</v>
      </c>
      <c r="D551" s="13" t="n">
        <f aca="false">D550/D533</f>
        <v>0.270251297648699</v>
      </c>
      <c r="E551" s="13" t="n">
        <f aca="false">E550/E533</f>
        <v>0.293759233910291</v>
      </c>
      <c r="F551" s="13" t="n">
        <f aca="false">F550/F533</f>
        <v>0.290384306826082</v>
      </c>
      <c r="G551" s="13" t="n">
        <f aca="false">G550/G533</f>
        <v>0.270567227565623</v>
      </c>
    </row>
    <row r="552" customFormat="false" ht="17.15" hidden="false" customHeight="false" outlineLevel="0" collapsed="false">
      <c r="A552" s="3" t="s">
        <v>405</v>
      </c>
      <c r="B552" s="0" t="s">
        <v>214</v>
      </c>
      <c r="E552" s="18" t="n">
        <f aca="false">nop_f</f>
        <v>0.5</v>
      </c>
      <c r="F552" s="18" t="n">
        <f aca="false">nop_f</f>
        <v>0.5</v>
      </c>
      <c r="G552" s="18" t="n">
        <f aca="false">nop_f</f>
        <v>0.5</v>
      </c>
      <c r="H552" s="7" t="s">
        <v>527</v>
      </c>
    </row>
    <row r="553" customFormat="false" ht="15" hidden="false" customHeight="false" outlineLevel="0" collapsed="false">
      <c r="A553" s="3" t="s">
        <v>408</v>
      </c>
      <c r="B553" s="0" t="s">
        <v>214</v>
      </c>
      <c r="C553" s="18" t="n">
        <f aca="false">a25_ni</f>
        <v>14.649</v>
      </c>
      <c r="D553" s="18" t="n">
        <f aca="false">a26_ni</f>
        <v>42.891099295</v>
      </c>
      <c r="E553" s="18" t="n">
        <f aca="false">(E550+E552)*nir_f</f>
        <v>79.8958841385977</v>
      </c>
      <c r="F553" s="18" t="n">
        <f aca="false">(F550+F552)*nir_f</f>
        <v>112.847532244679</v>
      </c>
      <c r="G553" s="18" t="n">
        <f aca="false">(G550+G552)*nir_f</f>
        <v>118.210212824737</v>
      </c>
    </row>
    <row r="554" customFormat="false" ht="17.15" hidden="false" customHeight="false" outlineLevel="0" collapsed="false">
      <c r="A554" s="3" t="s">
        <v>411</v>
      </c>
      <c r="B554" s="0" t="s">
        <v>54</v>
      </c>
      <c r="C554" s="13" t="n">
        <f aca="false">C553/C550</f>
        <v>0.766642244086247</v>
      </c>
      <c r="D554" s="13" t="n">
        <f aca="false">D553/D550</f>
        <v>0.771307712053146</v>
      </c>
      <c r="E554" s="13" t="n">
        <f aca="false">E553/E550</f>
        <v>0.773728420369257</v>
      </c>
      <c r="F554" s="13" t="n">
        <f aca="false">F553/F550</f>
        <v>0.772635989018592</v>
      </c>
      <c r="G554" s="13" t="n">
        <f aca="false">G553/G550</f>
        <v>0.772516014975852</v>
      </c>
    </row>
    <row r="555" customFormat="false" ht="15" hidden="false" customHeight="false" outlineLevel="0" collapsed="false">
      <c r="A555" s="3" t="s">
        <v>528</v>
      </c>
      <c r="B555" s="3" t="s">
        <v>243</v>
      </c>
      <c r="C555" s="20" t="n">
        <f aca="false">a25_sh</f>
        <v>0.351547876169906</v>
      </c>
      <c r="D555" s="20" t="n">
        <f aca="false">a26_sh</f>
        <v>0.358290155440415</v>
      </c>
      <c r="E555" s="20" t="n">
        <f aca="false">D555*(1+sh_g)</f>
        <v>0.358290155440415</v>
      </c>
      <c r="F555" s="20" t="n">
        <f aca="false">E555*(1+sh_g)</f>
        <v>0.358290155440415</v>
      </c>
      <c r="G555" s="20" t="n">
        <f aca="false">F555*(1+sh_g)</f>
        <v>0.358290155440415</v>
      </c>
    </row>
    <row r="556" customFormat="false" ht="15" hidden="false" customHeight="false" outlineLevel="0" collapsed="false">
      <c r="A556" s="0" t="s">
        <v>414</v>
      </c>
      <c r="B556" s="0" t="s">
        <v>274</v>
      </c>
      <c r="C556" s="19" t="n">
        <f aca="false">C553/C555</f>
        <v>41.67</v>
      </c>
      <c r="D556" s="19" t="n">
        <f aca="false">D553/D555</f>
        <v>119.710515747433</v>
      </c>
      <c r="E556" s="19" t="n">
        <f aca="false">E553/E555</f>
        <v>222.992127819947</v>
      </c>
      <c r="F556" s="19" t="n">
        <f aca="false">F553/F555</f>
        <v>314.96129751588</v>
      </c>
      <c r="G556" s="19" t="n">
        <f aca="false">G553/G555</f>
        <v>329.928721260656</v>
      </c>
    </row>
    <row r="557" customFormat="false" ht="17.15" hidden="false" customHeight="false" outlineLevel="0" collapsed="false">
      <c r="A557" s="0" t="s">
        <v>529</v>
      </c>
      <c r="B557" s="0" t="s">
        <v>54</v>
      </c>
      <c r="D557" s="13" t="n">
        <f aca="false">D556/C556-1</f>
        <v>1.87282255213422</v>
      </c>
      <c r="E557" s="13" t="n">
        <f aca="false">E556/D556-1</f>
        <v>0.862761399261023</v>
      </c>
      <c r="F557" s="13" t="n">
        <f aca="false">F556/E556-1</f>
        <v>0.412432360707334</v>
      </c>
      <c r="G557" s="13" t="n">
        <f aca="false">G556/F556-1</f>
        <v>0.047521469662543</v>
      </c>
    </row>
    <row r="560" customFormat="false" ht="17.15" hidden="false" customHeight="false" outlineLevel="0" collapsed="false">
      <c r="A560" s="1" t="s">
        <v>848</v>
      </c>
    </row>
    <row r="561" customFormat="false" ht="17.15" hidden="false" customHeight="false" outlineLevel="0" collapsed="false">
      <c r="A561" s="4" t="s">
        <v>23</v>
      </c>
      <c r="B561" s="4" t="s">
        <v>24</v>
      </c>
      <c r="C561" s="10" t="s">
        <v>383</v>
      </c>
      <c r="D561" s="10" t="s">
        <v>469</v>
      </c>
      <c r="E561" s="10" t="s">
        <v>470</v>
      </c>
      <c r="F561" s="10" t="s">
        <v>471</v>
      </c>
      <c r="G561" s="10" t="s">
        <v>472</v>
      </c>
      <c r="H561" s="4" t="s">
        <v>437</v>
      </c>
    </row>
    <row r="562" customFormat="false" ht="17.15" hidden="false" customHeight="false" outlineLevel="0" collapsed="false">
      <c r="A562" s="5" t="s">
        <v>487</v>
      </c>
    </row>
    <row r="563" customFormat="false" ht="17.15" hidden="false" customHeight="false" outlineLevel="0" collapsed="false">
      <c r="A563" s="0" t="s">
        <v>488</v>
      </c>
      <c r="B563" s="0" t="s">
        <v>34</v>
      </c>
      <c r="D563" s="19" t="n">
        <f aca="false">itc_26*1</f>
        <v>781.872916666666</v>
      </c>
      <c r="E563" s="19" t="n">
        <f aca="false">itc_27*1*1</f>
        <v>1565.35</v>
      </c>
      <c r="F563" s="19" t="n">
        <f aca="false">itc_28*um28_A*1</f>
        <v>1984.26388888889</v>
      </c>
      <c r="G563" s="19" t="n">
        <f aca="false">itc_29*um29_A*1</f>
        <v>2260.39027777778</v>
      </c>
    </row>
    <row r="564" customFormat="false" ht="17.15" hidden="false" customHeight="false" outlineLevel="0" collapsed="false">
      <c r="A564" s="3" t="s">
        <v>489</v>
      </c>
      <c r="B564" s="0" t="s">
        <v>34</v>
      </c>
      <c r="D564" s="19" t="n">
        <f aca="false">itpg_gb*(1-vr26)+itpg_vr*vr26</f>
        <v>33.41403216</v>
      </c>
      <c r="E564" s="19" t="n">
        <f aca="false">itpg_vr</f>
        <v>37.586352</v>
      </c>
      <c r="F564" s="19" t="n">
        <f aca="false">itpg_vr</f>
        <v>37.586352</v>
      </c>
      <c r="G564" s="19" t="n">
        <f aca="false">itpg_vr</f>
        <v>37.586352</v>
      </c>
    </row>
    <row r="565" customFormat="false" ht="17.15" hidden="false" customHeight="false" outlineLevel="0" collapsed="false">
      <c r="A565" s="3" t="s">
        <v>490</v>
      </c>
      <c r="B565" s="0" t="s">
        <v>439</v>
      </c>
      <c r="D565" s="16" t="n">
        <f aca="false">D563/D564</f>
        <v>23.3995380420639</v>
      </c>
      <c r="E565" s="16" t="n">
        <f aca="false">E563/E564</f>
        <v>41.6467658260637</v>
      </c>
      <c r="F565" s="16" t="n">
        <f aca="false">F563/F564</f>
        <v>52.792138191248</v>
      </c>
      <c r="G565" s="16" t="n">
        <f aca="false">G563/G564</f>
        <v>60.1385917361116</v>
      </c>
    </row>
    <row r="566" customFormat="false" ht="17.15" hidden="false" customHeight="false" outlineLevel="0" collapsed="false">
      <c r="A566" s="3" t="s">
        <v>441</v>
      </c>
      <c r="B566" s="0" t="s">
        <v>94</v>
      </c>
      <c r="D566" s="17" t="n">
        <f aca="false">cmp_26</f>
        <v>190</v>
      </c>
      <c r="E566" s="17" t="n">
        <f aca="false">cmp_26*cmpx_27</f>
        <v>275.5</v>
      </c>
      <c r="F566" s="17" t="n">
        <f aca="false">cmp_26*cmpx_28</f>
        <v>304</v>
      </c>
      <c r="G566" s="17" t="n">
        <f aca="false">cmp_26*cmpx_29</f>
        <v>323</v>
      </c>
    </row>
    <row r="567" customFormat="false" ht="17.15" hidden="false" customHeight="false" outlineLevel="0" collapsed="false">
      <c r="A567" s="3" t="s">
        <v>443</v>
      </c>
      <c r="B567" s="0" t="s">
        <v>94</v>
      </c>
      <c r="D567" s="17" t="n">
        <f aca="false">sw_26</f>
        <v>90</v>
      </c>
      <c r="E567" s="17" t="n">
        <f aca="false">sw_26*swx_27</f>
        <v>126</v>
      </c>
      <c r="F567" s="17" t="n">
        <f aca="false">sw_26*swx_28</f>
        <v>144</v>
      </c>
      <c r="G567" s="17" t="n">
        <f aca="false">sw_26*swx_29</f>
        <v>157.5</v>
      </c>
    </row>
    <row r="568" customFormat="false" ht="17.15" hidden="false" customHeight="false" outlineLevel="0" collapsed="false">
      <c r="A568" s="3" t="s">
        <v>444</v>
      </c>
      <c r="B568" s="0" t="s">
        <v>94</v>
      </c>
      <c r="D568" s="17" t="n">
        <f aca="false">ubb_26</f>
        <v>70</v>
      </c>
      <c r="E568" s="17" t="n">
        <f aca="false">ubb_26*ubbx_27</f>
        <v>126</v>
      </c>
      <c r="F568" s="17" t="n">
        <f aca="false">ubb_26*ubbx_28</f>
        <v>161</v>
      </c>
      <c r="G568" s="17" t="n">
        <f aca="false">ubb_26*ubbx_29</f>
        <v>182</v>
      </c>
    </row>
    <row r="569" customFormat="false" ht="17.15" hidden="false" customHeight="false" outlineLevel="0" collapsed="false">
      <c r="A569" s="3" t="s">
        <v>491</v>
      </c>
      <c r="B569" s="0" t="s">
        <v>94</v>
      </c>
      <c r="D569" s="17" t="n">
        <f aca="false">D566+D567+D568</f>
        <v>350</v>
      </c>
      <c r="E569" s="17" t="n">
        <f aca="false">E566+E567+E568</f>
        <v>527.5</v>
      </c>
      <c r="F569" s="17" t="n">
        <f aca="false">F566+F567+F568</f>
        <v>609</v>
      </c>
      <c r="G569" s="17" t="n">
        <f aca="false">G566+G567+G568</f>
        <v>662.5</v>
      </c>
    </row>
    <row r="570" customFormat="false" ht="17.15" hidden="false" customHeight="false" outlineLevel="0" collapsed="false">
      <c r="A570" s="0" t="s">
        <v>492</v>
      </c>
      <c r="B570" s="0" t="s">
        <v>34</v>
      </c>
      <c r="D570" s="19" t="n">
        <f aca="false">D565*D569/1000</f>
        <v>8.18983831472236</v>
      </c>
      <c r="E570" s="19" t="n">
        <f aca="false">E565*E569/1000</f>
        <v>21.9686689732486</v>
      </c>
      <c r="F570" s="19" t="n">
        <f aca="false">F565*F569/1000</f>
        <v>32.15041215847</v>
      </c>
      <c r="G570" s="19" t="n">
        <f aca="false">G565*G569/1000</f>
        <v>39.8418170251739</v>
      </c>
    </row>
    <row r="571" customFormat="false" ht="17.15" hidden="false" customHeight="false" outlineLevel="0" collapsed="false">
      <c r="A571" s="0" t="s">
        <v>493</v>
      </c>
      <c r="B571" s="0" t="s">
        <v>214</v>
      </c>
      <c r="D571" s="18" t="n">
        <f aca="false">D570*fx</f>
        <v>262.074826071116</v>
      </c>
      <c r="E571" s="18" t="n">
        <f aca="false">E570*fx</f>
        <v>702.997407143955</v>
      </c>
      <c r="F571" s="18" t="n">
        <f aca="false">F570*fx</f>
        <v>1028.81318907104</v>
      </c>
      <c r="G571" s="18" t="n">
        <f aca="false">G570*fx</f>
        <v>1274.93814480557</v>
      </c>
    </row>
    <row r="572" customFormat="false" ht="17.15" hidden="false" customHeight="false" outlineLevel="0" collapsed="false">
      <c r="A572" s="0" t="s">
        <v>494</v>
      </c>
      <c r="B572" s="0" t="s">
        <v>67</v>
      </c>
      <c r="D572" s="14" t="n">
        <f aca="false">1</f>
        <v>1</v>
      </c>
      <c r="E572" s="14" t="n">
        <f aca="false">pp_27</f>
        <v>1</v>
      </c>
      <c r="F572" s="14" t="n">
        <f aca="false">pp_28</f>
        <v>0.97</v>
      </c>
      <c r="G572" s="14" t="n">
        <f aca="false">pp_29</f>
        <v>0.93</v>
      </c>
    </row>
    <row r="573" customFormat="false" ht="17.15" hidden="false" customHeight="false" outlineLevel="0" collapsed="false">
      <c r="A573" s="3" t="s">
        <v>495</v>
      </c>
      <c r="B573" s="0" t="s">
        <v>54</v>
      </c>
      <c r="D573" s="13" t="n">
        <f aca="false">a26_ai/D571</f>
        <v>0.459306165741139</v>
      </c>
      <c r="H573" s="7" t="s">
        <v>496</v>
      </c>
    </row>
    <row r="574" customFormat="false" ht="17.15" hidden="false" customHeight="false" outlineLevel="0" collapsed="false">
      <c r="A574" s="3" t="s">
        <v>497</v>
      </c>
      <c r="B574" s="0" t="s">
        <v>67</v>
      </c>
      <c r="D574" s="14" t="n">
        <f aca="false">1</f>
        <v>1</v>
      </c>
      <c r="E574" s="14" t="n">
        <f aca="false">rel_27</f>
        <v>0.95</v>
      </c>
      <c r="F574" s="14" t="n">
        <f aca="false">rel_28</f>
        <v>0.9</v>
      </c>
      <c r="G574" s="14" t="n">
        <f aca="false">rel_29</f>
        <v>0.85</v>
      </c>
    </row>
    <row r="575" customFormat="false" ht="15" hidden="false" customHeight="false" outlineLevel="0" collapsed="false">
      <c r="A575" s="3" t="s">
        <v>452</v>
      </c>
      <c r="B575" s="0" t="s">
        <v>54</v>
      </c>
      <c r="D575" s="13" t="n">
        <f aca="false">$D$573*D574</f>
        <v>0.459306165741139</v>
      </c>
      <c r="E575" s="13" t="n">
        <f aca="false">$D$573*E574</f>
        <v>0.436340857454082</v>
      </c>
      <c r="F575" s="13" t="n">
        <f aca="false">$D$573*F574</f>
        <v>0.413375549167025</v>
      </c>
      <c r="G575" s="13" t="n">
        <f aca="false">$D$573*G574</f>
        <v>0.390410240879968</v>
      </c>
    </row>
    <row r="576" customFormat="false" ht="17.15" hidden="false" customHeight="false" outlineLevel="0" collapsed="false">
      <c r="A576" s="0" t="s">
        <v>498</v>
      </c>
      <c r="B576" s="0" t="s">
        <v>214</v>
      </c>
      <c r="D576" s="18" t="n">
        <f aca="false">D571*D575*D572</f>
        <v>120.3725835</v>
      </c>
      <c r="E576" s="18" t="n">
        <f aca="false">E571*E575*E572</f>
        <v>306.74649142119</v>
      </c>
      <c r="F576" s="18" t="n">
        <f aca="false">F571*F575*F572</f>
        <v>412.527630511844</v>
      </c>
      <c r="G576" s="18" t="n">
        <f aca="false">G571*G575*G572</f>
        <v>462.906484645158</v>
      </c>
    </row>
    <row r="577" customFormat="false" ht="17.15" hidden="false" customHeight="false" outlineLevel="0" collapsed="false">
      <c r="A577" s="5" t="s">
        <v>499</v>
      </c>
    </row>
    <row r="578" customFormat="false" ht="15" hidden="false" customHeight="false" outlineLevel="0" collapsed="false">
      <c r="A578" s="3" t="s">
        <v>457</v>
      </c>
      <c r="B578" s="3" t="s">
        <v>151</v>
      </c>
      <c r="D578" s="14" t="n">
        <f aca="false">cap_26</f>
        <v>6</v>
      </c>
      <c r="E578" s="14" t="n">
        <f aca="false">cap_27</f>
        <v>7.76</v>
      </c>
      <c r="F578" s="14" t="n">
        <f aca="false">cap_28</f>
        <v>10.3</v>
      </c>
      <c r="G578" s="14" t="n">
        <f aca="false">cap_29</f>
        <v>11.8</v>
      </c>
    </row>
    <row r="579" customFormat="false" ht="17.15" hidden="false" customHeight="false" outlineLevel="0" collapsed="false">
      <c r="A579" s="3" t="s">
        <v>500</v>
      </c>
      <c r="B579" s="0" t="s">
        <v>460</v>
      </c>
      <c r="D579" s="17" t="n">
        <f aca="false">a26_rev/(D578*12)*1000</f>
        <v>2857.84861111111</v>
      </c>
      <c r="H579" s="7" t="s">
        <v>501</v>
      </c>
    </row>
    <row r="580" customFormat="false" ht="17.15" hidden="false" customHeight="false" outlineLevel="0" collapsed="false">
      <c r="A580" s="3" t="s">
        <v>502</v>
      </c>
      <c r="B580" s="0" t="s">
        <v>67</v>
      </c>
      <c r="D580" s="14" t="n">
        <f aca="false">1</f>
        <v>1</v>
      </c>
      <c r="E580" s="14" t="n">
        <f aca="false">MXLO_27</f>
        <v>1.1</v>
      </c>
      <c r="F580" s="14" t="n">
        <f aca="false">MXLO_28</f>
        <v>1.15</v>
      </c>
      <c r="G580" s="14" t="n">
        <f aca="false">MXLO_29</f>
        <v>1.2</v>
      </c>
    </row>
    <row r="581" customFormat="false" ht="17.15" hidden="false" customHeight="false" outlineLevel="0" collapsed="false">
      <c r="A581" s="3" t="s">
        <v>503</v>
      </c>
      <c r="B581" s="0" t="s">
        <v>214</v>
      </c>
      <c r="D581" s="18" t="n">
        <f aca="false">D578*12*$D$579*D580*D572/1000</f>
        <v>205.7651</v>
      </c>
      <c r="E581" s="18" t="n">
        <f aca="false">E578*12*$D$579*E580*E572/1000</f>
        <v>292.735148933333</v>
      </c>
      <c r="F581" s="18" t="n">
        <f aca="false">F578*12*$D$579*F580*F572/1000</f>
        <v>394.028163535833</v>
      </c>
      <c r="G581" s="18" t="n">
        <f aca="false">G578*12*$D$579*G580*G572/1000</f>
        <v>451.61324148</v>
      </c>
    </row>
    <row r="582" customFormat="false" ht="17.15" hidden="false" customHeight="false" outlineLevel="0" collapsed="false">
      <c r="A582" s="3" t="s">
        <v>504</v>
      </c>
      <c r="B582" s="0" t="s">
        <v>214</v>
      </c>
      <c r="C582" s="18" t="n">
        <f aca="false">a25_nai</f>
        <v>47.1305</v>
      </c>
      <c r="D582" s="18" t="n">
        <f aca="false">a26_nai</f>
        <v>85.3925165</v>
      </c>
      <c r="E582" s="18" t="n">
        <f aca="false">D582*(1+g_nai27)</f>
        <v>92.22391782</v>
      </c>
      <c r="F582" s="18" t="n">
        <f aca="false">E582*(1+g_nai28)</f>
        <v>97.7573528892</v>
      </c>
      <c r="G582" s="18" t="n">
        <f aca="false">F582*(1+g_nai29)</f>
        <v>102.64522053366</v>
      </c>
    </row>
    <row r="583" customFormat="false" ht="17.15" hidden="false" customHeight="false" outlineLevel="0" collapsed="false">
      <c r="A583" s="0" t="s">
        <v>505</v>
      </c>
      <c r="B583" s="0" t="s">
        <v>214</v>
      </c>
      <c r="C583" s="18" t="n">
        <f aca="false">a25_ai</f>
        <v>47.1305</v>
      </c>
      <c r="D583" s="18" t="n">
        <f aca="false">D576</f>
        <v>120.3725835</v>
      </c>
      <c r="E583" s="18" t="n">
        <f aca="false">MIN(E576,E581-E582)</f>
        <v>200.511231113333</v>
      </c>
      <c r="F583" s="18" t="n">
        <f aca="false">MIN(F576,F581-F582)</f>
        <v>296.270810646633</v>
      </c>
      <c r="G583" s="18" t="n">
        <f aca="false">MIN(G576,G581-G582)</f>
        <v>348.96802094634</v>
      </c>
      <c r="H583" s="3" t="s">
        <v>506</v>
      </c>
    </row>
    <row r="584" customFormat="false" ht="15" hidden="false" customHeight="false" outlineLevel="0" collapsed="false">
      <c r="A584" s="3" t="s">
        <v>507</v>
      </c>
      <c r="E584" s="0" t="str">
        <f aca="false">IF(E576&gt;E581-E582+0.0001,"受限","未受限")</f>
        <v>受限</v>
      </c>
      <c r="F584" s="0" t="str">
        <f aca="false">IF(F576&gt;F581-F582+0.0001,"受限","未受限")</f>
        <v>受限</v>
      </c>
      <c r="G584" s="0" t="str">
        <f aca="false">IF(G576&gt;G581-G582+0.0001,"受限","未受限")</f>
        <v>受限</v>
      </c>
    </row>
    <row r="585" customFormat="false" ht="15" hidden="false" customHeight="false" outlineLevel="0" collapsed="false">
      <c r="A585" s="3" t="s">
        <v>388</v>
      </c>
      <c r="B585" s="0" t="s">
        <v>214</v>
      </c>
      <c r="C585" s="18" t="n">
        <f aca="false">C583+C582</f>
        <v>94.261</v>
      </c>
      <c r="D585" s="18" t="n">
        <f aca="false">D583+D582</f>
        <v>205.7651</v>
      </c>
      <c r="E585" s="18" t="n">
        <f aca="false">E583+E582</f>
        <v>292.735148933333</v>
      </c>
      <c r="F585" s="18" t="n">
        <f aca="false">F583+F582</f>
        <v>394.028163535833</v>
      </c>
      <c r="G585" s="18" t="n">
        <f aca="false">G583+G582</f>
        <v>451.61324148</v>
      </c>
    </row>
    <row r="586" customFormat="false" ht="15" hidden="false" customHeight="false" outlineLevel="0" collapsed="false">
      <c r="A586" s="3" t="s">
        <v>508</v>
      </c>
      <c r="B586" s="0" t="s">
        <v>54</v>
      </c>
      <c r="D586" s="13" t="n">
        <f aca="false">D585/C585-1</f>
        <v>1.1829293132897</v>
      </c>
      <c r="E586" s="13" t="n">
        <f aca="false">E585/D585-1</f>
        <v>0.422666666666667</v>
      </c>
      <c r="F586" s="13" t="n">
        <f aca="false">F585/E585-1</f>
        <v>0.346022727272727</v>
      </c>
      <c r="G586" s="13" t="n">
        <f aca="false">G585/F585-1</f>
        <v>0.146144573594496</v>
      </c>
    </row>
    <row r="587" customFormat="false" ht="17.15" hidden="false" customHeight="false" outlineLevel="0" collapsed="false">
      <c r="A587" s="3" t="s">
        <v>509</v>
      </c>
      <c r="B587" s="0" t="s">
        <v>214</v>
      </c>
      <c r="C587" s="18" t="n">
        <f aca="false">inf25*C585-C583</f>
        <v>16.495675</v>
      </c>
      <c r="D587" s="18" t="n">
        <f aca="false">inf26*D585-D583</f>
        <v>33.9512415</v>
      </c>
      <c r="E587" s="18" t="n">
        <f aca="false">E582*$D587/$D582</f>
        <v>36.66734082</v>
      </c>
      <c r="F587" s="18" t="n">
        <f aca="false">F582*$D587/$D582</f>
        <v>38.8673812692</v>
      </c>
      <c r="G587" s="18" t="n">
        <f aca="false">G582*$D587/$D582</f>
        <v>40.81075033266</v>
      </c>
      <c r="H587" s="3" t="s">
        <v>510</v>
      </c>
    </row>
    <row r="588" customFormat="false" ht="17.15" hidden="false" customHeight="false" outlineLevel="0" collapsed="false">
      <c r="A588" s="3" t="s">
        <v>511</v>
      </c>
      <c r="B588" s="0" t="s">
        <v>214</v>
      </c>
      <c r="C588" s="18" t="n">
        <f aca="false">C583+C587</f>
        <v>63.626175</v>
      </c>
      <c r="D588" s="18" t="n">
        <f aca="false">D583+D587</f>
        <v>154.323825</v>
      </c>
      <c r="E588" s="18" t="n">
        <f aca="false">E583+E587</f>
        <v>237.178571933333</v>
      </c>
      <c r="F588" s="18" t="n">
        <f aca="false">F583+F587</f>
        <v>335.138191915833</v>
      </c>
      <c r="G588" s="18" t="n">
        <f aca="false">G583+G587</f>
        <v>389.778771279</v>
      </c>
      <c r="H588" s="3" t="s">
        <v>512</v>
      </c>
    </row>
    <row r="589" customFormat="false" ht="15" hidden="false" customHeight="false" outlineLevel="0" collapsed="false">
      <c r="A589" s="3" t="s">
        <v>513</v>
      </c>
      <c r="B589" s="0" t="s">
        <v>214</v>
      </c>
      <c r="C589" s="18" t="n">
        <f aca="false">mob25*C585</f>
        <v>21.208725</v>
      </c>
      <c r="D589" s="18" t="n">
        <f aca="false">mob26*D585</f>
        <v>37.037718</v>
      </c>
      <c r="E589" s="18" t="n">
        <f aca="false">E582*$D589/$D582</f>
        <v>40.00073544</v>
      </c>
      <c r="F589" s="18" t="n">
        <f aca="false">F582*$D589/$D582</f>
        <v>42.4007795664</v>
      </c>
      <c r="G589" s="18" t="n">
        <f aca="false">G582*$D589/$D582</f>
        <v>44.52081854472</v>
      </c>
      <c r="H589" s="3" t="s">
        <v>514</v>
      </c>
    </row>
    <row r="590" customFormat="false" ht="15" hidden="false" customHeight="false" outlineLevel="0" collapsed="false">
      <c r="A590" s="3" t="s">
        <v>515</v>
      </c>
      <c r="B590" s="0" t="s">
        <v>214</v>
      </c>
      <c r="C590" s="18" t="n">
        <f aca="false">C585-C588-C589</f>
        <v>9.42609999999999</v>
      </c>
      <c r="D590" s="18" t="n">
        <f aca="false">D585-D588-D589</f>
        <v>14.403557</v>
      </c>
      <c r="E590" s="18" t="n">
        <f aca="false">E585-E588-E589</f>
        <v>15.55584156</v>
      </c>
      <c r="F590" s="18" t="n">
        <f aca="false">F585-F588-F589</f>
        <v>16.4891920536</v>
      </c>
      <c r="G590" s="18" t="n">
        <f aca="false">G585-G588-G589</f>
        <v>17.31365165628</v>
      </c>
      <c r="H590" s="3" t="s">
        <v>516</v>
      </c>
    </row>
    <row r="591" customFormat="false" ht="15" hidden="false" customHeight="false" outlineLevel="0" collapsed="false">
      <c r="A591" s="3" t="s">
        <v>517</v>
      </c>
      <c r="B591" s="0" t="s">
        <v>214</v>
      </c>
      <c r="C591" s="21" t="n">
        <f aca="false">C588+C589+C590-C585</f>
        <v>0</v>
      </c>
      <c r="D591" s="21" t="n">
        <f aca="false">D588+D589+D590-D585</f>
        <v>0</v>
      </c>
      <c r="E591" s="21" t="n">
        <f aca="false">E588+E589+E590-E585</f>
        <v>0</v>
      </c>
      <c r="F591" s="21" t="n">
        <f aca="false">F588+F589+F590-F585</f>
        <v>0</v>
      </c>
      <c r="G591" s="21" t="n">
        <f aca="false">G588+G589+G590-G585</f>
        <v>0</v>
      </c>
    </row>
    <row r="592" customFormat="false" ht="17.15" hidden="false" customHeight="false" outlineLevel="0" collapsed="false">
      <c r="A592" s="0" t="s">
        <v>518</v>
      </c>
      <c r="B592" s="0" t="s">
        <v>54</v>
      </c>
      <c r="C592" s="13" t="n">
        <f aca="false">C583/C585</f>
        <v>0.5</v>
      </c>
      <c r="D592" s="13" t="n">
        <f aca="false">D583/D585</f>
        <v>0.585</v>
      </c>
      <c r="E592" s="13" t="n">
        <f aca="false">E583/E585</f>
        <v>0.684957825679475</v>
      </c>
      <c r="F592" s="13" t="n">
        <f aca="false">F583/F585</f>
        <v>0.751902625406344</v>
      </c>
      <c r="G592" s="13" t="n">
        <f aca="false">G583/G585</f>
        <v>0.772714324767633</v>
      </c>
    </row>
    <row r="593" customFormat="false" ht="17.15" hidden="false" customHeight="false" outlineLevel="0" collapsed="false">
      <c r="A593" s="3" t="s">
        <v>519</v>
      </c>
      <c r="B593" s="0" t="s">
        <v>54</v>
      </c>
      <c r="D593" s="13" t="n">
        <f aca="false">(D576+D582)/D581</f>
        <v>1</v>
      </c>
      <c r="E593" s="13" t="n">
        <f aca="false">(E576+E582)/E581</f>
        <v>1.36290572107571</v>
      </c>
      <c r="F593" s="13" t="n">
        <f aca="false">(F576+F582)/F581</f>
        <v>1.29504698045433</v>
      </c>
      <c r="G593" s="13" t="n">
        <f aca="false">(G576+G582)/G581</f>
        <v>1.25229212351132</v>
      </c>
      <c r="H593" s="3" t="s">
        <v>520</v>
      </c>
    </row>
    <row r="594" customFormat="false" ht="17.15" hidden="false" customHeight="false" outlineLevel="0" collapsed="false">
      <c r="A594" s="3" t="s">
        <v>456</v>
      </c>
      <c r="B594" s="0" t="s">
        <v>94</v>
      </c>
      <c r="D594" s="17" t="n">
        <f aca="false">D583/fx/D565*1000</f>
        <v>160.757158009399</v>
      </c>
      <c r="E594" s="17" t="n">
        <f aca="false">E583/fx/E565*1000</f>
        <v>150.455283813905</v>
      </c>
      <c r="F594" s="17" t="n">
        <f aca="false">F583/fx/F565*1000</f>
        <v>175.375787947194</v>
      </c>
      <c r="G594" s="17" t="n">
        <f aca="false">G583/fx/G565*1000</f>
        <v>181.335317967295</v>
      </c>
    </row>
    <row r="595" customFormat="false" ht="17.15" hidden="false" customHeight="false" outlineLevel="0" collapsed="false">
      <c r="A595" s="5" t="s">
        <v>521</v>
      </c>
    </row>
    <row r="596" customFormat="false" ht="17.15" hidden="false" customHeight="false" outlineLevel="0" collapsed="false">
      <c r="A596" s="3" t="s">
        <v>522</v>
      </c>
      <c r="B596" s="0" t="s">
        <v>54</v>
      </c>
      <c r="D596" s="13" t="n">
        <f aca="false">a26_gp/D585-d_ai*D592</f>
        <v>0.291564442755356</v>
      </c>
      <c r="H596" s="7" t="s">
        <v>523</v>
      </c>
    </row>
    <row r="597" customFormat="false" ht="17.15" hidden="false" customHeight="false" outlineLevel="0" collapsed="false">
      <c r="A597" s="0" t="s">
        <v>524</v>
      </c>
      <c r="B597" s="0" t="s">
        <v>54</v>
      </c>
      <c r="D597" s="13" t="n">
        <f aca="false">D596+d_ai</f>
        <v>0.371564442755356</v>
      </c>
      <c r="E597" s="13" t="n">
        <f aca="false">1-(1-$D$597)/E572</f>
        <v>0.371564442755356</v>
      </c>
      <c r="F597" s="13" t="n">
        <f aca="false">1-(1-$D$597)/F572</f>
        <v>0.352128291500367</v>
      </c>
      <c r="G597" s="13" t="n">
        <f aca="false">1-(1-$D$597)/G572</f>
        <v>0.324262841672425</v>
      </c>
      <c r="H597" s="7" t="s">
        <v>525</v>
      </c>
    </row>
    <row r="598" customFormat="false" ht="15" hidden="false" customHeight="false" outlineLevel="0" collapsed="false">
      <c r="A598" s="3" t="s">
        <v>392</v>
      </c>
      <c r="B598" s="0" t="s">
        <v>214</v>
      </c>
      <c r="C598" s="18" t="n">
        <f aca="false">a25_gp</f>
        <v>28.12</v>
      </c>
      <c r="D598" s="18" t="n">
        <f aca="false">a26_gp</f>
        <v>69.6235934</v>
      </c>
      <c r="E598" s="18" t="n">
        <f aca="false">E583*E597+E582*$D$596</f>
        <v>101.39205906272</v>
      </c>
      <c r="F598" s="18" t="n">
        <f aca="false">F583*F597+F582*$D$596</f>
        <v>132.827902494806</v>
      </c>
      <c r="G598" s="18" t="n">
        <f aca="false">G583*G597+G582*$D$596</f>
        <v>143.08505865126</v>
      </c>
    </row>
    <row r="599" customFormat="false" ht="15" hidden="false" customHeight="false" outlineLevel="0" collapsed="false">
      <c r="A599" s="3" t="s">
        <v>395</v>
      </c>
      <c r="B599" s="0" t="s">
        <v>54</v>
      </c>
      <c r="C599" s="13" t="n">
        <f aca="false">C598/C585</f>
        <v>0.298320620405046</v>
      </c>
      <c r="D599" s="13" t="n">
        <f aca="false">D598/D585</f>
        <v>0.338364442755356</v>
      </c>
      <c r="E599" s="13" t="n">
        <f aca="false">E598/E585</f>
        <v>0.346361068809713</v>
      </c>
      <c r="F599" s="13" t="n">
        <f aca="false">F598/F585</f>
        <v>0.337102559631442</v>
      </c>
      <c r="G599" s="13" t="n">
        <f aca="false">G598/G585</f>
        <v>0.316830963995542</v>
      </c>
    </row>
    <row r="600" customFormat="false" ht="15" hidden="false" customHeight="false" outlineLevel="0" collapsed="false">
      <c r="A600" s="3" t="s">
        <v>526</v>
      </c>
      <c r="B600" s="0" t="s">
        <v>214</v>
      </c>
      <c r="C600" s="18" t="n">
        <f aca="false">a25_opx</f>
        <v>9.012</v>
      </c>
      <c r="D600" s="18" t="n">
        <f aca="false">a26_opx</f>
        <v>14.0153081141857</v>
      </c>
      <c r="E600" s="18" t="n">
        <f aca="false">D600*(1+MAX(0,phi*E586))</f>
        <v>17.5695902519433</v>
      </c>
      <c r="F600" s="18" t="n">
        <f aca="false">E600*(1+MAX(0,phi*F586))</f>
        <v>21.2172767735683</v>
      </c>
      <c r="G600" s="18" t="n">
        <f aca="false">F600*(1+MAX(0,phi*G586))</f>
        <v>23.077750693714</v>
      </c>
    </row>
    <row r="601" customFormat="false" ht="15" hidden="false" customHeight="false" outlineLevel="0" collapsed="false">
      <c r="A601" s="3" t="s">
        <v>397</v>
      </c>
      <c r="B601" s="0" t="s">
        <v>214</v>
      </c>
      <c r="C601" s="18" t="n">
        <f aca="false">C600</f>
        <v>9.012</v>
      </c>
      <c r="D601" s="18" t="n">
        <f aca="false">D600</f>
        <v>14.0153081141857</v>
      </c>
      <c r="E601" s="18" t="n">
        <f aca="false">E600+0*E585</f>
        <v>17.5695902519433</v>
      </c>
      <c r="F601" s="18" t="n">
        <f aca="false">F600+0*F585</f>
        <v>21.2172767735683</v>
      </c>
      <c r="G601" s="18" t="n">
        <f aca="false">G600+0*G585</f>
        <v>23.077750693714</v>
      </c>
    </row>
    <row r="602" customFormat="false" ht="15" hidden="false" customHeight="false" outlineLevel="0" collapsed="false">
      <c r="A602" s="3" t="s">
        <v>400</v>
      </c>
      <c r="B602" s="0" t="s">
        <v>214</v>
      </c>
      <c r="C602" s="18" t="n">
        <f aca="false">C598-C601</f>
        <v>19.108</v>
      </c>
      <c r="D602" s="18" t="n">
        <f aca="false">D598-D601</f>
        <v>55.6082852858143</v>
      </c>
      <c r="E602" s="18" t="n">
        <f aca="false">E598-E601</f>
        <v>83.8224688107768</v>
      </c>
      <c r="F602" s="18" t="n">
        <f aca="false">F598-F601</f>
        <v>111.610625721238</v>
      </c>
      <c r="G602" s="18" t="n">
        <f aca="false">G598-G601</f>
        <v>120.007307957546</v>
      </c>
    </row>
    <row r="603" customFormat="false" ht="15" hidden="false" customHeight="false" outlineLevel="0" collapsed="false">
      <c r="A603" s="3" t="s">
        <v>403</v>
      </c>
      <c r="B603" s="0" t="s">
        <v>54</v>
      </c>
      <c r="C603" s="13" t="n">
        <f aca="false">C602/C585</f>
        <v>0.202713741632276</v>
      </c>
      <c r="D603" s="13" t="n">
        <f aca="false">D602/D585</f>
        <v>0.270251297648699</v>
      </c>
      <c r="E603" s="13" t="n">
        <f aca="false">E602/E585</f>
        <v>0.286342344321167</v>
      </c>
      <c r="F603" s="13" t="n">
        <f aca="false">F602/F585</f>
        <v>0.283255452401406</v>
      </c>
      <c r="G603" s="13" t="n">
        <f aca="false">G602/G585</f>
        <v>0.265730268590586</v>
      </c>
    </row>
    <row r="604" customFormat="false" ht="17.15" hidden="false" customHeight="false" outlineLevel="0" collapsed="false">
      <c r="A604" s="3" t="s">
        <v>405</v>
      </c>
      <c r="B604" s="0" t="s">
        <v>214</v>
      </c>
      <c r="E604" s="18" t="n">
        <f aca="false">nop_f</f>
        <v>0.5</v>
      </c>
      <c r="F604" s="18" t="n">
        <f aca="false">nop_f</f>
        <v>0.5</v>
      </c>
      <c r="G604" s="18" t="n">
        <f aca="false">nop_f</f>
        <v>0.5</v>
      </c>
      <c r="H604" s="7" t="s">
        <v>527</v>
      </c>
    </row>
    <row r="605" customFormat="false" ht="15" hidden="false" customHeight="false" outlineLevel="0" collapsed="false">
      <c r="A605" s="3" t="s">
        <v>408</v>
      </c>
      <c r="B605" s="0" t="s">
        <v>214</v>
      </c>
      <c r="C605" s="18" t="n">
        <f aca="false">a25_ni</f>
        <v>14.649</v>
      </c>
      <c r="D605" s="18" t="n">
        <f aca="false">a26_ni</f>
        <v>42.891099295</v>
      </c>
      <c r="E605" s="18" t="n">
        <f aca="false">(E602+E604)*nir_f</f>
        <v>64.9283009842981</v>
      </c>
      <c r="F605" s="18" t="n">
        <f aca="false">(F602+F604)*nir_f</f>
        <v>86.3251818053529</v>
      </c>
      <c r="G605" s="18" t="n">
        <f aca="false">(G602+G604)*nir_f</f>
        <v>92.7906271273102</v>
      </c>
    </row>
    <row r="606" customFormat="false" ht="17.15" hidden="false" customHeight="false" outlineLevel="0" collapsed="false">
      <c r="A606" s="3" t="s">
        <v>411</v>
      </c>
      <c r="B606" s="0" t="s">
        <v>54</v>
      </c>
      <c r="C606" s="13" t="n">
        <f aca="false">C605/C602</f>
        <v>0.766642244086247</v>
      </c>
      <c r="D606" s="13" t="n">
        <f aca="false">D605/D602</f>
        <v>0.771307712053146</v>
      </c>
      <c r="E606" s="13" t="n">
        <f aca="false">E605/E602</f>
        <v>0.774593040570889</v>
      </c>
      <c r="F606" s="13" t="n">
        <f aca="false">F605/F602</f>
        <v>0.773449492353547</v>
      </c>
      <c r="G606" s="13" t="n">
        <f aca="false">G605/G602</f>
        <v>0.773208137958867</v>
      </c>
    </row>
    <row r="607" customFormat="false" ht="15" hidden="false" customHeight="false" outlineLevel="0" collapsed="false">
      <c r="A607" s="3" t="s">
        <v>528</v>
      </c>
      <c r="B607" s="3" t="s">
        <v>243</v>
      </c>
      <c r="C607" s="20" t="n">
        <f aca="false">a25_sh</f>
        <v>0.351547876169906</v>
      </c>
      <c r="D607" s="20" t="n">
        <f aca="false">a26_sh</f>
        <v>0.358290155440415</v>
      </c>
      <c r="E607" s="20" t="n">
        <f aca="false">D607*(1+sh_g)</f>
        <v>0.358290155440415</v>
      </c>
      <c r="F607" s="20" t="n">
        <f aca="false">E607*(1+sh_g)</f>
        <v>0.358290155440415</v>
      </c>
      <c r="G607" s="20" t="n">
        <f aca="false">F607*(1+sh_g)</f>
        <v>0.358290155440415</v>
      </c>
    </row>
    <row r="608" customFormat="false" ht="15" hidden="false" customHeight="false" outlineLevel="0" collapsed="false">
      <c r="A608" s="0" t="s">
        <v>414</v>
      </c>
      <c r="B608" s="0" t="s">
        <v>274</v>
      </c>
      <c r="C608" s="19" t="n">
        <f aca="false">C605/C607</f>
        <v>41.67</v>
      </c>
      <c r="D608" s="19" t="n">
        <f aca="false">D605/D607</f>
        <v>119.710515747433</v>
      </c>
      <c r="E608" s="19" t="n">
        <f aca="false">E605/E607</f>
        <v>181.217094576566</v>
      </c>
      <c r="F608" s="19" t="n">
        <f aca="false">F605/F607</f>
        <v>240.936516101708</v>
      </c>
      <c r="G608" s="19" t="n">
        <f aca="false">G605/G607</f>
        <v>258.981793717583</v>
      </c>
    </row>
    <row r="609" customFormat="false" ht="17.15" hidden="false" customHeight="false" outlineLevel="0" collapsed="false">
      <c r="A609" s="0" t="s">
        <v>529</v>
      </c>
      <c r="B609" s="0" t="s">
        <v>54</v>
      </c>
      <c r="D609" s="13" t="n">
        <f aca="false">D608/C608-1</f>
        <v>1.87282255213422</v>
      </c>
      <c r="E609" s="13" t="n">
        <f aca="false">E608/D608-1</f>
        <v>0.513794284863831</v>
      </c>
      <c r="F609" s="13" t="n">
        <f aca="false">F608/E608-1</f>
        <v>0.329546291781596</v>
      </c>
      <c r="G609" s="13" t="n">
        <f aca="false">G608/F608-1</f>
        <v>0.0748963997149259</v>
      </c>
    </row>
    <row r="612" customFormat="false" ht="17.15" hidden="false" customHeight="false" outlineLevel="0" collapsed="false">
      <c r="A612" s="1" t="s">
        <v>849</v>
      </c>
    </row>
    <row r="613" customFormat="false" ht="17.15" hidden="false" customHeight="false" outlineLevel="0" collapsed="false">
      <c r="A613" s="4" t="s">
        <v>23</v>
      </c>
      <c r="B613" s="4" t="s">
        <v>24</v>
      </c>
      <c r="C613" s="10" t="s">
        <v>383</v>
      </c>
      <c r="D613" s="10" t="s">
        <v>469</v>
      </c>
      <c r="E613" s="10" t="s">
        <v>470</v>
      </c>
      <c r="F613" s="10" t="s">
        <v>471</v>
      </c>
      <c r="G613" s="10" t="s">
        <v>472</v>
      </c>
      <c r="H613" s="4" t="s">
        <v>437</v>
      </c>
    </row>
    <row r="614" customFormat="false" ht="17.15" hidden="false" customHeight="false" outlineLevel="0" collapsed="false">
      <c r="A614" s="5" t="s">
        <v>487</v>
      </c>
    </row>
    <row r="615" customFormat="false" ht="17.15" hidden="false" customHeight="false" outlineLevel="0" collapsed="false">
      <c r="A615" s="0" t="s">
        <v>488</v>
      </c>
      <c r="B615" s="0" t="s">
        <v>34</v>
      </c>
      <c r="D615" s="19" t="n">
        <f aca="false">itc_26*1</f>
        <v>781.872916666666</v>
      </c>
      <c r="E615" s="19" t="n">
        <f aca="false">itc_27*1*1</f>
        <v>1565.35</v>
      </c>
      <c r="F615" s="19" t="n">
        <f aca="false">itc_28*um28_A*1</f>
        <v>1984.26388888889</v>
      </c>
      <c r="G615" s="19" t="n">
        <f aca="false">itc_29*um29_A*1</f>
        <v>2260.39027777778</v>
      </c>
    </row>
    <row r="616" customFormat="false" ht="17.15" hidden="false" customHeight="false" outlineLevel="0" collapsed="false">
      <c r="A616" s="3" t="s">
        <v>489</v>
      </c>
      <c r="B616" s="0" t="s">
        <v>34</v>
      </c>
      <c r="D616" s="19" t="n">
        <f aca="false">itpg_gb*(1-vr26)+itpg_vr*vr26</f>
        <v>33.41403216</v>
      </c>
      <c r="E616" s="19" t="n">
        <f aca="false">itpg_vr</f>
        <v>37.586352</v>
      </c>
      <c r="F616" s="19" t="n">
        <f aca="false">itpg_vr</f>
        <v>37.586352</v>
      </c>
      <c r="G616" s="19" t="n">
        <f aca="false">itpg_vr</f>
        <v>37.586352</v>
      </c>
    </row>
    <row r="617" customFormat="false" ht="17.15" hidden="false" customHeight="false" outlineLevel="0" collapsed="false">
      <c r="A617" s="3" t="s">
        <v>490</v>
      </c>
      <c r="B617" s="0" t="s">
        <v>439</v>
      </c>
      <c r="D617" s="16" t="n">
        <f aca="false">D615/D616</f>
        <v>23.3995380420639</v>
      </c>
      <c r="E617" s="16" t="n">
        <f aca="false">E615/E616</f>
        <v>41.6467658260637</v>
      </c>
      <c r="F617" s="16" t="n">
        <f aca="false">F615/F616</f>
        <v>52.792138191248</v>
      </c>
      <c r="G617" s="16" t="n">
        <f aca="false">G615/G616</f>
        <v>60.1385917361116</v>
      </c>
    </row>
    <row r="618" customFormat="false" ht="17.15" hidden="false" customHeight="false" outlineLevel="0" collapsed="false">
      <c r="A618" s="3" t="s">
        <v>441</v>
      </c>
      <c r="B618" s="0" t="s">
        <v>94</v>
      </c>
      <c r="D618" s="17" t="n">
        <f aca="false">cmp_26</f>
        <v>190</v>
      </c>
      <c r="E618" s="17" t="n">
        <f aca="false">cmp_26*cmpx_27</f>
        <v>275.5</v>
      </c>
      <c r="F618" s="17" t="n">
        <f aca="false">cmp_26*cmpx_28</f>
        <v>304</v>
      </c>
      <c r="G618" s="17" t="n">
        <f aca="false">cmp_26*cmpx_29</f>
        <v>323</v>
      </c>
    </row>
    <row r="619" customFormat="false" ht="17.15" hidden="false" customHeight="false" outlineLevel="0" collapsed="false">
      <c r="A619" s="3" t="s">
        <v>443</v>
      </c>
      <c r="B619" s="0" t="s">
        <v>94</v>
      </c>
      <c r="D619" s="17" t="n">
        <f aca="false">sw_26</f>
        <v>90</v>
      </c>
      <c r="E619" s="17" t="n">
        <f aca="false">sw_26*swx_27</f>
        <v>126</v>
      </c>
      <c r="F619" s="17" t="n">
        <f aca="false">sw_26*swx_28</f>
        <v>144</v>
      </c>
      <c r="G619" s="17" t="n">
        <f aca="false">sw_26*swx_29</f>
        <v>157.5</v>
      </c>
    </row>
    <row r="620" customFormat="false" ht="17.15" hidden="false" customHeight="false" outlineLevel="0" collapsed="false">
      <c r="A620" s="3" t="s">
        <v>444</v>
      </c>
      <c r="B620" s="0" t="s">
        <v>94</v>
      </c>
      <c r="D620" s="17" t="n">
        <f aca="false">ubb_26</f>
        <v>70</v>
      </c>
      <c r="E620" s="17" t="n">
        <f aca="false">ubb_26*ubbx_27</f>
        <v>126</v>
      </c>
      <c r="F620" s="17" t="n">
        <f aca="false">ubb_26*ubbx_28</f>
        <v>161</v>
      </c>
      <c r="G620" s="17" t="n">
        <f aca="false">ubb_26*ubbx_29</f>
        <v>182</v>
      </c>
    </row>
    <row r="621" customFormat="false" ht="17.15" hidden="false" customHeight="false" outlineLevel="0" collapsed="false">
      <c r="A621" s="3" t="s">
        <v>491</v>
      </c>
      <c r="B621" s="0" t="s">
        <v>94</v>
      </c>
      <c r="D621" s="17" t="n">
        <f aca="false">D618+D619+D620</f>
        <v>350</v>
      </c>
      <c r="E621" s="17" t="n">
        <f aca="false">E618+E619+E620</f>
        <v>527.5</v>
      </c>
      <c r="F621" s="17" t="n">
        <f aca="false">F618+F619+F620</f>
        <v>609</v>
      </c>
      <c r="G621" s="17" t="n">
        <f aca="false">G618+G619+G620</f>
        <v>662.5</v>
      </c>
    </row>
    <row r="622" customFormat="false" ht="17.15" hidden="false" customHeight="false" outlineLevel="0" collapsed="false">
      <c r="A622" s="0" t="s">
        <v>492</v>
      </c>
      <c r="B622" s="0" t="s">
        <v>34</v>
      </c>
      <c r="D622" s="19" t="n">
        <f aca="false">D617*D621/1000</f>
        <v>8.18983831472236</v>
      </c>
      <c r="E622" s="19" t="n">
        <f aca="false">E617*E621/1000</f>
        <v>21.9686689732486</v>
      </c>
      <c r="F622" s="19" t="n">
        <f aca="false">F617*F621/1000</f>
        <v>32.15041215847</v>
      </c>
      <c r="G622" s="19" t="n">
        <f aca="false">G617*G621/1000</f>
        <v>39.8418170251739</v>
      </c>
    </row>
    <row r="623" customFormat="false" ht="17.15" hidden="false" customHeight="false" outlineLevel="0" collapsed="false">
      <c r="A623" s="0" t="s">
        <v>493</v>
      </c>
      <c r="B623" s="0" t="s">
        <v>214</v>
      </c>
      <c r="D623" s="18" t="n">
        <f aca="false">D622*fx</f>
        <v>262.074826071116</v>
      </c>
      <c r="E623" s="18" t="n">
        <f aca="false">E622*fx</f>
        <v>702.997407143955</v>
      </c>
      <c r="F623" s="18" t="n">
        <f aca="false">F622*fx</f>
        <v>1028.81318907104</v>
      </c>
      <c r="G623" s="18" t="n">
        <f aca="false">G622*fx</f>
        <v>1274.93814480557</v>
      </c>
    </row>
    <row r="624" customFormat="false" ht="17.15" hidden="false" customHeight="false" outlineLevel="0" collapsed="false">
      <c r="A624" s="0" t="s">
        <v>494</v>
      </c>
      <c r="B624" s="0" t="s">
        <v>67</v>
      </c>
      <c r="D624" s="14" t="n">
        <f aca="false">1</f>
        <v>1</v>
      </c>
      <c r="E624" s="14" t="n">
        <f aca="false">pp_27</f>
        <v>1</v>
      </c>
      <c r="F624" s="14" t="n">
        <f aca="false">pp_28</f>
        <v>0.97</v>
      </c>
      <c r="G624" s="14" t="n">
        <f aca="false">pp_29</f>
        <v>0.93</v>
      </c>
    </row>
    <row r="625" customFormat="false" ht="17.15" hidden="false" customHeight="false" outlineLevel="0" collapsed="false">
      <c r="A625" s="3" t="s">
        <v>495</v>
      </c>
      <c r="B625" s="0" t="s">
        <v>54</v>
      </c>
      <c r="D625" s="13" t="n">
        <f aca="false">a26_ai/D623</f>
        <v>0.459306165741139</v>
      </c>
      <c r="H625" s="7" t="s">
        <v>496</v>
      </c>
    </row>
    <row r="626" customFormat="false" ht="17.15" hidden="false" customHeight="false" outlineLevel="0" collapsed="false">
      <c r="A626" s="3" t="s">
        <v>497</v>
      </c>
      <c r="B626" s="0" t="s">
        <v>67</v>
      </c>
      <c r="D626" s="14" t="n">
        <f aca="false">1</f>
        <v>1</v>
      </c>
      <c r="E626" s="14" t="n">
        <f aca="false">rel_27</f>
        <v>0.95</v>
      </c>
      <c r="F626" s="14" t="n">
        <f aca="false">rel_28</f>
        <v>0.9</v>
      </c>
      <c r="G626" s="14" t="n">
        <f aca="false">rel_29</f>
        <v>0.85</v>
      </c>
    </row>
    <row r="627" customFormat="false" ht="15" hidden="false" customHeight="false" outlineLevel="0" collapsed="false">
      <c r="A627" s="3" t="s">
        <v>452</v>
      </c>
      <c r="B627" s="0" t="s">
        <v>54</v>
      </c>
      <c r="D627" s="13" t="n">
        <f aca="false">$D$625*D626</f>
        <v>0.459306165741139</v>
      </c>
      <c r="E627" s="13" t="n">
        <f aca="false">$D$625*E626</f>
        <v>0.436340857454082</v>
      </c>
      <c r="F627" s="13" t="n">
        <f aca="false">$D$625*F626</f>
        <v>0.413375549167025</v>
      </c>
      <c r="G627" s="13" t="n">
        <f aca="false">$D$625*G626</f>
        <v>0.390410240879968</v>
      </c>
    </row>
    <row r="628" customFormat="false" ht="17.15" hidden="false" customHeight="false" outlineLevel="0" collapsed="false">
      <c r="A628" s="0" t="s">
        <v>498</v>
      </c>
      <c r="B628" s="0" t="s">
        <v>214</v>
      </c>
      <c r="D628" s="18" t="n">
        <f aca="false">D623*D627*D624</f>
        <v>120.3725835</v>
      </c>
      <c r="E628" s="18" t="n">
        <f aca="false">E623*E627*E624</f>
        <v>306.74649142119</v>
      </c>
      <c r="F628" s="18" t="n">
        <f aca="false">F623*F627*F624</f>
        <v>412.527630511844</v>
      </c>
      <c r="G628" s="18" t="n">
        <f aca="false">G623*G627*G624</f>
        <v>462.906484645158</v>
      </c>
    </row>
    <row r="629" customFormat="false" ht="17.15" hidden="false" customHeight="false" outlineLevel="0" collapsed="false">
      <c r="A629" s="5" t="s">
        <v>499</v>
      </c>
    </row>
    <row r="630" customFormat="false" ht="15" hidden="false" customHeight="false" outlineLevel="0" collapsed="false">
      <c r="A630" s="3" t="s">
        <v>457</v>
      </c>
      <c r="B630" s="3" t="s">
        <v>151</v>
      </c>
      <c r="D630" s="14" t="n">
        <f aca="false">cap_26</f>
        <v>6</v>
      </c>
      <c r="E630" s="14" t="n">
        <f aca="false">cap_27</f>
        <v>7.76</v>
      </c>
      <c r="F630" s="14" t="n">
        <f aca="false">cap_28</f>
        <v>10.3</v>
      </c>
      <c r="G630" s="14" t="n">
        <f aca="false">cap_29</f>
        <v>11.8</v>
      </c>
    </row>
    <row r="631" customFormat="false" ht="17.15" hidden="false" customHeight="false" outlineLevel="0" collapsed="false">
      <c r="A631" s="3" t="s">
        <v>500</v>
      </c>
      <c r="B631" s="0" t="s">
        <v>460</v>
      </c>
      <c r="D631" s="17" t="n">
        <f aca="false">a26_rev/(D630*12)*1000</f>
        <v>2857.84861111111</v>
      </c>
      <c r="H631" s="7" t="s">
        <v>501</v>
      </c>
    </row>
    <row r="632" customFormat="false" ht="17.15" hidden="false" customHeight="false" outlineLevel="0" collapsed="false">
      <c r="A632" s="3" t="s">
        <v>502</v>
      </c>
      <c r="B632" s="0" t="s">
        <v>67</v>
      </c>
      <c r="D632" s="14" t="n">
        <f aca="false">1</f>
        <v>1</v>
      </c>
      <c r="E632" s="14" t="n">
        <f aca="false">MXHI_27</f>
        <v>1.45</v>
      </c>
      <c r="F632" s="14" t="n">
        <f aca="false">MXHI_28</f>
        <v>1.7</v>
      </c>
      <c r="G632" s="14" t="n">
        <f aca="false">MXHI_29</f>
        <v>1.85</v>
      </c>
    </row>
    <row r="633" customFormat="false" ht="17.15" hidden="false" customHeight="false" outlineLevel="0" collapsed="false">
      <c r="A633" s="3" t="s">
        <v>503</v>
      </c>
      <c r="B633" s="0" t="s">
        <v>214</v>
      </c>
      <c r="D633" s="18" t="n">
        <f aca="false">D630*12*$D$631*D632*D624/1000</f>
        <v>205.7651</v>
      </c>
      <c r="E633" s="18" t="n">
        <f aca="false">E630*12*$D$631*E632*E624/1000</f>
        <v>385.878150866667</v>
      </c>
      <c r="F633" s="18" t="n">
        <f aca="false">F630*12*$D$631*F632*F624/1000</f>
        <v>582.476415661667</v>
      </c>
      <c r="G633" s="18" t="n">
        <f aca="false">G630*12*$D$631*G632*G624/1000</f>
        <v>696.237080615</v>
      </c>
    </row>
    <row r="634" customFormat="false" ht="17.15" hidden="false" customHeight="false" outlineLevel="0" collapsed="false">
      <c r="A634" s="3" t="s">
        <v>504</v>
      </c>
      <c r="B634" s="0" t="s">
        <v>214</v>
      </c>
      <c r="C634" s="18" t="n">
        <f aca="false">a25_nai</f>
        <v>47.1305</v>
      </c>
      <c r="D634" s="18" t="n">
        <f aca="false">a26_nai</f>
        <v>85.3925165</v>
      </c>
      <c r="E634" s="18" t="n">
        <f aca="false">D634*(1+g_nai27)</f>
        <v>92.22391782</v>
      </c>
      <c r="F634" s="18" t="n">
        <f aca="false">E634*(1+g_nai28)</f>
        <v>97.7573528892</v>
      </c>
      <c r="G634" s="18" t="n">
        <f aca="false">F634*(1+g_nai29)</f>
        <v>102.64522053366</v>
      </c>
    </row>
    <row r="635" customFormat="false" ht="17.15" hidden="false" customHeight="false" outlineLevel="0" collapsed="false">
      <c r="A635" s="0" t="s">
        <v>505</v>
      </c>
      <c r="B635" s="0" t="s">
        <v>214</v>
      </c>
      <c r="C635" s="18" t="n">
        <f aca="false">a25_ai</f>
        <v>47.1305</v>
      </c>
      <c r="D635" s="18" t="n">
        <f aca="false">D628</f>
        <v>120.3725835</v>
      </c>
      <c r="E635" s="18" t="n">
        <f aca="false">MIN(E628,E633-E634)</f>
        <v>293.654233046667</v>
      </c>
      <c r="F635" s="18" t="n">
        <f aca="false">MIN(F628,F633-F634)</f>
        <v>412.527630511844</v>
      </c>
      <c r="G635" s="18" t="n">
        <f aca="false">MIN(G628,G633-G634)</f>
        <v>462.906484645158</v>
      </c>
      <c r="H635" s="3" t="s">
        <v>506</v>
      </c>
    </row>
    <row r="636" customFormat="false" ht="15" hidden="false" customHeight="false" outlineLevel="0" collapsed="false">
      <c r="A636" s="3" t="s">
        <v>507</v>
      </c>
      <c r="E636" s="0" t="str">
        <f aca="false">IF(E628&gt;E633-E634+0.0001,"受限","未受限")</f>
        <v>受限</v>
      </c>
      <c r="F636" s="0" t="str">
        <f aca="false">IF(F628&gt;F633-F634+0.0001,"受限","未受限")</f>
        <v>未受限</v>
      </c>
      <c r="G636" s="0" t="str">
        <f aca="false">IF(G628&gt;G633-G634+0.0001,"受限","未受限")</f>
        <v>未受限</v>
      </c>
    </row>
    <row r="637" customFormat="false" ht="15" hidden="false" customHeight="false" outlineLevel="0" collapsed="false">
      <c r="A637" s="3" t="s">
        <v>388</v>
      </c>
      <c r="B637" s="0" t="s">
        <v>214</v>
      </c>
      <c r="C637" s="18" t="n">
        <f aca="false">C635+C634</f>
        <v>94.261</v>
      </c>
      <c r="D637" s="18" t="n">
        <f aca="false">D635+D634</f>
        <v>205.7651</v>
      </c>
      <c r="E637" s="18" t="n">
        <f aca="false">E635+E634</f>
        <v>385.878150866667</v>
      </c>
      <c r="F637" s="18" t="n">
        <f aca="false">F635+F634</f>
        <v>510.284983401045</v>
      </c>
      <c r="G637" s="18" t="n">
        <f aca="false">G635+G634</f>
        <v>565.551705178819</v>
      </c>
    </row>
    <row r="638" customFormat="false" ht="15" hidden="false" customHeight="false" outlineLevel="0" collapsed="false">
      <c r="A638" s="3" t="s">
        <v>508</v>
      </c>
      <c r="B638" s="0" t="s">
        <v>54</v>
      </c>
      <c r="D638" s="13" t="n">
        <f aca="false">D637/C637-1</f>
        <v>1.1829293132897</v>
      </c>
      <c r="E638" s="13" t="n">
        <f aca="false">E637/D637-1</f>
        <v>0.875333333333333</v>
      </c>
      <c r="F638" s="13" t="n">
        <f aca="false">F637/E637-1</f>
        <v>0.32239926581737</v>
      </c>
      <c r="G638" s="13" t="n">
        <f aca="false">G637/F637-1</f>
        <v>0.108305600939737</v>
      </c>
    </row>
    <row r="639" customFormat="false" ht="17.15" hidden="false" customHeight="false" outlineLevel="0" collapsed="false">
      <c r="A639" s="3" t="s">
        <v>509</v>
      </c>
      <c r="B639" s="0" t="s">
        <v>214</v>
      </c>
      <c r="C639" s="18" t="n">
        <f aca="false">inf25*C637-C635</f>
        <v>16.495675</v>
      </c>
      <c r="D639" s="18" t="n">
        <f aca="false">inf26*D637-D635</f>
        <v>33.9512415</v>
      </c>
      <c r="E639" s="18" t="n">
        <f aca="false">E634*$D639/$D634</f>
        <v>36.66734082</v>
      </c>
      <c r="F639" s="18" t="n">
        <f aca="false">F634*$D639/$D634</f>
        <v>38.8673812692</v>
      </c>
      <c r="G639" s="18" t="n">
        <f aca="false">G634*$D639/$D634</f>
        <v>40.81075033266</v>
      </c>
      <c r="H639" s="3" t="s">
        <v>510</v>
      </c>
    </row>
    <row r="640" customFormat="false" ht="17.15" hidden="false" customHeight="false" outlineLevel="0" collapsed="false">
      <c r="A640" s="3" t="s">
        <v>511</v>
      </c>
      <c r="B640" s="0" t="s">
        <v>214</v>
      </c>
      <c r="C640" s="18" t="n">
        <f aca="false">C635+C639</f>
        <v>63.626175</v>
      </c>
      <c r="D640" s="18" t="n">
        <f aca="false">D635+D639</f>
        <v>154.323825</v>
      </c>
      <c r="E640" s="18" t="n">
        <f aca="false">E635+E639</f>
        <v>330.321573866667</v>
      </c>
      <c r="F640" s="18" t="n">
        <f aca="false">F635+F639</f>
        <v>451.395011781044</v>
      </c>
      <c r="G640" s="18" t="n">
        <f aca="false">G635+G639</f>
        <v>503.717234977818</v>
      </c>
      <c r="H640" s="3" t="s">
        <v>512</v>
      </c>
    </row>
    <row r="641" customFormat="false" ht="15" hidden="false" customHeight="false" outlineLevel="0" collapsed="false">
      <c r="A641" s="3" t="s">
        <v>513</v>
      </c>
      <c r="B641" s="0" t="s">
        <v>214</v>
      </c>
      <c r="C641" s="18" t="n">
        <f aca="false">mob25*C637</f>
        <v>21.208725</v>
      </c>
      <c r="D641" s="18" t="n">
        <f aca="false">mob26*D637</f>
        <v>37.037718</v>
      </c>
      <c r="E641" s="18" t="n">
        <f aca="false">E634*$D641/$D634</f>
        <v>40.00073544</v>
      </c>
      <c r="F641" s="18" t="n">
        <f aca="false">F634*$D641/$D634</f>
        <v>42.4007795664</v>
      </c>
      <c r="G641" s="18" t="n">
        <f aca="false">G634*$D641/$D634</f>
        <v>44.52081854472</v>
      </c>
      <c r="H641" s="3" t="s">
        <v>514</v>
      </c>
    </row>
    <row r="642" customFormat="false" ht="15" hidden="false" customHeight="false" outlineLevel="0" collapsed="false">
      <c r="A642" s="3" t="s">
        <v>515</v>
      </c>
      <c r="B642" s="0" t="s">
        <v>214</v>
      </c>
      <c r="C642" s="18" t="n">
        <f aca="false">C637-C640-C641</f>
        <v>9.42609999999999</v>
      </c>
      <c r="D642" s="18" t="n">
        <f aca="false">D637-D640-D641</f>
        <v>14.403557</v>
      </c>
      <c r="E642" s="18" t="n">
        <f aca="false">E637-E640-E641</f>
        <v>15.55584156</v>
      </c>
      <c r="F642" s="18" t="n">
        <f aca="false">F637-F640-F641</f>
        <v>16.4891920536</v>
      </c>
      <c r="G642" s="18" t="n">
        <f aca="false">G637-G640-G641</f>
        <v>17.31365165628</v>
      </c>
      <c r="H642" s="3" t="s">
        <v>516</v>
      </c>
    </row>
    <row r="643" customFormat="false" ht="15" hidden="false" customHeight="false" outlineLevel="0" collapsed="false">
      <c r="A643" s="3" t="s">
        <v>517</v>
      </c>
      <c r="B643" s="0" t="s">
        <v>214</v>
      </c>
      <c r="C643" s="21" t="n">
        <f aca="false">C640+C641+C642-C637</f>
        <v>0</v>
      </c>
      <c r="D643" s="21" t="n">
        <f aca="false">D640+D641+D642-D637</f>
        <v>0</v>
      </c>
      <c r="E643" s="21" t="n">
        <f aca="false">E640+E641+E642-E637</f>
        <v>0</v>
      </c>
      <c r="F643" s="21" t="n">
        <f aca="false">F640+F641+F642-F637</f>
        <v>0</v>
      </c>
      <c r="G643" s="21" t="n">
        <f aca="false">G640+G641+G642-G637</f>
        <v>0</v>
      </c>
    </row>
    <row r="644" customFormat="false" ht="17.15" hidden="false" customHeight="false" outlineLevel="0" collapsed="false">
      <c r="A644" s="0" t="s">
        <v>518</v>
      </c>
      <c r="B644" s="0" t="s">
        <v>54</v>
      </c>
      <c r="C644" s="13" t="n">
        <f aca="false">C635/C637</f>
        <v>0.5</v>
      </c>
      <c r="D644" s="13" t="n">
        <f aca="false">D635/D637</f>
        <v>0.585</v>
      </c>
      <c r="E644" s="13" t="n">
        <f aca="false">E635/E637</f>
        <v>0.761002488446498</v>
      </c>
      <c r="F644" s="13" t="n">
        <f aca="false">F635/F637</f>
        <v>0.80842596574634</v>
      </c>
      <c r="G644" s="13" t="n">
        <f aca="false">G635/G637</f>
        <v>0.818504268321134</v>
      </c>
    </row>
    <row r="645" customFormat="false" ht="17.15" hidden="false" customHeight="false" outlineLevel="0" collapsed="false">
      <c r="A645" s="3" t="s">
        <v>519</v>
      </c>
      <c r="B645" s="0" t="s">
        <v>54</v>
      </c>
      <c r="D645" s="13" t="n">
        <f aca="false">(D628+D634)/D633</f>
        <v>1</v>
      </c>
      <c r="E645" s="13" t="n">
        <f aca="false">(E628+E634)/E633</f>
        <v>1.03392847805743</v>
      </c>
      <c r="F645" s="13" t="n">
        <f aca="false">(F628+F634)/F633</f>
        <v>0.87606119266028</v>
      </c>
      <c r="G645" s="13" t="n">
        <f aca="false">(G628+G634)/G633</f>
        <v>0.812297593628962</v>
      </c>
      <c r="H645" s="3" t="s">
        <v>520</v>
      </c>
    </row>
    <row r="646" customFormat="false" ht="17.15" hidden="false" customHeight="false" outlineLevel="0" collapsed="false">
      <c r="A646" s="3" t="s">
        <v>456</v>
      </c>
      <c r="B646" s="0" t="s">
        <v>94</v>
      </c>
      <c r="D646" s="17" t="n">
        <f aca="false">D635/fx/D617*1000</f>
        <v>160.757158009399</v>
      </c>
      <c r="E646" s="17" t="n">
        <f aca="false">E635/fx/E617*1000</f>
        <v>220.345916440054</v>
      </c>
      <c r="F646" s="17" t="n">
        <f aca="false">F635/fx/F617*1000</f>
        <v>244.193338159437</v>
      </c>
      <c r="G646" s="17" t="n">
        <f aca="false">G635/fx/G617*1000</f>
        <v>240.54150966217</v>
      </c>
    </row>
    <row r="647" customFormat="false" ht="17.15" hidden="false" customHeight="false" outlineLevel="0" collapsed="false">
      <c r="A647" s="5" t="s">
        <v>521</v>
      </c>
    </row>
    <row r="648" customFormat="false" ht="17.15" hidden="false" customHeight="false" outlineLevel="0" collapsed="false">
      <c r="A648" s="3" t="s">
        <v>522</v>
      </c>
      <c r="B648" s="0" t="s">
        <v>54</v>
      </c>
      <c r="D648" s="13" t="n">
        <f aca="false">a26_gp/D637-d_ai*D644</f>
        <v>0.291564442755356</v>
      </c>
      <c r="H648" s="7" t="s">
        <v>523</v>
      </c>
    </row>
    <row r="649" customFormat="false" ht="17.15" hidden="false" customHeight="false" outlineLevel="0" collapsed="false">
      <c r="A649" s="0" t="s">
        <v>524</v>
      </c>
      <c r="B649" s="0" t="s">
        <v>54</v>
      </c>
      <c r="D649" s="13" t="n">
        <f aca="false">D648+d_ai</f>
        <v>0.371564442755356</v>
      </c>
      <c r="E649" s="13" t="n">
        <f aca="false">1-(1-$D$649)/E624</f>
        <v>0.371564442755356</v>
      </c>
      <c r="F649" s="13" t="n">
        <f aca="false">1-(1-$D$649)/F624</f>
        <v>0.352128291500367</v>
      </c>
      <c r="G649" s="13" t="n">
        <f aca="false">1-(1-$D$649)/G624</f>
        <v>0.324262841672425</v>
      </c>
      <c r="H649" s="7" t="s">
        <v>525</v>
      </c>
    </row>
    <row r="650" customFormat="false" ht="15" hidden="false" customHeight="false" outlineLevel="0" collapsed="false">
      <c r="A650" s="3" t="s">
        <v>392</v>
      </c>
      <c r="B650" s="0" t="s">
        <v>214</v>
      </c>
      <c r="C650" s="18" t="n">
        <f aca="false">a25_gp</f>
        <v>28.12</v>
      </c>
      <c r="D650" s="18" t="n">
        <f aca="false">a26_gp</f>
        <v>69.6235934</v>
      </c>
      <c r="E650" s="18" t="n">
        <f aca="false">E635*E649+E634*$D$648</f>
        <v>136.00068667264</v>
      </c>
      <c r="F650" s="18" t="n">
        <f aca="false">F635*F649+F634*$D$648</f>
        <v>173.765217849208</v>
      </c>
      <c r="G650" s="18" t="n">
        <f aca="false">G635*G649+G634*$D$648</f>
        <v>180.031068666029</v>
      </c>
    </row>
    <row r="651" customFormat="false" ht="15" hidden="false" customHeight="false" outlineLevel="0" collapsed="false">
      <c r="A651" s="3" t="s">
        <v>395</v>
      </c>
      <c r="B651" s="0" t="s">
        <v>54</v>
      </c>
      <c r="C651" s="13" t="n">
        <f aca="false">C650/C637</f>
        <v>0.298320620405046</v>
      </c>
      <c r="D651" s="13" t="n">
        <f aca="false">D650/D637</f>
        <v>0.338364442755356</v>
      </c>
      <c r="E651" s="13" t="n">
        <f aca="false">E650/E637</f>
        <v>0.352444641831075</v>
      </c>
      <c r="F651" s="13" t="n">
        <f aca="false">F650/F637</f>
        <v>0.340525830666356</v>
      </c>
      <c r="G651" s="13" t="n">
        <f aca="false">G650/G637</f>
        <v>0.318328221836244</v>
      </c>
    </row>
    <row r="652" customFormat="false" ht="15" hidden="false" customHeight="false" outlineLevel="0" collapsed="false">
      <c r="A652" s="3" t="s">
        <v>526</v>
      </c>
      <c r="B652" s="0" t="s">
        <v>214</v>
      </c>
      <c r="C652" s="18" t="n">
        <f aca="false">a25_opx</f>
        <v>9.012</v>
      </c>
      <c r="D652" s="18" t="n">
        <f aca="false">a26_opx</f>
        <v>14.0153081141857</v>
      </c>
      <c r="E652" s="18" t="n">
        <f aca="false">D652*(1+MAX(0,phi*E638))</f>
        <v>21.3761479357561</v>
      </c>
      <c r="F652" s="18" t="n">
        <f aca="false">E652*(1+MAX(0,phi*F638))</f>
        <v>25.5111405760509</v>
      </c>
      <c r="G652" s="18" t="n">
        <f aca="false">F652*(1+MAX(0,phi*G638))</f>
        <v>27.1689402224992</v>
      </c>
    </row>
    <row r="653" customFormat="false" ht="15" hidden="false" customHeight="false" outlineLevel="0" collapsed="false">
      <c r="A653" s="3" t="s">
        <v>397</v>
      </c>
      <c r="B653" s="0" t="s">
        <v>214</v>
      </c>
      <c r="C653" s="18" t="n">
        <f aca="false">C652</f>
        <v>9.012</v>
      </c>
      <c r="D653" s="18" t="n">
        <f aca="false">D652</f>
        <v>14.0153081141857</v>
      </c>
      <c r="E653" s="18" t="n">
        <f aca="false">E652+0*E637</f>
        <v>21.3761479357561</v>
      </c>
      <c r="F653" s="18" t="n">
        <f aca="false">F652+0*F637</f>
        <v>25.5111405760509</v>
      </c>
      <c r="G653" s="18" t="n">
        <f aca="false">G652+0*G637</f>
        <v>27.1689402224992</v>
      </c>
    </row>
    <row r="654" customFormat="false" ht="15" hidden="false" customHeight="false" outlineLevel="0" collapsed="false">
      <c r="A654" s="3" t="s">
        <v>400</v>
      </c>
      <c r="B654" s="0" t="s">
        <v>214</v>
      </c>
      <c r="C654" s="18" t="n">
        <f aca="false">C650-C653</f>
        <v>19.108</v>
      </c>
      <c r="D654" s="18" t="n">
        <f aca="false">D650-D653</f>
        <v>55.6082852858143</v>
      </c>
      <c r="E654" s="18" t="n">
        <f aca="false">E650-E653</f>
        <v>114.624538736884</v>
      </c>
      <c r="F654" s="18" t="n">
        <f aca="false">F650-F653</f>
        <v>148.254077273158</v>
      </c>
      <c r="G654" s="18" t="n">
        <f aca="false">G650-G653</f>
        <v>152.86212844353</v>
      </c>
    </row>
    <row r="655" customFormat="false" ht="15" hidden="false" customHeight="false" outlineLevel="0" collapsed="false">
      <c r="A655" s="3" t="s">
        <v>403</v>
      </c>
      <c r="B655" s="0" t="s">
        <v>54</v>
      </c>
      <c r="C655" s="13" t="n">
        <f aca="false">C654/C637</f>
        <v>0.202713741632276</v>
      </c>
      <c r="D655" s="13" t="n">
        <f aca="false">D654/D637</f>
        <v>0.270251297648699</v>
      </c>
      <c r="E655" s="13" t="n">
        <f aca="false">E654/E637</f>
        <v>0.297048533272594</v>
      </c>
      <c r="F655" s="13" t="n">
        <f aca="false">F654/F637</f>
        <v>0.290531922544625</v>
      </c>
      <c r="G655" s="13" t="n">
        <f aca="false">G654/G637</f>
        <v>0.270288511278022</v>
      </c>
    </row>
    <row r="656" customFormat="false" ht="17.15" hidden="false" customHeight="false" outlineLevel="0" collapsed="false">
      <c r="A656" s="3" t="s">
        <v>405</v>
      </c>
      <c r="B656" s="0" t="s">
        <v>214</v>
      </c>
      <c r="E656" s="18" t="n">
        <f aca="false">nop_f</f>
        <v>0.5</v>
      </c>
      <c r="F656" s="18" t="n">
        <f aca="false">nop_f</f>
        <v>0.5</v>
      </c>
      <c r="G656" s="18" t="n">
        <f aca="false">nop_f</f>
        <v>0.5</v>
      </c>
      <c r="H656" s="7" t="s">
        <v>527</v>
      </c>
    </row>
    <row r="657" customFormat="false" ht="15" hidden="false" customHeight="false" outlineLevel="0" collapsed="false">
      <c r="A657" s="3" t="s">
        <v>408</v>
      </c>
      <c r="B657" s="0" t="s">
        <v>214</v>
      </c>
      <c r="C657" s="18" t="n">
        <f aca="false">a25_ni</f>
        <v>14.649</v>
      </c>
      <c r="D657" s="18" t="n">
        <f aca="false">a26_ni</f>
        <v>42.891099295</v>
      </c>
      <c r="E657" s="18" t="n">
        <f aca="false">(E654+E656)*nir_f</f>
        <v>88.6458948274006</v>
      </c>
      <c r="F657" s="18" t="n">
        <f aca="false">(F654+F656)*nir_f</f>
        <v>114.540639500331</v>
      </c>
      <c r="G657" s="18" t="n">
        <f aca="false">(G654+G656)*nir_f</f>
        <v>118.088838901518</v>
      </c>
    </row>
    <row r="658" customFormat="false" ht="17.15" hidden="false" customHeight="false" outlineLevel="0" collapsed="false">
      <c r="A658" s="3" t="s">
        <v>411</v>
      </c>
      <c r="B658" s="0" t="s">
        <v>54</v>
      </c>
      <c r="C658" s="13" t="n">
        <f aca="false">C657/C654</f>
        <v>0.766642244086247</v>
      </c>
      <c r="D658" s="13" t="n">
        <f aca="false">D657/D654</f>
        <v>0.771307712053146</v>
      </c>
      <c r="E658" s="13" t="n">
        <f aca="false">E657/E654</f>
        <v>0.773358792142089</v>
      </c>
      <c r="F658" s="13" t="n">
        <f aca="false">F657/F654</f>
        <v>0.77259689316531</v>
      </c>
      <c r="G658" s="13" t="n">
        <f aca="false">G657/G654</f>
        <v>0.772518609441856</v>
      </c>
    </row>
    <row r="659" customFormat="false" ht="15" hidden="false" customHeight="false" outlineLevel="0" collapsed="false">
      <c r="A659" s="3" t="s">
        <v>528</v>
      </c>
      <c r="B659" s="3" t="s">
        <v>243</v>
      </c>
      <c r="C659" s="20" t="n">
        <f aca="false">a25_sh</f>
        <v>0.351547876169906</v>
      </c>
      <c r="D659" s="20" t="n">
        <f aca="false">a26_sh</f>
        <v>0.358290155440415</v>
      </c>
      <c r="E659" s="20" t="n">
        <f aca="false">D659*(1+sh_g)</f>
        <v>0.358290155440415</v>
      </c>
      <c r="F659" s="20" t="n">
        <f aca="false">E659*(1+sh_g)</f>
        <v>0.358290155440415</v>
      </c>
      <c r="G659" s="20" t="n">
        <f aca="false">F659*(1+sh_g)</f>
        <v>0.358290155440415</v>
      </c>
    </row>
    <row r="660" customFormat="false" ht="15" hidden="false" customHeight="false" outlineLevel="0" collapsed="false">
      <c r="A660" s="0" t="s">
        <v>414</v>
      </c>
      <c r="B660" s="0" t="s">
        <v>274</v>
      </c>
      <c r="C660" s="19" t="n">
        <f aca="false">C657/C659</f>
        <v>41.67</v>
      </c>
      <c r="D660" s="19" t="n">
        <f aca="false">D657/D659</f>
        <v>119.710515747433</v>
      </c>
      <c r="E660" s="19" t="n">
        <f aca="false">E657/E659</f>
        <v>247.413705013569</v>
      </c>
      <c r="F660" s="19" t="n">
        <f aca="false">F657/F659</f>
        <v>319.686817405119</v>
      </c>
      <c r="G660" s="19" t="n">
        <f aca="false">G657/G659</f>
        <v>329.589962516168</v>
      </c>
    </row>
    <row r="661" customFormat="false" ht="17.15" hidden="false" customHeight="false" outlineLevel="0" collapsed="false">
      <c r="A661" s="0" t="s">
        <v>529</v>
      </c>
      <c r="B661" s="0" t="s">
        <v>54</v>
      </c>
      <c r="D661" s="13" t="n">
        <f aca="false">D660/C660-1</f>
        <v>1.87282255213422</v>
      </c>
      <c r="E661" s="13" t="n">
        <f aca="false">E660/D660-1</f>
        <v>1.06676667850606</v>
      </c>
      <c r="F661" s="13" t="n">
        <f aca="false">F660/E660-1</f>
        <v>0.292114425866528</v>
      </c>
      <c r="G661" s="13" t="n">
        <f aca="false">G660/F660-1</f>
        <v>0.0309776461582998</v>
      </c>
    </row>
    <row r="664" customFormat="false" ht="17.15" hidden="false" customHeight="false" outlineLevel="0" collapsed="false">
      <c r="A664" s="1" t="s">
        <v>850</v>
      </c>
    </row>
    <row r="665" customFormat="false" ht="17.15" hidden="false" customHeight="false" outlineLevel="0" collapsed="false">
      <c r="A665" s="4" t="s">
        <v>23</v>
      </c>
      <c r="B665" s="4" t="s">
        <v>24</v>
      </c>
      <c r="C665" s="10" t="s">
        <v>383</v>
      </c>
      <c r="D665" s="10" t="s">
        <v>469</v>
      </c>
      <c r="E665" s="10" t="s">
        <v>470</v>
      </c>
      <c r="F665" s="10" t="s">
        <v>471</v>
      </c>
      <c r="G665" s="10" t="s">
        <v>472</v>
      </c>
      <c r="H665" s="4" t="s">
        <v>437</v>
      </c>
    </row>
    <row r="666" customFormat="false" ht="17.15" hidden="false" customHeight="false" outlineLevel="0" collapsed="false">
      <c r="A666" s="5" t="s">
        <v>487</v>
      </c>
    </row>
    <row r="667" customFormat="false" ht="17.15" hidden="false" customHeight="false" outlineLevel="0" collapsed="false">
      <c r="A667" s="0" t="s">
        <v>488</v>
      </c>
      <c r="B667" s="0" t="s">
        <v>34</v>
      </c>
      <c r="D667" s="19" t="n">
        <f aca="false">itc_26*1</f>
        <v>781.872916666666</v>
      </c>
      <c r="E667" s="19" t="n">
        <f aca="false">itc_27*1*mf_lo</f>
        <v>1252.28</v>
      </c>
      <c r="F667" s="19" t="n">
        <f aca="false">itc_28*um28_A*mf_lo</f>
        <v>1587.41111111111</v>
      </c>
      <c r="G667" s="19" t="n">
        <f aca="false">itc_29*um29_A*mf_lo</f>
        <v>1808.31222222222</v>
      </c>
    </row>
    <row r="668" customFormat="false" ht="17.15" hidden="false" customHeight="false" outlineLevel="0" collapsed="false">
      <c r="A668" s="3" t="s">
        <v>489</v>
      </c>
      <c r="B668" s="0" t="s">
        <v>34</v>
      </c>
      <c r="D668" s="19" t="n">
        <f aca="false">itpg_gb*(1-vr26)+itpg_vr*vr26</f>
        <v>33.41403216</v>
      </c>
      <c r="E668" s="19" t="n">
        <f aca="false">itpg_vr</f>
        <v>37.586352</v>
      </c>
      <c r="F668" s="19" t="n">
        <f aca="false">itpg_vr</f>
        <v>37.586352</v>
      </c>
      <c r="G668" s="19" t="n">
        <f aca="false">itpg_vr</f>
        <v>37.586352</v>
      </c>
    </row>
    <row r="669" customFormat="false" ht="17.15" hidden="false" customHeight="false" outlineLevel="0" collapsed="false">
      <c r="A669" s="3" t="s">
        <v>490</v>
      </c>
      <c r="B669" s="0" t="s">
        <v>439</v>
      </c>
      <c r="D669" s="16" t="n">
        <f aca="false">D667/D668</f>
        <v>23.3995380420639</v>
      </c>
      <c r="E669" s="16" t="n">
        <f aca="false">E667/E668</f>
        <v>33.3174126608509</v>
      </c>
      <c r="F669" s="16" t="n">
        <f aca="false">F667/F668</f>
        <v>42.2337105529984</v>
      </c>
      <c r="G669" s="16" t="n">
        <f aca="false">G667/G668</f>
        <v>48.1108733888892</v>
      </c>
    </row>
    <row r="670" customFormat="false" ht="17.15" hidden="false" customHeight="false" outlineLevel="0" collapsed="false">
      <c r="A670" s="3" t="s">
        <v>441</v>
      </c>
      <c r="B670" s="0" t="s">
        <v>94</v>
      </c>
      <c r="D670" s="17" t="n">
        <f aca="false">cmp_26</f>
        <v>190</v>
      </c>
      <c r="E670" s="17" t="n">
        <f aca="false">cmp_26*cmpx_27</f>
        <v>275.5</v>
      </c>
      <c r="F670" s="17" t="n">
        <f aca="false">cmp_26*cmpx_28</f>
        <v>304</v>
      </c>
      <c r="G670" s="17" t="n">
        <f aca="false">cmp_26*cmpx_29</f>
        <v>323</v>
      </c>
    </row>
    <row r="671" customFormat="false" ht="17.15" hidden="false" customHeight="false" outlineLevel="0" collapsed="false">
      <c r="A671" s="3" t="s">
        <v>443</v>
      </c>
      <c r="B671" s="0" t="s">
        <v>94</v>
      </c>
      <c r="D671" s="17" t="n">
        <f aca="false">sw_26</f>
        <v>90</v>
      </c>
      <c r="E671" s="17" t="n">
        <f aca="false">sw_26*swx_27</f>
        <v>126</v>
      </c>
      <c r="F671" s="17" t="n">
        <f aca="false">sw_26*swx_28</f>
        <v>144</v>
      </c>
      <c r="G671" s="17" t="n">
        <f aca="false">sw_26*swx_29</f>
        <v>157.5</v>
      </c>
    </row>
    <row r="672" customFormat="false" ht="17.15" hidden="false" customHeight="false" outlineLevel="0" collapsed="false">
      <c r="A672" s="3" t="s">
        <v>444</v>
      </c>
      <c r="B672" s="0" t="s">
        <v>94</v>
      </c>
      <c r="D672" s="17" t="n">
        <f aca="false">ubb_26</f>
        <v>70</v>
      </c>
      <c r="E672" s="17" t="n">
        <f aca="false">ubb_26*ubbx_27</f>
        <v>126</v>
      </c>
      <c r="F672" s="17" t="n">
        <f aca="false">ubb_26*ubbx_28</f>
        <v>161</v>
      </c>
      <c r="G672" s="17" t="n">
        <f aca="false">ubb_26*ubbx_29</f>
        <v>182</v>
      </c>
    </row>
    <row r="673" customFormat="false" ht="17.15" hidden="false" customHeight="false" outlineLevel="0" collapsed="false">
      <c r="A673" s="3" t="s">
        <v>491</v>
      </c>
      <c r="B673" s="0" t="s">
        <v>94</v>
      </c>
      <c r="D673" s="17" t="n">
        <f aca="false">D670+D671+D672</f>
        <v>350</v>
      </c>
      <c r="E673" s="17" t="n">
        <f aca="false">E670+E671+E672</f>
        <v>527.5</v>
      </c>
      <c r="F673" s="17" t="n">
        <f aca="false">F670+F671+F672</f>
        <v>609</v>
      </c>
      <c r="G673" s="17" t="n">
        <f aca="false">G670+G671+G672</f>
        <v>662.5</v>
      </c>
    </row>
    <row r="674" customFormat="false" ht="17.15" hidden="false" customHeight="false" outlineLevel="0" collapsed="false">
      <c r="A674" s="0" t="s">
        <v>492</v>
      </c>
      <c r="B674" s="0" t="s">
        <v>34</v>
      </c>
      <c r="D674" s="19" t="n">
        <f aca="false">D669*D673/1000</f>
        <v>8.18983831472236</v>
      </c>
      <c r="E674" s="19" t="n">
        <f aca="false">E669*E673/1000</f>
        <v>17.5749351785989</v>
      </c>
      <c r="F674" s="19" t="n">
        <f aca="false">F669*F673/1000</f>
        <v>25.720329726776</v>
      </c>
      <c r="G674" s="19" t="n">
        <f aca="false">G669*G673/1000</f>
        <v>31.8734536201391</v>
      </c>
    </row>
    <row r="675" customFormat="false" ht="17.15" hidden="false" customHeight="false" outlineLevel="0" collapsed="false">
      <c r="A675" s="0" t="s">
        <v>493</v>
      </c>
      <c r="B675" s="0" t="s">
        <v>214</v>
      </c>
      <c r="D675" s="18" t="n">
        <f aca="false">D674*fx</f>
        <v>262.074826071116</v>
      </c>
      <c r="E675" s="18" t="n">
        <f aca="false">E674*fx</f>
        <v>562.397925715164</v>
      </c>
      <c r="F675" s="18" t="n">
        <f aca="false">F674*fx</f>
        <v>823.050551256833</v>
      </c>
      <c r="G675" s="18" t="n">
        <f aca="false">G674*fx</f>
        <v>1019.95051584445</v>
      </c>
    </row>
    <row r="676" customFormat="false" ht="17.15" hidden="false" customHeight="false" outlineLevel="0" collapsed="false">
      <c r="A676" s="0" t="s">
        <v>494</v>
      </c>
      <c r="B676" s="0" t="s">
        <v>67</v>
      </c>
      <c r="D676" s="14" t="n">
        <f aca="false">1</f>
        <v>1</v>
      </c>
      <c r="E676" s="14" t="n">
        <f aca="false">pp_27</f>
        <v>1</v>
      </c>
      <c r="F676" s="14" t="n">
        <f aca="false">pp_28</f>
        <v>0.97</v>
      </c>
      <c r="G676" s="14" t="n">
        <f aca="false">pp_29</f>
        <v>0.93</v>
      </c>
    </row>
    <row r="677" customFormat="false" ht="17.15" hidden="false" customHeight="false" outlineLevel="0" collapsed="false">
      <c r="A677" s="3" t="s">
        <v>495</v>
      </c>
      <c r="B677" s="0" t="s">
        <v>54</v>
      </c>
      <c r="D677" s="13" t="n">
        <f aca="false">a26_ai/D675</f>
        <v>0.459306165741139</v>
      </c>
      <c r="H677" s="7" t="s">
        <v>496</v>
      </c>
    </row>
    <row r="678" customFormat="false" ht="17.15" hidden="false" customHeight="false" outlineLevel="0" collapsed="false">
      <c r="A678" s="3" t="s">
        <v>497</v>
      </c>
      <c r="B678" s="0" t="s">
        <v>67</v>
      </c>
      <c r="D678" s="14" t="n">
        <f aca="false">1</f>
        <v>1</v>
      </c>
      <c r="E678" s="14" t="n">
        <f aca="false">rel_27</f>
        <v>0.95</v>
      </c>
      <c r="F678" s="14" t="n">
        <f aca="false">rel_28</f>
        <v>0.9</v>
      </c>
      <c r="G678" s="14" t="n">
        <f aca="false">rel_29</f>
        <v>0.85</v>
      </c>
    </row>
    <row r="679" customFormat="false" ht="15" hidden="false" customHeight="false" outlineLevel="0" collapsed="false">
      <c r="A679" s="3" t="s">
        <v>452</v>
      </c>
      <c r="B679" s="0" t="s">
        <v>54</v>
      </c>
      <c r="D679" s="13" t="n">
        <f aca="false">$D$677*D678</f>
        <v>0.459306165741139</v>
      </c>
      <c r="E679" s="13" t="n">
        <f aca="false">$D$677*E678</f>
        <v>0.436340857454082</v>
      </c>
      <c r="F679" s="13" t="n">
        <f aca="false">$D$677*F678</f>
        <v>0.413375549167025</v>
      </c>
      <c r="G679" s="13" t="n">
        <f aca="false">$D$677*G678</f>
        <v>0.390410240879968</v>
      </c>
    </row>
    <row r="680" customFormat="false" ht="17.15" hidden="false" customHeight="false" outlineLevel="0" collapsed="false">
      <c r="A680" s="0" t="s">
        <v>498</v>
      </c>
      <c r="B680" s="0" t="s">
        <v>214</v>
      </c>
      <c r="D680" s="18" t="n">
        <f aca="false">D675*D679*D676</f>
        <v>120.3725835</v>
      </c>
      <c r="E680" s="18" t="n">
        <f aca="false">E675*E679*E676</f>
        <v>245.397193136952</v>
      </c>
      <c r="F680" s="18" t="n">
        <f aca="false">F675*F679*F676</f>
        <v>330.022104409476</v>
      </c>
      <c r="G680" s="18" t="n">
        <f aca="false">G675*G679*G676</f>
        <v>370.325187716127</v>
      </c>
    </row>
    <row r="681" customFormat="false" ht="17.15" hidden="false" customHeight="false" outlineLevel="0" collapsed="false">
      <c r="A681" s="5" t="s">
        <v>499</v>
      </c>
    </row>
    <row r="682" customFormat="false" ht="15" hidden="false" customHeight="false" outlineLevel="0" collapsed="false">
      <c r="A682" s="3" t="s">
        <v>457</v>
      </c>
      <c r="B682" s="3" t="s">
        <v>151</v>
      </c>
      <c r="D682" s="14" t="n">
        <f aca="false">cap_26</f>
        <v>6</v>
      </c>
      <c r="E682" s="14" t="n">
        <f aca="false">cap_27</f>
        <v>7.76</v>
      </c>
      <c r="F682" s="14" t="n">
        <f aca="false">cap_28</f>
        <v>10.3</v>
      </c>
      <c r="G682" s="14" t="n">
        <f aca="false">cap_29</f>
        <v>11.8</v>
      </c>
    </row>
    <row r="683" customFormat="false" ht="17.15" hidden="false" customHeight="false" outlineLevel="0" collapsed="false">
      <c r="A683" s="3" t="s">
        <v>500</v>
      </c>
      <c r="B683" s="0" t="s">
        <v>460</v>
      </c>
      <c r="D683" s="17" t="n">
        <f aca="false">a26_rev/(D682*12)*1000</f>
        <v>2857.84861111111</v>
      </c>
      <c r="H683" s="7" t="s">
        <v>501</v>
      </c>
    </row>
    <row r="684" customFormat="false" ht="17.15" hidden="false" customHeight="false" outlineLevel="0" collapsed="false">
      <c r="A684" s="3" t="s">
        <v>502</v>
      </c>
      <c r="B684" s="0" t="s">
        <v>67</v>
      </c>
      <c r="D684" s="14" t="n">
        <f aca="false">1</f>
        <v>1</v>
      </c>
      <c r="E684" s="14" t="n">
        <f aca="false">mix_27</f>
        <v>1.25</v>
      </c>
      <c r="F684" s="14" t="n">
        <f aca="false">mix_28</f>
        <v>1.4</v>
      </c>
      <c r="G684" s="14" t="n">
        <f aca="false">mix_29</f>
        <v>1.5</v>
      </c>
    </row>
    <row r="685" customFormat="false" ht="17.15" hidden="false" customHeight="false" outlineLevel="0" collapsed="false">
      <c r="A685" s="3" t="s">
        <v>503</v>
      </c>
      <c r="B685" s="0" t="s">
        <v>214</v>
      </c>
      <c r="D685" s="18" t="n">
        <f aca="false">D682*12*$D$683*D684*D676/1000</f>
        <v>205.7651</v>
      </c>
      <c r="E685" s="18" t="n">
        <f aca="false">E682*12*$D$683*E684*E676/1000</f>
        <v>332.653578333333</v>
      </c>
      <c r="F685" s="18" t="n">
        <f aca="false">F682*12*$D$683*F684*F676/1000</f>
        <v>479.686459956667</v>
      </c>
      <c r="G685" s="18" t="n">
        <f aca="false">G682*12*$D$683*G684*G676/1000</f>
        <v>564.51655185</v>
      </c>
    </row>
    <row r="686" customFormat="false" ht="17.15" hidden="false" customHeight="false" outlineLevel="0" collapsed="false">
      <c r="A686" s="3" t="s">
        <v>504</v>
      </c>
      <c r="B686" s="0" t="s">
        <v>214</v>
      </c>
      <c r="C686" s="18" t="n">
        <f aca="false">a25_nai</f>
        <v>47.1305</v>
      </c>
      <c r="D686" s="18" t="n">
        <f aca="false">a26_nai</f>
        <v>85.3925165</v>
      </c>
      <c r="E686" s="18" t="n">
        <f aca="false">D686*(1+g_nai27)</f>
        <v>92.22391782</v>
      </c>
      <c r="F686" s="18" t="n">
        <f aca="false">E686*(1+g_nai28)</f>
        <v>97.7573528892</v>
      </c>
      <c r="G686" s="18" t="n">
        <f aca="false">F686*(1+g_nai29)</f>
        <v>102.64522053366</v>
      </c>
    </row>
    <row r="687" customFormat="false" ht="17.15" hidden="false" customHeight="false" outlineLevel="0" collapsed="false">
      <c r="A687" s="0" t="s">
        <v>505</v>
      </c>
      <c r="B687" s="0" t="s">
        <v>214</v>
      </c>
      <c r="C687" s="18" t="n">
        <f aca="false">a25_ai</f>
        <v>47.1305</v>
      </c>
      <c r="D687" s="18" t="n">
        <f aca="false">D680</f>
        <v>120.3725835</v>
      </c>
      <c r="E687" s="18" t="n">
        <f aca="false">MIN(E680,E685-E686)</f>
        <v>240.429660513333</v>
      </c>
      <c r="F687" s="18" t="n">
        <f aca="false">MIN(F680,F685-F686)</f>
        <v>330.022104409476</v>
      </c>
      <c r="G687" s="18" t="n">
        <f aca="false">MIN(G680,G685-G686)</f>
        <v>370.325187716127</v>
      </c>
      <c r="H687" s="3" t="s">
        <v>506</v>
      </c>
    </row>
    <row r="688" customFormat="false" ht="15" hidden="false" customHeight="false" outlineLevel="0" collapsed="false">
      <c r="A688" s="3" t="s">
        <v>507</v>
      </c>
      <c r="E688" s="0" t="str">
        <f aca="false">IF(E680&gt;E685-E686+0.0001,"受限","未受限")</f>
        <v>受限</v>
      </c>
      <c r="F688" s="0" t="str">
        <f aca="false">IF(F680&gt;F685-F686+0.0001,"受限","未受限")</f>
        <v>未受限</v>
      </c>
      <c r="G688" s="0" t="str">
        <f aca="false">IF(G680&gt;G685-G686+0.0001,"受限","未受限")</f>
        <v>未受限</v>
      </c>
    </row>
    <row r="689" customFormat="false" ht="15" hidden="false" customHeight="false" outlineLevel="0" collapsed="false">
      <c r="A689" s="3" t="s">
        <v>388</v>
      </c>
      <c r="B689" s="0" t="s">
        <v>214</v>
      </c>
      <c r="C689" s="18" t="n">
        <f aca="false">C687+C686</f>
        <v>94.261</v>
      </c>
      <c r="D689" s="18" t="n">
        <f aca="false">D687+D686</f>
        <v>205.7651</v>
      </c>
      <c r="E689" s="18" t="n">
        <f aca="false">E687+E686</f>
        <v>332.653578333333</v>
      </c>
      <c r="F689" s="18" t="n">
        <f aca="false">F687+F686</f>
        <v>427.779457298676</v>
      </c>
      <c r="G689" s="18" t="n">
        <f aca="false">G687+G686</f>
        <v>472.970408249787</v>
      </c>
    </row>
    <row r="690" customFormat="false" ht="15" hidden="false" customHeight="false" outlineLevel="0" collapsed="false">
      <c r="A690" s="3" t="s">
        <v>508</v>
      </c>
      <c r="B690" s="0" t="s">
        <v>54</v>
      </c>
      <c r="D690" s="13" t="n">
        <f aca="false">D689/C689-1</f>
        <v>1.1829293132897</v>
      </c>
      <c r="E690" s="13" t="n">
        <f aca="false">E689/D689-1</f>
        <v>0.616666666666667</v>
      </c>
      <c r="F690" s="13" t="n">
        <f aca="false">F689/E689-1</f>
        <v>0.285960786719757</v>
      </c>
      <c r="G690" s="13" t="n">
        <f aca="false">G689/F689-1</f>
        <v>0.105640769279762</v>
      </c>
    </row>
    <row r="691" customFormat="false" ht="17.15" hidden="false" customHeight="false" outlineLevel="0" collapsed="false">
      <c r="A691" s="3" t="s">
        <v>509</v>
      </c>
      <c r="B691" s="0" t="s">
        <v>214</v>
      </c>
      <c r="C691" s="18" t="n">
        <f aca="false">inf25*C689-C687</f>
        <v>16.495675</v>
      </c>
      <c r="D691" s="18" t="n">
        <f aca="false">inf26*D689-D687</f>
        <v>33.9512415</v>
      </c>
      <c r="E691" s="18" t="n">
        <f aca="false">E686*$D691/$D686</f>
        <v>36.66734082</v>
      </c>
      <c r="F691" s="18" t="n">
        <f aca="false">F686*$D691/$D686</f>
        <v>38.8673812692</v>
      </c>
      <c r="G691" s="18" t="n">
        <f aca="false">G686*$D691/$D686</f>
        <v>40.81075033266</v>
      </c>
      <c r="H691" s="3" t="s">
        <v>510</v>
      </c>
    </row>
    <row r="692" customFormat="false" ht="17.15" hidden="false" customHeight="false" outlineLevel="0" collapsed="false">
      <c r="A692" s="3" t="s">
        <v>511</v>
      </c>
      <c r="B692" s="0" t="s">
        <v>214</v>
      </c>
      <c r="C692" s="18" t="n">
        <f aca="false">C687+C691</f>
        <v>63.626175</v>
      </c>
      <c r="D692" s="18" t="n">
        <f aca="false">D687+D691</f>
        <v>154.323825</v>
      </c>
      <c r="E692" s="18" t="n">
        <f aca="false">E687+E691</f>
        <v>277.097001333333</v>
      </c>
      <c r="F692" s="18" t="n">
        <f aca="false">F687+F691</f>
        <v>368.889485678676</v>
      </c>
      <c r="G692" s="18" t="n">
        <f aca="false">G687+G691</f>
        <v>411.135938048787</v>
      </c>
      <c r="H692" s="3" t="s">
        <v>512</v>
      </c>
    </row>
    <row r="693" customFormat="false" ht="15" hidden="false" customHeight="false" outlineLevel="0" collapsed="false">
      <c r="A693" s="3" t="s">
        <v>513</v>
      </c>
      <c r="B693" s="0" t="s">
        <v>214</v>
      </c>
      <c r="C693" s="18" t="n">
        <f aca="false">mob25*C689</f>
        <v>21.208725</v>
      </c>
      <c r="D693" s="18" t="n">
        <f aca="false">mob26*D689</f>
        <v>37.037718</v>
      </c>
      <c r="E693" s="18" t="n">
        <f aca="false">E686*$D693/$D686</f>
        <v>40.00073544</v>
      </c>
      <c r="F693" s="18" t="n">
        <f aca="false">F686*$D693/$D686</f>
        <v>42.4007795664</v>
      </c>
      <c r="G693" s="18" t="n">
        <f aca="false">G686*$D693/$D686</f>
        <v>44.52081854472</v>
      </c>
      <c r="H693" s="3" t="s">
        <v>514</v>
      </c>
    </row>
    <row r="694" customFormat="false" ht="15" hidden="false" customHeight="false" outlineLevel="0" collapsed="false">
      <c r="A694" s="3" t="s">
        <v>515</v>
      </c>
      <c r="B694" s="0" t="s">
        <v>214</v>
      </c>
      <c r="C694" s="18" t="n">
        <f aca="false">C689-C692-C693</f>
        <v>9.42609999999999</v>
      </c>
      <c r="D694" s="18" t="n">
        <f aca="false">D689-D692-D693</f>
        <v>14.403557</v>
      </c>
      <c r="E694" s="18" t="n">
        <f aca="false">E689-E692-E693</f>
        <v>15.55584156</v>
      </c>
      <c r="F694" s="18" t="n">
        <f aca="false">F689-F692-F693</f>
        <v>16.4891920536</v>
      </c>
      <c r="G694" s="18" t="n">
        <f aca="false">G689-G692-G693</f>
        <v>17.31365165628</v>
      </c>
      <c r="H694" s="3" t="s">
        <v>516</v>
      </c>
    </row>
    <row r="695" customFormat="false" ht="15" hidden="false" customHeight="false" outlineLevel="0" collapsed="false">
      <c r="A695" s="3" t="s">
        <v>517</v>
      </c>
      <c r="B695" s="0" t="s">
        <v>214</v>
      </c>
      <c r="C695" s="21" t="n">
        <f aca="false">C692+C693+C694-C689</f>
        <v>0</v>
      </c>
      <c r="D695" s="21" t="n">
        <f aca="false">D692+D693+D694-D689</f>
        <v>0</v>
      </c>
      <c r="E695" s="21" t="n">
        <f aca="false">E692+E693+E694-E689</f>
        <v>0</v>
      </c>
      <c r="F695" s="21" t="n">
        <f aca="false">F692+F693+F694-F689</f>
        <v>0</v>
      </c>
      <c r="G695" s="21" t="n">
        <f aca="false">G692+G693+G694-G689</f>
        <v>0</v>
      </c>
    </row>
    <row r="696" customFormat="false" ht="17.15" hidden="false" customHeight="false" outlineLevel="0" collapsed="false">
      <c r="A696" s="0" t="s">
        <v>518</v>
      </c>
      <c r="B696" s="0" t="s">
        <v>54</v>
      </c>
      <c r="C696" s="13" t="n">
        <f aca="false">C687/C689</f>
        <v>0.5</v>
      </c>
      <c r="D696" s="13" t="n">
        <f aca="false">D687/D689</f>
        <v>0.585</v>
      </c>
      <c r="E696" s="13" t="n">
        <f aca="false">E687/E689</f>
        <v>0.722762886597938</v>
      </c>
      <c r="F696" s="13" t="n">
        <f aca="false">F687/F689</f>
        <v>0.77147721513671</v>
      </c>
      <c r="G696" s="13" t="n">
        <f aca="false">G687/G689</f>
        <v>0.782977499768969</v>
      </c>
    </row>
    <row r="697" customFormat="false" ht="17.15" hidden="false" customHeight="false" outlineLevel="0" collapsed="false">
      <c r="A697" s="3" t="s">
        <v>519</v>
      </c>
      <c r="B697" s="0" t="s">
        <v>54</v>
      </c>
      <c r="D697" s="13" t="n">
        <f aca="false">(D680+D686)/D685</f>
        <v>1</v>
      </c>
      <c r="E697" s="13" t="n">
        <f aca="false">(E680+E686)/E685</f>
        <v>1.01493305031771</v>
      </c>
      <c r="F697" s="13" t="n">
        <f aca="false">(F680+F686)/F685</f>
        <v>0.891789727267515</v>
      </c>
      <c r="G697" s="13" t="n">
        <f aca="false">(G680+G686)/G685</f>
        <v>0.837832667084422</v>
      </c>
      <c r="H697" s="3" t="s">
        <v>520</v>
      </c>
    </row>
    <row r="698" customFormat="false" ht="17.15" hidden="false" customHeight="false" outlineLevel="0" collapsed="false">
      <c r="A698" s="3" t="s">
        <v>456</v>
      </c>
      <c r="B698" s="0" t="s">
        <v>94</v>
      </c>
      <c r="D698" s="17" t="n">
        <f aca="false">D687/fx/D669*1000</f>
        <v>160.757158009399</v>
      </c>
      <c r="E698" s="17" t="n">
        <f aca="false">E687/fx/E669*1000</f>
        <v>225.510515102819</v>
      </c>
      <c r="F698" s="17" t="n">
        <f aca="false">F687/fx/F669*1000</f>
        <v>244.193338159437</v>
      </c>
      <c r="G698" s="17" t="n">
        <f aca="false">G687/fx/G669*1000</f>
        <v>240.54150966217</v>
      </c>
    </row>
    <row r="699" customFormat="false" ht="17.15" hidden="false" customHeight="false" outlineLevel="0" collapsed="false">
      <c r="A699" s="5" t="s">
        <v>521</v>
      </c>
    </row>
    <row r="700" customFormat="false" ht="17.15" hidden="false" customHeight="false" outlineLevel="0" collapsed="false">
      <c r="A700" s="3" t="s">
        <v>522</v>
      </c>
      <c r="B700" s="0" t="s">
        <v>54</v>
      </c>
      <c r="D700" s="13" t="n">
        <f aca="false">a26_gp/D689-d_ai*D696</f>
        <v>0.291564442755356</v>
      </c>
      <c r="H700" s="7" t="s">
        <v>523</v>
      </c>
    </row>
    <row r="701" customFormat="false" ht="17.15" hidden="false" customHeight="false" outlineLevel="0" collapsed="false">
      <c r="A701" s="0" t="s">
        <v>524</v>
      </c>
      <c r="B701" s="0" t="s">
        <v>54</v>
      </c>
      <c r="D701" s="13" t="n">
        <f aca="false">D700+d_ai</f>
        <v>0.371564442755356</v>
      </c>
      <c r="E701" s="13" t="n">
        <f aca="false">1-(1-$D$701)/E676</f>
        <v>0.371564442755356</v>
      </c>
      <c r="F701" s="13" t="n">
        <f aca="false">1-(1-$D$701)/F676</f>
        <v>0.352128291500367</v>
      </c>
      <c r="G701" s="13" t="n">
        <f aca="false">1-(1-$D$701)/G676</f>
        <v>0.324262841672425</v>
      </c>
      <c r="H701" s="7" t="s">
        <v>525</v>
      </c>
    </row>
    <row r="702" customFormat="false" ht="15" hidden="false" customHeight="false" outlineLevel="0" collapsed="false">
      <c r="A702" s="3" t="s">
        <v>392</v>
      </c>
      <c r="B702" s="0" t="s">
        <v>214</v>
      </c>
      <c r="C702" s="18" t="n">
        <f aca="false">a25_gp</f>
        <v>28.12</v>
      </c>
      <c r="D702" s="18" t="n">
        <f aca="false">a26_gp</f>
        <v>69.6235934</v>
      </c>
      <c r="E702" s="18" t="n">
        <f aca="false">E687*E701+E686*$D$700</f>
        <v>116.2243280384</v>
      </c>
      <c r="F702" s="18" t="n">
        <f aca="false">F687*F701+F686*$D$700</f>
        <v>144.712687903443</v>
      </c>
      <c r="G702" s="18" t="n">
        <f aca="false">G687*G701+G686*$D$700</f>
        <v>150.010394238103</v>
      </c>
    </row>
    <row r="703" customFormat="false" ht="15" hidden="false" customHeight="false" outlineLevel="0" collapsed="false">
      <c r="A703" s="3" t="s">
        <v>395</v>
      </c>
      <c r="B703" s="0" t="s">
        <v>54</v>
      </c>
      <c r="C703" s="13" t="n">
        <f aca="false">C702/C689</f>
        <v>0.298320620405046</v>
      </c>
      <c r="D703" s="13" t="n">
        <f aca="false">D702/D689</f>
        <v>0.338364442755356</v>
      </c>
      <c r="E703" s="13" t="n">
        <f aca="false">E702/E689</f>
        <v>0.349385473683191</v>
      </c>
      <c r="F703" s="13" t="n">
        <f aca="false">F702/F689</f>
        <v>0.338288072123118</v>
      </c>
      <c r="G703" s="13" t="n">
        <f aca="false">G702/G689</f>
        <v>0.317166553385891</v>
      </c>
    </row>
    <row r="704" customFormat="false" ht="15" hidden="false" customHeight="false" outlineLevel="0" collapsed="false">
      <c r="A704" s="3" t="s">
        <v>526</v>
      </c>
      <c r="B704" s="0" t="s">
        <v>214</v>
      </c>
      <c r="C704" s="18" t="n">
        <f aca="false">a25_opx</f>
        <v>9.012</v>
      </c>
      <c r="D704" s="18" t="n">
        <f aca="false">a26_opx</f>
        <v>14.0153081141857</v>
      </c>
      <c r="E704" s="18" t="n">
        <f aca="false">D704*(1+MAX(0,phi*E690))</f>
        <v>19.2009721164345</v>
      </c>
      <c r="F704" s="18" t="n">
        <f aca="false">E704*(1+MAX(0,phi*F690))</f>
        <v>22.4954071717543</v>
      </c>
      <c r="G704" s="18" t="n">
        <f aca="false">F704*(1+MAX(0,phi*G690))</f>
        <v>23.9212664430857</v>
      </c>
    </row>
    <row r="705" customFormat="false" ht="15" hidden="false" customHeight="false" outlineLevel="0" collapsed="false">
      <c r="A705" s="3" t="s">
        <v>397</v>
      </c>
      <c r="B705" s="0" t="s">
        <v>214</v>
      </c>
      <c r="C705" s="18" t="n">
        <f aca="false">C704</f>
        <v>9.012</v>
      </c>
      <c r="D705" s="18" t="n">
        <f aca="false">D704</f>
        <v>14.0153081141857</v>
      </c>
      <c r="E705" s="18" t="n">
        <f aca="false">E704+0*E689</f>
        <v>19.2009721164345</v>
      </c>
      <c r="F705" s="18" t="n">
        <f aca="false">F704+0*F689</f>
        <v>22.4954071717543</v>
      </c>
      <c r="G705" s="18" t="n">
        <f aca="false">G704+0*G689</f>
        <v>23.9212664430857</v>
      </c>
    </row>
    <row r="706" customFormat="false" ht="15" hidden="false" customHeight="false" outlineLevel="0" collapsed="false">
      <c r="A706" s="3" t="s">
        <v>400</v>
      </c>
      <c r="B706" s="0" t="s">
        <v>214</v>
      </c>
      <c r="C706" s="18" t="n">
        <f aca="false">C702-C705</f>
        <v>19.108</v>
      </c>
      <c r="D706" s="18" t="n">
        <f aca="false">D702-D705</f>
        <v>55.6082852858143</v>
      </c>
      <c r="E706" s="18" t="n">
        <f aca="false">E702-E705</f>
        <v>97.0233559219655</v>
      </c>
      <c r="F706" s="18" t="n">
        <f aca="false">F702-F705</f>
        <v>122.217280731688</v>
      </c>
      <c r="G706" s="18" t="n">
        <f aca="false">G702-G705</f>
        <v>126.089127795017</v>
      </c>
    </row>
    <row r="707" customFormat="false" ht="15" hidden="false" customHeight="false" outlineLevel="0" collapsed="false">
      <c r="A707" s="3" t="s">
        <v>403</v>
      </c>
      <c r="B707" s="0" t="s">
        <v>54</v>
      </c>
      <c r="C707" s="13" t="n">
        <f aca="false">C706/C689</f>
        <v>0.202713741632276</v>
      </c>
      <c r="D707" s="13" t="n">
        <f aca="false">D706/D689</f>
        <v>0.270251297648699</v>
      </c>
      <c r="E707" s="13" t="n">
        <f aca="false">E706/E689</f>
        <v>0.291664849685591</v>
      </c>
      <c r="F707" s="13" t="n">
        <f aca="false">F706/F689</f>
        <v>0.285701612469801</v>
      </c>
      <c r="G707" s="13" t="n">
        <f aca="false">G706/G689</f>
        <v>0.266589887222768</v>
      </c>
    </row>
    <row r="708" customFormat="false" ht="17.15" hidden="false" customHeight="false" outlineLevel="0" collapsed="false">
      <c r="A708" s="3" t="s">
        <v>405</v>
      </c>
      <c r="B708" s="0" t="s">
        <v>214</v>
      </c>
      <c r="E708" s="18" t="n">
        <f aca="false">nop_f</f>
        <v>0.5</v>
      </c>
      <c r="F708" s="18" t="n">
        <f aca="false">nop_f</f>
        <v>0.5</v>
      </c>
      <c r="G708" s="18" t="n">
        <f aca="false">nop_f</f>
        <v>0.5</v>
      </c>
      <c r="H708" s="7" t="s">
        <v>527</v>
      </c>
    </row>
    <row r="709" customFormat="false" ht="15" hidden="false" customHeight="false" outlineLevel="0" collapsed="false">
      <c r="A709" s="3" t="s">
        <v>408</v>
      </c>
      <c r="B709" s="0" t="s">
        <v>214</v>
      </c>
      <c r="C709" s="18" t="n">
        <f aca="false">a25_ni</f>
        <v>14.649</v>
      </c>
      <c r="D709" s="18" t="n">
        <f aca="false">a26_ni</f>
        <v>42.891099295</v>
      </c>
      <c r="E709" s="18" t="n">
        <f aca="false">(E706+E708)*nir_f</f>
        <v>75.0929840599135</v>
      </c>
      <c r="F709" s="18" t="n">
        <f aca="false">(F706+F708)*nir_f</f>
        <v>94.4923061633999</v>
      </c>
      <c r="G709" s="18" t="n">
        <f aca="false">(G706+G708)*nir_f</f>
        <v>97.4736284021632</v>
      </c>
    </row>
    <row r="710" customFormat="false" ht="17.15" hidden="false" customHeight="false" outlineLevel="0" collapsed="false">
      <c r="A710" s="3" t="s">
        <v>411</v>
      </c>
      <c r="B710" s="0" t="s">
        <v>54</v>
      </c>
      <c r="C710" s="13" t="n">
        <f aca="false">C709/C706</f>
        <v>0.766642244086247</v>
      </c>
      <c r="D710" s="13" t="n">
        <f aca="false">D709/D706</f>
        <v>0.771307712053146</v>
      </c>
      <c r="E710" s="13" t="n">
        <f aca="false">E709/E706</f>
        <v>0.77396811671109</v>
      </c>
      <c r="F710" s="13" t="n">
        <f aca="false">F709/F706</f>
        <v>0.773150127360837</v>
      </c>
      <c r="G710" s="13" t="n">
        <f aca="false">G709/G706</f>
        <v>0.773053395695035</v>
      </c>
    </row>
    <row r="711" customFormat="false" ht="15" hidden="false" customHeight="false" outlineLevel="0" collapsed="false">
      <c r="A711" s="3" t="s">
        <v>528</v>
      </c>
      <c r="B711" s="3" t="s">
        <v>243</v>
      </c>
      <c r="C711" s="20" t="n">
        <f aca="false">a25_sh</f>
        <v>0.351547876169906</v>
      </c>
      <c r="D711" s="20" t="n">
        <f aca="false">a26_sh</f>
        <v>0.358290155440415</v>
      </c>
      <c r="E711" s="20" t="n">
        <f aca="false">D711*(1+sh_g)</f>
        <v>0.358290155440415</v>
      </c>
      <c r="F711" s="20" t="n">
        <f aca="false">E711*(1+sh_g)</f>
        <v>0.358290155440415</v>
      </c>
      <c r="G711" s="20" t="n">
        <f aca="false">F711*(1+sh_g)</f>
        <v>0.358290155440415</v>
      </c>
    </row>
    <row r="712" customFormat="false" ht="15" hidden="false" customHeight="false" outlineLevel="0" collapsed="false">
      <c r="A712" s="0" t="s">
        <v>414</v>
      </c>
      <c r="B712" s="0" t="s">
        <v>274</v>
      </c>
      <c r="C712" s="19" t="n">
        <f aca="false">C709/C711</f>
        <v>41.67</v>
      </c>
      <c r="D712" s="19" t="n">
        <f aca="false">D709/D711</f>
        <v>119.710515747433</v>
      </c>
      <c r="E712" s="19" t="n">
        <f aca="false">E709/E711</f>
        <v>209.587070478139</v>
      </c>
      <c r="F712" s="19" t="n">
        <f aca="false">F709/F711</f>
        <v>263.731237737327</v>
      </c>
      <c r="G712" s="19" t="n">
        <f aca="false">G709/G711</f>
        <v>272.052209423246</v>
      </c>
    </row>
    <row r="713" customFormat="false" ht="17.15" hidden="false" customHeight="false" outlineLevel="0" collapsed="false">
      <c r="A713" s="0" t="s">
        <v>529</v>
      </c>
      <c r="B713" s="0" t="s">
        <v>54</v>
      </c>
      <c r="D713" s="13" t="n">
        <f aca="false">D712/C712-1</f>
        <v>1.87282255213422</v>
      </c>
      <c r="E713" s="13" t="n">
        <f aca="false">E712/D712-1</f>
        <v>0.750782453567642</v>
      </c>
      <c r="F713" s="13" t="n">
        <f aca="false">F712/E712-1</f>
        <v>0.258337344644721</v>
      </c>
      <c r="G713" s="13" t="n">
        <f aca="false">G712/F712-1</f>
        <v>0.031550952239517</v>
      </c>
    </row>
    <row r="716" customFormat="false" ht="17.15" hidden="false" customHeight="false" outlineLevel="0" collapsed="false">
      <c r="A716" s="1" t="s">
        <v>851</v>
      </c>
    </row>
    <row r="717" customFormat="false" ht="17.15" hidden="false" customHeight="false" outlineLevel="0" collapsed="false">
      <c r="A717" s="4" t="s">
        <v>23</v>
      </c>
      <c r="B717" s="4" t="s">
        <v>24</v>
      </c>
      <c r="C717" s="10" t="s">
        <v>383</v>
      </c>
      <c r="D717" s="10" t="s">
        <v>469</v>
      </c>
      <c r="E717" s="10" t="s">
        <v>470</v>
      </c>
      <c r="F717" s="10" t="s">
        <v>471</v>
      </c>
      <c r="G717" s="10" t="s">
        <v>472</v>
      </c>
      <c r="H717" s="4" t="s">
        <v>437</v>
      </c>
    </row>
    <row r="718" customFormat="false" ht="17.15" hidden="false" customHeight="false" outlineLevel="0" collapsed="false">
      <c r="A718" s="5" t="s">
        <v>487</v>
      </c>
    </row>
    <row r="719" customFormat="false" ht="17.15" hidden="false" customHeight="false" outlineLevel="0" collapsed="false">
      <c r="A719" s="0" t="s">
        <v>488</v>
      </c>
      <c r="B719" s="0" t="s">
        <v>34</v>
      </c>
      <c r="D719" s="19" t="n">
        <f aca="false">itc_26*1</f>
        <v>781.872916666666</v>
      </c>
      <c r="E719" s="19" t="n">
        <f aca="false">itc_27*1*mf_hi</f>
        <v>1878.42</v>
      </c>
      <c r="F719" s="19" t="n">
        <f aca="false">itc_28*um28_A*mf_hi</f>
        <v>2381.11666666667</v>
      </c>
      <c r="G719" s="19" t="n">
        <f aca="false">itc_29*um29_A*mf_hi</f>
        <v>2712.46833333334</v>
      </c>
    </row>
    <row r="720" customFormat="false" ht="17.15" hidden="false" customHeight="false" outlineLevel="0" collapsed="false">
      <c r="A720" s="3" t="s">
        <v>489</v>
      </c>
      <c r="B720" s="0" t="s">
        <v>34</v>
      </c>
      <c r="D720" s="19" t="n">
        <f aca="false">itpg_gb*(1-vr26)+itpg_vr*vr26</f>
        <v>33.41403216</v>
      </c>
      <c r="E720" s="19" t="n">
        <f aca="false">itpg_vr</f>
        <v>37.586352</v>
      </c>
      <c r="F720" s="19" t="n">
        <f aca="false">itpg_vr</f>
        <v>37.586352</v>
      </c>
      <c r="G720" s="19" t="n">
        <f aca="false">itpg_vr</f>
        <v>37.586352</v>
      </c>
    </row>
    <row r="721" customFormat="false" ht="17.15" hidden="false" customHeight="false" outlineLevel="0" collapsed="false">
      <c r="A721" s="3" t="s">
        <v>490</v>
      </c>
      <c r="B721" s="0" t="s">
        <v>439</v>
      </c>
      <c r="D721" s="16" t="n">
        <f aca="false">D719/D720</f>
        <v>23.3995380420639</v>
      </c>
      <c r="E721" s="16" t="n">
        <f aca="false">E719/E720</f>
        <v>49.9761189912764</v>
      </c>
      <c r="F721" s="16" t="n">
        <f aca="false">F719/F720</f>
        <v>63.3505658294976</v>
      </c>
      <c r="G721" s="16" t="n">
        <f aca="false">G719/G720</f>
        <v>72.1663100833339</v>
      </c>
    </row>
    <row r="722" customFormat="false" ht="17.15" hidden="false" customHeight="false" outlineLevel="0" collapsed="false">
      <c r="A722" s="3" t="s">
        <v>441</v>
      </c>
      <c r="B722" s="0" t="s">
        <v>94</v>
      </c>
      <c r="D722" s="17" t="n">
        <f aca="false">cmp_26</f>
        <v>190</v>
      </c>
      <c r="E722" s="17" t="n">
        <f aca="false">cmp_26*cmpx_27</f>
        <v>275.5</v>
      </c>
      <c r="F722" s="17" t="n">
        <f aca="false">cmp_26*cmpx_28</f>
        <v>304</v>
      </c>
      <c r="G722" s="17" t="n">
        <f aca="false">cmp_26*cmpx_29</f>
        <v>323</v>
      </c>
    </row>
    <row r="723" customFormat="false" ht="17.15" hidden="false" customHeight="false" outlineLevel="0" collapsed="false">
      <c r="A723" s="3" t="s">
        <v>443</v>
      </c>
      <c r="B723" s="0" t="s">
        <v>94</v>
      </c>
      <c r="D723" s="17" t="n">
        <f aca="false">sw_26</f>
        <v>90</v>
      </c>
      <c r="E723" s="17" t="n">
        <f aca="false">sw_26*swx_27</f>
        <v>126</v>
      </c>
      <c r="F723" s="17" t="n">
        <f aca="false">sw_26*swx_28</f>
        <v>144</v>
      </c>
      <c r="G723" s="17" t="n">
        <f aca="false">sw_26*swx_29</f>
        <v>157.5</v>
      </c>
    </row>
    <row r="724" customFormat="false" ht="17.15" hidden="false" customHeight="false" outlineLevel="0" collapsed="false">
      <c r="A724" s="3" t="s">
        <v>444</v>
      </c>
      <c r="B724" s="0" t="s">
        <v>94</v>
      </c>
      <c r="D724" s="17" t="n">
        <f aca="false">ubb_26</f>
        <v>70</v>
      </c>
      <c r="E724" s="17" t="n">
        <f aca="false">ubb_26*ubbx_27</f>
        <v>126</v>
      </c>
      <c r="F724" s="17" t="n">
        <f aca="false">ubb_26*ubbx_28</f>
        <v>161</v>
      </c>
      <c r="G724" s="17" t="n">
        <f aca="false">ubb_26*ubbx_29</f>
        <v>182</v>
      </c>
    </row>
    <row r="725" customFormat="false" ht="17.15" hidden="false" customHeight="false" outlineLevel="0" collapsed="false">
      <c r="A725" s="3" t="s">
        <v>491</v>
      </c>
      <c r="B725" s="0" t="s">
        <v>94</v>
      </c>
      <c r="D725" s="17" t="n">
        <f aca="false">D722+D723+D724</f>
        <v>350</v>
      </c>
      <c r="E725" s="17" t="n">
        <f aca="false">E722+E723+E724</f>
        <v>527.5</v>
      </c>
      <c r="F725" s="17" t="n">
        <f aca="false">F722+F723+F724</f>
        <v>609</v>
      </c>
      <c r="G725" s="17" t="n">
        <f aca="false">G722+G723+G724</f>
        <v>662.5</v>
      </c>
    </row>
    <row r="726" customFormat="false" ht="17.15" hidden="false" customHeight="false" outlineLevel="0" collapsed="false">
      <c r="A726" s="0" t="s">
        <v>492</v>
      </c>
      <c r="B726" s="0" t="s">
        <v>34</v>
      </c>
      <c r="D726" s="19" t="n">
        <f aca="false">D721*D725/1000</f>
        <v>8.18983831472236</v>
      </c>
      <c r="E726" s="19" t="n">
        <f aca="false">E721*E725/1000</f>
        <v>26.3624027678983</v>
      </c>
      <c r="F726" s="19" t="n">
        <f aca="false">F721*F725/1000</f>
        <v>38.580494590164</v>
      </c>
      <c r="G726" s="19" t="n">
        <f aca="false">G721*G725/1000</f>
        <v>47.8101804302087</v>
      </c>
    </row>
    <row r="727" customFormat="false" ht="17.15" hidden="false" customHeight="false" outlineLevel="0" collapsed="false">
      <c r="A727" s="0" t="s">
        <v>493</v>
      </c>
      <c r="B727" s="0" t="s">
        <v>214</v>
      </c>
      <c r="D727" s="18" t="n">
        <f aca="false">D726*fx</f>
        <v>262.074826071116</v>
      </c>
      <c r="E727" s="18" t="n">
        <f aca="false">E726*fx</f>
        <v>843.596888572746</v>
      </c>
      <c r="F727" s="18" t="n">
        <f aca="false">F726*fx</f>
        <v>1234.57582688525</v>
      </c>
      <c r="G727" s="18" t="n">
        <f aca="false">G726*fx</f>
        <v>1529.92577376668</v>
      </c>
    </row>
    <row r="728" customFormat="false" ht="17.15" hidden="false" customHeight="false" outlineLevel="0" collapsed="false">
      <c r="A728" s="0" t="s">
        <v>494</v>
      </c>
      <c r="B728" s="0" t="s">
        <v>67</v>
      </c>
      <c r="D728" s="14" t="n">
        <f aca="false">1</f>
        <v>1</v>
      </c>
      <c r="E728" s="14" t="n">
        <f aca="false">pp_27</f>
        <v>1</v>
      </c>
      <c r="F728" s="14" t="n">
        <f aca="false">pp_28</f>
        <v>0.97</v>
      </c>
      <c r="G728" s="14" t="n">
        <f aca="false">pp_29</f>
        <v>0.93</v>
      </c>
    </row>
    <row r="729" customFormat="false" ht="17.15" hidden="false" customHeight="false" outlineLevel="0" collapsed="false">
      <c r="A729" s="3" t="s">
        <v>495</v>
      </c>
      <c r="B729" s="0" t="s">
        <v>54</v>
      </c>
      <c r="D729" s="13" t="n">
        <f aca="false">a26_ai/D727</f>
        <v>0.459306165741139</v>
      </c>
      <c r="H729" s="7" t="s">
        <v>496</v>
      </c>
    </row>
    <row r="730" customFormat="false" ht="17.15" hidden="false" customHeight="false" outlineLevel="0" collapsed="false">
      <c r="A730" s="3" t="s">
        <v>497</v>
      </c>
      <c r="B730" s="0" t="s">
        <v>67</v>
      </c>
      <c r="D730" s="14" t="n">
        <f aca="false">1</f>
        <v>1</v>
      </c>
      <c r="E730" s="14" t="n">
        <f aca="false">rel_27</f>
        <v>0.95</v>
      </c>
      <c r="F730" s="14" t="n">
        <f aca="false">rel_28</f>
        <v>0.9</v>
      </c>
      <c r="G730" s="14" t="n">
        <f aca="false">rel_29</f>
        <v>0.85</v>
      </c>
    </row>
    <row r="731" customFormat="false" ht="15" hidden="false" customHeight="false" outlineLevel="0" collapsed="false">
      <c r="A731" s="3" t="s">
        <v>452</v>
      </c>
      <c r="B731" s="0" t="s">
        <v>54</v>
      </c>
      <c r="D731" s="13" t="n">
        <f aca="false">$D$729*D730</f>
        <v>0.459306165741139</v>
      </c>
      <c r="E731" s="13" t="n">
        <f aca="false">$D$729*E730</f>
        <v>0.436340857454082</v>
      </c>
      <c r="F731" s="13" t="n">
        <f aca="false">$D$729*F730</f>
        <v>0.413375549167025</v>
      </c>
      <c r="G731" s="13" t="n">
        <f aca="false">$D$729*G730</f>
        <v>0.390410240879968</v>
      </c>
    </row>
    <row r="732" customFormat="false" ht="17.15" hidden="false" customHeight="false" outlineLevel="0" collapsed="false">
      <c r="A732" s="0" t="s">
        <v>498</v>
      </c>
      <c r="B732" s="0" t="s">
        <v>214</v>
      </c>
      <c r="D732" s="18" t="n">
        <f aca="false">D727*D731*D728</f>
        <v>120.3725835</v>
      </c>
      <c r="E732" s="18" t="n">
        <f aca="false">E727*E731*E728</f>
        <v>368.095789705428</v>
      </c>
      <c r="F732" s="18" t="n">
        <f aca="false">F727*F731*F728</f>
        <v>495.033156614213</v>
      </c>
      <c r="G732" s="18" t="n">
        <f aca="false">G727*G731*G728</f>
        <v>555.48778157419</v>
      </c>
    </row>
    <row r="733" customFormat="false" ht="17.15" hidden="false" customHeight="false" outlineLevel="0" collapsed="false">
      <c r="A733" s="5" t="s">
        <v>499</v>
      </c>
    </row>
    <row r="734" customFormat="false" ht="15" hidden="false" customHeight="false" outlineLevel="0" collapsed="false">
      <c r="A734" s="3" t="s">
        <v>457</v>
      </c>
      <c r="B734" s="3" t="s">
        <v>151</v>
      </c>
      <c r="D734" s="14" t="n">
        <f aca="false">cap_26</f>
        <v>6</v>
      </c>
      <c r="E734" s="14" t="n">
        <f aca="false">cap_27</f>
        <v>7.76</v>
      </c>
      <c r="F734" s="14" t="n">
        <f aca="false">cap_28</f>
        <v>10.3</v>
      </c>
      <c r="G734" s="14" t="n">
        <f aca="false">cap_29</f>
        <v>11.8</v>
      </c>
    </row>
    <row r="735" customFormat="false" ht="17.15" hidden="false" customHeight="false" outlineLevel="0" collapsed="false">
      <c r="A735" s="3" t="s">
        <v>500</v>
      </c>
      <c r="B735" s="0" t="s">
        <v>460</v>
      </c>
      <c r="D735" s="17" t="n">
        <f aca="false">a26_rev/(D734*12)*1000</f>
        <v>2857.84861111111</v>
      </c>
      <c r="H735" s="7" t="s">
        <v>501</v>
      </c>
    </row>
    <row r="736" customFormat="false" ht="17.15" hidden="false" customHeight="false" outlineLevel="0" collapsed="false">
      <c r="A736" s="3" t="s">
        <v>502</v>
      </c>
      <c r="B736" s="0" t="s">
        <v>67</v>
      </c>
      <c r="D736" s="14" t="n">
        <f aca="false">1</f>
        <v>1</v>
      </c>
      <c r="E736" s="14" t="n">
        <f aca="false">mix_27</f>
        <v>1.25</v>
      </c>
      <c r="F736" s="14" t="n">
        <f aca="false">mix_28</f>
        <v>1.4</v>
      </c>
      <c r="G736" s="14" t="n">
        <f aca="false">mix_29</f>
        <v>1.5</v>
      </c>
    </row>
    <row r="737" customFormat="false" ht="17.15" hidden="false" customHeight="false" outlineLevel="0" collapsed="false">
      <c r="A737" s="3" t="s">
        <v>503</v>
      </c>
      <c r="B737" s="0" t="s">
        <v>214</v>
      </c>
      <c r="D737" s="18" t="n">
        <f aca="false">D734*12*$D$735*D736*D728/1000</f>
        <v>205.7651</v>
      </c>
      <c r="E737" s="18" t="n">
        <f aca="false">E734*12*$D$735*E736*E728/1000</f>
        <v>332.653578333333</v>
      </c>
      <c r="F737" s="18" t="n">
        <f aca="false">F734*12*$D$735*F736*F728/1000</f>
        <v>479.686459956667</v>
      </c>
      <c r="G737" s="18" t="n">
        <f aca="false">G734*12*$D$735*G736*G728/1000</f>
        <v>564.51655185</v>
      </c>
    </row>
    <row r="738" customFormat="false" ht="17.15" hidden="false" customHeight="false" outlineLevel="0" collapsed="false">
      <c r="A738" s="3" t="s">
        <v>504</v>
      </c>
      <c r="B738" s="0" t="s">
        <v>214</v>
      </c>
      <c r="C738" s="18" t="n">
        <f aca="false">a25_nai</f>
        <v>47.1305</v>
      </c>
      <c r="D738" s="18" t="n">
        <f aca="false">a26_nai</f>
        <v>85.3925165</v>
      </c>
      <c r="E738" s="18" t="n">
        <f aca="false">D738*(1+g_nai27)</f>
        <v>92.22391782</v>
      </c>
      <c r="F738" s="18" t="n">
        <f aca="false">E738*(1+g_nai28)</f>
        <v>97.7573528892</v>
      </c>
      <c r="G738" s="18" t="n">
        <f aca="false">F738*(1+g_nai29)</f>
        <v>102.64522053366</v>
      </c>
    </row>
    <row r="739" customFormat="false" ht="17.15" hidden="false" customHeight="false" outlineLevel="0" collapsed="false">
      <c r="A739" s="0" t="s">
        <v>505</v>
      </c>
      <c r="B739" s="0" t="s">
        <v>214</v>
      </c>
      <c r="C739" s="18" t="n">
        <f aca="false">a25_ai</f>
        <v>47.1305</v>
      </c>
      <c r="D739" s="18" t="n">
        <f aca="false">D732</f>
        <v>120.3725835</v>
      </c>
      <c r="E739" s="18" t="n">
        <f aca="false">MIN(E732,E737-E738)</f>
        <v>240.429660513333</v>
      </c>
      <c r="F739" s="18" t="n">
        <f aca="false">MIN(F732,F737-F738)</f>
        <v>381.929107067467</v>
      </c>
      <c r="G739" s="18" t="n">
        <f aca="false">MIN(G732,G737-G738)</f>
        <v>461.87133131634</v>
      </c>
      <c r="H739" s="3" t="s">
        <v>506</v>
      </c>
    </row>
    <row r="740" customFormat="false" ht="15" hidden="false" customHeight="false" outlineLevel="0" collapsed="false">
      <c r="A740" s="3" t="s">
        <v>507</v>
      </c>
      <c r="E740" s="0" t="str">
        <f aca="false">IF(E732&gt;E737-E738+0.0001,"受限","未受限")</f>
        <v>受限</v>
      </c>
      <c r="F740" s="0" t="str">
        <f aca="false">IF(F732&gt;F737-F738+0.0001,"受限","未受限")</f>
        <v>受限</v>
      </c>
      <c r="G740" s="0" t="str">
        <f aca="false">IF(G732&gt;G737-G738+0.0001,"受限","未受限")</f>
        <v>受限</v>
      </c>
    </row>
    <row r="741" customFormat="false" ht="15" hidden="false" customHeight="false" outlineLevel="0" collapsed="false">
      <c r="A741" s="3" t="s">
        <v>388</v>
      </c>
      <c r="B741" s="0" t="s">
        <v>214</v>
      </c>
      <c r="C741" s="18" t="n">
        <f aca="false">C739+C738</f>
        <v>94.261</v>
      </c>
      <c r="D741" s="18" t="n">
        <f aca="false">D739+D738</f>
        <v>205.7651</v>
      </c>
      <c r="E741" s="18" t="n">
        <f aca="false">E739+E738</f>
        <v>332.653578333333</v>
      </c>
      <c r="F741" s="18" t="n">
        <f aca="false">F739+F738</f>
        <v>479.686459956667</v>
      </c>
      <c r="G741" s="18" t="n">
        <f aca="false">G739+G738</f>
        <v>564.51655185</v>
      </c>
    </row>
    <row r="742" customFormat="false" ht="15" hidden="false" customHeight="false" outlineLevel="0" collapsed="false">
      <c r="A742" s="3" t="s">
        <v>508</v>
      </c>
      <c r="B742" s="0" t="s">
        <v>54</v>
      </c>
      <c r="D742" s="13" t="n">
        <f aca="false">D741/C741-1</f>
        <v>1.1829293132897</v>
      </c>
      <c r="E742" s="13" t="n">
        <f aca="false">E741/D741-1</f>
        <v>0.616666666666667</v>
      </c>
      <c r="F742" s="13" t="n">
        <f aca="false">F741/E741-1</f>
        <v>0.442</v>
      </c>
      <c r="G742" s="13" t="n">
        <f aca="false">G741/F741-1</f>
        <v>0.17684487467292</v>
      </c>
    </row>
    <row r="743" customFormat="false" ht="17.15" hidden="false" customHeight="false" outlineLevel="0" collapsed="false">
      <c r="A743" s="3" t="s">
        <v>509</v>
      </c>
      <c r="B743" s="0" t="s">
        <v>214</v>
      </c>
      <c r="C743" s="18" t="n">
        <f aca="false">inf25*C741-C739</f>
        <v>16.495675</v>
      </c>
      <c r="D743" s="18" t="n">
        <f aca="false">inf26*D741-D739</f>
        <v>33.9512415</v>
      </c>
      <c r="E743" s="18" t="n">
        <f aca="false">E738*$D743/$D738</f>
        <v>36.66734082</v>
      </c>
      <c r="F743" s="18" t="n">
        <f aca="false">F738*$D743/$D738</f>
        <v>38.8673812692</v>
      </c>
      <c r="G743" s="18" t="n">
        <f aca="false">G738*$D743/$D738</f>
        <v>40.81075033266</v>
      </c>
      <c r="H743" s="3" t="s">
        <v>510</v>
      </c>
    </row>
    <row r="744" customFormat="false" ht="17.15" hidden="false" customHeight="false" outlineLevel="0" collapsed="false">
      <c r="A744" s="3" t="s">
        <v>511</v>
      </c>
      <c r="B744" s="0" t="s">
        <v>214</v>
      </c>
      <c r="C744" s="18" t="n">
        <f aca="false">C739+C743</f>
        <v>63.626175</v>
      </c>
      <c r="D744" s="18" t="n">
        <f aca="false">D739+D743</f>
        <v>154.323825</v>
      </c>
      <c r="E744" s="18" t="n">
        <f aca="false">E739+E743</f>
        <v>277.097001333333</v>
      </c>
      <c r="F744" s="18" t="n">
        <f aca="false">F739+F743</f>
        <v>420.796488336667</v>
      </c>
      <c r="G744" s="18" t="n">
        <f aca="false">G739+G743</f>
        <v>502.682081649</v>
      </c>
      <c r="H744" s="3" t="s">
        <v>512</v>
      </c>
    </row>
    <row r="745" customFormat="false" ht="15" hidden="false" customHeight="false" outlineLevel="0" collapsed="false">
      <c r="A745" s="3" t="s">
        <v>513</v>
      </c>
      <c r="B745" s="0" t="s">
        <v>214</v>
      </c>
      <c r="C745" s="18" t="n">
        <f aca="false">mob25*C741</f>
        <v>21.208725</v>
      </c>
      <c r="D745" s="18" t="n">
        <f aca="false">mob26*D741</f>
        <v>37.037718</v>
      </c>
      <c r="E745" s="18" t="n">
        <f aca="false">E738*$D745/$D738</f>
        <v>40.00073544</v>
      </c>
      <c r="F745" s="18" t="n">
        <f aca="false">F738*$D745/$D738</f>
        <v>42.4007795664</v>
      </c>
      <c r="G745" s="18" t="n">
        <f aca="false">G738*$D745/$D738</f>
        <v>44.52081854472</v>
      </c>
      <c r="H745" s="3" t="s">
        <v>514</v>
      </c>
    </row>
    <row r="746" customFormat="false" ht="15" hidden="false" customHeight="false" outlineLevel="0" collapsed="false">
      <c r="A746" s="3" t="s">
        <v>515</v>
      </c>
      <c r="B746" s="0" t="s">
        <v>214</v>
      </c>
      <c r="C746" s="18" t="n">
        <f aca="false">C741-C744-C745</f>
        <v>9.42609999999999</v>
      </c>
      <c r="D746" s="18" t="n">
        <f aca="false">D741-D744-D745</f>
        <v>14.403557</v>
      </c>
      <c r="E746" s="18" t="n">
        <f aca="false">E741-E744-E745</f>
        <v>15.55584156</v>
      </c>
      <c r="F746" s="18" t="n">
        <f aca="false">F741-F744-F745</f>
        <v>16.4891920536</v>
      </c>
      <c r="G746" s="18" t="n">
        <f aca="false">G741-G744-G745</f>
        <v>17.31365165628</v>
      </c>
      <c r="H746" s="3" t="s">
        <v>516</v>
      </c>
    </row>
    <row r="747" customFormat="false" ht="15" hidden="false" customHeight="false" outlineLevel="0" collapsed="false">
      <c r="A747" s="3" t="s">
        <v>517</v>
      </c>
      <c r="B747" s="0" t="s">
        <v>214</v>
      </c>
      <c r="C747" s="21" t="n">
        <f aca="false">C744+C745+C746-C741</f>
        <v>0</v>
      </c>
      <c r="D747" s="21" t="n">
        <f aca="false">D744+D745+D746-D741</f>
        <v>0</v>
      </c>
      <c r="E747" s="21" t="n">
        <f aca="false">E744+E745+E746-E741</f>
        <v>0</v>
      </c>
      <c r="F747" s="21" t="n">
        <f aca="false">F744+F745+F746-F741</f>
        <v>0</v>
      </c>
      <c r="G747" s="21" t="n">
        <f aca="false">G744+G745+G746-G741</f>
        <v>0</v>
      </c>
    </row>
    <row r="748" customFormat="false" ht="17.15" hidden="false" customHeight="false" outlineLevel="0" collapsed="false">
      <c r="A748" s="0" t="s">
        <v>518</v>
      </c>
      <c r="B748" s="0" t="s">
        <v>54</v>
      </c>
      <c r="C748" s="13" t="n">
        <f aca="false">C739/C741</f>
        <v>0.5</v>
      </c>
      <c r="D748" s="13" t="n">
        <f aca="false">D739/D741</f>
        <v>0.585</v>
      </c>
      <c r="E748" s="13" t="n">
        <f aca="false">E739/E741</f>
        <v>0.722762886597938</v>
      </c>
      <c r="F748" s="13" t="n">
        <f aca="false">F739/F741</f>
        <v>0.796205728012354</v>
      </c>
      <c r="G748" s="13" t="n">
        <f aca="false">G739/G741</f>
        <v>0.818171459814106</v>
      </c>
    </row>
    <row r="749" customFormat="false" ht="17.15" hidden="false" customHeight="false" outlineLevel="0" collapsed="false">
      <c r="A749" s="3" t="s">
        <v>519</v>
      </c>
      <c r="B749" s="0" t="s">
        <v>54</v>
      </c>
      <c r="D749" s="13" t="n">
        <f aca="false">(D732+D738)/D737</f>
        <v>1</v>
      </c>
      <c r="E749" s="13" t="n">
        <f aca="false">(E732+E738)/E737</f>
        <v>1.38378101877554</v>
      </c>
      <c r="F749" s="13" t="n">
        <f aca="false">(F732+F738)/F737</f>
        <v>1.23578745490745</v>
      </c>
      <c r="G749" s="13" t="n">
        <f aca="false">(G732+G738)/G737</f>
        <v>1.16583473053369</v>
      </c>
      <c r="H749" s="3" t="s">
        <v>520</v>
      </c>
    </row>
    <row r="750" customFormat="false" ht="17.15" hidden="false" customHeight="false" outlineLevel="0" collapsed="false">
      <c r="A750" s="3" t="s">
        <v>456</v>
      </c>
      <c r="B750" s="0" t="s">
        <v>94</v>
      </c>
      <c r="D750" s="17" t="n">
        <f aca="false">D739/fx/D721*1000</f>
        <v>160.757158009399</v>
      </c>
      <c r="E750" s="17" t="n">
        <f aca="false">E739/fx/E721*1000</f>
        <v>150.340343401879</v>
      </c>
      <c r="F750" s="17" t="n">
        <f aca="false">F739/fx/F721*1000</f>
        <v>188.400599735464</v>
      </c>
      <c r="G750" s="17" t="n">
        <f aca="false">G739/fx/G721*1000</f>
        <v>200.003008148381</v>
      </c>
    </row>
    <row r="751" customFormat="false" ht="17.15" hidden="false" customHeight="false" outlineLevel="0" collapsed="false">
      <c r="A751" s="5" t="s">
        <v>521</v>
      </c>
    </row>
    <row r="752" customFormat="false" ht="17.15" hidden="false" customHeight="false" outlineLevel="0" collapsed="false">
      <c r="A752" s="3" t="s">
        <v>522</v>
      </c>
      <c r="B752" s="0" t="s">
        <v>54</v>
      </c>
      <c r="D752" s="13" t="n">
        <f aca="false">a26_gp/D741-d_ai*D748</f>
        <v>0.291564442755356</v>
      </c>
      <c r="H752" s="7" t="s">
        <v>523</v>
      </c>
    </row>
    <row r="753" customFormat="false" ht="17.15" hidden="false" customHeight="false" outlineLevel="0" collapsed="false">
      <c r="A753" s="0" t="s">
        <v>524</v>
      </c>
      <c r="B753" s="0" t="s">
        <v>54</v>
      </c>
      <c r="D753" s="13" t="n">
        <f aca="false">D752+d_ai</f>
        <v>0.371564442755356</v>
      </c>
      <c r="E753" s="13" t="n">
        <f aca="false">1-(1-$D$753)/E728</f>
        <v>0.371564442755356</v>
      </c>
      <c r="F753" s="13" t="n">
        <f aca="false">1-(1-$D$753)/F728</f>
        <v>0.352128291500367</v>
      </c>
      <c r="G753" s="13" t="n">
        <f aca="false">1-(1-$D$753)/G728</f>
        <v>0.324262841672425</v>
      </c>
      <c r="H753" s="7" t="s">
        <v>525</v>
      </c>
    </row>
    <row r="754" customFormat="false" ht="15" hidden="false" customHeight="false" outlineLevel="0" collapsed="false">
      <c r="A754" s="3" t="s">
        <v>392</v>
      </c>
      <c r="B754" s="0" t="s">
        <v>214</v>
      </c>
      <c r="C754" s="18" t="n">
        <f aca="false">a25_gp</f>
        <v>28.12</v>
      </c>
      <c r="D754" s="18" t="n">
        <f aca="false">a26_gp</f>
        <v>69.6235934</v>
      </c>
      <c r="E754" s="18" t="n">
        <f aca="false">E739*E753+E738*$D$752</f>
        <v>116.2243280384</v>
      </c>
      <c r="F754" s="18" t="n">
        <f aca="false">F739*F753+F738*$D$752</f>
        <v>162.990612066306</v>
      </c>
      <c r="G754" s="18" t="n">
        <f aca="false">G739*G753+G738*$D$752</f>
        <v>179.69540690606</v>
      </c>
    </row>
    <row r="755" customFormat="false" ht="15" hidden="false" customHeight="false" outlineLevel="0" collapsed="false">
      <c r="A755" s="3" t="s">
        <v>395</v>
      </c>
      <c r="B755" s="0" t="s">
        <v>54</v>
      </c>
      <c r="C755" s="13" t="n">
        <f aca="false">C754/C741</f>
        <v>0.298320620405046</v>
      </c>
      <c r="D755" s="13" t="n">
        <f aca="false">D754/D741</f>
        <v>0.338364442755356</v>
      </c>
      <c r="E755" s="13" t="n">
        <f aca="false">E754/E741</f>
        <v>0.349385473683191</v>
      </c>
      <c r="F755" s="13" t="n">
        <f aca="false">F754/F741</f>
        <v>0.339785726036607</v>
      </c>
      <c r="G755" s="13" t="n">
        <f aca="false">G754/G741</f>
        <v>0.318317339530918</v>
      </c>
    </row>
    <row r="756" customFormat="false" ht="15" hidden="false" customHeight="false" outlineLevel="0" collapsed="false">
      <c r="A756" s="3" t="s">
        <v>526</v>
      </c>
      <c r="B756" s="0" t="s">
        <v>214</v>
      </c>
      <c r="C756" s="18" t="n">
        <f aca="false">a25_opx</f>
        <v>9.012</v>
      </c>
      <c r="D756" s="18" t="n">
        <f aca="false">a26_opx</f>
        <v>14.0153081141857</v>
      </c>
      <c r="E756" s="18" t="n">
        <f aca="false">D756*(1+MAX(0,phi*E742))</f>
        <v>19.2009721164345</v>
      </c>
      <c r="F756" s="18" t="n">
        <f aca="false">E756*(1+MAX(0,phi*F742))</f>
        <v>24.2930699217129</v>
      </c>
      <c r="G756" s="18" t="n">
        <f aca="false">F756*(1+MAX(0,phi*G742))</f>
        <v>26.8707328651484</v>
      </c>
    </row>
    <row r="757" customFormat="false" ht="15" hidden="false" customHeight="false" outlineLevel="0" collapsed="false">
      <c r="A757" s="3" t="s">
        <v>397</v>
      </c>
      <c r="B757" s="0" t="s">
        <v>214</v>
      </c>
      <c r="C757" s="18" t="n">
        <f aca="false">C756</f>
        <v>9.012</v>
      </c>
      <c r="D757" s="18" t="n">
        <f aca="false">D756</f>
        <v>14.0153081141857</v>
      </c>
      <c r="E757" s="18" t="n">
        <f aca="false">E756+0*E741</f>
        <v>19.2009721164345</v>
      </c>
      <c r="F757" s="18" t="n">
        <f aca="false">F756+0*F741</f>
        <v>24.2930699217129</v>
      </c>
      <c r="G757" s="18" t="n">
        <f aca="false">G756+0*G741</f>
        <v>26.8707328651484</v>
      </c>
    </row>
    <row r="758" customFormat="false" ht="15" hidden="false" customHeight="false" outlineLevel="0" collapsed="false">
      <c r="A758" s="3" t="s">
        <v>400</v>
      </c>
      <c r="B758" s="0" t="s">
        <v>214</v>
      </c>
      <c r="C758" s="18" t="n">
        <f aca="false">C754-C757</f>
        <v>19.108</v>
      </c>
      <c r="D758" s="18" t="n">
        <f aca="false">D754-D757</f>
        <v>55.6082852858143</v>
      </c>
      <c r="E758" s="18" t="n">
        <f aca="false">E754-E757</f>
        <v>97.0233559219655</v>
      </c>
      <c r="F758" s="18" t="n">
        <f aca="false">F754-F757</f>
        <v>138.697542144593</v>
      </c>
      <c r="G758" s="18" t="n">
        <f aca="false">G754-G757</f>
        <v>152.824674040911</v>
      </c>
    </row>
    <row r="759" customFormat="false" ht="15" hidden="false" customHeight="false" outlineLevel="0" collapsed="false">
      <c r="A759" s="3" t="s">
        <v>403</v>
      </c>
      <c r="B759" s="0" t="s">
        <v>54</v>
      </c>
      <c r="C759" s="13" t="n">
        <f aca="false">C758/C741</f>
        <v>0.202713741632276</v>
      </c>
      <c r="D759" s="13" t="n">
        <f aca="false">D758/D741</f>
        <v>0.270251297648699</v>
      </c>
      <c r="E759" s="13" t="n">
        <f aca="false">E758/E741</f>
        <v>0.291664849685591</v>
      </c>
      <c r="F759" s="13" t="n">
        <f aca="false">F758/F741</f>
        <v>0.28914208284537</v>
      </c>
      <c r="G759" s="13" t="n">
        <f aca="false">G758/G741</f>
        <v>0.270717791250024</v>
      </c>
    </row>
    <row r="760" customFormat="false" ht="17.15" hidden="false" customHeight="false" outlineLevel="0" collapsed="false">
      <c r="A760" s="3" t="s">
        <v>405</v>
      </c>
      <c r="B760" s="0" t="s">
        <v>214</v>
      </c>
      <c r="E760" s="18" t="n">
        <f aca="false">nop_f</f>
        <v>0.5</v>
      </c>
      <c r="F760" s="18" t="n">
        <f aca="false">nop_f</f>
        <v>0.5</v>
      </c>
      <c r="G760" s="18" t="n">
        <f aca="false">nop_f</f>
        <v>0.5</v>
      </c>
      <c r="H760" s="7" t="s">
        <v>527</v>
      </c>
    </row>
    <row r="761" customFormat="false" ht="15" hidden="false" customHeight="false" outlineLevel="0" collapsed="false">
      <c r="A761" s="3" t="s">
        <v>408</v>
      </c>
      <c r="B761" s="0" t="s">
        <v>214</v>
      </c>
      <c r="C761" s="18" t="n">
        <f aca="false">a25_ni</f>
        <v>14.649</v>
      </c>
      <c r="D761" s="18" t="n">
        <f aca="false">a26_ni</f>
        <v>42.891099295</v>
      </c>
      <c r="E761" s="18" t="n">
        <f aca="false">(E758+E760)*nir_f</f>
        <v>75.0929840599135</v>
      </c>
      <c r="F761" s="18" t="n">
        <f aca="false">(F758+F760)*nir_f</f>
        <v>107.182107451337</v>
      </c>
      <c r="G761" s="18" t="n">
        <f aca="false">(G758+G760)*nir_f</f>
        <v>118.059999011502</v>
      </c>
    </row>
    <row r="762" customFormat="false" ht="17.15" hidden="false" customHeight="false" outlineLevel="0" collapsed="false">
      <c r="A762" s="3" t="s">
        <v>411</v>
      </c>
      <c r="B762" s="0" t="s">
        <v>54</v>
      </c>
      <c r="C762" s="13" t="n">
        <f aca="false">C761/C758</f>
        <v>0.766642244086247</v>
      </c>
      <c r="D762" s="13" t="n">
        <f aca="false">D761/D758</f>
        <v>0.771307712053146</v>
      </c>
      <c r="E762" s="13" t="n">
        <f aca="false">E761/E758</f>
        <v>0.77396811671109</v>
      </c>
      <c r="F762" s="13" t="n">
        <f aca="false">F761/F758</f>
        <v>0.772775824243508</v>
      </c>
      <c r="G762" s="13" t="n">
        <f aca="false">G761/G758</f>
        <v>0.772519226704825</v>
      </c>
    </row>
    <row r="763" customFormat="false" ht="15" hidden="false" customHeight="false" outlineLevel="0" collapsed="false">
      <c r="A763" s="3" t="s">
        <v>528</v>
      </c>
      <c r="B763" s="3" t="s">
        <v>243</v>
      </c>
      <c r="C763" s="20" t="n">
        <f aca="false">a25_sh</f>
        <v>0.351547876169906</v>
      </c>
      <c r="D763" s="20" t="n">
        <f aca="false">a26_sh</f>
        <v>0.358290155440415</v>
      </c>
      <c r="E763" s="20" t="n">
        <f aca="false">D763*(1+sh_g)</f>
        <v>0.358290155440415</v>
      </c>
      <c r="F763" s="20" t="n">
        <f aca="false">E763*(1+sh_g)</f>
        <v>0.358290155440415</v>
      </c>
      <c r="G763" s="20" t="n">
        <f aca="false">F763*(1+sh_g)</f>
        <v>0.358290155440415</v>
      </c>
    </row>
    <row r="764" customFormat="false" ht="15" hidden="false" customHeight="false" outlineLevel="0" collapsed="false">
      <c r="A764" s="0" t="s">
        <v>414</v>
      </c>
      <c r="B764" s="0" t="s">
        <v>274</v>
      </c>
      <c r="C764" s="19" t="n">
        <f aca="false">C761/C763</f>
        <v>41.67</v>
      </c>
      <c r="D764" s="19" t="n">
        <f aca="false">D761/D763</f>
        <v>119.710515747433</v>
      </c>
      <c r="E764" s="19" t="n">
        <f aca="false">E761/E763</f>
        <v>209.587070478139</v>
      </c>
      <c r="F764" s="19" t="n">
        <f aca="false">F761/F763</f>
        <v>299.14890438334</v>
      </c>
      <c r="G764" s="19" t="n">
        <f aca="false">G761/G763</f>
        <v>329.509469403035</v>
      </c>
    </row>
    <row r="765" customFormat="false" ht="17.15" hidden="false" customHeight="false" outlineLevel="0" collapsed="false">
      <c r="A765" s="0" t="s">
        <v>529</v>
      </c>
      <c r="B765" s="0" t="s">
        <v>54</v>
      </c>
      <c r="D765" s="13" t="n">
        <f aca="false">D764/C764-1</f>
        <v>1.87282255213422</v>
      </c>
      <c r="E765" s="13" t="n">
        <f aca="false">E764/D764-1</f>
        <v>0.750782453567642</v>
      </c>
      <c r="F765" s="13" t="n">
        <f aca="false">F764/E764-1</f>
        <v>0.42732518614283</v>
      </c>
      <c r="G765" s="13" t="n">
        <f aca="false">G764/F764-1</f>
        <v>0.101489808502824</v>
      </c>
    </row>
    <row r="768" customFormat="false" ht="17.15" hidden="false" customHeight="false" outlineLevel="0" collapsed="false">
      <c r="A768" s="1" t="s">
        <v>852</v>
      </c>
    </row>
    <row r="769" customFormat="false" ht="17.15" hidden="false" customHeight="false" outlineLevel="0" collapsed="false">
      <c r="A769" s="4" t="s">
        <v>23</v>
      </c>
      <c r="B769" s="4" t="s">
        <v>24</v>
      </c>
      <c r="C769" s="10" t="s">
        <v>383</v>
      </c>
      <c r="D769" s="10" t="s">
        <v>469</v>
      </c>
      <c r="E769" s="10" t="s">
        <v>470</v>
      </c>
      <c r="F769" s="10" t="s">
        <v>471</v>
      </c>
      <c r="G769" s="10" t="s">
        <v>472</v>
      </c>
      <c r="H769" s="4" t="s">
        <v>437</v>
      </c>
    </row>
    <row r="770" customFormat="false" ht="17.15" hidden="false" customHeight="false" outlineLevel="0" collapsed="false">
      <c r="A770" s="5" t="s">
        <v>487</v>
      </c>
    </row>
    <row r="771" customFormat="false" ht="17.15" hidden="false" customHeight="false" outlineLevel="0" collapsed="false">
      <c r="A771" s="0" t="s">
        <v>488</v>
      </c>
      <c r="B771" s="0" t="s">
        <v>34</v>
      </c>
      <c r="D771" s="19" t="n">
        <f aca="false">itc_26*1</f>
        <v>781.872916666666</v>
      </c>
      <c r="E771" s="19" t="n">
        <f aca="false">itc_27*1*1</f>
        <v>1565.35</v>
      </c>
      <c r="F771" s="19" t="n">
        <f aca="false">itc_28*um28_A*1</f>
        <v>1984.26388888889</v>
      </c>
      <c r="G771" s="19" t="n">
        <f aca="false">itc_29*um29_A*1</f>
        <v>2260.39027777778</v>
      </c>
    </row>
    <row r="772" customFormat="false" ht="17.15" hidden="false" customHeight="false" outlineLevel="0" collapsed="false">
      <c r="A772" s="3" t="s">
        <v>489</v>
      </c>
      <c r="B772" s="0" t="s">
        <v>34</v>
      </c>
      <c r="D772" s="19" t="n">
        <f aca="false">itpg_gb*(1-vr26)+itpg_vr*vr26</f>
        <v>33.41403216</v>
      </c>
      <c r="E772" s="19" t="n">
        <f aca="false">itpg_vr</f>
        <v>37.586352</v>
      </c>
      <c r="F772" s="19" t="n">
        <f aca="false">itpg_vr</f>
        <v>37.586352</v>
      </c>
      <c r="G772" s="19" t="n">
        <f aca="false">itpg_vr</f>
        <v>37.586352</v>
      </c>
    </row>
    <row r="773" customFormat="false" ht="17.15" hidden="false" customHeight="false" outlineLevel="0" collapsed="false">
      <c r="A773" s="3" t="s">
        <v>490</v>
      </c>
      <c r="B773" s="0" t="s">
        <v>439</v>
      </c>
      <c r="D773" s="16" t="n">
        <f aca="false">D771/D772</f>
        <v>23.3995380420639</v>
      </c>
      <c r="E773" s="16" t="n">
        <f aca="false">E771/E772</f>
        <v>41.6467658260637</v>
      </c>
      <c r="F773" s="16" t="n">
        <f aca="false">F771/F772</f>
        <v>52.792138191248</v>
      </c>
      <c r="G773" s="16" t="n">
        <f aca="false">G771/G772</f>
        <v>60.1385917361116</v>
      </c>
    </row>
    <row r="774" customFormat="false" ht="17.15" hidden="false" customHeight="false" outlineLevel="0" collapsed="false">
      <c r="A774" s="3" t="s">
        <v>441</v>
      </c>
      <c r="B774" s="0" t="s">
        <v>94</v>
      </c>
      <c r="D774" s="17" t="n">
        <f aca="false">cmp_26</f>
        <v>190</v>
      </c>
      <c r="E774" s="17" t="n">
        <f aca="false">cmp_26*cmpx_27</f>
        <v>275.5</v>
      </c>
      <c r="F774" s="17" t="n">
        <f aca="false">cmp_26*cmpx_28</f>
        <v>304</v>
      </c>
      <c r="G774" s="17" t="n">
        <f aca="false">cmp_26*cmpx_29</f>
        <v>323</v>
      </c>
    </row>
    <row r="775" customFormat="false" ht="17.15" hidden="false" customHeight="false" outlineLevel="0" collapsed="false">
      <c r="A775" s="3" t="s">
        <v>443</v>
      </c>
      <c r="B775" s="0" t="s">
        <v>94</v>
      </c>
      <c r="D775" s="17" t="n">
        <f aca="false">sw_26</f>
        <v>90</v>
      </c>
      <c r="E775" s="17" t="n">
        <f aca="false">sw_26*swx_27</f>
        <v>126</v>
      </c>
      <c r="F775" s="17" t="n">
        <f aca="false">sw_26*swx_28</f>
        <v>144</v>
      </c>
      <c r="G775" s="17" t="n">
        <f aca="false">sw_26*swx_29</f>
        <v>157.5</v>
      </c>
    </row>
    <row r="776" customFormat="false" ht="17.15" hidden="false" customHeight="false" outlineLevel="0" collapsed="false">
      <c r="A776" s="3" t="s">
        <v>444</v>
      </c>
      <c r="B776" s="0" t="s">
        <v>94</v>
      </c>
      <c r="D776" s="17" t="n">
        <f aca="false">ubb_26</f>
        <v>70</v>
      </c>
      <c r="E776" s="17" t="n">
        <f aca="false">ubb_26*ubbx_27</f>
        <v>126</v>
      </c>
      <c r="F776" s="17" t="n">
        <f aca="false">ubb_26*ubbx_28</f>
        <v>161</v>
      </c>
      <c r="G776" s="17" t="n">
        <f aca="false">ubb_26*ubbx_29</f>
        <v>182</v>
      </c>
    </row>
    <row r="777" customFormat="false" ht="17.15" hidden="false" customHeight="false" outlineLevel="0" collapsed="false">
      <c r="A777" s="3" t="s">
        <v>491</v>
      </c>
      <c r="B777" s="0" t="s">
        <v>94</v>
      </c>
      <c r="D777" s="17" t="n">
        <f aca="false">D774+D775+D776</f>
        <v>350</v>
      </c>
      <c r="E777" s="17" t="n">
        <f aca="false">E774+E775+E776</f>
        <v>527.5</v>
      </c>
      <c r="F777" s="17" t="n">
        <f aca="false">F774+F775+F776</f>
        <v>609</v>
      </c>
      <c r="G777" s="17" t="n">
        <f aca="false">G774+G775+G776</f>
        <v>662.5</v>
      </c>
    </row>
    <row r="778" customFormat="false" ht="17.15" hidden="false" customHeight="false" outlineLevel="0" collapsed="false">
      <c r="A778" s="0" t="s">
        <v>492</v>
      </c>
      <c r="B778" s="0" t="s">
        <v>34</v>
      </c>
      <c r="D778" s="19" t="n">
        <f aca="false">D773*D777/1000</f>
        <v>8.18983831472236</v>
      </c>
      <c r="E778" s="19" t="n">
        <f aca="false">E773*E777/1000</f>
        <v>21.9686689732486</v>
      </c>
      <c r="F778" s="19" t="n">
        <f aca="false">F773*F777/1000</f>
        <v>32.15041215847</v>
      </c>
      <c r="G778" s="19" t="n">
        <f aca="false">G773*G777/1000</f>
        <v>39.8418170251739</v>
      </c>
    </row>
    <row r="779" customFormat="false" ht="17.15" hidden="false" customHeight="false" outlineLevel="0" collapsed="false">
      <c r="A779" s="0" t="s">
        <v>493</v>
      </c>
      <c r="B779" s="0" t="s">
        <v>214</v>
      </c>
      <c r="D779" s="18" t="n">
        <f aca="false">D778*fx</f>
        <v>262.074826071116</v>
      </c>
      <c r="E779" s="18" t="n">
        <f aca="false">E778*fx</f>
        <v>702.997407143955</v>
      </c>
      <c r="F779" s="18" t="n">
        <f aca="false">F778*fx</f>
        <v>1028.81318907104</v>
      </c>
      <c r="G779" s="18" t="n">
        <f aca="false">G778*fx</f>
        <v>1274.93814480557</v>
      </c>
    </row>
    <row r="780" customFormat="false" ht="17.15" hidden="false" customHeight="false" outlineLevel="0" collapsed="false">
      <c r="A780" s="0" t="s">
        <v>494</v>
      </c>
      <c r="B780" s="0" t="s">
        <v>67</v>
      </c>
      <c r="D780" s="14" t="n">
        <f aca="false">1</f>
        <v>1</v>
      </c>
      <c r="E780" s="14" t="n">
        <f aca="false">pp_27</f>
        <v>1</v>
      </c>
      <c r="F780" s="14" t="n">
        <f aca="false">pp_28</f>
        <v>0.97</v>
      </c>
      <c r="G780" s="14" t="n">
        <f aca="false">pp_29</f>
        <v>0.93</v>
      </c>
    </row>
    <row r="781" customFormat="false" ht="17.15" hidden="false" customHeight="false" outlineLevel="0" collapsed="false">
      <c r="A781" s="3" t="s">
        <v>495</v>
      </c>
      <c r="B781" s="0" t="s">
        <v>54</v>
      </c>
      <c r="D781" s="13" t="n">
        <f aca="false">a26_ai/D779</f>
        <v>0.459306165741139</v>
      </c>
      <c r="H781" s="7" t="s">
        <v>496</v>
      </c>
    </row>
    <row r="782" customFormat="false" ht="17.15" hidden="false" customHeight="false" outlineLevel="0" collapsed="false">
      <c r="A782" s="3" t="s">
        <v>497</v>
      </c>
      <c r="B782" s="0" t="s">
        <v>67</v>
      </c>
      <c r="D782" s="14" t="n">
        <f aca="false">1</f>
        <v>1</v>
      </c>
      <c r="E782" s="14" t="n">
        <f aca="false">rel_27</f>
        <v>0.95</v>
      </c>
      <c r="F782" s="14" t="n">
        <f aca="false">rel_28</f>
        <v>0.9</v>
      </c>
      <c r="G782" s="14" t="n">
        <f aca="false">rel_29</f>
        <v>0.85</v>
      </c>
    </row>
    <row r="783" customFormat="false" ht="15" hidden="false" customHeight="false" outlineLevel="0" collapsed="false">
      <c r="A783" s="3" t="s">
        <v>452</v>
      </c>
      <c r="B783" s="0" t="s">
        <v>54</v>
      </c>
      <c r="D783" s="13" t="n">
        <f aca="false">$D$781*D782</f>
        <v>0.459306165741139</v>
      </c>
      <c r="E783" s="13" t="n">
        <f aca="false">$D$781*E782</f>
        <v>0.436340857454082</v>
      </c>
      <c r="F783" s="13" t="n">
        <f aca="false">$D$781*F782</f>
        <v>0.413375549167025</v>
      </c>
      <c r="G783" s="13" t="n">
        <f aca="false">$D$781*G782</f>
        <v>0.390410240879968</v>
      </c>
    </row>
    <row r="784" customFormat="false" ht="17.15" hidden="false" customHeight="false" outlineLevel="0" collapsed="false">
      <c r="A784" s="0" t="s">
        <v>498</v>
      </c>
      <c r="B784" s="0" t="s">
        <v>214</v>
      </c>
      <c r="D784" s="18" t="n">
        <f aca="false">D779*D783*D780</f>
        <v>120.3725835</v>
      </c>
      <c r="E784" s="18" t="n">
        <f aca="false">E779*E783*E780</f>
        <v>306.74649142119</v>
      </c>
      <c r="F784" s="18" t="n">
        <f aca="false">F779*F783*F780</f>
        <v>412.527630511844</v>
      </c>
      <c r="G784" s="18" t="n">
        <f aca="false">G779*G783*G780</f>
        <v>462.906484645158</v>
      </c>
    </row>
    <row r="785" customFormat="false" ht="17.15" hidden="false" customHeight="false" outlineLevel="0" collapsed="false">
      <c r="A785" s="5" t="s">
        <v>499</v>
      </c>
    </row>
    <row r="786" customFormat="false" ht="15" hidden="false" customHeight="false" outlineLevel="0" collapsed="false">
      <c r="A786" s="3" t="s">
        <v>457</v>
      </c>
      <c r="B786" s="3" t="s">
        <v>151</v>
      </c>
      <c r="D786" s="14" t="n">
        <f aca="false">cap_26</f>
        <v>6</v>
      </c>
      <c r="E786" s="14" t="n">
        <f aca="false">cap_27</f>
        <v>7.76</v>
      </c>
      <c r="F786" s="14" t="n">
        <f aca="false">cap_28</f>
        <v>10.3</v>
      </c>
      <c r="G786" s="14" t="n">
        <f aca="false">cap_29</f>
        <v>11.8</v>
      </c>
    </row>
    <row r="787" customFormat="false" ht="17.15" hidden="false" customHeight="false" outlineLevel="0" collapsed="false">
      <c r="A787" s="3" t="s">
        <v>500</v>
      </c>
      <c r="B787" s="0" t="s">
        <v>460</v>
      </c>
      <c r="D787" s="17" t="n">
        <f aca="false">a26_rev/(D786*12)*1000</f>
        <v>2857.84861111111</v>
      </c>
      <c r="H787" s="7" t="s">
        <v>501</v>
      </c>
    </row>
    <row r="788" customFormat="false" ht="17.15" hidden="false" customHeight="false" outlineLevel="0" collapsed="false">
      <c r="A788" s="3" t="s">
        <v>502</v>
      </c>
      <c r="B788" s="0" t="s">
        <v>67</v>
      </c>
      <c r="D788" s="14" t="n">
        <f aca="false">1</f>
        <v>1</v>
      </c>
      <c r="E788" s="14" t="n">
        <f aca="false">mix_27</f>
        <v>1.25</v>
      </c>
      <c r="F788" s="14" t="n">
        <f aca="false">mix_28</f>
        <v>1.4</v>
      </c>
      <c r="G788" s="14" t="n">
        <f aca="false">mix_29</f>
        <v>1.5</v>
      </c>
    </row>
    <row r="789" customFormat="false" ht="17.15" hidden="false" customHeight="false" outlineLevel="0" collapsed="false">
      <c r="A789" s="3" t="s">
        <v>503</v>
      </c>
      <c r="B789" s="0" t="s">
        <v>214</v>
      </c>
      <c r="D789" s="18" t="n">
        <f aca="false">D786*12*$D$787*D788*D780/1000</f>
        <v>205.7651</v>
      </c>
      <c r="E789" s="18" t="n">
        <f aca="false">E786*12*$D$787*E788*E780/1000</f>
        <v>332.653578333333</v>
      </c>
      <c r="F789" s="18" t="n">
        <f aca="false">F786*12*$D$787*F788*F780/1000</f>
        <v>479.686459956667</v>
      </c>
      <c r="G789" s="18" t="n">
        <f aca="false">G786*12*$D$787*G788*G780/1000</f>
        <v>564.51655185</v>
      </c>
    </row>
    <row r="790" customFormat="false" ht="17.15" hidden="false" customHeight="false" outlineLevel="0" collapsed="false">
      <c r="A790" s="3" t="s">
        <v>504</v>
      </c>
      <c r="B790" s="0" t="s">
        <v>214</v>
      </c>
      <c r="C790" s="18" t="n">
        <f aca="false">a25_nai</f>
        <v>47.1305</v>
      </c>
      <c r="D790" s="18" t="n">
        <f aca="false">a26_nai</f>
        <v>85.3925165</v>
      </c>
      <c r="E790" s="18" t="n">
        <f aca="false">D790*(1+g_nai27)</f>
        <v>92.22391782</v>
      </c>
      <c r="F790" s="18" t="n">
        <f aca="false">E790*(1+g_nai28)</f>
        <v>97.7573528892</v>
      </c>
      <c r="G790" s="18" t="n">
        <f aca="false">F790*(1+g_nai29)</f>
        <v>102.64522053366</v>
      </c>
    </row>
    <row r="791" customFormat="false" ht="17.15" hidden="false" customHeight="false" outlineLevel="0" collapsed="false">
      <c r="A791" s="0" t="s">
        <v>505</v>
      </c>
      <c r="B791" s="0" t="s">
        <v>214</v>
      </c>
      <c r="C791" s="18" t="n">
        <f aca="false">a25_ai</f>
        <v>47.1305</v>
      </c>
      <c r="D791" s="18" t="n">
        <f aca="false">D784</f>
        <v>120.3725835</v>
      </c>
      <c r="E791" s="18" t="n">
        <f aca="false">MIN(E784,E789-E790)</f>
        <v>240.429660513333</v>
      </c>
      <c r="F791" s="18" t="n">
        <f aca="false">MIN(F784,F789-F790)</f>
        <v>381.929107067467</v>
      </c>
      <c r="G791" s="18" t="n">
        <f aca="false">MIN(G784,G789-G790)</f>
        <v>461.87133131634</v>
      </c>
      <c r="H791" s="3" t="s">
        <v>506</v>
      </c>
    </row>
    <row r="792" customFormat="false" ht="15" hidden="false" customHeight="false" outlineLevel="0" collapsed="false">
      <c r="A792" s="3" t="s">
        <v>507</v>
      </c>
      <c r="E792" s="0" t="str">
        <f aca="false">IF(E784&gt;E789-E790+0.0001,"受限","未受限")</f>
        <v>受限</v>
      </c>
      <c r="F792" s="0" t="str">
        <f aca="false">IF(F784&gt;F789-F790+0.0001,"受限","未受限")</f>
        <v>受限</v>
      </c>
      <c r="G792" s="0" t="str">
        <f aca="false">IF(G784&gt;G789-G790+0.0001,"受限","未受限")</f>
        <v>受限</v>
      </c>
    </row>
    <row r="793" customFormat="false" ht="15" hidden="false" customHeight="false" outlineLevel="0" collapsed="false">
      <c r="A793" s="3" t="s">
        <v>388</v>
      </c>
      <c r="B793" s="0" t="s">
        <v>214</v>
      </c>
      <c r="C793" s="18" t="n">
        <f aca="false">C791+C790</f>
        <v>94.261</v>
      </c>
      <c r="D793" s="18" t="n">
        <f aca="false">D791+D790</f>
        <v>205.7651</v>
      </c>
      <c r="E793" s="18" t="n">
        <f aca="false">E791+E790</f>
        <v>332.653578333333</v>
      </c>
      <c r="F793" s="18" t="n">
        <f aca="false">F791+F790</f>
        <v>479.686459956667</v>
      </c>
      <c r="G793" s="18" t="n">
        <f aca="false">G791+G790</f>
        <v>564.51655185</v>
      </c>
    </row>
    <row r="794" customFormat="false" ht="15" hidden="false" customHeight="false" outlineLevel="0" collapsed="false">
      <c r="A794" s="3" t="s">
        <v>508</v>
      </c>
      <c r="B794" s="0" t="s">
        <v>54</v>
      </c>
      <c r="D794" s="13" t="n">
        <f aca="false">D793/C793-1</f>
        <v>1.1829293132897</v>
      </c>
      <c r="E794" s="13" t="n">
        <f aca="false">E793/D793-1</f>
        <v>0.616666666666667</v>
      </c>
      <c r="F794" s="13" t="n">
        <f aca="false">F793/E793-1</f>
        <v>0.442</v>
      </c>
      <c r="G794" s="13" t="n">
        <f aca="false">G793/F793-1</f>
        <v>0.17684487467292</v>
      </c>
    </row>
    <row r="795" customFormat="false" ht="17.15" hidden="false" customHeight="false" outlineLevel="0" collapsed="false">
      <c r="A795" s="3" t="s">
        <v>509</v>
      </c>
      <c r="B795" s="0" t="s">
        <v>214</v>
      </c>
      <c r="C795" s="18" t="n">
        <f aca="false">inf25*C793-C791</f>
        <v>16.495675</v>
      </c>
      <c r="D795" s="18" t="n">
        <f aca="false">inf26*D793-D791</f>
        <v>33.9512415</v>
      </c>
      <c r="E795" s="18" t="n">
        <f aca="false">E790*$D795/$D790</f>
        <v>36.66734082</v>
      </c>
      <c r="F795" s="18" t="n">
        <f aca="false">F790*$D795/$D790</f>
        <v>38.8673812692</v>
      </c>
      <c r="G795" s="18" t="n">
        <f aca="false">G790*$D795/$D790</f>
        <v>40.81075033266</v>
      </c>
      <c r="H795" s="3" t="s">
        <v>510</v>
      </c>
    </row>
    <row r="796" customFormat="false" ht="17.15" hidden="false" customHeight="false" outlineLevel="0" collapsed="false">
      <c r="A796" s="3" t="s">
        <v>511</v>
      </c>
      <c r="B796" s="0" t="s">
        <v>214</v>
      </c>
      <c r="C796" s="18" t="n">
        <f aca="false">C791+C795</f>
        <v>63.626175</v>
      </c>
      <c r="D796" s="18" t="n">
        <f aca="false">D791+D795</f>
        <v>154.323825</v>
      </c>
      <c r="E796" s="18" t="n">
        <f aca="false">E791+E795</f>
        <v>277.097001333333</v>
      </c>
      <c r="F796" s="18" t="n">
        <f aca="false">F791+F795</f>
        <v>420.796488336667</v>
      </c>
      <c r="G796" s="18" t="n">
        <f aca="false">G791+G795</f>
        <v>502.682081649</v>
      </c>
      <c r="H796" s="3" t="s">
        <v>512</v>
      </c>
    </row>
    <row r="797" customFormat="false" ht="15" hidden="false" customHeight="false" outlineLevel="0" collapsed="false">
      <c r="A797" s="3" t="s">
        <v>513</v>
      </c>
      <c r="B797" s="0" t="s">
        <v>214</v>
      </c>
      <c r="C797" s="18" t="n">
        <f aca="false">mob25*C793</f>
        <v>21.208725</v>
      </c>
      <c r="D797" s="18" t="n">
        <f aca="false">mob26*D793</f>
        <v>37.037718</v>
      </c>
      <c r="E797" s="18" t="n">
        <f aca="false">E790*$D797/$D790</f>
        <v>40.00073544</v>
      </c>
      <c r="F797" s="18" t="n">
        <f aca="false">F790*$D797/$D790</f>
        <v>42.4007795664</v>
      </c>
      <c r="G797" s="18" t="n">
        <f aca="false">G790*$D797/$D790</f>
        <v>44.52081854472</v>
      </c>
      <c r="H797" s="3" t="s">
        <v>514</v>
      </c>
    </row>
    <row r="798" customFormat="false" ht="15" hidden="false" customHeight="false" outlineLevel="0" collapsed="false">
      <c r="A798" s="3" t="s">
        <v>515</v>
      </c>
      <c r="B798" s="0" t="s">
        <v>214</v>
      </c>
      <c r="C798" s="18" t="n">
        <f aca="false">C793-C796-C797</f>
        <v>9.42609999999999</v>
      </c>
      <c r="D798" s="18" t="n">
        <f aca="false">D793-D796-D797</f>
        <v>14.403557</v>
      </c>
      <c r="E798" s="18" t="n">
        <f aca="false">E793-E796-E797</f>
        <v>15.55584156</v>
      </c>
      <c r="F798" s="18" t="n">
        <f aca="false">F793-F796-F797</f>
        <v>16.4891920536</v>
      </c>
      <c r="G798" s="18" t="n">
        <f aca="false">G793-G796-G797</f>
        <v>17.31365165628</v>
      </c>
      <c r="H798" s="3" t="s">
        <v>516</v>
      </c>
    </row>
    <row r="799" customFormat="false" ht="15" hidden="false" customHeight="false" outlineLevel="0" collapsed="false">
      <c r="A799" s="3" t="s">
        <v>517</v>
      </c>
      <c r="B799" s="0" t="s">
        <v>214</v>
      </c>
      <c r="C799" s="21" t="n">
        <f aca="false">C796+C797+C798-C793</f>
        <v>0</v>
      </c>
      <c r="D799" s="21" t="n">
        <f aca="false">D796+D797+D798-D793</f>
        <v>0</v>
      </c>
      <c r="E799" s="21" t="n">
        <f aca="false">E796+E797+E798-E793</f>
        <v>0</v>
      </c>
      <c r="F799" s="21" t="n">
        <f aca="false">F796+F797+F798-F793</f>
        <v>0</v>
      </c>
      <c r="G799" s="21" t="n">
        <f aca="false">G796+G797+G798-G793</f>
        <v>0</v>
      </c>
    </row>
    <row r="800" customFormat="false" ht="17.15" hidden="false" customHeight="false" outlineLevel="0" collapsed="false">
      <c r="A800" s="0" t="s">
        <v>518</v>
      </c>
      <c r="B800" s="0" t="s">
        <v>54</v>
      </c>
      <c r="C800" s="13" t="n">
        <f aca="false">C791/C793</f>
        <v>0.5</v>
      </c>
      <c r="D800" s="13" t="n">
        <f aca="false">D791/D793</f>
        <v>0.585</v>
      </c>
      <c r="E800" s="13" t="n">
        <f aca="false">E791/E793</f>
        <v>0.722762886597938</v>
      </c>
      <c r="F800" s="13" t="n">
        <f aca="false">F791/F793</f>
        <v>0.796205728012354</v>
      </c>
      <c r="G800" s="13" t="n">
        <f aca="false">G791/G793</f>
        <v>0.818171459814106</v>
      </c>
    </row>
    <row r="801" customFormat="false" ht="17.15" hidden="false" customHeight="false" outlineLevel="0" collapsed="false">
      <c r="A801" s="3" t="s">
        <v>519</v>
      </c>
      <c r="B801" s="0" t="s">
        <v>54</v>
      </c>
      <c r="D801" s="13" t="n">
        <f aca="false">(D784+D790)/D789</f>
        <v>1</v>
      </c>
      <c r="E801" s="13" t="n">
        <f aca="false">(E784+E790)/E789</f>
        <v>1.19935703454662</v>
      </c>
      <c r="F801" s="13" t="n">
        <f aca="false">(F784+F790)/F789</f>
        <v>1.06378859108748</v>
      </c>
      <c r="G801" s="13" t="n">
        <f aca="false">(G784+G790)/G789</f>
        <v>1.00183369880905</v>
      </c>
      <c r="H801" s="3" t="s">
        <v>520</v>
      </c>
    </row>
    <row r="802" customFormat="false" ht="17.15" hidden="false" customHeight="false" outlineLevel="0" collapsed="false">
      <c r="A802" s="3" t="s">
        <v>456</v>
      </c>
      <c r="B802" s="0" t="s">
        <v>94</v>
      </c>
      <c r="D802" s="17" t="n">
        <f aca="false">D791/fx/D773*1000</f>
        <v>160.757158009399</v>
      </c>
      <c r="E802" s="17" t="n">
        <f aca="false">E791/fx/E773*1000</f>
        <v>180.408412082255</v>
      </c>
      <c r="F802" s="17" t="n">
        <f aca="false">F791/fx/F773*1000</f>
        <v>226.080719682557</v>
      </c>
      <c r="G802" s="17" t="n">
        <f aca="false">G791/fx/G773*1000</f>
        <v>240.003609778057</v>
      </c>
    </row>
    <row r="803" customFormat="false" ht="17.15" hidden="false" customHeight="false" outlineLevel="0" collapsed="false">
      <c r="A803" s="5" t="s">
        <v>521</v>
      </c>
    </row>
    <row r="804" customFormat="false" ht="17.15" hidden="false" customHeight="false" outlineLevel="0" collapsed="false">
      <c r="A804" s="3" t="s">
        <v>522</v>
      </c>
      <c r="B804" s="0" t="s">
        <v>54</v>
      </c>
      <c r="D804" s="13" t="n">
        <f aca="false">a26_gp/D793-d_ai_lo*D800</f>
        <v>0.314964442755356</v>
      </c>
      <c r="H804" s="7" t="s">
        <v>523</v>
      </c>
    </row>
    <row r="805" customFormat="false" ht="17.15" hidden="false" customHeight="false" outlineLevel="0" collapsed="false">
      <c r="A805" s="0" t="s">
        <v>524</v>
      </c>
      <c r="B805" s="0" t="s">
        <v>54</v>
      </c>
      <c r="D805" s="13" t="n">
        <f aca="false">D804+d_ai_lo</f>
        <v>0.354964442755356</v>
      </c>
      <c r="E805" s="13" t="n">
        <f aca="false">1-(1-$D$805)/E780</f>
        <v>0.354964442755356</v>
      </c>
      <c r="F805" s="13" t="n">
        <f aca="false">1-(1-$D$805)/F780</f>
        <v>0.335014889438511</v>
      </c>
      <c r="G805" s="13" t="n">
        <f aca="false">1-(1-$D$805)/G780</f>
        <v>0.306413379306834</v>
      </c>
      <c r="H805" s="7" t="s">
        <v>525</v>
      </c>
    </row>
    <row r="806" customFormat="false" ht="15" hidden="false" customHeight="false" outlineLevel="0" collapsed="false">
      <c r="A806" s="3" t="s">
        <v>392</v>
      </c>
      <c r="B806" s="0" t="s">
        <v>214</v>
      </c>
      <c r="C806" s="18" t="n">
        <f aca="false">a25_gp</f>
        <v>28.12</v>
      </c>
      <c r="D806" s="18" t="n">
        <f aca="false">a26_gp</f>
        <v>69.6235934</v>
      </c>
      <c r="E806" s="18" t="n">
        <f aca="false">E791*E805+E790*$D$804</f>
        <v>114.391235350867</v>
      </c>
      <c r="F806" s="18" t="n">
        <f aca="false">F791*F805+F790*$D$804</f>
        <v>158.742027755542</v>
      </c>
      <c r="G806" s="18" t="n">
        <f aca="false">G791*G805+G790*$D$804</f>
        <v>173.853150120471</v>
      </c>
    </row>
    <row r="807" customFormat="false" ht="15" hidden="false" customHeight="false" outlineLevel="0" collapsed="false">
      <c r="A807" s="3" t="s">
        <v>395</v>
      </c>
      <c r="B807" s="0" t="s">
        <v>54</v>
      </c>
      <c r="C807" s="13" t="n">
        <f aca="false">C806/C793</f>
        <v>0.298320620405046</v>
      </c>
      <c r="D807" s="13" t="n">
        <f aca="false">D806/D793</f>
        <v>0.338364442755356</v>
      </c>
      <c r="E807" s="13" t="n">
        <f aca="false">E806/E793</f>
        <v>0.343874958219273</v>
      </c>
      <c r="F807" s="13" t="n">
        <f aca="false">F806/F793</f>
        <v>0.33092872325369</v>
      </c>
      <c r="G807" s="13" t="n">
        <f aca="false">G806/G793</f>
        <v>0.307968206690716</v>
      </c>
    </row>
    <row r="808" customFormat="false" ht="15" hidden="false" customHeight="false" outlineLevel="0" collapsed="false">
      <c r="A808" s="3" t="s">
        <v>526</v>
      </c>
      <c r="B808" s="0" t="s">
        <v>214</v>
      </c>
      <c r="C808" s="18" t="n">
        <f aca="false">a25_opx</f>
        <v>9.012</v>
      </c>
      <c r="D808" s="18" t="n">
        <f aca="false">a26_opx</f>
        <v>14.0153081141857</v>
      </c>
      <c r="E808" s="18" t="n">
        <f aca="false">D808*(1+MAX(0,phi*E794))</f>
        <v>19.2009721164345</v>
      </c>
      <c r="F808" s="18" t="n">
        <f aca="false">E808*(1+MAX(0,phi*F794))</f>
        <v>24.2930699217129</v>
      </c>
      <c r="G808" s="18" t="n">
        <f aca="false">F808*(1+MAX(0,phi*G794))</f>
        <v>26.8707328651484</v>
      </c>
    </row>
    <row r="809" customFormat="false" ht="15" hidden="false" customHeight="false" outlineLevel="0" collapsed="false">
      <c r="A809" s="3" t="s">
        <v>397</v>
      </c>
      <c r="B809" s="0" t="s">
        <v>214</v>
      </c>
      <c r="C809" s="18" t="n">
        <f aca="false">C808</f>
        <v>9.012</v>
      </c>
      <c r="D809" s="18" t="n">
        <f aca="false">D808</f>
        <v>14.0153081141857</v>
      </c>
      <c r="E809" s="18" t="n">
        <f aca="false">E808+0*E793</f>
        <v>19.2009721164345</v>
      </c>
      <c r="F809" s="18" t="n">
        <f aca="false">F808+0*F793</f>
        <v>24.2930699217129</v>
      </c>
      <c r="G809" s="18" t="n">
        <f aca="false">G808+0*G793</f>
        <v>26.8707328651484</v>
      </c>
    </row>
    <row r="810" customFormat="false" ht="15" hidden="false" customHeight="false" outlineLevel="0" collapsed="false">
      <c r="A810" s="3" t="s">
        <v>400</v>
      </c>
      <c r="B810" s="0" t="s">
        <v>214</v>
      </c>
      <c r="C810" s="18" t="n">
        <f aca="false">C806-C809</f>
        <v>19.108</v>
      </c>
      <c r="D810" s="18" t="n">
        <f aca="false">D806-D809</f>
        <v>55.6082852858143</v>
      </c>
      <c r="E810" s="18" t="n">
        <f aca="false">E806-E809</f>
        <v>95.1902632344322</v>
      </c>
      <c r="F810" s="18" t="n">
        <f aca="false">F806-F809</f>
        <v>134.448957833829</v>
      </c>
      <c r="G810" s="18" t="n">
        <f aca="false">G806-G809</f>
        <v>146.982417255323</v>
      </c>
    </row>
    <row r="811" customFormat="false" ht="15" hidden="false" customHeight="false" outlineLevel="0" collapsed="false">
      <c r="A811" s="3" t="s">
        <v>403</v>
      </c>
      <c r="B811" s="0" t="s">
        <v>54</v>
      </c>
      <c r="C811" s="13" t="n">
        <f aca="false">C810/C793</f>
        <v>0.202713741632276</v>
      </c>
      <c r="D811" s="13" t="n">
        <f aca="false">D810/D793</f>
        <v>0.270251297648699</v>
      </c>
      <c r="E811" s="13" t="n">
        <f aca="false">E810/E793</f>
        <v>0.286154334221673</v>
      </c>
      <c r="F811" s="13" t="n">
        <f aca="false">F810/F793</f>
        <v>0.280285080062453</v>
      </c>
      <c r="G811" s="13" t="n">
        <f aca="false">G810/G793</f>
        <v>0.260368658409821</v>
      </c>
    </row>
    <row r="812" customFormat="false" ht="17.15" hidden="false" customHeight="false" outlineLevel="0" collapsed="false">
      <c r="A812" s="3" t="s">
        <v>405</v>
      </c>
      <c r="B812" s="0" t="s">
        <v>214</v>
      </c>
      <c r="E812" s="18" t="n">
        <f aca="false">nop_f</f>
        <v>0.5</v>
      </c>
      <c r="F812" s="18" t="n">
        <f aca="false">nop_f</f>
        <v>0.5</v>
      </c>
      <c r="G812" s="18" t="n">
        <f aca="false">nop_f</f>
        <v>0.5</v>
      </c>
      <c r="H812" s="7" t="s">
        <v>527</v>
      </c>
    </row>
    <row r="813" customFormat="false" ht="15" hidden="false" customHeight="false" outlineLevel="0" collapsed="false">
      <c r="A813" s="3" t="s">
        <v>408</v>
      </c>
      <c r="B813" s="0" t="s">
        <v>214</v>
      </c>
      <c r="C813" s="18" t="n">
        <f aca="false">a25_ni</f>
        <v>14.649</v>
      </c>
      <c r="D813" s="18" t="n">
        <f aca="false">a26_ni</f>
        <v>42.891099295</v>
      </c>
      <c r="E813" s="18" t="n">
        <f aca="false">(E810+E812)*nir_f</f>
        <v>73.6815026905128</v>
      </c>
      <c r="F813" s="18" t="n">
        <f aca="false">(F810+F812)*nir_f</f>
        <v>103.910697532048</v>
      </c>
      <c r="G813" s="18" t="n">
        <f aca="false">(G810+G812)*nir_f</f>
        <v>113.561461286598</v>
      </c>
    </row>
    <row r="814" customFormat="false" ht="17.15" hidden="false" customHeight="false" outlineLevel="0" collapsed="false">
      <c r="A814" s="3" t="s">
        <v>411</v>
      </c>
      <c r="B814" s="0" t="s">
        <v>54</v>
      </c>
      <c r="C814" s="13" t="n">
        <f aca="false">C813/C810</f>
        <v>0.766642244086247</v>
      </c>
      <c r="D814" s="13" t="n">
        <f aca="false">D813/D810</f>
        <v>0.771307712053146</v>
      </c>
      <c r="E814" s="13" t="n">
        <f aca="false">E813/E810</f>
        <v>0.774044531309382</v>
      </c>
      <c r="F814" s="13" t="n">
        <f aca="false">F813/F810</f>
        <v>0.772863540232687</v>
      </c>
      <c r="G814" s="13" t="n">
        <f aca="false">G813/G810</f>
        <v>0.772619360922138</v>
      </c>
    </row>
    <row r="815" customFormat="false" ht="15" hidden="false" customHeight="false" outlineLevel="0" collapsed="false">
      <c r="A815" s="3" t="s">
        <v>528</v>
      </c>
      <c r="B815" s="3" t="s">
        <v>243</v>
      </c>
      <c r="C815" s="20" t="n">
        <f aca="false">a25_sh</f>
        <v>0.351547876169906</v>
      </c>
      <c r="D815" s="20" t="n">
        <f aca="false">a26_sh</f>
        <v>0.358290155440415</v>
      </c>
      <c r="E815" s="20" t="n">
        <f aca="false">D815*(1+sh_g)</f>
        <v>0.358290155440415</v>
      </c>
      <c r="F815" s="20" t="n">
        <f aca="false">E815*(1+sh_g)</f>
        <v>0.358290155440415</v>
      </c>
      <c r="G815" s="20" t="n">
        <f aca="false">F815*(1+sh_g)</f>
        <v>0.358290155440415</v>
      </c>
    </row>
    <row r="816" customFormat="false" ht="15" hidden="false" customHeight="false" outlineLevel="0" collapsed="false">
      <c r="A816" s="0" t="s">
        <v>414</v>
      </c>
      <c r="B816" s="0" t="s">
        <v>274</v>
      </c>
      <c r="C816" s="19" t="n">
        <f aca="false">C813/C815</f>
        <v>41.67</v>
      </c>
      <c r="D816" s="19" t="n">
        <f aca="false">D813/D815</f>
        <v>119.710515747433</v>
      </c>
      <c r="E816" s="19" t="n">
        <f aca="false">E813/E815</f>
        <v>205.647578008228</v>
      </c>
      <c r="F816" s="19" t="n">
        <f aca="false">F813/F815</f>
        <v>290.018288122709</v>
      </c>
      <c r="G816" s="19" t="n">
        <f aca="false">G813/G815</f>
        <v>316.953897734107</v>
      </c>
    </row>
    <row r="817" customFormat="false" ht="17.15" hidden="false" customHeight="false" outlineLevel="0" collapsed="false">
      <c r="A817" s="0" t="s">
        <v>529</v>
      </c>
      <c r="B817" s="0" t="s">
        <v>54</v>
      </c>
      <c r="D817" s="13" t="n">
        <f aca="false">D816/C816-1</f>
        <v>1.87282255213422</v>
      </c>
      <c r="E817" s="13" t="n">
        <f aca="false">E816/D816-1</f>
        <v>0.717873962234915</v>
      </c>
      <c r="F817" s="13" t="n">
        <f aca="false">F816/E816-1</f>
        <v>0.410268435600567</v>
      </c>
      <c r="G817" s="13" t="n">
        <f aca="false">G816/F816-1</f>
        <v>0.0928755554891103</v>
      </c>
    </row>
    <row r="820" customFormat="false" ht="17.15" hidden="false" customHeight="false" outlineLevel="0" collapsed="false">
      <c r="A820" s="1" t="s">
        <v>853</v>
      </c>
    </row>
    <row r="821" customFormat="false" ht="17.15" hidden="false" customHeight="false" outlineLevel="0" collapsed="false">
      <c r="A821" s="4" t="s">
        <v>23</v>
      </c>
      <c r="B821" s="4" t="s">
        <v>24</v>
      </c>
      <c r="C821" s="10" t="s">
        <v>383</v>
      </c>
      <c r="D821" s="10" t="s">
        <v>469</v>
      </c>
      <c r="E821" s="10" t="s">
        <v>470</v>
      </c>
      <c r="F821" s="10" t="s">
        <v>471</v>
      </c>
      <c r="G821" s="10" t="s">
        <v>472</v>
      </c>
      <c r="H821" s="4" t="s">
        <v>437</v>
      </c>
    </row>
    <row r="822" customFormat="false" ht="17.15" hidden="false" customHeight="false" outlineLevel="0" collapsed="false">
      <c r="A822" s="5" t="s">
        <v>487</v>
      </c>
    </row>
    <row r="823" customFormat="false" ht="17.15" hidden="false" customHeight="false" outlineLevel="0" collapsed="false">
      <c r="A823" s="0" t="s">
        <v>488</v>
      </c>
      <c r="B823" s="0" t="s">
        <v>34</v>
      </c>
      <c r="D823" s="19" t="n">
        <f aca="false">itc_26*1</f>
        <v>781.872916666666</v>
      </c>
      <c r="E823" s="19" t="n">
        <f aca="false">itc_27*1*1</f>
        <v>1565.35</v>
      </c>
      <c r="F823" s="19" t="n">
        <f aca="false">itc_28*um28_A*1</f>
        <v>1984.26388888889</v>
      </c>
      <c r="G823" s="19" t="n">
        <f aca="false">itc_29*um29_A*1</f>
        <v>2260.39027777778</v>
      </c>
    </row>
    <row r="824" customFormat="false" ht="17.15" hidden="false" customHeight="false" outlineLevel="0" collapsed="false">
      <c r="A824" s="3" t="s">
        <v>489</v>
      </c>
      <c r="B824" s="0" t="s">
        <v>34</v>
      </c>
      <c r="D824" s="19" t="n">
        <f aca="false">itpg_gb*(1-vr26)+itpg_vr*vr26</f>
        <v>33.41403216</v>
      </c>
      <c r="E824" s="19" t="n">
        <f aca="false">itpg_vr</f>
        <v>37.586352</v>
      </c>
      <c r="F824" s="19" t="n">
        <f aca="false">itpg_vr</f>
        <v>37.586352</v>
      </c>
      <c r="G824" s="19" t="n">
        <f aca="false">itpg_vr</f>
        <v>37.586352</v>
      </c>
    </row>
    <row r="825" customFormat="false" ht="17.15" hidden="false" customHeight="false" outlineLevel="0" collapsed="false">
      <c r="A825" s="3" t="s">
        <v>490</v>
      </c>
      <c r="B825" s="0" t="s">
        <v>439</v>
      </c>
      <c r="D825" s="16" t="n">
        <f aca="false">D823/D824</f>
        <v>23.3995380420639</v>
      </c>
      <c r="E825" s="16" t="n">
        <f aca="false">E823/E824</f>
        <v>41.6467658260637</v>
      </c>
      <c r="F825" s="16" t="n">
        <f aca="false">F823/F824</f>
        <v>52.792138191248</v>
      </c>
      <c r="G825" s="16" t="n">
        <f aca="false">G823/G824</f>
        <v>60.1385917361116</v>
      </c>
    </row>
    <row r="826" customFormat="false" ht="17.15" hidden="false" customHeight="false" outlineLevel="0" collapsed="false">
      <c r="A826" s="3" t="s">
        <v>441</v>
      </c>
      <c r="B826" s="0" t="s">
        <v>94</v>
      </c>
      <c r="D826" s="17" t="n">
        <f aca="false">cmp_26</f>
        <v>190</v>
      </c>
      <c r="E826" s="17" t="n">
        <f aca="false">cmp_26*cmpx_27</f>
        <v>275.5</v>
      </c>
      <c r="F826" s="17" t="n">
        <f aca="false">cmp_26*cmpx_28</f>
        <v>304</v>
      </c>
      <c r="G826" s="17" t="n">
        <f aca="false">cmp_26*cmpx_29</f>
        <v>323</v>
      </c>
    </row>
    <row r="827" customFormat="false" ht="17.15" hidden="false" customHeight="false" outlineLevel="0" collapsed="false">
      <c r="A827" s="3" t="s">
        <v>443</v>
      </c>
      <c r="B827" s="0" t="s">
        <v>94</v>
      </c>
      <c r="D827" s="17" t="n">
        <f aca="false">sw_26</f>
        <v>90</v>
      </c>
      <c r="E827" s="17" t="n">
        <f aca="false">sw_26*swx_27</f>
        <v>126</v>
      </c>
      <c r="F827" s="17" t="n">
        <f aca="false">sw_26*swx_28</f>
        <v>144</v>
      </c>
      <c r="G827" s="17" t="n">
        <f aca="false">sw_26*swx_29</f>
        <v>157.5</v>
      </c>
    </row>
    <row r="828" customFormat="false" ht="17.15" hidden="false" customHeight="false" outlineLevel="0" collapsed="false">
      <c r="A828" s="3" t="s">
        <v>444</v>
      </c>
      <c r="B828" s="0" t="s">
        <v>94</v>
      </c>
      <c r="D828" s="17" t="n">
        <f aca="false">ubb_26</f>
        <v>70</v>
      </c>
      <c r="E828" s="17" t="n">
        <f aca="false">ubb_26*ubbx_27</f>
        <v>126</v>
      </c>
      <c r="F828" s="17" t="n">
        <f aca="false">ubb_26*ubbx_28</f>
        <v>161</v>
      </c>
      <c r="G828" s="17" t="n">
        <f aca="false">ubb_26*ubbx_29</f>
        <v>182</v>
      </c>
    </row>
    <row r="829" customFormat="false" ht="17.15" hidden="false" customHeight="false" outlineLevel="0" collapsed="false">
      <c r="A829" s="3" t="s">
        <v>491</v>
      </c>
      <c r="B829" s="0" t="s">
        <v>94</v>
      </c>
      <c r="D829" s="17" t="n">
        <f aca="false">D826+D827+D828</f>
        <v>350</v>
      </c>
      <c r="E829" s="17" t="n">
        <f aca="false">E826+E827+E828</f>
        <v>527.5</v>
      </c>
      <c r="F829" s="17" t="n">
        <f aca="false">F826+F827+F828</f>
        <v>609</v>
      </c>
      <c r="G829" s="17" t="n">
        <f aca="false">G826+G827+G828</f>
        <v>662.5</v>
      </c>
    </row>
    <row r="830" customFormat="false" ht="17.15" hidden="false" customHeight="false" outlineLevel="0" collapsed="false">
      <c r="A830" s="0" t="s">
        <v>492</v>
      </c>
      <c r="B830" s="0" t="s">
        <v>34</v>
      </c>
      <c r="D830" s="19" t="n">
        <f aca="false">D825*D829/1000</f>
        <v>8.18983831472236</v>
      </c>
      <c r="E830" s="19" t="n">
        <f aca="false">E825*E829/1000</f>
        <v>21.9686689732486</v>
      </c>
      <c r="F830" s="19" t="n">
        <f aca="false">F825*F829/1000</f>
        <v>32.15041215847</v>
      </c>
      <c r="G830" s="19" t="n">
        <f aca="false">G825*G829/1000</f>
        <v>39.8418170251739</v>
      </c>
    </row>
    <row r="831" customFormat="false" ht="17.15" hidden="false" customHeight="false" outlineLevel="0" collapsed="false">
      <c r="A831" s="0" t="s">
        <v>493</v>
      </c>
      <c r="B831" s="0" t="s">
        <v>214</v>
      </c>
      <c r="D831" s="18" t="n">
        <f aca="false">D830*fx</f>
        <v>262.074826071116</v>
      </c>
      <c r="E831" s="18" t="n">
        <f aca="false">E830*fx</f>
        <v>702.997407143955</v>
      </c>
      <c r="F831" s="18" t="n">
        <f aca="false">F830*fx</f>
        <v>1028.81318907104</v>
      </c>
      <c r="G831" s="18" t="n">
        <f aca="false">G830*fx</f>
        <v>1274.93814480557</v>
      </c>
    </row>
    <row r="832" customFormat="false" ht="17.15" hidden="false" customHeight="false" outlineLevel="0" collapsed="false">
      <c r="A832" s="0" t="s">
        <v>494</v>
      </c>
      <c r="B832" s="0" t="s">
        <v>67</v>
      </c>
      <c r="D832" s="14" t="n">
        <f aca="false">1</f>
        <v>1</v>
      </c>
      <c r="E832" s="14" t="n">
        <f aca="false">pp_27</f>
        <v>1</v>
      </c>
      <c r="F832" s="14" t="n">
        <f aca="false">pp_28</f>
        <v>0.97</v>
      </c>
      <c r="G832" s="14" t="n">
        <f aca="false">pp_29</f>
        <v>0.93</v>
      </c>
    </row>
    <row r="833" customFormat="false" ht="17.15" hidden="false" customHeight="false" outlineLevel="0" collapsed="false">
      <c r="A833" s="3" t="s">
        <v>495</v>
      </c>
      <c r="B833" s="0" t="s">
        <v>54</v>
      </c>
      <c r="D833" s="13" t="n">
        <f aca="false">a26_ai/D831</f>
        <v>0.459306165741139</v>
      </c>
      <c r="H833" s="7" t="s">
        <v>496</v>
      </c>
    </row>
    <row r="834" customFormat="false" ht="17.15" hidden="false" customHeight="false" outlineLevel="0" collapsed="false">
      <c r="A834" s="3" t="s">
        <v>497</v>
      </c>
      <c r="B834" s="0" t="s">
        <v>67</v>
      </c>
      <c r="D834" s="14" t="n">
        <f aca="false">1</f>
        <v>1</v>
      </c>
      <c r="E834" s="14" t="n">
        <f aca="false">rel_27</f>
        <v>0.95</v>
      </c>
      <c r="F834" s="14" t="n">
        <f aca="false">rel_28</f>
        <v>0.9</v>
      </c>
      <c r="G834" s="14" t="n">
        <f aca="false">rel_29</f>
        <v>0.85</v>
      </c>
    </row>
    <row r="835" customFormat="false" ht="15" hidden="false" customHeight="false" outlineLevel="0" collapsed="false">
      <c r="A835" s="3" t="s">
        <v>452</v>
      </c>
      <c r="B835" s="0" t="s">
        <v>54</v>
      </c>
      <c r="D835" s="13" t="n">
        <f aca="false">$D$833*D834</f>
        <v>0.459306165741139</v>
      </c>
      <c r="E835" s="13" t="n">
        <f aca="false">$D$833*E834</f>
        <v>0.436340857454082</v>
      </c>
      <c r="F835" s="13" t="n">
        <f aca="false">$D$833*F834</f>
        <v>0.413375549167025</v>
      </c>
      <c r="G835" s="13" t="n">
        <f aca="false">$D$833*G834</f>
        <v>0.390410240879968</v>
      </c>
    </row>
    <row r="836" customFormat="false" ht="17.15" hidden="false" customHeight="false" outlineLevel="0" collapsed="false">
      <c r="A836" s="0" t="s">
        <v>498</v>
      </c>
      <c r="B836" s="0" t="s">
        <v>214</v>
      </c>
      <c r="D836" s="18" t="n">
        <f aca="false">D831*D835*D832</f>
        <v>120.3725835</v>
      </c>
      <c r="E836" s="18" t="n">
        <f aca="false">E831*E835*E832</f>
        <v>306.74649142119</v>
      </c>
      <c r="F836" s="18" t="n">
        <f aca="false">F831*F835*F832</f>
        <v>412.527630511844</v>
      </c>
      <c r="G836" s="18" t="n">
        <f aca="false">G831*G835*G832</f>
        <v>462.906484645158</v>
      </c>
    </row>
    <row r="837" customFormat="false" ht="17.15" hidden="false" customHeight="false" outlineLevel="0" collapsed="false">
      <c r="A837" s="5" t="s">
        <v>499</v>
      </c>
    </row>
    <row r="838" customFormat="false" ht="15" hidden="false" customHeight="false" outlineLevel="0" collapsed="false">
      <c r="A838" s="3" t="s">
        <v>457</v>
      </c>
      <c r="B838" s="3" t="s">
        <v>151</v>
      </c>
      <c r="D838" s="14" t="n">
        <f aca="false">cap_26</f>
        <v>6</v>
      </c>
      <c r="E838" s="14" t="n">
        <f aca="false">cap_27</f>
        <v>7.76</v>
      </c>
      <c r="F838" s="14" t="n">
        <f aca="false">cap_28</f>
        <v>10.3</v>
      </c>
      <c r="G838" s="14" t="n">
        <f aca="false">cap_29</f>
        <v>11.8</v>
      </c>
    </row>
    <row r="839" customFormat="false" ht="17.15" hidden="false" customHeight="false" outlineLevel="0" collapsed="false">
      <c r="A839" s="3" t="s">
        <v>500</v>
      </c>
      <c r="B839" s="0" t="s">
        <v>460</v>
      </c>
      <c r="D839" s="17" t="n">
        <f aca="false">a26_rev/(D838*12)*1000</f>
        <v>2857.84861111111</v>
      </c>
      <c r="H839" s="7" t="s">
        <v>501</v>
      </c>
    </row>
    <row r="840" customFormat="false" ht="17.15" hidden="false" customHeight="false" outlineLevel="0" collapsed="false">
      <c r="A840" s="3" t="s">
        <v>502</v>
      </c>
      <c r="B840" s="0" t="s">
        <v>67</v>
      </c>
      <c r="D840" s="14" t="n">
        <f aca="false">1</f>
        <v>1</v>
      </c>
      <c r="E840" s="14" t="n">
        <f aca="false">mix_27</f>
        <v>1.25</v>
      </c>
      <c r="F840" s="14" t="n">
        <f aca="false">mix_28</f>
        <v>1.4</v>
      </c>
      <c r="G840" s="14" t="n">
        <f aca="false">mix_29</f>
        <v>1.5</v>
      </c>
    </row>
    <row r="841" customFormat="false" ht="17.15" hidden="false" customHeight="false" outlineLevel="0" collapsed="false">
      <c r="A841" s="3" t="s">
        <v>503</v>
      </c>
      <c r="B841" s="0" t="s">
        <v>214</v>
      </c>
      <c r="D841" s="18" t="n">
        <f aca="false">D838*12*$D$839*D840*D832/1000</f>
        <v>205.7651</v>
      </c>
      <c r="E841" s="18" t="n">
        <f aca="false">E838*12*$D$839*E840*E832/1000</f>
        <v>332.653578333333</v>
      </c>
      <c r="F841" s="18" t="n">
        <f aca="false">F838*12*$D$839*F840*F832/1000</f>
        <v>479.686459956667</v>
      </c>
      <c r="G841" s="18" t="n">
        <f aca="false">G838*12*$D$839*G840*G832/1000</f>
        <v>564.51655185</v>
      </c>
    </row>
    <row r="842" customFormat="false" ht="17.15" hidden="false" customHeight="false" outlineLevel="0" collapsed="false">
      <c r="A842" s="3" t="s">
        <v>504</v>
      </c>
      <c r="B842" s="0" t="s">
        <v>214</v>
      </c>
      <c r="C842" s="18" t="n">
        <f aca="false">a25_nai</f>
        <v>47.1305</v>
      </c>
      <c r="D842" s="18" t="n">
        <f aca="false">a26_nai</f>
        <v>85.3925165</v>
      </c>
      <c r="E842" s="18" t="n">
        <f aca="false">D842*(1+g_nai27)</f>
        <v>92.22391782</v>
      </c>
      <c r="F842" s="18" t="n">
        <f aca="false">E842*(1+g_nai28)</f>
        <v>97.7573528892</v>
      </c>
      <c r="G842" s="18" t="n">
        <f aca="false">F842*(1+g_nai29)</f>
        <v>102.64522053366</v>
      </c>
    </row>
    <row r="843" customFormat="false" ht="17.15" hidden="false" customHeight="false" outlineLevel="0" collapsed="false">
      <c r="A843" s="0" t="s">
        <v>505</v>
      </c>
      <c r="B843" s="0" t="s">
        <v>214</v>
      </c>
      <c r="C843" s="18" t="n">
        <f aca="false">a25_ai</f>
        <v>47.1305</v>
      </c>
      <c r="D843" s="18" t="n">
        <f aca="false">D836</f>
        <v>120.3725835</v>
      </c>
      <c r="E843" s="18" t="n">
        <f aca="false">MIN(E836,E841-E842)</f>
        <v>240.429660513333</v>
      </c>
      <c r="F843" s="18" t="n">
        <f aca="false">MIN(F836,F841-F842)</f>
        <v>381.929107067467</v>
      </c>
      <c r="G843" s="18" t="n">
        <f aca="false">MIN(G836,G841-G842)</f>
        <v>461.87133131634</v>
      </c>
      <c r="H843" s="3" t="s">
        <v>506</v>
      </c>
    </row>
    <row r="844" customFormat="false" ht="15" hidden="false" customHeight="false" outlineLevel="0" collapsed="false">
      <c r="A844" s="3" t="s">
        <v>507</v>
      </c>
      <c r="E844" s="0" t="str">
        <f aca="false">IF(E836&gt;E841-E842+0.0001,"受限","未受限")</f>
        <v>受限</v>
      </c>
      <c r="F844" s="0" t="str">
        <f aca="false">IF(F836&gt;F841-F842+0.0001,"受限","未受限")</f>
        <v>受限</v>
      </c>
      <c r="G844" s="0" t="str">
        <f aca="false">IF(G836&gt;G841-G842+0.0001,"受限","未受限")</f>
        <v>受限</v>
      </c>
    </row>
    <row r="845" customFormat="false" ht="15" hidden="false" customHeight="false" outlineLevel="0" collapsed="false">
      <c r="A845" s="3" t="s">
        <v>388</v>
      </c>
      <c r="B845" s="0" t="s">
        <v>214</v>
      </c>
      <c r="C845" s="18" t="n">
        <f aca="false">C843+C842</f>
        <v>94.261</v>
      </c>
      <c r="D845" s="18" t="n">
        <f aca="false">D843+D842</f>
        <v>205.7651</v>
      </c>
      <c r="E845" s="18" t="n">
        <f aca="false">E843+E842</f>
        <v>332.653578333333</v>
      </c>
      <c r="F845" s="18" t="n">
        <f aca="false">F843+F842</f>
        <v>479.686459956667</v>
      </c>
      <c r="G845" s="18" t="n">
        <f aca="false">G843+G842</f>
        <v>564.51655185</v>
      </c>
    </row>
    <row r="846" customFormat="false" ht="15" hidden="false" customHeight="false" outlineLevel="0" collapsed="false">
      <c r="A846" s="3" t="s">
        <v>508</v>
      </c>
      <c r="B846" s="0" t="s">
        <v>54</v>
      </c>
      <c r="D846" s="13" t="n">
        <f aca="false">D845/C845-1</f>
        <v>1.1829293132897</v>
      </c>
      <c r="E846" s="13" t="n">
        <f aca="false">E845/D845-1</f>
        <v>0.616666666666667</v>
      </c>
      <c r="F846" s="13" t="n">
        <f aca="false">F845/E845-1</f>
        <v>0.442</v>
      </c>
      <c r="G846" s="13" t="n">
        <f aca="false">G845/F845-1</f>
        <v>0.17684487467292</v>
      </c>
    </row>
    <row r="847" customFormat="false" ht="17.15" hidden="false" customHeight="false" outlineLevel="0" collapsed="false">
      <c r="A847" s="3" t="s">
        <v>509</v>
      </c>
      <c r="B847" s="0" t="s">
        <v>214</v>
      </c>
      <c r="C847" s="18" t="n">
        <f aca="false">inf25*C845-C843</f>
        <v>16.495675</v>
      </c>
      <c r="D847" s="18" t="n">
        <f aca="false">inf26*D845-D843</f>
        <v>33.9512415</v>
      </c>
      <c r="E847" s="18" t="n">
        <f aca="false">E842*$D847/$D842</f>
        <v>36.66734082</v>
      </c>
      <c r="F847" s="18" t="n">
        <f aca="false">F842*$D847/$D842</f>
        <v>38.8673812692</v>
      </c>
      <c r="G847" s="18" t="n">
        <f aca="false">G842*$D847/$D842</f>
        <v>40.81075033266</v>
      </c>
      <c r="H847" s="3" t="s">
        <v>510</v>
      </c>
    </row>
    <row r="848" customFormat="false" ht="17.15" hidden="false" customHeight="false" outlineLevel="0" collapsed="false">
      <c r="A848" s="3" t="s">
        <v>511</v>
      </c>
      <c r="B848" s="0" t="s">
        <v>214</v>
      </c>
      <c r="C848" s="18" t="n">
        <f aca="false">C843+C847</f>
        <v>63.626175</v>
      </c>
      <c r="D848" s="18" t="n">
        <f aca="false">D843+D847</f>
        <v>154.323825</v>
      </c>
      <c r="E848" s="18" t="n">
        <f aca="false">E843+E847</f>
        <v>277.097001333333</v>
      </c>
      <c r="F848" s="18" t="n">
        <f aca="false">F843+F847</f>
        <v>420.796488336667</v>
      </c>
      <c r="G848" s="18" t="n">
        <f aca="false">G843+G847</f>
        <v>502.682081649</v>
      </c>
      <c r="H848" s="3" t="s">
        <v>512</v>
      </c>
    </row>
    <row r="849" customFormat="false" ht="15" hidden="false" customHeight="false" outlineLevel="0" collapsed="false">
      <c r="A849" s="3" t="s">
        <v>513</v>
      </c>
      <c r="B849" s="0" t="s">
        <v>214</v>
      </c>
      <c r="C849" s="18" t="n">
        <f aca="false">mob25*C845</f>
        <v>21.208725</v>
      </c>
      <c r="D849" s="18" t="n">
        <f aca="false">mob26*D845</f>
        <v>37.037718</v>
      </c>
      <c r="E849" s="18" t="n">
        <f aca="false">E842*$D849/$D842</f>
        <v>40.00073544</v>
      </c>
      <c r="F849" s="18" t="n">
        <f aca="false">F842*$D849/$D842</f>
        <v>42.4007795664</v>
      </c>
      <c r="G849" s="18" t="n">
        <f aca="false">G842*$D849/$D842</f>
        <v>44.52081854472</v>
      </c>
      <c r="H849" s="3" t="s">
        <v>514</v>
      </c>
    </row>
    <row r="850" customFormat="false" ht="15" hidden="false" customHeight="false" outlineLevel="0" collapsed="false">
      <c r="A850" s="3" t="s">
        <v>515</v>
      </c>
      <c r="B850" s="0" t="s">
        <v>214</v>
      </c>
      <c r="C850" s="18" t="n">
        <f aca="false">C845-C848-C849</f>
        <v>9.42609999999999</v>
      </c>
      <c r="D850" s="18" t="n">
        <f aca="false">D845-D848-D849</f>
        <v>14.403557</v>
      </c>
      <c r="E850" s="18" t="n">
        <f aca="false">E845-E848-E849</f>
        <v>15.55584156</v>
      </c>
      <c r="F850" s="18" t="n">
        <f aca="false">F845-F848-F849</f>
        <v>16.4891920536</v>
      </c>
      <c r="G850" s="18" t="n">
        <f aca="false">G845-G848-G849</f>
        <v>17.31365165628</v>
      </c>
      <c r="H850" s="3" t="s">
        <v>516</v>
      </c>
    </row>
    <row r="851" customFormat="false" ht="15" hidden="false" customHeight="false" outlineLevel="0" collapsed="false">
      <c r="A851" s="3" t="s">
        <v>517</v>
      </c>
      <c r="B851" s="0" t="s">
        <v>214</v>
      </c>
      <c r="C851" s="21" t="n">
        <f aca="false">C848+C849+C850-C845</f>
        <v>0</v>
      </c>
      <c r="D851" s="21" t="n">
        <f aca="false">D848+D849+D850-D845</f>
        <v>0</v>
      </c>
      <c r="E851" s="21" t="n">
        <f aca="false">E848+E849+E850-E845</f>
        <v>0</v>
      </c>
      <c r="F851" s="21" t="n">
        <f aca="false">F848+F849+F850-F845</f>
        <v>0</v>
      </c>
      <c r="G851" s="21" t="n">
        <f aca="false">G848+G849+G850-G845</f>
        <v>0</v>
      </c>
    </row>
    <row r="852" customFormat="false" ht="17.15" hidden="false" customHeight="false" outlineLevel="0" collapsed="false">
      <c r="A852" s="0" t="s">
        <v>518</v>
      </c>
      <c r="B852" s="0" t="s">
        <v>54</v>
      </c>
      <c r="C852" s="13" t="n">
        <f aca="false">C843/C845</f>
        <v>0.5</v>
      </c>
      <c r="D852" s="13" t="n">
        <f aca="false">D843/D845</f>
        <v>0.585</v>
      </c>
      <c r="E852" s="13" t="n">
        <f aca="false">E843/E845</f>
        <v>0.722762886597938</v>
      </c>
      <c r="F852" s="13" t="n">
        <f aca="false">F843/F845</f>
        <v>0.796205728012354</v>
      </c>
      <c r="G852" s="13" t="n">
        <f aca="false">G843/G845</f>
        <v>0.818171459814106</v>
      </c>
    </row>
    <row r="853" customFormat="false" ht="17.15" hidden="false" customHeight="false" outlineLevel="0" collapsed="false">
      <c r="A853" s="3" t="s">
        <v>519</v>
      </c>
      <c r="B853" s="0" t="s">
        <v>54</v>
      </c>
      <c r="D853" s="13" t="n">
        <f aca="false">(D836+D842)/D841</f>
        <v>1</v>
      </c>
      <c r="E853" s="13" t="n">
        <f aca="false">(E836+E842)/E841</f>
        <v>1.19935703454662</v>
      </c>
      <c r="F853" s="13" t="n">
        <f aca="false">(F836+F842)/F841</f>
        <v>1.06378859108748</v>
      </c>
      <c r="G853" s="13" t="n">
        <f aca="false">(G836+G842)/G841</f>
        <v>1.00183369880905</v>
      </c>
      <c r="H853" s="3" t="s">
        <v>520</v>
      </c>
    </row>
    <row r="854" customFormat="false" ht="17.15" hidden="false" customHeight="false" outlineLevel="0" collapsed="false">
      <c r="A854" s="3" t="s">
        <v>456</v>
      </c>
      <c r="B854" s="0" t="s">
        <v>94</v>
      </c>
      <c r="D854" s="17" t="n">
        <f aca="false">D843/fx/D825*1000</f>
        <v>160.757158009399</v>
      </c>
      <c r="E854" s="17" t="n">
        <f aca="false">E843/fx/E825*1000</f>
        <v>180.408412082255</v>
      </c>
      <c r="F854" s="17" t="n">
        <f aca="false">F843/fx/F825*1000</f>
        <v>226.080719682557</v>
      </c>
      <c r="G854" s="17" t="n">
        <f aca="false">G843/fx/G825*1000</f>
        <v>240.003609778057</v>
      </c>
    </row>
    <row r="855" customFormat="false" ht="17.15" hidden="false" customHeight="false" outlineLevel="0" collapsed="false">
      <c r="A855" s="5" t="s">
        <v>521</v>
      </c>
    </row>
    <row r="856" customFormat="false" ht="17.15" hidden="false" customHeight="false" outlineLevel="0" collapsed="false">
      <c r="A856" s="3" t="s">
        <v>522</v>
      </c>
      <c r="B856" s="0" t="s">
        <v>54</v>
      </c>
      <c r="D856" s="13" t="n">
        <f aca="false">a26_gp/D845-d_ai_hi*D852</f>
        <v>0.268164442755356</v>
      </c>
      <c r="H856" s="7" t="s">
        <v>523</v>
      </c>
    </row>
    <row r="857" customFormat="false" ht="17.15" hidden="false" customHeight="false" outlineLevel="0" collapsed="false">
      <c r="A857" s="0" t="s">
        <v>524</v>
      </c>
      <c r="B857" s="0" t="s">
        <v>54</v>
      </c>
      <c r="D857" s="13" t="n">
        <f aca="false">D856+d_ai_hi</f>
        <v>0.388164442755356</v>
      </c>
      <c r="E857" s="13" t="n">
        <f aca="false">1-(1-$D$857)/E832</f>
        <v>0.388164442755355</v>
      </c>
      <c r="F857" s="13" t="n">
        <f aca="false">1-(1-$D$857)/F832</f>
        <v>0.369241693562222</v>
      </c>
      <c r="G857" s="13" t="n">
        <f aca="false">1-(1-$D$857)/G832</f>
        <v>0.342112304038017</v>
      </c>
      <c r="H857" s="7" t="s">
        <v>525</v>
      </c>
    </row>
    <row r="858" customFormat="false" ht="15" hidden="false" customHeight="false" outlineLevel="0" collapsed="false">
      <c r="A858" s="3" t="s">
        <v>392</v>
      </c>
      <c r="B858" s="0" t="s">
        <v>214</v>
      </c>
      <c r="C858" s="18" t="n">
        <f aca="false">a25_gp</f>
        <v>28.12</v>
      </c>
      <c r="D858" s="18" t="n">
        <f aca="false">a26_gp</f>
        <v>69.6235934</v>
      </c>
      <c r="E858" s="18" t="n">
        <f aca="false">E843*E857+E842*$D$856</f>
        <v>118.057420725933</v>
      </c>
      <c r="F858" s="18" t="n">
        <f aca="false">F843*F857+F842*$D$856</f>
        <v>167.23919637707</v>
      </c>
      <c r="G858" s="18" t="n">
        <f aca="false">G843*G857+G842*$D$856</f>
        <v>185.537663691649</v>
      </c>
    </row>
    <row r="859" customFormat="false" ht="15" hidden="false" customHeight="false" outlineLevel="0" collapsed="false">
      <c r="A859" s="3" t="s">
        <v>395</v>
      </c>
      <c r="B859" s="0" t="s">
        <v>54</v>
      </c>
      <c r="C859" s="13" t="n">
        <f aca="false">C858/C845</f>
        <v>0.298320620405046</v>
      </c>
      <c r="D859" s="13" t="n">
        <f aca="false">D858/D845</f>
        <v>0.338364442755356</v>
      </c>
      <c r="E859" s="13" t="n">
        <f aca="false">E858/E845</f>
        <v>0.354895989147108</v>
      </c>
      <c r="F859" s="13" t="n">
        <f aca="false">F858/F845</f>
        <v>0.348642728819524</v>
      </c>
      <c r="G859" s="13" t="n">
        <f aca="false">G858/G845</f>
        <v>0.328666472371121</v>
      </c>
    </row>
    <row r="860" customFormat="false" ht="15" hidden="false" customHeight="false" outlineLevel="0" collapsed="false">
      <c r="A860" s="3" t="s">
        <v>526</v>
      </c>
      <c r="B860" s="0" t="s">
        <v>214</v>
      </c>
      <c r="C860" s="18" t="n">
        <f aca="false">a25_opx</f>
        <v>9.012</v>
      </c>
      <c r="D860" s="18" t="n">
        <f aca="false">a26_opx</f>
        <v>14.0153081141857</v>
      </c>
      <c r="E860" s="18" t="n">
        <f aca="false">D860*(1+MAX(0,phi*E846))</f>
        <v>19.2009721164345</v>
      </c>
      <c r="F860" s="18" t="n">
        <f aca="false">E860*(1+MAX(0,phi*F846))</f>
        <v>24.2930699217129</v>
      </c>
      <c r="G860" s="18" t="n">
        <f aca="false">F860*(1+MAX(0,phi*G846))</f>
        <v>26.8707328651484</v>
      </c>
    </row>
    <row r="861" customFormat="false" ht="15" hidden="false" customHeight="false" outlineLevel="0" collapsed="false">
      <c r="A861" s="3" t="s">
        <v>397</v>
      </c>
      <c r="B861" s="0" t="s">
        <v>214</v>
      </c>
      <c r="C861" s="18" t="n">
        <f aca="false">C860</f>
        <v>9.012</v>
      </c>
      <c r="D861" s="18" t="n">
        <f aca="false">D860</f>
        <v>14.0153081141857</v>
      </c>
      <c r="E861" s="18" t="n">
        <f aca="false">E860+0*E845</f>
        <v>19.2009721164345</v>
      </c>
      <c r="F861" s="18" t="n">
        <f aca="false">F860+0*F845</f>
        <v>24.2930699217129</v>
      </c>
      <c r="G861" s="18" t="n">
        <f aca="false">G860+0*G845</f>
        <v>26.8707328651484</v>
      </c>
    </row>
    <row r="862" customFormat="false" ht="15" hidden="false" customHeight="false" outlineLevel="0" collapsed="false">
      <c r="A862" s="3" t="s">
        <v>400</v>
      </c>
      <c r="B862" s="0" t="s">
        <v>214</v>
      </c>
      <c r="C862" s="18" t="n">
        <f aca="false">C858-C861</f>
        <v>19.108</v>
      </c>
      <c r="D862" s="18" t="n">
        <f aca="false">D858-D861</f>
        <v>55.6082852858143</v>
      </c>
      <c r="E862" s="18" t="n">
        <f aca="false">E858-E861</f>
        <v>98.8564486094989</v>
      </c>
      <c r="F862" s="18" t="n">
        <f aca="false">F858-F861</f>
        <v>142.946126455357</v>
      </c>
      <c r="G862" s="18" t="n">
        <f aca="false">G858-G861</f>
        <v>158.6669308265</v>
      </c>
    </row>
    <row r="863" customFormat="false" ht="15" hidden="false" customHeight="false" outlineLevel="0" collapsed="false">
      <c r="A863" s="3" t="s">
        <v>403</v>
      </c>
      <c r="B863" s="0" t="s">
        <v>54</v>
      </c>
      <c r="C863" s="13" t="n">
        <f aca="false">C862/C845</f>
        <v>0.202713741632276</v>
      </c>
      <c r="D863" s="13" t="n">
        <f aca="false">D862/D845</f>
        <v>0.270251297648699</v>
      </c>
      <c r="E863" s="13" t="n">
        <f aca="false">E862/E845</f>
        <v>0.297175365149508</v>
      </c>
      <c r="F863" s="13" t="n">
        <f aca="false">F862/F845</f>
        <v>0.297999085628287</v>
      </c>
      <c r="G863" s="13" t="n">
        <f aca="false">G862/G845</f>
        <v>0.281066924090227</v>
      </c>
    </row>
    <row r="864" customFormat="false" ht="17.15" hidden="false" customHeight="false" outlineLevel="0" collapsed="false">
      <c r="A864" s="3" t="s">
        <v>405</v>
      </c>
      <c r="B864" s="0" t="s">
        <v>214</v>
      </c>
      <c r="E864" s="18" t="n">
        <f aca="false">nop_f</f>
        <v>0.5</v>
      </c>
      <c r="F864" s="18" t="n">
        <f aca="false">nop_f</f>
        <v>0.5</v>
      </c>
      <c r="G864" s="18" t="n">
        <f aca="false">nop_f</f>
        <v>0.5</v>
      </c>
      <c r="H864" s="7" t="s">
        <v>527</v>
      </c>
    </row>
    <row r="865" customFormat="false" ht="15" hidden="false" customHeight="false" outlineLevel="0" collapsed="false">
      <c r="A865" s="3" t="s">
        <v>408</v>
      </c>
      <c r="B865" s="0" t="s">
        <v>214</v>
      </c>
      <c r="C865" s="18" t="n">
        <f aca="false">a25_ni</f>
        <v>14.649</v>
      </c>
      <c r="D865" s="18" t="n">
        <f aca="false">a26_ni</f>
        <v>42.891099295</v>
      </c>
      <c r="E865" s="18" t="n">
        <f aca="false">(E862+E864)*nir_f</f>
        <v>76.5044654293141</v>
      </c>
      <c r="F865" s="18" t="n">
        <f aca="false">(F862+F864)*nir_f</f>
        <v>110.453517370625</v>
      </c>
      <c r="G865" s="18" t="n">
        <f aca="false">(G862+G864)*nir_f</f>
        <v>122.558536736405</v>
      </c>
    </row>
    <row r="866" customFormat="false" ht="17.15" hidden="false" customHeight="false" outlineLevel="0" collapsed="false">
      <c r="A866" s="3" t="s">
        <v>411</v>
      </c>
      <c r="B866" s="0" t="s">
        <v>54</v>
      </c>
      <c r="C866" s="13" t="n">
        <f aca="false">C865/C862</f>
        <v>0.766642244086247</v>
      </c>
      <c r="D866" s="13" t="n">
        <f aca="false">D865/D862</f>
        <v>0.771307712053146</v>
      </c>
      <c r="E866" s="13" t="n">
        <f aca="false">E865/E862</f>
        <v>0.77389453602082</v>
      </c>
      <c r="F866" s="13" t="n">
        <f aca="false">F865/F862</f>
        <v>0.772693322369391</v>
      </c>
      <c r="G866" s="13" t="n">
        <f aca="false">G865/G862</f>
        <v>0.772426466548477</v>
      </c>
    </row>
    <row r="867" customFormat="false" ht="15" hidden="false" customHeight="false" outlineLevel="0" collapsed="false">
      <c r="A867" s="3" t="s">
        <v>528</v>
      </c>
      <c r="B867" s="3" t="s">
        <v>243</v>
      </c>
      <c r="C867" s="20" t="n">
        <f aca="false">a25_sh</f>
        <v>0.351547876169906</v>
      </c>
      <c r="D867" s="20" t="n">
        <f aca="false">a26_sh</f>
        <v>0.358290155440415</v>
      </c>
      <c r="E867" s="20" t="n">
        <f aca="false">D867*(1+sh_g)</f>
        <v>0.358290155440415</v>
      </c>
      <c r="F867" s="20" t="n">
        <f aca="false">E867*(1+sh_g)</f>
        <v>0.358290155440415</v>
      </c>
      <c r="G867" s="20" t="n">
        <f aca="false">F867*(1+sh_g)</f>
        <v>0.358290155440415</v>
      </c>
    </row>
    <row r="868" customFormat="false" ht="15" hidden="false" customHeight="false" outlineLevel="0" collapsed="false">
      <c r="A868" s="0" t="s">
        <v>414</v>
      </c>
      <c r="B868" s="0" t="s">
        <v>274</v>
      </c>
      <c r="C868" s="19" t="n">
        <f aca="false">C865/C867</f>
        <v>41.67</v>
      </c>
      <c r="D868" s="19" t="n">
        <f aca="false">D865/D867</f>
        <v>119.710515747433</v>
      </c>
      <c r="E868" s="19" t="n">
        <f aca="false">E865/E867</f>
        <v>213.52656294805</v>
      </c>
      <c r="F868" s="19" t="n">
        <f aca="false">F865/F867</f>
        <v>308.279520643971</v>
      </c>
      <c r="G868" s="19" t="n">
        <f aca="false">G865/G867</f>
        <v>342.065041071963</v>
      </c>
    </row>
    <row r="869" customFormat="false" ht="17.15" hidden="false" customHeight="false" outlineLevel="0" collapsed="false">
      <c r="A869" s="0" t="s">
        <v>529</v>
      </c>
      <c r="B869" s="0" t="s">
        <v>54</v>
      </c>
      <c r="D869" s="13" t="n">
        <f aca="false">D868/C868-1</f>
        <v>1.87282255213422</v>
      </c>
      <c r="E869" s="13" t="n">
        <f aca="false">E868/D868-1</f>
        <v>0.78369094490037</v>
      </c>
      <c r="F869" s="13" t="n">
        <f aca="false">F868/E868-1</f>
        <v>0.443752554191462</v>
      </c>
      <c r="G869" s="13" t="n">
        <f aca="false">G868/F868-1</f>
        <v>0.109593787992848</v>
      </c>
    </row>
    <row r="872" customFormat="false" ht="17.15" hidden="false" customHeight="false" outlineLevel="0" collapsed="false">
      <c r="A872" s="1" t="s">
        <v>854</v>
      </c>
    </row>
    <row r="873" customFormat="false" ht="17.15" hidden="false" customHeight="false" outlineLevel="0" collapsed="false">
      <c r="A873" s="4" t="s">
        <v>23</v>
      </c>
      <c r="B873" s="4" t="s">
        <v>24</v>
      </c>
      <c r="C873" s="10" t="s">
        <v>383</v>
      </c>
      <c r="D873" s="10" t="s">
        <v>469</v>
      </c>
      <c r="E873" s="10" t="s">
        <v>470</v>
      </c>
      <c r="F873" s="10" t="s">
        <v>471</v>
      </c>
      <c r="G873" s="10" t="s">
        <v>472</v>
      </c>
      <c r="H873" s="4" t="s">
        <v>437</v>
      </c>
    </row>
    <row r="874" customFormat="false" ht="17.15" hidden="false" customHeight="false" outlineLevel="0" collapsed="false">
      <c r="A874" s="5" t="s">
        <v>487</v>
      </c>
    </row>
    <row r="875" customFormat="false" ht="17.15" hidden="false" customHeight="false" outlineLevel="0" collapsed="false">
      <c r="A875" s="0" t="s">
        <v>488</v>
      </c>
      <c r="B875" s="0" t="s">
        <v>34</v>
      </c>
      <c r="D875" s="19" t="n">
        <f aca="false">itc_26*1</f>
        <v>781.872916666666</v>
      </c>
      <c r="E875" s="19" t="n">
        <f aca="false">itc_27*1*1</f>
        <v>1565.35</v>
      </c>
      <c r="F875" s="19" t="n">
        <f aca="false">itc_28*um28_A*1</f>
        <v>1984.26388888889</v>
      </c>
      <c r="G875" s="19" t="n">
        <f aca="false">itc_29*um29_A*1</f>
        <v>2260.39027777778</v>
      </c>
    </row>
    <row r="876" customFormat="false" ht="17.15" hidden="false" customHeight="false" outlineLevel="0" collapsed="false">
      <c r="A876" s="3" t="s">
        <v>489</v>
      </c>
      <c r="B876" s="0" t="s">
        <v>34</v>
      </c>
      <c r="D876" s="19" t="n">
        <f aca="false">itpg_gb*(1-vr26)+itpg_vr*vr26</f>
        <v>33.41403216</v>
      </c>
      <c r="E876" s="19" t="n">
        <f aca="false">itpg_vr</f>
        <v>37.586352</v>
      </c>
      <c r="F876" s="19" t="n">
        <f aca="false">itpg_vr</f>
        <v>37.586352</v>
      </c>
      <c r="G876" s="19" t="n">
        <f aca="false">itpg_vr</f>
        <v>37.586352</v>
      </c>
    </row>
    <row r="877" customFormat="false" ht="17.15" hidden="false" customHeight="false" outlineLevel="0" collapsed="false">
      <c r="A877" s="3" t="s">
        <v>490</v>
      </c>
      <c r="B877" s="0" t="s">
        <v>439</v>
      </c>
      <c r="D877" s="16" t="n">
        <f aca="false">D875/D876</f>
        <v>23.3995380420639</v>
      </c>
      <c r="E877" s="16" t="n">
        <f aca="false">E875/E876</f>
        <v>41.6467658260637</v>
      </c>
      <c r="F877" s="16" t="n">
        <f aca="false">F875/F876</f>
        <v>52.792138191248</v>
      </c>
      <c r="G877" s="16" t="n">
        <f aca="false">G875/G876</f>
        <v>60.1385917361116</v>
      </c>
    </row>
    <row r="878" customFormat="false" ht="17.15" hidden="false" customHeight="false" outlineLevel="0" collapsed="false">
      <c r="A878" s="3" t="s">
        <v>441</v>
      </c>
      <c r="B878" s="0" t="s">
        <v>94</v>
      </c>
      <c r="D878" s="17" t="n">
        <f aca="false">cmp_26</f>
        <v>190</v>
      </c>
      <c r="E878" s="17" t="n">
        <f aca="false">cmp_26*cmpx_27</f>
        <v>275.5</v>
      </c>
      <c r="F878" s="17" t="n">
        <f aca="false">cmp_26*cmpx_28</f>
        <v>304</v>
      </c>
      <c r="G878" s="17" t="n">
        <f aca="false">cmp_26*cmpx_29</f>
        <v>323</v>
      </c>
    </row>
    <row r="879" customFormat="false" ht="17.15" hidden="false" customHeight="false" outlineLevel="0" collapsed="false">
      <c r="A879" s="3" t="s">
        <v>443</v>
      </c>
      <c r="B879" s="0" t="s">
        <v>94</v>
      </c>
      <c r="D879" s="17" t="n">
        <f aca="false">sw_26</f>
        <v>90</v>
      </c>
      <c r="E879" s="17" t="n">
        <f aca="false">sw_26*swx_27</f>
        <v>126</v>
      </c>
      <c r="F879" s="17" t="n">
        <f aca="false">sw_26*swx_28</f>
        <v>144</v>
      </c>
      <c r="G879" s="17" t="n">
        <f aca="false">sw_26*swx_29</f>
        <v>157.5</v>
      </c>
    </row>
    <row r="880" customFormat="false" ht="17.15" hidden="false" customHeight="false" outlineLevel="0" collapsed="false">
      <c r="A880" s="3" t="s">
        <v>444</v>
      </c>
      <c r="B880" s="0" t="s">
        <v>94</v>
      </c>
      <c r="D880" s="17" t="n">
        <f aca="false">ubb_26</f>
        <v>70</v>
      </c>
      <c r="E880" s="17" t="n">
        <f aca="false">ubb_26*ubbx_27</f>
        <v>126</v>
      </c>
      <c r="F880" s="17" t="n">
        <f aca="false">ubb_26*ubbx_28</f>
        <v>161</v>
      </c>
      <c r="G880" s="17" t="n">
        <f aca="false">ubb_26*ubbx_29</f>
        <v>182</v>
      </c>
    </row>
    <row r="881" customFormat="false" ht="17.15" hidden="false" customHeight="false" outlineLevel="0" collapsed="false">
      <c r="A881" s="3" t="s">
        <v>491</v>
      </c>
      <c r="B881" s="0" t="s">
        <v>94</v>
      </c>
      <c r="D881" s="17" t="n">
        <f aca="false">D878+D879+D880</f>
        <v>350</v>
      </c>
      <c r="E881" s="17" t="n">
        <f aca="false">E878+E879+E880</f>
        <v>527.5</v>
      </c>
      <c r="F881" s="17" t="n">
        <f aca="false">F878+F879+F880</f>
        <v>609</v>
      </c>
      <c r="G881" s="17" t="n">
        <f aca="false">G878+G879+G880</f>
        <v>662.5</v>
      </c>
    </row>
    <row r="882" customFormat="false" ht="17.15" hidden="false" customHeight="false" outlineLevel="0" collapsed="false">
      <c r="A882" s="0" t="s">
        <v>492</v>
      </c>
      <c r="B882" s="0" t="s">
        <v>34</v>
      </c>
      <c r="D882" s="19" t="n">
        <f aca="false">D877*D881/1000</f>
        <v>8.18983831472236</v>
      </c>
      <c r="E882" s="19" t="n">
        <f aca="false">E877*E881/1000</f>
        <v>21.9686689732486</v>
      </c>
      <c r="F882" s="19" t="n">
        <f aca="false">F877*F881/1000</f>
        <v>32.15041215847</v>
      </c>
      <c r="G882" s="19" t="n">
        <f aca="false">G877*G881/1000</f>
        <v>39.8418170251739</v>
      </c>
    </row>
    <row r="883" customFormat="false" ht="17.15" hidden="false" customHeight="false" outlineLevel="0" collapsed="false">
      <c r="A883" s="0" t="s">
        <v>493</v>
      </c>
      <c r="B883" s="0" t="s">
        <v>214</v>
      </c>
      <c r="D883" s="18" t="n">
        <f aca="false">D882*fx</f>
        <v>262.074826071116</v>
      </c>
      <c r="E883" s="18" t="n">
        <f aca="false">E882*fx</f>
        <v>702.997407143955</v>
      </c>
      <c r="F883" s="18" t="n">
        <f aca="false">F882*fx</f>
        <v>1028.81318907104</v>
      </c>
      <c r="G883" s="18" t="n">
        <f aca="false">G882*fx</f>
        <v>1274.93814480557</v>
      </c>
    </row>
    <row r="884" customFormat="false" ht="17.15" hidden="false" customHeight="false" outlineLevel="0" collapsed="false">
      <c r="A884" s="0" t="s">
        <v>494</v>
      </c>
      <c r="B884" s="0" t="s">
        <v>67</v>
      </c>
      <c r="D884" s="14" t="n">
        <f aca="false">1</f>
        <v>1</v>
      </c>
      <c r="E884" s="14" t="n">
        <f aca="false">pp_27</f>
        <v>1</v>
      </c>
      <c r="F884" s="14" t="n">
        <f aca="false">pp_28</f>
        <v>0.97</v>
      </c>
      <c r="G884" s="14" t="n">
        <f aca="false">pp_29</f>
        <v>0.93</v>
      </c>
    </row>
    <row r="885" customFormat="false" ht="17.15" hidden="false" customHeight="false" outlineLevel="0" collapsed="false">
      <c r="A885" s="3" t="s">
        <v>495</v>
      </c>
      <c r="B885" s="0" t="s">
        <v>54</v>
      </c>
      <c r="D885" s="13" t="n">
        <f aca="false">a26_ai/D883</f>
        <v>0.459306165741139</v>
      </c>
      <c r="H885" s="7" t="s">
        <v>496</v>
      </c>
    </row>
    <row r="886" customFormat="false" ht="17.15" hidden="false" customHeight="false" outlineLevel="0" collapsed="false">
      <c r="A886" s="3" t="s">
        <v>497</v>
      </c>
      <c r="B886" s="0" t="s">
        <v>67</v>
      </c>
      <c r="D886" s="14" t="n">
        <f aca="false">1</f>
        <v>1</v>
      </c>
      <c r="E886" s="14" t="n">
        <f aca="false">rel_27</f>
        <v>0.95</v>
      </c>
      <c r="F886" s="14" t="n">
        <f aca="false">rel_28</f>
        <v>0.9</v>
      </c>
      <c r="G886" s="14" t="n">
        <f aca="false">rel_29</f>
        <v>0.85</v>
      </c>
    </row>
    <row r="887" customFormat="false" ht="15" hidden="false" customHeight="false" outlineLevel="0" collapsed="false">
      <c r="A887" s="3" t="s">
        <v>452</v>
      </c>
      <c r="B887" s="0" t="s">
        <v>54</v>
      </c>
      <c r="D887" s="13" t="n">
        <f aca="false">$D$885*D886</f>
        <v>0.459306165741139</v>
      </c>
      <c r="E887" s="13" t="n">
        <f aca="false">$D$885*E886</f>
        <v>0.436340857454082</v>
      </c>
      <c r="F887" s="13" t="n">
        <f aca="false">$D$885*F886</f>
        <v>0.413375549167025</v>
      </c>
      <c r="G887" s="13" t="n">
        <f aca="false">$D$885*G886</f>
        <v>0.390410240879968</v>
      </c>
    </row>
    <row r="888" customFormat="false" ht="17.15" hidden="false" customHeight="false" outlineLevel="0" collapsed="false">
      <c r="A888" s="0" t="s">
        <v>498</v>
      </c>
      <c r="B888" s="0" t="s">
        <v>214</v>
      </c>
      <c r="D888" s="18" t="n">
        <f aca="false">D883*D887*D884</f>
        <v>120.3725835</v>
      </c>
      <c r="E888" s="18" t="n">
        <f aca="false">E883*E887*E884</f>
        <v>306.74649142119</v>
      </c>
      <c r="F888" s="18" t="n">
        <f aca="false">F883*F887*F884</f>
        <v>412.527630511844</v>
      </c>
      <c r="G888" s="18" t="n">
        <f aca="false">G883*G887*G884</f>
        <v>462.906484645158</v>
      </c>
    </row>
    <row r="889" customFormat="false" ht="17.15" hidden="false" customHeight="false" outlineLevel="0" collapsed="false">
      <c r="A889" s="5" t="s">
        <v>499</v>
      </c>
    </row>
    <row r="890" customFormat="false" ht="15" hidden="false" customHeight="false" outlineLevel="0" collapsed="false">
      <c r="A890" s="3" t="s">
        <v>457</v>
      </c>
      <c r="B890" s="3" t="s">
        <v>151</v>
      </c>
      <c r="D890" s="14" t="n">
        <f aca="false">cap_26</f>
        <v>6</v>
      </c>
      <c r="E890" s="14" t="n">
        <f aca="false">cap_27</f>
        <v>7.76</v>
      </c>
      <c r="F890" s="14" t="n">
        <f aca="false">cap_28</f>
        <v>10.3</v>
      </c>
      <c r="G890" s="14" t="n">
        <f aca="false">cap_29</f>
        <v>11.8</v>
      </c>
    </row>
    <row r="891" customFormat="false" ht="17.15" hidden="false" customHeight="false" outlineLevel="0" collapsed="false">
      <c r="A891" s="3" t="s">
        <v>500</v>
      </c>
      <c r="B891" s="0" t="s">
        <v>460</v>
      </c>
      <c r="D891" s="17" t="n">
        <f aca="false">a26_rev/(D890*12)*1000</f>
        <v>2857.84861111111</v>
      </c>
      <c r="H891" s="7" t="s">
        <v>501</v>
      </c>
    </row>
    <row r="892" customFormat="false" ht="17.15" hidden="false" customHeight="false" outlineLevel="0" collapsed="false">
      <c r="A892" s="3" t="s">
        <v>502</v>
      </c>
      <c r="B892" s="0" t="s">
        <v>67</v>
      </c>
      <c r="D892" s="14" t="n">
        <f aca="false">1</f>
        <v>1</v>
      </c>
      <c r="E892" s="14" t="n">
        <f aca="false">mix_27</f>
        <v>1.25</v>
      </c>
      <c r="F892" s="14" t="n">
        <f aca="false">mix_28</f>
        <v>1.4</v>
      </c>
      <c r="G892" s="14" t="n">
        <f aca="false">mix_29</f>
        <v>1.5</v>
      </c>
    </row>
    <row r="893" customFormat="false" ht="17.15" hidden="false" customHeight="false" outlineLevel="0" collapsed="false">
      <c r="A893" s="3" t="s">
        <v>503</v>
      </c>
      <c r="B893" s="0" t="s">
        <v>214</v>
      </c>
      <c r="D893" s="18" t="n">
        <f aca="false">D890*12*$D$891*D892*D884/1000</f>
        <v>205.7651</v>
      </c>
      <c r="E893" s="18" t="n">
        <f aca="false">E890*12*$D$891*E892*E884/1000</f>
        <v>332.653578333333</v>
      </c>
      <c r="F893" s="18" t="n">
        <f aca="false">F890*12*$D$891*F892*F884/1000</f>
        <v>479.686459956667</v>
      </c>
      <c r="G893" s="18" t="n">
        <f aca="false">G890*12*$D$891*G892*G884/1000</f>
        <v>564.51655185</v>
      </c>
    </row>
    <row r="894" customFormat="false" ht="17.15" hidden="false" customHeight="false" outlineLevel="0" collapsed="false">
      <c r="A894" s="3" t="s">
        <v>504</v>
      </c>
      <c r="B894" s="0" t="s">
        <v>214</v>
      </c>
      <c r="C894" s="18" t="n">
        <f aca="false">a25_nai</f>
        <v>47.1305</v>
      </c>
      <c r="D894" s="18" t="n">
        <f aca="false">a26_nai</f>
        <v>85.3925165</v>
      </c>
      <c r="E894" s="18" t="n">
        <f aca="false">D894*(1+GNLO27)</f>
        <v>85.3925165</v>
      </c>
      <c r="F894" s="18" t="n">
        <f aca="false">E894*(1+GNLO28)</f>
        <v>85.3925165</v>
      </c>
      <c r="G894" s="18" t="n">
        <f aca="false">F894*(1+GNLO29)</f>
        <v>85.3925165</v>
      </c>
    </row>
    <row r="895" customFormat="false" ht="17.15" hidden="false" customHeight="false" outlineLevel="0" collapsed="false">
      <c r="A895" s="0" t="s">
        <v>505</v>
      </c>
      <c r="B895" s="0" t="s">
        <v>214</v>
      </c>
      <c r="C895" s="18" t="n">
        <f aca="false">a25_ai</f>
        <v>47.1305</v>
      </c>
      <c r="D895" s="18" t="n">
        <f aca="false">D888</f>
        <v>120.3725835</v>
      </c>
      <c r="E895" s="18" t="n">
        <f aca="false">MIN(E888,E893-E894)</f>
        <v>247.261061833333</v>
      </c>
      <c r="F895" s="18" t="n">
        <f aca="false">MIN(F888,F893-F894)</f>
        <v>394.293943456667</v>
      </c>
      <c r="G895" s="18" t="n">
        <f aca="false">MIN(G888,G893-G894)</f>
        <v>462.906484645158</v>
      </c>
      <c r="H895" s="3" t="s">
        <v>506</v>
      </c>
    </row>
    <row r="896" customFormat="false" ht="15" hidden="false" customHeight="false" outlineLevel="0" collapsed="false">
      <c r="A896" s="3" t="s">
        <v>507</v>
      </c>
      <c r="E896" s="0" t="str">
        <f aca="false">IF(E888&gt;E893-E894+0.0001,"受限","未受限")</f>
        <v>受限</v>
      </c>
      <c r="F896" s="0" t="str">
        <f aca="false">IF(F888&gt;F893-F894+0.0001,"受限","未受限")</f>
        <v>受限</v>
      </c>
      <c r="G896" s="0" t="str">
        <f aca="false">IF(G888&gt;G893-G894+0.0001,"受限","未受限")</f>
        <v>未受限</v>
      </c>
    </row>
    <row r="897" customFormat="false" ht="15" hidden="false" customHeight="false" outlineLevel="0" collapsed="false">
      <c r="A897" s="3" t="s">
        <v>388</v>
      </c>
      <c r="B897" s="0" t="s">
        <v>214</v>
      </c>
      <c r="C897" s="18" t="n">
        <f aca="false">C895+C894</f>
        <v>94.261</v>
      </c>
      <c r="D897" s="18" t="n">
        <f aca="false">D895+D894</f>
        <v>205.7651</v>
      </c>
      <c r="E897" s="18" t="n">
        <f aca="false">E895+E894</f>
        <v>332.653578333333</v>
      </c>
      <c r="F897" s="18" t="n">
        <f aca="false">F895+F894</f>
        <v>479.686459956667</v>
      </c>
      <c r="G897" s="18" t="n">
        <f aca="false">G895+G894</f>
        <v>548.299001145159</v>
      </c>
    </row>
    <row r="898" customFormat="false" ht="15" hidden="false" customHeight="false" outlineLevel="0" collapsed="false">
      <c r="A898" s="3" t="s">
        <v>508</v>
      </c>
      <c r="B898" s="0" t="s">
        <v>54</v>
      </c>
      <c r="D898" s="13" t="n">
        <f aca="false">D897/C897-1</f>
        <v>1.1829293132897</v>
      </c>
      <c r="E898" s="13" t="n">
        <f aca="false">E897/D897-1</f>
        <v>0.616666666666667</v>
      </c>
      <c r="F898" s="13" t="n">
        <f aca="false">F897/E897-1</f>
        <v>0.442</v>
      </c>
      <c r="G898" s="13" t="n">
        <f aca="false">G897/F897-1</f>
        <v>0.143036226610795</v>
      </c>
    </row>
    <row r="899" customFormat="false" ht="17.15" hidden="false" customHeight="false" outlineLevel="0" collapsed="false">
      <c r="A899" s="3" t="s">
        <v>509</v>
      </c>
      <c r="B899" s="0" t="s">
        <v>214</v>
      </c>
      <c r="C899" s="18" t="n">
        <f aca="false">inf25*C897-C895</f>
        <v>16.495675</v>
      </c>
      <c r="D899" s="18" t="n">
        <f aca="false">inf26*D897-D895</f>
        <v>33.9512415</v>
      </c>
      <c r="E899" s="18" t="n">
        <f aca="false">E894*$D899/$D894</f>
        <v>33.9512415</v>
      </c>
      <c r="F899" s="18" t="n">
        <f aca="false">F894*$D899/$D894</f>
        <v>33.9512415</v>
      </c>
      <c r="G899" s="18" t="n">
        <f aca="false">G894*$D899/$D894</f>
        <v>33.9512415</v>
      </c>
      <c r="H899" s="3" t="s">
        <v>510</v>
      </c>
    </row>
    <row r="900" customFormat="false" ht="17.15" hidden="false" customHeight="false" outlineLevel="0" collapsed="false">
      <c r="A900" s="3" t="s">
        <v>511</v>
      </c>
      <c r="B900" s="0" t="s">
        <v>214</v>
      </c>
      <c r="C900" s="18" t="n">
        <f aca="false">C895+C899</f>
        <v>63.626175</v>
      </c>
      <c r="D900" s="18" t="n">
        <f aca="false">D895+D899</f>
        <v>154.323825</v>
      </c>
      <c r="E900" s="18" t="n">
        <f aca="false">E895+E899</f>
        <v>281.212303333333</v>
      </c>
      <c r="F900" s="18" t="n">
        <f aca="false">F895+F899</f>
        <v>428.245184956667</v>
      </c>
      <c r="G900" s="18" t="n">
        <f aca="false">G895+G899</f>
        <v>496.857726145158</v>
      </c>
      <c r="H900" s="3" t="s">
        <v>512</v>
      </c>
    </row>
    <row r="901" customFormat="false" ht="15" hidden="false" customHeight="false" outlineLevel="0" collapsed="false">
      <c r="A901" s="3" t="s">
        <v>513</v>
      </c>
      <c r="B901" s="0" t="s">
        <v>214</v>
      </c>
      <c r="C901" s="18" t="n">
        <f aca="false">mob25*C897</f>
        <v>21.208725</v>
      </c>
      <c r="D901" s="18" t="n">
        <f aca="false">mob26*D897</f>
        <v>37.037718</v>
      </c>
      <c r="E901" s="18" t="n">
        <f aca="false">E894*$D901/$D894</f>
        <v>37.037718</v>
      </c>
      <c r="F901" s="18" t="n">
        <f aca="false">F894*$D901/$D894</f>
        <v>37.037718</v>
      </c>
      <c r="G901" s="18" t="n">
        <f aca="false">G894*$D901/$D894</f>
        <v>37.037718</v>
      </c>
      <c r="H901" s="3" t="s">
        <v>514</v>
      </c>
    </row>
    <row r="902" customFormat="false" ht="15" hidden="false" customHeight="false" outlineLevel="0" collapsed="false">
      <c r="A902" s="3" t="s">
        <v>515</v>
      </c>
      <c r="B902" s="0" t="s">
        <v>214</v>
      </c>
      <c r="C902" s="18" t="n">
        <f aca="false">C897-C900-C901</f>
        <v>9.42609999999999</v>
      </c>
      <c r="D902" s="18" t="n">
        <f aca="false">D897-D900-D901</f>
        <v>14.403557</v>
      </c>
      <c r="E902" s="18" t="n">
        <f aca="false">E897-E900-E901</f>
        <v>14.403557</v>
      </c>
      <c r="F902" s="18" t="n">
        <f aca="false">F897-F900-F901</f>
        <v>14.403557</v>
      </c>
      <c r="G902" s="18" t="n">
        <f aca="false">G897-G900-G901</f>
        <v>14.4035570000001</v>
      </c>
      <c r="H902" s="3" t="s">
        <v>516</v>
      </c>
    </row>
    <row r="903" customFormat="false" ht="15" hidden="false" customHeight="false" outlineLevel="0" collapsed="false">
      <c r="A903" s="3" t="s">
        <v>517</v>
      </c>
      <c r="B903" s="0" t="s">
        <v>214</v>
      </c>
      <c r="C903" s="21" t="n">
        <f aca="false">C900+C901+C902-C897</f>
        <v>0</v>
      </c>
      <c r="D903" s="21" t="n">
        <f aca="false">D900+D901+D902-D897</f>
        <v>0</v>
      </c>
      <c r="E903" s="21" t="n">
        <f aca="false">E900+E901+E902-E897</f>
        <v>0</v>
      </c>
      <c r="F903" s="21" t="n">
        <f aca="false">F900+F901+F902-F897</f>
        <v>0</v>
      </c>
      <c r="G903" s="21" t="n">
        <f aca="false">G900+G901+G902-G897</f>
        <v>0</v>
      </c>
    </row>
    <row r="904" customFormat="false" ht="17.15" hidden="false" customHeight="false" outlineLevel="0" collapsed="false">
      <c r="A904" s="0" t="s">
        <v>518</v>
      </c>
      <c r="B904" s="0" t="s">
        <v>54</v>
      </c>
      <c r="C904" s="13" t="n">
        <f aca="false">C895/C897</f>
        <v>0.5</v>
      </c>
      <c r="D904" s="13" t="n">
        <f aca="false">D895/D897</f>
        <v>0.585</v>
      </c>
      <c r="E904" s="13" t="n">
        <f aca="false">E895/E897</f>
        <v>0.743298969072165</v>
      </c>
      <c r="F904" s="13" t="n">
        <f aca="false">F895/F897</f>
        <v>0.821982641520225</v>
      </c>
      <c r="G904" s="13" t="n">
        <f aca="false">G895/G897</f>
        <v>0.844259215643924</v>
      </c>
    </row>
    <row r="905" customFormat="false" ht="17.15" hidden="false" customHeight="false" outlineLevel="0" collapsed="false">
      <c r="A905" s="3" t="s">
        <v>519</v>
      </c>
      <c r="B905" s="0" t="s">
        <v>54</v>
      </c>
      <c r="D905" s="13" t="n">
        <f aca="false">(D888+D894)/D893</f>
        <v>1</v>
      </c>
      <c r="E905" s="13" t="n">
        <f aca="false">(E888+E894)/E893</f>
        <v>1.1788209520724</v>
      </c>
      <c r="F905" s="13" t="n">
        <f aca="false">(F888+F894)/F893</f>
        <v>1.03801167757961</v>
      </c>
      <c r="G905" s="13" t="n">
        <f aca="false">(G888+G894)/G893</f>
        <v>0.971271788840036</v>
      </c>
      <c r="H905" s="3" t="s">
        <v>520</v>
      </c>
    </row>
    <row r="906" customFormat="false" ht="17.15" hidden="false" customHeight="false" outlineLevel="0" collapsed="false">
      <c r="A906" s="3" t="s">
        <v>456</v>
      </c>
      <c r="B906" s="0" t="s">
        <v>94</v>
      </c>
      <c r="D906" s="17" t="n">
        <f aca="false">D895/fx/D877*1000</f>
        <v>160.757158009399</v>
      </c>
      <c r="E906" s="17" t="n">
        <f aca="false">E895/fx/E877*1000</f>
        <v>185.534411352921</v>
      </c>
      <c r="F906" s="17" t="n">
        <f aca="false">F895/fx/F877*1000</f>
        <v>233.40001286524</v>
      </c>
      <c r="G906" s="17" t="n">
        <f aca="false">G895/fx/G877*1000</f>
        <v>240.54150966217</v>
      </c>
    </row>
    <row r="907" customFormat="false" ht="17.15" hidden="false" customHeight="false" outlineLevel="0" collapsed="false">
      <c r="A907" s="5" t="s">
        <v>521</v>
      </c>
    </row>
    <row r="908" customFormat="false" ht="17.15" hidden="false" customHeight="false" outlineLevel="0" collapsed="false">
      <c r="A908" s="3" t="s">
        <v>522</v>
      </c>
      <c r="B908" s="0" t="s">
        <v>54</v>
      </c>
      <c r="D908" s="13" t="n">
        <f aca="false">a26_gp/D897-d_ai*D904</f>
        <v>0.291564442755356</v>
      </c>
      <c r="H908" s="7" t="s">
        <v>523</v>
      </c>
    </row>
    <row r="909" customFormat="false" ht="17.15" hidden="false" customHeight="false" outlineLevel="0" collapsed="false">
      <c r="A909" s="0" t="s">
        <v>524</v>
      </c>
      <c r="B909" s="0" t="s">
        <v>54</v>
      </c>
      <c r="D909" s="13" t="n">
        <f aca="false">D908+d_ai</f>
        <v>0.371564442755356</v>
      </c>
      <c r="E909" s="13" t="n">
        <f aca="false">1-(1-$D$909)/E884</f>
        <v>0.371564442755356</v>
      </c>
      <c r="F909" s="13" t="n">
        <f aca="false">1-(1-$D$909)/F884</f>
        <v>0.352128291500367</v>
      </c>
      <c r="G909" s="13" t="n">
        <f aca="false">1-(1-$D$909)/G884</f>
        <v>0.324262841672425</v>
      </c>
      <c r="H909" s="7" t="s">
        <v>525</v>
      </c>
    </row>
    <row r="910" customFormat="false" ht="15" hidden="false" customHeight="false" outlineLevel="0" collapsed="false">
      <c r="A910" s="3" t="s">
        <v>392</v>
      </c>
      <c r="B910" s="0" t="s">
        <v>214</v>
      </c>
      <c r="C910" s="18" t="n">
        <f aca="false">a25_gp</f>
        <v>28.12</v>
      </c>
      <c r="D910" s="18" t="n">
        <f aca="false">a26_gp</f>
        <v>69.6235934</v>
      </c>
      <c r="E910" s="18" t="n">
        <f aca="false">E895*E909+E894*$D$908</f>
        <v>116.770840144</v>
      </c>
      <c r="F910" s="18" t="n">
        <f aca="false">F895*F909+F894*$D$908</f>
        <v>163.739474147138</v>
      </c>
      <c r="G910" s="18" t="n">
        <f aca="false">G895*G909+G894*$D$908</f>
        <v>175.000793628432</v>
      </c>
    </row>
    <row r="911" customFormat="false" ht="15" hidden="false" customHeight="false" outlineLevel="0" collapsed="false">
      <c r="A911" s="3" t="s">
        <v>395</v>
      </c>
      <c r="B911" s="0" t="s">
        <v>54</v>
      </c>
      <c r="C911" s="13" t="n">
        <f aca="false">C910/C897</f>
        <v>0.298320620405046</v>
      </c>
      <c r="D911" s="13" t="n">
        <f aca="false">D910/D897</f>
        <v>0.338364442755356</v>
      </c>
      <c r="E911" s="13" t="n">
        <f aca="false">E910/E897</f>
        <v>0.351028360281129</v>
      </c>
      <c r="F911" s="13" t="n">
        <f aca="false">F910/F897</f>
        <v>0.341346875127411</v>
      </c>
      <c r="G911" s="13" t="n">
        <f aca="false">G910/G897</f>
        <v>0.319170367377893</v>
      </c>
    </row>
    <row r="912" customFormat="false" ht="15" hidden="false" customHeight="false" outlineLevel="0" collapsed="false">
      <c r="A912" s="3" t="s">
        <v>526</v>
      </c>
      <c r="B912" s="0" t="s">
        <v>214</v>
      </c>
      <c r="C912" s="18" t="n">
        <f aca="false">a25_opx</f>
        <v>9.012</v>
      </c>
      <c r="D912" s="18" t="n">
        <f aca="false">a26_opx</f>
        <v>14.0153081141857</v>
      </c>
      <c r="E912" s="18" t="n">
        <f aca="false">D912*(1+MAX(0,phi*E898))</f>
        <v>19.2009721164345</v>
      </c>
      <c r="F912" s="18" t="n">
        <f aca="false">E912*(1+MAX(0,phi*F898))</f>
        <v>24.2930699217129</v>
      </c>
      <c r="G912" s="18" t="n">
        <f aca="false">F912*(1+MAX(0,phi*G898))</f>
        <v>26.3779433543493</v>
      </c>
    </row>
    <row r="913" customFormat="false" ht="15" hidden="false" customHeight="false" outlineLevel="0" collapsed="false">
      <c r="A913" s="3" t="s">
        <v>397</v>
      </c>
      <c r="B913" s="0" t="s">
        <v>214</v>
      </c>
      <c r="C913" s="18" t="n">
        <f aca="false">C912</f>
        <v>9.012</v>
      </c>
      <c r="D913" s="18" t="n">
        <f aca="false">D912</f>
        <v>14.0153081141857</v>
      </c>
      <c r="E913" s="18" t="n">
        <f aca="false">E912+0*E897</f>
        <v>19.2009721164345</v>
      </c>
      <c r="F913" s="18" t="n">
        <f aca="false">F912+0*F897</f>
        <v>24.2930699217129</v>
      </c>
      <c r="G913" s="18" t="n">
        <f aca="false">G912+0*G897</f>
        <v>26.3779433543493</v>
      </c>
    </row>
    <row r="914" customFormat="false" ht="15" hidden="false" customHeight="false" outlineLevel="0" collapsed="false">
      <c r="A914" s="3" t="s">
        <v>400</v>
      </c>
      <c r="B914" s="0" t="s">
        <v>214</v>
      </c>
      <c r="C914" s="18" t="n">
        <f aca="false">C910-C913</f>
        <v>19.108</v>
      </c>
      <c r="D914" s="18" t="n">
        <f aca="false">D910-D913</f>
        <v>55.6082852858143</v>
      </c>
      <c r="E914" s="18" t="n">
        <f aca="false">E910-E913</f>
        <v>97.5698680275656</v>
      </c>
      <c r="F914" s="18" t="n">
        <f aca="false">F910-F913</f>
        <v>139.446404225425</v>
      </c>
      <c r="G914" s="18" t="n">
        <f aca="false">G910-G913</f>
        <v>148.622850274083</v>
      </c>
    </row>
    <row r="915" customFormat="false" ht="15" hidden="false" customHeight="false" outlineLevel="0" collapsed="false">
      <c r="A915" s="3" t="s">
        <v>403</v>
      </c>
      <c r="B915" s="0" t="s">
        <v>54</v>
      </c>
      <c r="C915" s="13" t="n">
        <f aca="false">C914/C897</f>
        <v>0.202713741632276</v>
      </c>
      <c r="D915" s="13" t="n">
        <f aca="false">D914/D897</f>
        <v>0.270251297648699</v>
      </c>
      <c r="E915" s="13" t="n">
        <f aca="false">E914/E897</f>
        <v>0.293307736283529</v>
      </c>
      <c r="F915" s="13" t="n">
        <f aca="false">F914/F897</f>
        <v>0.290703231936174</v>
      </c>
      <c r="G915" s="13" t="n">
        <f aca="false">G914/G897</f>
        <v>0.271061683431256</v>
      </c>
    </row>
    <row r="916" customFormat="false" ht="17.15" hidden="false" customHeight="false" outlineLevel="0" collapsed="false">
      <c r="A916" s="3" t="s">
        <v>405</v>
      </c>
      <c r="B916" s="0" t="s">
        <v>214</v>
      </c>
      <c r="E916" s="18" t="n">
        <f aca="false">nop_f</f>
        <v>0.5</v>
      </c>
      <c r="F916" s="18" t="n">
        <f aca="false">nop_f</f>
        <v>0.5</v>
      </c>
      <c r="G916" s="18" t="n">
        <f aca="false">nop_f</f>
        <v>0.5</v>
      </c>
      <c r="H916" s="7" t="s">
        <v>527</v>
      </c>
    </row>
    <row r="917" customFormat="false" ht="15" hidden="false" customHeight="false" outlineLevel="0" collapsed="false">
      <c r="A917" s="3" t="s">
        <v>408</v>
      </c>
      <c r="B917" s="0" t="s">
        <v>214</v>
      </c>
      <c r="C917" s="18" t="n">
        <f aca="false">a25_ni</f>
        <v>14.649</v>
      </c>
      <c r="D917" s="18" t="n">
        <f aca="false">a26_ni</f>
        <v>42.891099295</v>
      </c>
      <c r="E917" s="18" t="n">
        <f aca="false">(E914+E916)*nir_f</f>
        <v>75.5137983812255</v>
      </c>
      <c r="F917" s="18" t="n">
        <f aca="false">(F914+F916)*nir_f</f>
        <v>107.758731253577</v>
      </c>
      <c r="G917" s="18" t="n">
        <f aca="false">(G914+G916)*nir_f</f>
        <v>114.824594711044</v>
      </c>
    </row>
    <row r="918" customFormat="false" ht="17.15" hidden="false" customHeight="false" outlineLevel="0" collapsed="false">
      <c r="A918" s="3" t="s">
        <v>411</v>
      </c>
      <c r="B918" s="0" t="s">
        <v>54</v>
      </c>
      <c r="C918" s="13" t="n">
        <f aca="false">C917/C914</f>
        <v>0.766642244086247</v>
      </c>
      <c r="D918" s="13" t="n">
        <f aca="false">D917/D914</f>
        <v>0.771307712053146</v>
      </c>
      <c r="E918" s="13" t="n">
        <f aca="false">E917/E914</f>
        <v>0.773945890342818</v>
      </c>
      <c r="F918" s="13" t="n">
        <f aca="false">F917/F914</f>
        <v>0.772760917372797</v>
      </c>
      <c r="G918" s="13" t="n">
        <f aca="false">G917/G914</f>
        <v>0.772590449579523</v>
      </c>
    </row>
    <row r="919" customFormat="false" ht="15" hidden="false" customHeight="false" outlineLevel="0" collapsed="false">
      <c r="A919" s="3" t="s">
        <v>528</v>
      </c>
      <c r="B919" s="3" t="s">
        <v>243</v>
      </c>
      <c r="C919" s="20" t="n">
        <f aca="false">a25_sh</f>
        <v>0.351547876169906</v>
      </c>
      <c r="D919" s="20" t="n">
        <f aca="false">a26_sh</f>
        <v>0.358290155440415</v>
      </c>
      <c r="E919" s="20" t="n">
        <f aca="false">D919*(1+sh_g)</f>
        <v>0.358290155440415</v>
      </c>
      <c r="F919" s="20" t="n">
        <f aca="false">E919*(1+sh_g)</f>
        <v>0.358290155440415</v>
      </c>
      <c r="G919" s="20" t="n">
        <f aca="false">F919*(1+sh_g)</f>
        <v>0.358290155440415</v>
      </c>
    </row>
    <row r="920" customFormat="false" ht="15" hidden="false" customHeight="false" outlineLevel="0" collapsed="false">
      <c r="A920" s="0" t="s">
        <v>414</v>
      </c>
      <c r="B920" s="0" t="s">
        <v>274</v>
      </c>
      <c r="C920" s="19" t="n">
        <f aca="false">C917/C919</f>
        <v>41.67</v>
      </c>
      <c r="D920" s="19" t="n">
        <f aca="false">D917/D919</f>
        <v>119.710515747433</v>
      </c>
      <c r="E920" s="19" t="n">
        <f aca="false">E917/E919</f>
        <v>210.761577549913</v>
      </c>
      <c r="F920" s="19" t="n">
        <f aca="false">F917/F919</f>
        <v>300.758281011431</v>
      </c>
      <c r="G920" s="19" t="n">
        <f aca="false">G917/G919</f>
        <v>320.479346048177</v>
      </c>
    </row>
    <row r="921" customFormat="false" ht="17.15" hidden="false" customHeight="false" outlineLevel="0" collapsed="false">
      <c r="A921" s="0" t="s">
        <v>529</v>
      </c>
      <c r="B921" s="0" t="s">
        <v>54</v>
      </c>
      <c r="D921" s="13" t="n">
        <f aca="false">D920/C920-1</f>
        <v>1.87282255213422</v>
      </c>
      <c r="E921" s="13" t="n">
        <f aca="false">E920/D920-1</f>
        <v>0.760593680797275</v>
      </c>
      <c r="F921" s="13" t="n">
        <f aca="false">F920/E920-1</f>
        <v>0.427007163771129</v>
      </c>
      <c r="G921" s="13" t="n">
        <f aca="false">G920/F920-1</f>
        <v>0.065571145607114</v>
      </c>
    </row>
    <row r="924" customFormat="false" ht="17.15" hidden="false" customHeight="false" outlineLevel="0" collapsed="false">
      <c r="A924" s="1" t="s">
        <v>855</v>
      </c>
    </row>
    <row r="925" customFormat="false" ht="17.15" hidden="false" customHeight="false" outlineLevel="0" collapsed="false">
      <c r="A925" s="4" t="s">
        <v>23</v>
      </c>
      <c r="B925" s="4" t="s">
        <v>24</v>
      </c>
      <c r="C925" s="10" t="s">
        <v>383</v>
      </c>
      <c r="D925" s="10" t="s">
        <v>469</v>
      </c>
      <c r="E925" s="10" t="s">
        <v>470</v>
      </c>
      <c r="F925" s="10" t="s">
        <v>471</v>
      </c>
      <c r="G925" s="10" t="s">
        <v>472</v>
      </c>
      <c r="H925" s="4" t="s">
        <v>437</v>
      </c>
    </row>
    <row r="926" customFormat="false" ht="17.15" hidden="false" customHeight="false" outlineLevel="0" collapsed="false">
      <c r="A926" s="5" t="s">
        <v>487</v>
      </c>
    </row>
    <row r="927" customFormat="false" ht="17.15" hidden="false" customHeight="false" outlineLevel="0" collapsed="false">
      <c r="A927" s="0" t="s">
        <v>488</v>
      </c>
      <c r="B927" s="0" t="s">
        <v>34</v>
      </c>
      <c r="D927" s="19" t="n">
        <f aca="false">itc_26*1</f>
        <v>781.872916666666</v>
      </c>
      <c r="E927" s="19" t="n">
        <f aca="false">itc_27*1*1</f>
        <v>1565.35</v>
      </c>
      <c r="F927" s="19" t="n">
        <f aca="false">itc_28*um28_A*1</f>
        <v>1984.26388888889</v>
      </c>
      <c r="G927" s="19" t="n">
        <f aca="false">itc_29*um29_A*1</f>
        <v>2260.39027777778</v>
      </c>
    </row>
    <row r="928" customFormat="false" ht="17.15" hidden="false" customHeight="false" outlineLevel="0" collapsed="false">
      <c r="A928" s="3" t="s">
        <v>489</v>
      </c>
      <c r="B928" s="0" t="s">
        <v>34</v>
      </c>
      <c r="D928" s="19" t="n">
        <f aca="false">itpg_gb*(1-vr26)+itpg_vr*vr26</f>
        <v>33.41403216</v>
      </c>
      <c r="E928" s="19" t="n">
        <f aca="false">itpg_vr</f>
        <v>37.586352</v>
      </c>
      <c r="F928" s="19" t="n">
        <f aca="false">itpg_vr</f>
        <v>37.586352</v>
      </c>
      <c r="G928" s="19" t="n">
        <f aca="false">itpg_vr</f>
        <v>37.586352</v>
      </c>
    </row>
    <row r="929" customFormat="false" ht="17.15" hidden="false" customHeight="false" outlineLevel="0" collapsed="false">
      <c r="A929" s="3" t="s">
        <v>490</v>
      </c>
      <c r="B929" s="0" t="s">
        <v>439</v>
      </c>
      <c r="D929" s="16" t="n">
        <f aca="false">D927/D928</f>
        <v>23.3995380420639</v>
      </c>
      <c r="E929" s="16" t="n">
        <f aca="false">E927/E928</f>
        <v>41.6467658260637</v>
      </c>
      <c r="F929" s="16" t="n">
        <f aca="false">F927/F928</f>
        <v>52.792138191248</v>
      </c>
      <c r="G929" s="16" t="n">
        <f aca="false">G927/G928</f>
        <v>60.1385917361116</v>
      </c>
    </row>
    <row r="930" customFormat="false" ht="17.15" hidden="false" customHeight="false" outlineLevel="0" collapsed="false">
      <c r="A930" s="3" t="s">
        <v>441</v>
      </c>
      <c r="B930" s="0" t="s">
        <v>94</v>
      </c>
      <c r="D930" s="17" t="n">
        <f aca="false">cmp_26</f>
        <v>190</v>
      </c>
      <c r="E930" s="17" t="n">
        <f aca="false">cmp_26*cmpx_27</f>
        <v>275.5</v>
      </c>
      <c r="F930" s="17" t="n">
        <f aca="false">cmp_26*cmpx_28</f>
        <v>304</v>
      </c>
      <c r="G930" s="17" t="n">
        <f aca="false">cmp_26*cmpx_29</f>
        <v>323</v>
      </c>
    </row>
    <row r="931" customFormat="false" ht="17.15" hidden="false" customHeight="false" outlineLevel="0" collapsed="false">
      <c r="A931" s="3" t="s">
        <v>443</v>
      </c>
      <c r="B931" s="0" t="s">
        <v>94</v>
      </c>
      <c r="D931" s="17" t="n">
        <f aca="false">sw_26</f>
        <v>90</v>
      </c>
      <c r="E931" s="17" t="n">
        <f aca="false">sw_26*swx_27</f>
        <v>126</v>
      </c>
      <c r="F931" s="17" t="n">
        <f aca="false">sw_26*swx_28</f>
        <v>144</v>
      </c>
      <c r="G931" s="17" t="n">
        <f aca="false">sw_26*swx_29</f>
        <v>157.5</v>
      </c>
    </row>
    <row r="932" customFormat="false" ht="17.15" hidden="false" customHeight="false" outlineLevel="0" collapsed="false">
      <c r="A932" s="3" t="s">
        <v>444</v>
      </c>
      <c r="B932" s="0" t="s">
        <v>94</v>
      </c>
      <c r="D932" s="17" t="n">
        <f aca="false">ubb_26</f>
        <v>70</v>
      </c>
      <c r="E932" s="17" t="n">
        <f aca="false">ubb_26*ubbx_27</f>
        <v>126</v>
      </c>
      <c r="F932" s="17" t="n">
        <f aca="false">ubb_26*ubbx_28</f>
        <v>161</v>
      </c>
      <c r="G932" s="17" t="n">
        <f aca="false">ubb_26*ubbx_29</f>
        <v>182</v>
      </c>
    </row>
    <row r="933" customFormat="false" ht="17.15" hidden="false" customHeight="false" outlineLevel="0" collapsed="false">
      <c r="A933" s="3" t="s">
        <v>491</v>
      </c>
      <c r="B933" s="0" t="s">
        <v>94</v>
      </c>
      <c r="D933" s="17" t="n">
        <f aca="false">D930+D931+D932</f>
        <v>350</v>
      </c>
      <c r="E933" s="17" t="n">
        <f aca="false">E930+E931+E932</f>
        <v>527.5</v>
      </c>
      <c r="F933" s="17" t="n">
        <f aca="false">F930+F931+F932</f>
        <v>609</v>
      </c>
      <c r="G933" s="17" t="n">
        <f aca="false">G930+G931+G932</f>
        <v>662.5</v>
      </c>
    </row>
    <row r="934" customFormat="false" ht="17.15" hidden="false" customHeight="false" outlineLevel="0" collapsed="false">
      <c r="A934" s="0" t="s">
        <v>492</v>
      </c>
      <c r="B934" s="0" t="s">
        <v>34</v>
      </c>
      <c r="D934" s="19" t="n">
        <f aca="false">D929*D933/1000</f>
        <v>8.18983831472236</v>
      </c>
      <c r="E934" s="19" t="n">
        <f aca="false">E929*E933/1000</f>
        <v>21.9686689732486</v>
      </c>
      <c r="F934" s="19" t="n">
        <f aca="false">F929*F933/1000</f>
        <v>32.15041215847</v>
      </c>
      <c r="G934" s="19" t="n">
        <f aca="false">G929*G933/1000</f>
        <v>39.8418170251739</v>
      </c>
    </row>
    <row r="935" customFormat="false" ht="17.15" hidden="false" customHeight="false" outlineLevel="0" collapsed="false">
      <c r="A935" s="0" t="s">
        <v>493</v>
      </c>
      <c r="B935" s="0" t="s">
        <v>214</v>
      </c>
      <c r="D935" s="18" t="n">
        <f aca="false">D934*fx</f>
        <v>262.074826071116</v>
      </c>
      <c r="E935" s="18" t="n">
        <f aca="false">E934*fx</f>
        <v>702.997407143955</v>
      </c>
      <c r="F935" s="18" t="n">
        <f aca="false">F934*fx</f>
        <v>1028.81318907104</v>
      </c>
      <c r="G935" s="18" t="n">
        <f aca="false">G934*fx</f>
        <v>1274.93814480557</v>
      </c>
    </row>
    <row r="936" customFormat="false" ht="17.15" hidden="false" customHeight="false" outlineLevel="0" collapsed="false">
      <c r="A936" s="0" t="s">
        <v>494</v>
      </c>
      <c r="B936" s="0" t="s">
        <v>67</v>
      </c>
      <c r="D936" s="14" t="n">
        <f aca="false">1</f>
        <v>1</v>
      </c>
      <c r="E936" s="14" t="n">
        <f aca="false">pp_27</f>
        <v>1</v>
      </c>
      <c r="F936" s="14" t="n">
        <f aca="false">pp_28</f>
        <v>0.97</v>
      </c>
      <c r="G936" s="14" t="n">
        <f aca="false">pp_29</f>
        <v>0.93</v>
      </c>
    </row>
    <row r="937" customFormat="false" ht="17.15" hidden="false" customHeight="false" outlineLevel="0" collapsed="false">
      <c r="A937" s="3" t="s">
        <v>495</v>
      </c>
      <c r="B937" s="0" t="s">
        <v>54</v>
      </c>
      <c r="D937" s="13" t="n">
        <f aca="false">a26_ai/D935</f>
        <v>0.459306165741139</v>
      </c>
      <c r="H937" s="7" t="s">
        <v>496</v>
      </c>
    </row>
    <row r="938" customFormat="false" ht="17.15" hidden="false" customHeight="false" outlineLevel="0" collapsed="false">
      <c r="A938" s="3" t="s">
        <v>497</v>
      </c>
      <c r="B938" s="0" t="s">
        <v>67</v>
      </c>
      <c r="D938" s="14" t="n">
        <f aca="false">1</f>
        <v>1</v>
      </c>
      <c r="E938" s="14" t="n">
        <f aca="false">rel_27</f>
        <v>0.95</v>
      </c>
      <c r="F938" s="14" t="n">
        <f aca="false">rel_28</f>
        <v>0.9</v>
      </c>
      <c r="G938" s="14" t="n">
        <f aca="false">rel_29</f>
        <v>0.85</v>
      </c>
    </row>
    <row r="939" customFormat="false" ht="15" hidden="false" customHeight="false" outlineLevel="0" collapsed="false">
      <c r="A939" s="3" t="s">
        <v>452</v>
      </c>
      <c r="B939" s="0" t="s">
        <v>54</v>
      </c>
      <c r="D939" s="13" t="n">
        <f aca="false">$D$937*D938</f>
        <v>0.459306165741139</v>
      </c>
      <c r="E939" s="13" t="n">
        <f aca="false">$D$937*E938</f>
        <v>0.436340857454082</v>
      </c>
      <c r="F939" s="13" t="n">
        <f aca="false">$D$937*F938</f>
        <v>0.413375549167025</v>
      </c>
      <c r="G939" s="13" t="n">
        <f aca="false">$D$937*G938</f>
        <v>0.390410240879968</v>
      </c>
    </row>
    <row r="940" customFormat="false" ht="17.15" hidden="false" customHeight="false" outlineLevel="0" collapsed="false">
      <c r="A940" s="0" t="s">
        <v>498</v>
      </c>
      <c r="B940" s="0" t="s">
        <v>214</v>
      </c>
      <c r="D940" s="18" t="n">
        <f aca="false">D935*D939*D936</f>
        <v>120.3725835</v>
      </c>
      <c r="E940" s="18" t="n">
        <f aca="false">E935*E939*E936</f>
        <v>306.74649142119</v>
      </c>
      <c r="F940" s="18" t="n">
        <f aca="false">F935*F939*F936</f>
        <v>412.527630511844</v>
      </c>
      <c r="G940" s="18" t="n">
        <f aca="false">G935*G939*G936</f>
        <v>462.906484645158</v>
      </c>
    </row>
    <row r="941" customFormat="false" ht="17.15" hidden="false" customHeight="false" outlineLevel="0" collapsed="false">
      <c r="A941" s="5" t="s">
        <v>499</v>
      </c>
    </row>
    <row r="942" customFormat="false" ht="15" hidden="false" customHeight="false" outlineLevel="0" collapsed="false">
      <c r="A942" s="3" t="s">
        <v>457</v>
      </c>
      <c r="B942" s="3" t="s">
        <v>151</v>
      </c>
      <c r="D942" s="14" t="n">
        <f aca="false">cap_26</f>
        <v>6</v>
      </c>
      <c r="E942" s="14" t="n">
        <f aca="false">cap_27</f>
        <v>7.76</v>
      </c>
      <c r="F942" s="14" t="n">
        <f aca="false">cap_28</f>
        <v>10.3</v>
      </c>
      <c r="G942" s="14" t="n">
        <f aca="false">cap_29</f>
        <v>11.8</v>
      </c>
    </row>
    <row r="943" customFormat="false" ht="17.15" hidden="false" customHeight="false" outlineLevel="0" collapsed="false">
      <c r="A943" s="3" t="s">
        <v>500</v>
      </c>
      <c r="B943" s="0" t="s">
        <v>460</v>
      </c>
      <c r="D943" s="17" t="n">
        <f aca="false">a26_rev/(D942*12)*1000</f>
        <v>2857.84861111111</v>
      </c>
      <c r="H943" s="7" t="s">
        <v>501</v>
      </c>
    </row>
    <row r="944" customFormat="false" ht="17.15" hidden="false" customHeight="false" outlineLevel="0" collapsed="false">
      <c r="A944" s="3" t="s">
        <v>502</v>
      </c>
      <c r="B944" s="0" t="s">
        <v>67</v>
      </c>
      <c r="D944" s="14" t="n">
        <f aca="false">1</f>
        <v>1</v>
      </c>
      <c r="E944" s="14" t="n">
        <f aca="false">mix_27</f>
        <v>1.25</v>
      </c>
      <c r="F944" s="14" t="n">
        <f aca="false">mix_28</f>
        <v>1.4</v>
      </c>
      <c r="G944" s="14" t="n">
        <f aca="false">mix_29</f>
        <v>1.5</v>
      </c>
    </row>
    <row r="945" customFormat="false" ht="17.15" hidden="false" customHeight="false" outlineLevel="0" collapsed="false">
      <c r="A945" s="3" t="s">
        <v>503</v>
      </c>
      <c r="B945" s="0" t="s">
        <v>214</v>
      </c>
      <c r="D945" s="18" t="n">
        <f aca="false">D942*12*$D$943*D944*D936/1000</f>
        <v>205.7651</v>
      </c>
      <c r="E945" s="18" t="n">
        <f aca="false">E942*12*$D$943*E944*E936/1000</f>
        <v>332.653578333333</v>
      </c>
      <c r="F945" s="18" t="n">
        <f aca="false">F942*12*$D$943*F944*F936/1000</f>
        <v>479.686459956667</v>
      </c>
      <c r="G945" s="18" t="n">
        <f aca="false">G942*12*$D$943*G944*G936/1000</f>
        <v>564.51655185</v>
      </c>
    </row>
    <row r="946" customFormat="false" ht="17.15" hidden="false" customHeight="false" outlineLevel="0" collapsed="false">
      <c r="A946" s="3" t="s">
        <v>504</v>
      </c>
      <c r="B946" s="0" t="s">
        <v>214</v>
      </c>
      <c r="C946" s="18" t="n">
        <f aca="false">a25_nai</f>
        <v>47.1305</v>
      </c>
      <c r="D946" s="18" t="n">
        <f aca="false">a26_nai</f>
        <v>85.3925165</v>
      </c>
      <c r="E946" s="18" t="n">
        <f aca="false">D946*(1+GNHI27)</f>
        <v>98.201393975</v>
      </c>
      <c r="F946" s="18" t="n">
        <f aca="false">E946*(1+GNHI28)</f>
        <v>109.985561252</v>
      </c>
      <c r="G946" s="18" t="n">
        <f aca="false">F946*(1+GNHI29)</f>
        <v>120.9841173772</v>
      </c>
    </row>
    <row r="947" customFormat="false" ht="17.15" hidden="false" customHeight="false" outlineLevel="0" collapsed="false">
      <c r="A947" s="0" t="s">
        <v>505</v>
      </c>
      <c r="B947" s="0" t="s">
        <v>214</v>
      </c>
      <c r="C947" s="18" t="n">
        <f aca="false">a25_ai</f>
        <v>47.1305</v>
      </c>
      <c r="D947" s="18" t="n">
        <f aca="false">D940</f>
        <v>120.3725835</v>
      </c>
      <c r="E947" s="18" t="n">
        <f aca="false">MIN(E940,E945-E946)</f>
        <v>234.452184358333</v>
      </c>
      <c r="F947" s="18" t="n">
        <f aca="false">MIN(F940,F945-F946)</f>
        <v>369.700898704667</v>
      </c>
      <c r="G947" s="18" t="n">
        <f aca="false">MIN(G940,G945-G946)</f>
        <v>443.5324344728</v>
      </c>
      <c r="H947" s="3" t="s">
        <v>506</v>
      </c>
    </row>
    <row r="948" customFormat="false" ht="15" hidden="false" customHeight="false" outlineLevel="0" collapsed="false">
      <c r="A948" s="3" t="s">
        <v>507</v>
      </c>
      <c r="E948" s="0" t="str">
        <f aca="false">IF(E940&gt;E945-E946+0.0001,"受限","未受限")</f>
        <v>受限</v>
      </c>
      <c r="F948" s="0" t="str">
        <f aca="false">IF(F940&gt;F945-F946+0.0001,"受限","未受限")</f>
        <v>受限</v>
      </c>
      <c r="G948" s="0" t="str">
        <f aca="false">IF(G940&gt;G945-G946+0.0001,"受限","未受限")</f>
        <v>受限</v>
      </c>
    </row>
    <row r="949" customFormat="false" ht="15" hidden="false" customHeight="false" outlineLevel="0" collapsed="false">
      <c r="A949" s="3" t="s">
        <v>388</v>
      </c>
      <c r="B949" s="0" t="s">
        <v>214</v>
      </c>
      <c r="C949" s="18" t="n">
        <f aca="false">C947+C946</f>
        <v>94.261</v>
      </c>
      <c r="D949" s="18" t="n">
        <f aca="false">D947+D946</f>
        <v>205.7651</v>
      </c>
      <c r="E949" s="18" t="n">
        <f aca="false">E947+E946</f>
        <v>332.653578333333</v>
      </c>
      <c r="F949" s="18" t="n">
        <f aca="false">F947+F946</f>
        <v>479.686459956667</v>
      </c>
      <c r="G949" s="18" t="n">
        <f aca="false">G947+G946</f>
        <v>564.51655185</v>
      </c>
    </row>
    <row r="950" customFormat="false" ht="15" hidden="false" customHeight="false" outlineLevel="0" collapsed="false">
      <c r="A950" s="3" t="s">
        <v>508</v>
      </c>
      <c r="B950" s="0" t="s">
        <v>54</v>
      </c>
      <c r="D950" s="13" t="n">
        <f aca="false">D949/C949-1</f>
        <v>1.1829293132897</v>
      </c>
      <c r="E950" s="13" t="n">
        <f aca="false">E949/D949-1</f>
        <v>0.616666666666667</v>
      </c>
      <c r="F950" s="13" t="n">
        <f aca="false">F949/E949-1</f>
        <v>0.442</v>
      </c>
      <c r="G950" s="13" t="n">
        <f aca="false">G949/F949-1</f>
        <v>0.17684487467292</v>
      </c>
    </row>
    <row r="951" customFormat="false" ht="17.15" hidden="false" customHeight="false" outlineLevel="0" collapsed="false">
      <c r="A951" s="3" t="s">
        <v>509</v>
      </c>
      <c r="B951" s="0" t="s">
        <v>214</v>
      </c>
      <c r="C951" s="18" t="n">
        <f aca="false">inf25*C949-C947</f>
        <v>16.495675</v>
      </c>
      <c r="D951" s="18" t="n">
        <f aca="false">inf26*D949-D947</f>
        <v>33.9512415</v>
      </c>
      <c r="E951" s="18" t="n">
        <f aca="false">E946*$D951/$D946</f>
        <v>39.043927725</v>
      </c>
      <c r="F951" s="18" t="n">
        <f aca="false">F946*$D951/$D946</f>
        <v>43.729199052</v>
      </c>
      <c r="G951" s="18" t="n">
        <f aca="false">G946*$D951/$D946</f>
        <v>48.1021189572</v>
      </c>
      <c r="H951" s="3" t="s">
        <v>510</v>
      </c>
    </row>
    <row r="952" customFormat="false" ht="17.15" hidden="false" customHeight="false" outlineLevel="0" collapsed="false">
      <c r="A952" s="3" t="s">
        <v>511</v>
      </c>
      <c r="B952" s="0" t="s">
        <v>214</v>
      </c>
      <c r="C952" s="18" t="n">
        <f aca="false">C947+C951</f>
        <v>63.626175</v>
      </c>
      <c r="D952" s="18" t="n">
        <f aca="false">D947+D951</f>
        <v>154.323825</v>
      </c>
      <c r="E952" s="18" t="n">
        <f aca="false">E947+E951</f>
        <v>273.496112083333</v>
      </c>
      <c r="F952" s="18" t="n">
        <f aca="false">F947+F951</f>
        <v>413.430097756667</v>
      </c>
      <c r="G952" s="18" t="n">
        <f aca="false">G947+G951</f>
        <v>491.63455343</v>
      </c>
      <c r="H952" s="3" t="s">
        <v>512</v>
      </c>
    </row>
    <row r="953" customFormat="false" ht="15" hidden="false" customHeight="false" outlineLevel="0" collapsed="false">
      <c r="A953" s="3" t="s">
        <v>513</v>
      </c>
      <c r="B953" s="0" t="s">
        <v>214</v>
      </c>
      <c r="C953" s="18" t="n">
        <f aca="false">mob25*C949</f>
        <v>21.208725</v>
      </c>
      <c r="D953" s="18" t="n">
        <f aca="false">mob26*D949</f>
        <v>37.037718</v>
      </c>
      <c r="E953" s="18" t="n">
        <f aca="false">E946*$D953/$D946</f>
        <v>42.5933757</v>
      </c>
      <c r="F953" s="18" t="n">
        <f aca="false">F946*$D953/$D946</f>
        <v>47.704580784</v>
      </c>
      <c r="G953" s="18" t="n">
        <f aca="false">G946*$D953/$D946</f>
        <v>52.4750388624</v>
      </c>
      <c r="H953" s="3" t="s">
        <v>514</v>
      </c>
    </row>
    <row r="954" customFormat="false" ht="15" hidden="false" customHeight="false" outlineLevel="0" collapsed="false">
      <c r="A954" s="3" t="s">
        <v>515</v>
      </c>
      <c r="B954" s="0" t="s">
        <v>214</v>
      </c>
      <c r="C954" s="18" t="n">
        <f aca="false">C949-C952-C953</f>
        <v>9.42609999999999</v>
      </c>
      <c r="D954" s="18" t="n">
        <f aca="false">D949-D952-D953</f>
        <v>14.403557</v>
      </c>
      <c r="E954" s="18" t="n">
        <f aca="false">E949-E952-E953</f>
        <v>16.56409055</v>
      </c>
      <c r="F954" s="18" t="n">
        <f aca="false">F949-F952-F953</f>
        <v>18.551781416</v>
      </c>
      <c r="G954" s="18" t="n">
        <f aca="false">G949-G952-G953</f>
        <v>20.4069595576001</v>
      </c>
      <c r="H954" s="3" t="s">
        <v>516</v>
      </c>
    </row>
    <row r="955" customFormat="false" ht="15" hidden="false" customHeight="false" outlineLevel="0" collapsed="false">
      <c r="A955" s="3" t="s">
        <v>517</v>
      </c>
      <c r="B955" s="0" t="s">
        <v>214</v>
      </c>
      <c r="C955" s="21" t="n">
        <f aca="false">C952+C953+C954-C949</f>
        <v>0</v>
      </c>
      <c r="D955" s="21" t="n">
        <f aca="false">D952+D953+D954-D949</f>
        <v>0</v>
      </c>
      <c r="E955" s="21" t="n">
        <f aca="false">E952+E953+E954-E949</f>
        <v>0</v>
      </c>
      <c r="F955" s="21" t="n">
        <f aca="false">F952+F953+F954-F949</f>
        <v>0</v>
      </c>
      <c r="G955" s="21" t="n">
        <f aca="false">G952+G953+G954-G949</f>
        <v>0</v>
      </c>
    </row>
    <row r="956" customFormat="false" ht="17.15" hidden="false" customHeight="false" outlineLevel="0" collapsed="false">
      <c r="A956" s="0" t="s">
        <v>518</v>
      </c>
      <c r="B956" s="0" t="s">
        <v>54</v>
      </c>
      <c r="C956" s="13" t="n">
        <f aca="false">C947/C949</f>
        <v>0.5</v>
      </c>
      <c r="D956" s="13" t="n">
        <f aca="false">D947/D949</f>
        <v>0.585</v>
      </c>
      <c r="E956" s="13" t="n">
        <f aca="false">E947/E949</f>
        <v>0.70479381443299</v>
      </c>
      <c r="F956" s="13" t="n">
        <f aca="false">F947/F949</f>
        <v>0.77071364227805</v>
      </c>
      <c r="G956" s="13" t="n">
        <f aca="false">G947/G949</f>
        <v>0.78568543830873</v>
      </c>
    </row>
    <row r="957" customFormat="false" ht="17.15" hidden="false" customHeight="false" outlineLevel="0" collapsed="false">
      <c r="A957" s="3" t="s">
        <v>519</v>
      </c>
      <c r="B957" s="0" t="s">
        <v>54</v>
      </c>
      <c r="D957" s="13" t="n">
        <f aca="false">(D940+D946)/D945</f>
        <v>1</v>
      </c>
      <c r="E957" s="13" t="n">
        <f aca="false">(E940+E946)/E945</f>
        <v>1.21732610671157</v>
      </c>
      <c r="F957" s="13" t="n">
        <f aca="false">(F940+F946)/F945</f>
        <v>1.08928067682179</v>
      </c>
      <c r="G957" s="13" t="n">
        <f aca="false">(G940+G946)/G945</f>
        <v>1.03431972031443</v>
      </c>
      <c r="H957" s="3" t="s">
        <v>520</v>
      </c>
    </row>
    <row r="958" customFormat="false" ht="17.15" hidden="false" customHeight="false" outlineLevel="0" collapsed="false">
      <c r="A958" s="3" t="s">
        <v>456</v>
      </c>
      <c r="B958" s="0" t="s">
        <v>94</v>
      </c>
      <c r="D958" s="17" t="n">
        <f aca="false">D947/fx/D929*1000</f>
        <v>160.757158009399</v>
      </c>
      <c r="E958" s="17" t="n">
        <f aca="false">E947/fx/E929*1000</f>
        <v>175.923162720422</v>
      </c>
      <c r="F958" s="17" t="n">
        <f aca="false">F947/fx/F929*1000</f>
        <v>218.842302667637</v>
      </c>
      <c r="G958" s="17" t="n">
        <f aca="false">G947/fx/G929*1000</f>
        <v>230.474112830817</v>
      </c>
    </row>
    <row r="959" customFormat="false" ht="17.15" hidden="false" customHeight="false" outlineLevel="0" collapsed="false">
      <c r="A959" s="5" t="s">
        <v>521</v>
      </c>
    </row>
    <row r="960" customFormat="false" ht="17.15" hidden="false" customHeight="false" outlineLevel="0" collapsed="false">
      <c r="A960" s="3" t="s">
        <v>522</v>
      </c>
      <c r="B960" s="0" t="s">
        <v>54</v>
      </c>
      <c r="D960" s="13" t="n">
        <f aca="false">a26_gp/D949-d_ai*D956</f>
        <v>0.291564442755356</v>
      </c>
      <c r="H960" s="7" t="s">
        <v>523</v>
      </c>
    </row>
    <row r="961" customFormat="false" ht="17.15" hidden="false" customHeight="false" outlineLevel="0" collapsed="false">
      <c r="A961" s="0" t="s">
        <v>524</v>
      </c>
      <c r="B961" s="0" t="s">
        <v>54</v>
      </c>
      <c r="D961" s="13" t="n">
        <f aca="false">D960+d_ai</f>
        <v>0.371564442755356</v>
      </c>
      <c r="E961" s="13" t="n">
        <f aca="false">1-(1-$D$961)/E936</f>
        <v>0.371564442755356</v>
      </c>
      <c r="F961" s="13" t="n">
        <f aca="false">1-(1-$D$961)/F936</f>
        <v>0.352128291500367</v>
      </c>
      <c r="G961" s="13" t="n">
        <f aca="false">1-(1-$D$961)/G936</f>
        <v>0.324262841672425</v>
      </c>
      <c r="H961" s="7" t="s">
        <v>525</v>
      </c>
    </row>
    <row r="962" customFormat="false" ht="15" hidden="false" customHeight="false" outlineLevel="0" collapsed="false">
      <c r="A962" s="3" t="s">
        <v>392</v>
      </c>
      <c r="B962" s="0" t="s">
        <v>214</v>
      </c>
      <c r="C962" s="18" t="n">
        <f aca="false">a25_gp</f>
        <v>28.12</v>
      </c>
      <c r="D962" s="18" t="n">
        <f aca="false">a26_gp</f>
        <v>69.6235934</v>
      </c>
      <c r="E962" s="18" t="n">
        <f aca="false">E947*E961+E946*$D$960</f>
        <v>115.746129946</v>
      </c>
      <c r="F962" s="18" t="n">
        <f aca="false">F947*F961+F946*$D$960</f>
        <v>162.250024704599</v>
      </c>
      <c r="G962" s="18" t="n">
        <f aca="false">G947*G961+G946*$D$960</f>
        <v>179.095754341371</v>
      </c>
    </row>
    <row r="963" customFormat="false" ht="15" hidden="false" customHeight="false" outlineLevel="0" collapsed="false">
      <c r="A963" s="3" t="s">
        <v>395</v>
      </c>
      <c r="B963" s="0" t="s">
        <v>54</v>
      </c>
      <c r="C963" s="13" t="n">
        <f aca="false">C962/C949</f>
        <v>0.298320620405046</v>
      </c>
      <c r="D963" s="13" t="n">
        <f aca="false">D962/D949</f>
        <v>0.338364442755356</v>
      </c>
      <c r="E963" s="13" t="n">
        <f aca="false">E962/E949</f>
        <v>0.347947947909995</v>
      </c>
      <c r="F963" s="13" t="n">
        <f aca="false">F962/F949</f>
        <v>0.338241827212</v>
      </c>
      <c r="G963" s="13" t="n">
        <f aca="false">G962/G949</f>
        <v>0.317255098640507</v>
      </c>
    </row>
    <row r="964" customFormat="false" ht="15" hidden="false" customHeight="false" outlineLevel="0" collapsed="false">
      <c r="A964" s="3" t="s">
        <v>526</v>
      </c>
      <c r="B964" s="0" t="s">
        <v>214</v>
      </c>
      <c r="C964" s="18" t="n">
        <f aca="false">a25_opx</f>
        <v>9.012</v>
      </c>
      <c r="D964" s="18" t="n">
        <f aca="false">a26_opx</f>
        <v>14.0153081141857</v>
      </c>
      <c r="E964" s="18" t="n">
        <f aca="false">D964*(1+MAX(0,phi*E950))</f>
        <v>19.2009721164345</v>
      </c>
      <c r="F964" s="18" t="n">
        <f aca="false">E964*(1+MAX(0,phi*F950))</f>
        <v>24.2930699217129</v>
      </c>
      <c r="G964" s="18" t="n">
        <f aca="false">F964*(1+MAX(0,phi*G950))</f>
        <v>26.8707328651484</v>
      </c>
    </row>
    <row r="965" customFormat="false" ht="15" hidden="false" customHeight="false" outlineLevel="0" collapsed="false">
      <c r="A965" s="3" t="s">
        <v>397</v>
      </c>
      <c r="B965" s="0" t="s">
        <v>214</v>
      </c>
      <c r="C965" s="18" t="n">
        <f aca="false">C964</f>
        <v>9.012</v>
      </c>
      <c r="D965" s="18" t="n">
        <f aca="false">D964</f>
        <v>14.0153081141857</v>
      </c>
      <c r="E965" s="18" t="n">
        <f aca="false">E964+0*E949</f>
        <v>19.2009721164345</v>
      </c>
      <c r="F965" s="18" t="n">
        <f aca="false">F964+0*F949</f>
        <v>24.2930699217129</v>
      </c>
      <c r="G965" s="18" t="n">
        <f aca="false">G964+0*G949</f>
        <v>26.8707328651484</v>
      </c>
    </row>
    <row r="966" customFormat="false" ht="15" hidden="false" customHeight="false" outlineLevel="0" collapsed="false">
      <c r="A966" s="3" t="s">
        <v>400</v>
      </c>
      <c r="B966" s="0" t="s">
        <v>214</v>
      </c>
      <c r="C966" s="18" t="n">
        <f aca="false">C962-C965</f>
        <v>19.108</v>
      </c>
      <c r="D966" s="18" t="n">
        <f aca="false">D962-D965</f>
        <v>55.6082852858143</v>
      </c>
      <c r="E966" s="18" t="n">
        <f aca="false">E962-E965</f>
        <v>96.5451578295655</v>
      </c>
      <c r="F966" s="18" t="n">
        <f aca="false">F962-F965</f>
        <v>137.956954782886</v>
      </c>
      <c r="G966" s="18" t="n">
        <f aca="false">G962-G965</f>
        <v>152.225021476222</v>
      </c>
    </row>
    <row r="967" customFormat="false" ht="15" hidden="false" customHeight="false" outlineLevel="0" collapsed="false">
      <c r="A967" s="3" t="s">
        <v>403</v>
      </c>
      <c r="B967" s="0" t="s">
        <v>54</v>
      </c>
      <c r="C967" s="13" t="n">
        <f aca="false">C966/C949</f>
        <v>0.202713741632276</v>
      </c>
      <c r="D967" s="13" t="n">
        <f aca="false">D966/D949</f>
        <v>0.270251297648699</v>
      </c>
      <c r="E967" s="13" t="n">
        <f aca="false">E966/E949</f>
        <v>0.290227323912395</v>
      </c>
      <c r="F967" s="13" t="n">
        <f aca="false">F966/F949</f>
        <v>0.287598184020763</v>
      </c>
      <c r="G967" s="13" t="n">
        <f aca="false">G966/G949</f>
        <v>0.269655550359612</v>
      </c>
    </row>
    <row r="968" customFormat="false" ht="17.15" hidden="false" customHeight="false" outlineLevel="0" collapsed="false">
      <c r="A968" s="3" t="s">
        <v>405</v>
      </c>
      <c r="B968" s="0" t="s">
        <v>214</v>
      </c>
      <c r="E968" s="18" t="n">
        <f aca="false">nop_f</f>
        <v>0.5</v>
      </c>
      <c r="F968" s="18" t="n">
        <f aca="false">nop_f</f>
        <v>0.5</v>
      </c>
      <c r="G968" s="18" t="n">
        <f aca="false">nop_f</f>
        <v>0.5</v>
      </c>
      <c r="H968" s="7" t="s">
        <v>527</v>
      </c>
    </row>
    <row r="969" customFormat="false" ht="15" hidden="false" customHeight="false" outlineLevel="0" collapsed="false">
      <c r="A969" s="3" t="s">
        <v>408</v>
      </c>
      <c r="B969" s="0" t="s">
        <v>214</v>
      </c>
      <c r="C969" s="18" t="n">
        <f aca="false">a25_ni</f>
        <v>14.649</v>
      </c>
      <c r="D969" s="18" t="n">
        <f aca="false">a26_ni</f>
        <v>42.891099295</v>
      </c>
      <c r="E969" s="18" t="n">
        <f aca="false">(E966+E968)*nir_f</f>
        <v>74.7247715287655</v>
      </c>
      <c r="F969" s="18" t="n">
        <f aca="false">(F966+F968)*nir_f</f>
        <v>106.611855182822</v>
      </c>
      <c r="G969" s="18" t="n">
        <f aca="false">(G966+G968)*nir_f</f>
        <v>117.598266536691</v>
      </c>
    </row>
    <row r="970" customFormat="false" ht="17.15" hidden="false" customHeight="false" outlineLevel="0" collapsed="false">
      <c r="A970" s="3" t="s">
        <v>411</v>
      </c>
      <c r="B970" s="0" t="s">
        <v>54</v>
      </c>
      <c r="C970" s="13" t="n">
        <f aca="false">C969/C966</f>
        <v>0.766642244086247</v>
      </c>
      <c r="D970" s="13" t="n">
        <f aca="false">D969/D966</f>
        <v>0.771307712053146</v>
      </c>
      <c r="E970" s="13" t="n">
        <f aca="false">E969/E966</f>
        <v>0.773987771201117</v>
      </c>
      <c r="F970" s="13" t="n">
        <f aca="false">F969/F966</f>
        <v>0.77279072556078</v>
      </c>
      <c r="G970" s="13" t="n">
        <f aca="false">G969/G966</f>
        <v>0.772529150571085</v>
      </c>
    </row>
    <row r="971" customFormat="false" ht="15" hidden="false" customHeight="false" outlineLevel="0" collapsed="false">
      <c r="A971" s="3" t="s">
        <v>528</v>
      </c>
      <c r="B971" s="3" t="s">
        <v>243</v>
      </c>
      <c r="C971" s="20" t="n">
        <f aca="false">a25_sh</f>
        <v>0.351547876169906</v>
      </c>
      <c r="D971" s="20" t="n">
        <f aca="false">a26_sh</f>
        <v>0.358290155440415</v>
      </c>
      <c r="E971" s="20" t="n">
        <f aca="false">D971*(1+sh_g)</f>
        <v>0.358290155440415</v>
      </c>
      <c r="F971" s="20" t="n">
        <f aca="false">E971*(1+sh_g)</f>
        <v>0.358290155440415</v>
      </c>
      <c r="G971" s="20" t="n">
        <f aca="false">F971*(1+sh_g)</f>
        <v>0.358290155440415</v>
      </c>
    </row>
    <row r="972" customFormat="false" ht="15" hidden="false" customHeight="false" outlineLevel="0" collapsed="false">
      <c r="A972" s="0" t="s">
        <v>414</v>
      </c>
      <c r="B972" s="0" t="s">
        <v>274</v>
      </c>
      <c r="C972" s="19" t="n">
        <f aca="false">C969/C971</f>
        <v>41.67</v>
      </c>
      <c r="D972" s="19" t="n">
        <f aca="false">D969/D971</f>
        <v>119.710515747433</v>
      </c>
      <c r="E972" s="19" t="n">
        <f aca="false">E969/E971</f>
        <v>208.559376790336</v>
      </c>
      <c r="F972" s="19" t="n">
        <f aca="false">F969/F971</f>
        <v>297.55731092241</v>
      </c>
      <c r="G972" s="19" t="n">
        <f aca="false">G969/G971</f>
        <v>328.220758374279</v>
      </c>
    </row>
    <row r="973" customFormat="false" ht="17.15" hidden="false" customHeight="false" outlineLevel="0" collapsed="false">
      <c r="A973" s="0" t="s">
        <v>529</v>
      </c>
      <c r="B973" s="0" t="s">
        <v>54</v>
      </c>
      <c r="D973" s="13" t="n">
        <f aca="false">D972/C972-1</f>
        <v>1.87282255213422</v>
      </c>
      <c r="E973" s="13" t="n">
        <f aca="false">E972/D972-1</f>
        <v>0.742197629741713</v>
      </c>
      <c r="F973" s="13" t="n">
        <f aca="false">F972/E972-1</f>
        <v>0.426727081283636</v>
      </c>
      <c r="G973" s="13" t="n">
        <f aca="false">G972/F972-1</f>
        <v>0.103050559762132</v>
      </c>
    </row>
    <row r="976" customFormat="false" ht="17.15" hidden="false" customHeight="false" outlineLevel="0" collapsed="false">
      <c r="A976" s="1" t="s">
        <v>856</v>
      </c>
    </row>
    <row r="977" customFormat="false" ht="17.15" hidden="false" customHeight="false" outlineLevel="0" collapsed="false">
      <c r="A977" s="4" t="s">
        <v>784</v>
      </c>
      <c r="B977" s="4" t="s">
        <v>785</v>
      </c>
      <c r="C977" s="10" t="s">
        <v>857</v>
      </c>
      <c r="D977" s="10" t="s">
        <v>858</v>
      </c>
      <c r="E977" s="4" t="s">
        <v>859</v>
      </c>
      <c r="F977" s="4" t="s">
        <v>860</v>
      </c>
    </row>
    <row r="978" customFormat="false" ht="17.15" hidden="false" customHeight="false" outlineLevel="0" collapsed="false">
      <c r="A978" s="3" t="s">
        <v>26</v>
      </c>
      <c r="B978" s="0" t="s">
        <v>861</v>
      </c>
      <c r="C978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978" s="17" t="n">
        <f aca="false">Val!B114</f>
        <v>6702.69945941607</v>
      </c>
      <c r="E978" s="17" t="n">
        <f aca="false">tp_w_dcf*C978+(1-tp_w_dcf)*D978</f>
        <v>5477.3858559129</v>
      </c>
      <c r="F978" s="13" t="n">
        <f aca="false">E978/E$978-1</f>
        <v>0</v>
      </c>
    </row>
    <row r="979" customFormat="false" ht="17.15" hidden="false" customHeight="false" outlineLevel="0" collapsed="false">
      <c r="A979" s="3" t="s">
        <v>862</v>
      </c>
      <c r="B979" s="0" t="s">
        <v>863</v>
      </c>
      <c r="C979" s="17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3667.9959325026</v>
      </c>
      <c r="D979" s="17" t="n">
        <f aca="false">Val!B114</f>
        <v>6702.69945941607</v>
      </c>
      <c r="E979" s="17" t="n">
        <f aca="false">tp_w_dcf*C979+(1-tp_w_dcf)*D979</f>
        <v>5185.34769595933</v>
      </c>
      <c r="F979" s="13" t="n">
        <f aca="false">E979/E$978-1</f>
        <v>-0.0533170690610197</v>
      </c>
    </row>
    <row r="980" customFormat="false" ht="17.15" hidden="false" customHeight="false" outlineLevel="0" collapsed="false">
      <c r="A980" s="3" t="s">
        <v>864</v>
      </c>
      <c r="B980" s="0" t="s">
        <v>865</v>
      </c>
      <c r="C980" s="17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5069.81310782482</v>
      </c>
      <c r="D980" s="17" t="n">
        <f aca="false">Val!B114</f>
        <v>6702.69945941607</v>
      </c>
      <c r="E980" s="17" t="n">
        <f aca="false">tp_w_dcf*C980+(1-tp_w_dcf)*D980</f>
        <v>5886.25628362044</v>
      </c>
      <c r="F980" s="13" t="n">
        <f aca="false">E980/E$978-1</f>
        <v>0.0746470010445162</v>
      </c>
    </row>
    <row r="981" customFormat="false" ht="17.15" hidden="false" customHeight="false" outlineLevel="0" collapsed="false">
      <c r="A981" s="3" t="s">
        <v>866</v>
      </c>
      <c r="B981" s="0" t="s">
        <v>867</v>
      </c>
      <c r="C981" s="17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4710.89338451628</v>
      </c>
      <c r="D981" s="17" t="n">
        <f aca="false">Val!B114</f>
        <v>6702.69945941607</v>
      </c>
      <c r="E981" s="17" t="n">
        <f aca="false">tp_w_dcf*C981+(1-tp_w_dcf)*D981</f>
        <v>5706.79642196617</v>
      </c>
      <c r="F981" s="13" t="n">
        <f aca="false">E981/E$978-1</f>
        <v>0.0418832216842324</v>
      </c>
    </row>
    <row r="982" customFormat="false" ht="17.15" hidden="false" customHeight="false" outlineLevel="0" collapsed="false">
      <c r="A982" s="3" t="s">
        <v>868</v>
      </c>
      <c r="B982" s="0" t="s">
        <v>869</v>
      </c>
      <c r="C982" s="17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3935.50665143444</v>
      </c>
      <c r="D982" s="17" t="n">
        <f aca="false">Val!B114</f>
        <v>6702.69945941607</v>
      </c>
      <c r="E982" s="17" t="n">
        <f aca="false">tp_w_dcf*C982+(1-tp_w_dcf)*D982</f>
        <v>5319.10305542526</v>
      </c>
      <c r="F982" s="13" t="n">
        <f aca="false">E982/E$978-1</f>
        <v>-0.0288975077986831</v>
      </c>
    </row>
    <row r="983" customFormat="false" ht="17.15" hidden="false" customHeight="false" outlineLevel="0" collapsed="false">
      <c r="A983" s="0" t="s">
        <v>870</v>
      </c>
      <c r="B983" s="0" t="s">
        <v>871</v>
      </c>
      <c r="C983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983" s="17" t="n">
        <f aca="false">Val!B114</f>
        <v>6702.69945941607</v>
      </c>
      <c r="E983" s="17" t="n">
        <f aca="false">0.4*C983+(1-0.4)*D983</f>
        <v>5722.44857661353</v>
      </c>
      <c r="F983" s="13" t="n">
        <f aca="false">E983/E$978-1</f>
        <v>0.0447408174532906</v>
      </c>
    </row>
    <row r="984" customFormat="false" ht="17.15" hidden="false" customHeight="false" outlineLevel="0" collapsed="false">
      <c r="A984" s="0" t="s">
        <v>872</v>
      </c>
      <c r="B984" s="0" t="s">
        <v>873</v>
      </c>
      <c r="C984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984" s="17" t="n">
        <f aca="false">Val!B114</f>
        <v>6702.69945941607</v>
      </c>
      <c r="E984" s="17" t="n">
        <f aca="false">0.8*C984+(1-0.8)*D984</f>
        <v>4742.19769381099</v>
      </c>
      <c r="F984" s="13" t="n">
        <f aca="false">E984/E$978-1</f>
        <v>-0.134222452359872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874</v>
      </c>
    </row>
    <row r="2" customFormat="false" ht="17.15" hidden="false" customHeight="false" outlineLevel="0" collapsed="false">
      <c r="A2" s="3" t="s">
        <v>875</v>
      </c>
      <c r="B2" s="0" t="s">
        <v>876</v>
      </c>
    </row>
    <row r="3" customFormat="false" ht="17.15" hidden="false" customHeight="false" outlineLevel="0" collapsed="false">
      <c r="A3" s="3" t="s">
        <v>877</v>
      </c>
      <c r="B3" s="0" t="s">
        <v>878</v>
      </c>
    </row>
    <row r="4" customFormat="false" ht="17.15" hidden="false" customHeight="false" outlineLevel="0" collapsed="false">
      <c r="A4" s="3" t="s">
        <v>879</v>
      </c>
      <c r="B4" s="0" t="s">
        <v>880</v>
      </c>
    </row>
    <row r="5" customFormat="false" ht="17.15" hidden="false" customHeight="false" outlineLevel="0" collapsed="false">
      <c r="A5" s="3" t="s">
        <v>881</v>
      </c>
      <c r="B5" s="0" t="s">
        <v>882</v>
      </c>
    </row>
    <row r="6" customFormat="false" ht="17.15" hidden="false" customHeight="false" outlineLevel="0" collapsed="false">
      <c r="A6" s="3" t="s">
        <v>883</v>
      </c>
      <c r="B6" s="0" t="s">
        <v>884</v>
      </c>
    </row>
    <row r="7" customFormat="false" ht="17.15" hidden="false" customHeight="false" outlineLevel="0" collapsed="false">
      <c r="A7" s="3" t="s">
        <v>885</v>
      </c>
      <c r="B7" s="0" t="s">
        <v>886</v>
      </c>
    </row>
    <row r="8" customFormat="false" ht="17.15" hidden="false" customHeight="false" outlineLevel="0" collapsed="false">
      <c r="A8" s="3" t="s">
        <v>887</v>
      </c>
      <c r="B8" s="0" t="s">
        <v>271</v>
      </c>
    </row>
    <row r="9" customFormat="false" ht="17.15" hidden="false" customHeight="false" outlineLevel="0" collapsed="false">
      <c r="A9" s="3" t="s">
        <v>888</v>
      </c>
      <c r="B9" s="0" t="s">
        <v>286</v>
      </c>
    </row>
    <row r="10" customFormat="false" ht="17.15" hidden="false" customHeight="false" outlineLevel="0" collapsed="false">
      <c r="A10" s="3" t="s">
        <v>889</v>
      </c>
      <c r="B10" s="0" t="s">
        <v>301</v>
      </c>
    </row>
    <row r="11" customFormat="false" ht="17.15" hidden="false" customHeight="false" outlineLevel="0" collapsed="false">
      <c r="A11" s="3" t="s">
        <v>890</v>
      </c>
      <c r="B11" s="0" t="s">
        <v>324</v>
      </c>
    </row>
    <row r="12" customFormat="false" ht="17.15" hidden="false" customHeight="false" outlineLevel="0" collapsed="false">
      <c r="A12" s="3" t="s">
        <v>891</v>
      </c>
      <c r="B12" s="0" t="s">
        <v>892</v>
      </c>
    </row>
    <row r="13" customFormat="false" ht="17.15" hidden="false" customHeight="false" outlineLevel="0" collapsed="false">
      <c r="A13" s="3" t="s">
        <v>893</v>
      </c>
      <c r="B13" s="0" t="s">
        <v>894</v>
      </c>
    </row>
    <row r="14" customFormat="false" ht="17.15" hidden="false" customHeight="false" outlineLevel="0" collapsed="false">
      <c r="A14" s="3" t="s">
        <v>895</v>
      </c>
      <c r="B14" s="0" t="s">
        <v>896</v>
      </c>
    </row>
    <row r="15" customFormat="false" ht="17.15" hidden="false" customHeight="false" outlineLevel="0" collapsed="false">
      <c r="A15" s="3" t="s">
        <v>897</v>
      </c>
      <c r="B15" s="0" t="s">
        <v>898</v>
      </c>
    </row>
    <row r="16" customFormat="false" ht="17.15" hidden="false" customHeight="false" outlineLevel="0" collapsed="false">
      <c r="A16" s="3" t="s">
        <v>899</v>
      </c>
    </row>
    <row r="17" customFormat="false" ht="17.15" hidden="false" customHeight="false" outlineLevel="0" collapsed="false">
      <c r="A17" s="3" t="s">
        <v>900</v>
      </c>
      <c r="B17" s="3" t="s">
        <v>901</v>
      </c>
    </row>
    <row r="18" customFormat="false" ht="15" hidden="false" customHeight="false" outlineLevel="0" collapsed="false">
      <c r="A18" s="0" t="s">
        <v>902</v>
      </c>
      <c r="B18" s="3" t="s">
        <v>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2026-10-28T08:13:48Z</dcterms:created>
  <dc:creator>openpyxl</dc:creator>
  <dc:description/>
  <dc:language>en-US</dc:language>
  <cp:lastModifiedBy/>
  <dcterms:modified xsi:type="dcterms:W3CDTF">2026-10-28T08:13:49Z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