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In!$E$49</definedName>
    <definedName function="false" hidden="false" name="ai_25_hi" vbProcedure="false">In!$F$49</definedName>
    <definedName function="false" hidden="false" name="ai_25_lo" vbProcedure="false">In!$D$49</definedName>
    <definedName function="false" hidden="false" name="ai_26" vbProcedure="false">In!$E$50</definedName>
    <definedName function="false" hidden="false" name="ai_26_hi" vbProcedure="false">In!$F$50</definedName>
    <definedName function="false" hidden="false" name="ai_26_lo" vbProcedure="false">In!$D$50</definedName>
    <definedName function="false" hidden="false" name="b_eps26c" vbProcedure="false">In!$E$75</definedName>
    <definedName function="false" hidden="false" name="b_eps26k" vbProcedure="false">In!$E$74</definedName>
    <definedName function="false" hidden="false" name="b_eps26l" vbProcedure="false">In!$E$76</definedName>
    <definedName function="false" hidden="false" name="b_eps27c" vbProcedure="false">In!$E$80</definedName>
    <definedName function="false" hidden="false" name="b_eps27k" vbProcedure="false">In!$E$79</definedName>
    <definedName function="false" hidden="false" name="b_eps27l" vbProcedure="false">In!$E$81</definedName>
    <definedName function="false" hidden="false" name="b_rev26k" vbProcedure="false">In!$E$73</definedName>
    <definedName function="false" hidden="false" name="b_rev27k" vbProcedure="false">In!$E$77</definedName>
    <definedName function="false" hidden="false" name="b_rev27l" vbProcedure="false">In!$E$78</definedName>
    <definedName function="false" hidden="false" name="CAPHI_27" vbProcedure="false">In!$F$42</definedName>
    <definedName function="false" hidden="false" name="CAPHI_28" vbProcedure="false">In!$F$43</definedName>
    <definedName function="false" hidden="false" name="CAPHI_29" vbProcedure="false">In!$F$44</definedName>
    <definedName function="false" hidden="false" name="CAPLO_27" vbProcedure="false">In!$D$42</definedName>
    <definedName function="false" hidden="false" name="CAPLO_28" vbProcedure="false">In!$D$43</definedName>
    <definedName function="false" hidden="false" name="CAPLO_29" vbProcedure="false">In!$D$44</definedName>
    <definedName function="false" hidden="false" name="cap_26" vbProcedure="false">In!$E$41</definedName>
    <definedName function="false" hidden="false" name="cap_26_hi" vbProcedure="false">In!$F$41</definedName>
    <definedName function="false" hidden="false" name="cap_26_lo" vbProcedure="false">In!$D$41</definedName>
    <definedName function="false" hidden="false" name="cap_27" vbProcedure="false">In!$E$42</definedName>
    <definedName function="false" hidden="false" name="cap_27_hi" vbProcedure="false">In!$F$42</definedName>
    <definedName function="false" hidden="false" name="cap_27_lo" vbProcedure="false">In!$D$42</definedName>
    <definedName function="false" hidden="false" name="cap_28" vbProcedure="false">In!$E$43</definedName>
    <definedName function="false" hidden="false" name="cap_28_hi" vbProcedure="false">In!$F$43</definedName>
    <definedName function="false" hidden="false" name="cap_28_lo" vbProcedure="false">In!$D$43</definedName>
    <definedName function="false" hidden="false" name="cap_29" vbProcedure="false">In!$E$44</definedName>
    <definedName function="false" hidden="false" name="cap_29_hi" vbProcedure="false">In!$F$44</definedName>
    <definedName function="false" hidden="false" name="cap_29_lo" vbProcedure="false">In!$D$44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d_ai" vbProcedure="false">In!$E$55</definedName>
    <definedName function="false" hidden="false" name="d_ai_hi" vbProcedure="false">In!$F$55</definedName>
    <definedName function="false" hidden="false" name="d_ai_lo" vbProcedure="false">In!$D$55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In!$F$51</definedName>
    <definedName function="false" hidden="false" name="GNHI28" vbProcedure="false">In!$F$52</definedName>
    <definedName function="false" hidden="false" name="GNHI29" vbProcedure="false">In!$F$53</definedName>
    <definedName function="false" hidden="false" name="GNLO27" vbProcedure="false">In!$D$51</definedName>
    <definedName function="false" hidden="false" name="GNLO28" vbProcedure="false">In!$D$52</definedName>
    <definedName function="false" hidden="false" name="GNLO29" vbProcedure="false">In!$D$53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hs_sh25" vbProcedure="false">In!$E$84</definedName>
    <definedName function="false" hidden="false" name="hs_sh25c" vbProcedure="false">In!$E$85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x_27" vbProcedure="false">In!$E$45</definedName>
    <definedName function="false" hidden="false" name="mix_27_hi" vbProcedure="false">In!$F$45</definedName>
    <definedName function="false" hidden="false" name="mix_27_lo" vbProcedure="false">In!$D$45</definedName>
    <definedName function="false" hidden="false" name="mix_28" vbProcedure="false">In!$E$46</definedName>
    <definedName function="false" hidden="false" name="mix_28_hi" vbProcedure="false">In!$F$46</definedName>
    <definedName function="false" hidden="false" name="mix_28_lo" vbProcedure="false">In!$D$46</definedName>
    <definedName function="false" hidden="false" name="mix_29" vbProcedure="false">In!$E$47</definedName>
    <definedName function="false" hidden="false" name="mix_29_hi" vbProcedure="false">In!$F$47</definedName>
    <definedName function="false" hidden="false" name="mix_29_lo" vbProcedure="false">In!$D$47</definedName>
    <definedName function="false" hidden="false" name="ms_eps28" vbProcedure="false">In!$E$83</definedName>
    <definedName function="false" hidden="false" name="ms_rev28" vbProcedure="false">In!$E$82</definedName>
    <definedName function="false" hidden="false" name="ms_rk_gb" vbProcedure="false">In!$E$86</definedName>
    <definedName function="false" hidden="false" name="ms_rk_vr" vbProcedure="false">In!$E$87</definedName>
    <definedName function="false" hidden="false" name="MXHI_27" vbProcedure="false">In!$F$45</definedName>
    <definedName function="false" hidden="false" name="MXHI_28" vbProcedure="false">In!$F$46</definedName>
    <definedName function="false" hidden="false" name="MXHI_29" vbProcedure="false">In!$F$47</definedName>
    <definedName function="false" hidden="false" name="MXLO_27" vbProcedure="false">In!$D$45</definedName>
    <definedName function="false" hidden="false" name="MXLO_28" vbProcedure="false">In!$D$46</definedName>
    <definedName function="false" hidden="false" name="MXLO_29" vbProcedure="false">In!$D$47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In!$E$92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In!$E$91</definedName>
    <definedName function="false" hidden="false" name="q3_gm" vbProcedure="false">In!$E$59</definedName>
    <definedName function="false" hidden="false" name="q3_gm_hi" vbProcedure="false">In!$F$59</definedName>
    <definedName function="false" hidden="false" name="q3_gm_lo" vbProcedure="false">In!$D$59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_nir" vbProcedure="false">In!$E$63</definedName>
    <definedName function="false" hidden="false" name="q_nir_hi" vbProcedure="false">In!$F$63</definedName>
    <definedName function="false" hidden="false" name="q_nir_lo" vbProcedure="false">In!$D$63</definedName>
    <definedName function="false" hidden="false" name="q_nop" vbProcedure="false">In!$E$62</definedName>
    <definedName function="false" hidden="false" name="q_nop_hi" vbProcedure="false">In!$F$62</definedName>
    <definedName function="false" hidden="false" name="q_nop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In!$E$64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t_gb" vbProcedure="false">In!$E$88</definedName>
    <definedName function="false" hidden="false" name="sht_vr" vbProcedure="false">In!$E$89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ubbx_27" vbProcedure="false">In!$E$31</definedName>
    <definedName function="false" hidden="false" name="ubbx_27_hi" vbProcedure="false">In!$F$31</definedName>
    <definedName function="false" hidden="false" name="ubbx_27_lo" vbProcedure="false">In!$D$31</definedName>
    <definedName function="false" hidden="false" name="ubbx_28" vbProcedure="false">In!$E$32</definedName>
    <definedName function="false" hidden="false" name="ubbx_28_hi" vbProcedure="false">In!$F$32</definedName>
    <definedName function="false" hidden="false" name="ubbx_28_lo" vbProcedure="false">In!$D$32</definedName>
    <definedName function="false" hidden="false" name="ubbx_29" vbProcedure="false">In!$E$33</definedName>
    <definedName function="false" hidden="false" name="ubbx_29_hi" vbProcedure="false">In!$F$33</definedName>
    <definedName function="false" hidden="false" name="ubbx_29_lo" vbProcedure="false">In!$D$33</definedName>
    <definedName function="false" hidden="false" name="ubb_26" vbProcedure="false">In!$E$24</definedName>
    <definedName function="false" hidden="false" name="ubb_26_hi" vbProcedure="false">In!$F$24</definedName>
    <definedName function="false" hidden="false" name="ubb_26_lo" vbProcedure="false">In!$D$24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XHI_27" vbProcedure="false">In!$F$31</definedName>
    <definedName function="false" hidden="false" name="UXHI_28" vbProcedure="false">In!$F$32</definedName>
    <definedName function="false" hidden="false" name="UXHI_29" vbProcedure="false">In!$F$33</definedName>
    <definedName function="false" hidden="false" name="UXLO_27" vbProcedure="false">In!$D$31</definedName>
    <definedName function="false" hidden="false" name="UXLO_28" vbProcedure="false">In!$D$32</definedName>
    <definedName function="false" hidden="false" name="UXLO_29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<sst xmlns="http://schemas.openxmlformats.org/spreadsheetml/2006/main" count="3039" uniqueCount="699">
  <si>
    <r>
      <rPr>
        <b val="true"/>
        <sz val="11"/>
        <rFont val="Noto Sans CJK SC"/>
        <family val="2"/>
      </rPr>
      <t xml:space="preserve">台光電（</t>
    </r>
    <r>
      <rPr>
        <b val="true"/>
        <sz val="11"/>
        <rFont val="Cambria"/>
        <family val="0"/>
        <charset val="1"/>
      </rPr>
      <t xml:space="preserve">2383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</si>
  <si>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金額（加速器／運算板、交換器板、</t>
    </r>
    <r>
      <rPr>
        <sz val="11"/>
        <rFont val="Cambria"/>
        <family val="0"/>
        <charset val="1"/>
      </rPr>
      <t xml:space="preserve">UBB</t>
    </r>
    <r>
      <rPr>
        <sz val="11"/>
        <rFont val="Noto Sans CJK SC"/>
        <family val="2"/>
      </rPr>
      <t xml:space="preserve">／中板）、台光電份額與產能在本模型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條）；台燿、聯茂等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廠之後讀這條線。</t>
    </r>
  </si>
  <si>
    <r>
      <rPr>
        <sz val="11"/>
        <rFont val="Noto Sans CJK SC"/>
        <family val="2"/>
      </rPr>
      <t xml:space="preserve">模型命題：台光電的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等級使每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台光電份額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（通用伺服器、低軌衛星、手機、筆電、車用）另依成長率推。股價約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</si>
  <si>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需求超過產能時，擴產（月產能 </t>
    </r>
    <r>
      <rPr>
        <sz val="11"/>
        <rFont val="Cambria"/>
        <family val="0"/>
        <charset val="1"/>
      </rPr>
      <t xml:space="preserve">615 → 945 → 1,110 </t>
    </r>
    <r>
      <rPr>
        <sz val="11"/>
        <rFont val="Noto Sans CJK SC"/>
        <family val="2"/>
      </rPr>
      <t xml:space="preserve">萬張）與 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組合升級能讓營收成長多少；價格與份額回落時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會少多少；現價隱含的路徑合不合理。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</si>
  <si>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</si>
  <si>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</si>
  <si>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US$350M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</si>
  <si>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產能面：平均月產能（公司擴產計畫，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組合指數（</t>
    </r>
    <r>
      <rPr>
        <sz val="11"/>
        <rFont val="Cambria"/>
        <family val="0"/>
        <charset val="1"/>
      </rPr>
      <t xml:space="preserve">M8→M9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</si>
  <si>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</si>
  <si>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尚未舉行。不用券商數字（只在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</si>
  <si>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；循環位置以本模型營收最高年判定（台光電不套設備股見頂年）。本版未做先驗，無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</si>
  <si>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未使用。公司原文＝法說（經轉述）與月營收；券商多為單一來源。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</si>
  <si>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（研調每架金額與張數口徑不一）；水準只影響校準份額，指數影響成長；</t>
    </r>
    <r>
      <rPr>
        <sz val="11"/>
        <rFont val="Cambria"/>
        <family val="0"/>
        <charset val="1"/>
      </rPr>
      <t xml:space="preserve">(2) 2027–28 </t>
    </r>
    <r>
      <rPr>
        <sz val="11"/>
        <rFont val="Noto Sans CJK SC"/>
        <family val="2"/>
      </rPr>
      <t xml:space="preserve">年產能受限，營收主要由擴產進度與每張組合指數（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）決定；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相關占比（基礎設施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伺服器＋交換器）為公司區間的中點，交換器含非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1H26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業外、稅前未找到，以淨利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年缺，且 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</si>
  <si>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金額為百萬美元；產能：百萬張／月；比例：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</si>
  <si>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未使用。公司原文＝台光電法說（經富果、鉅亨等轉述）與月營收公告；公司的產品組合、份額與毛利率指引為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</si>
  <si>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</si>
  <si>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</si>
  <si>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</si>
  <si>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</si>
  <si>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</si>
  <si>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</si>
  <si>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</si>
  <si>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</si>
  <si>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</si>
  <si>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</si>
  <si>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</si>
  <si>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</si>
  <si>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</si>
  <si>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</si>
  <si>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</si>
  <si>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（與台達電、廣達模型相同）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</si>
  <si>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</si>
  <si>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</si>
  <si>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</si>
  <si>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</si>
  <si>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</si>
  <si>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</si>
  <si>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</si>
  <si>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</si>
  <si>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</si>
  <si>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</si>
  <si>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</si>
  <si>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</si>
  <si>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</si>
  <si>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</si>
  <si>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</si>
  <si>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</si>
  <si>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</si>
  <si>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</si>
  <si>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</si>
  <si>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下半年開始出貨、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</si>
  <si>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</si>
  <si>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</si>
  <si>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</si>
  <si>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</si>
  <si>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</si>
  <si>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</si>
  <si>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</si>
  <si>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</si>
  <si>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</si>
  <si>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</si>
  <si>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</si>
  <si>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</si>
  <si>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</si>
  <si>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</si>
  <si>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</si>
  <si>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</si>
  <si>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</si>
  <si>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</si>
  <si>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</si>
  <si>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</si>
  <si>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</si>
  <si>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</si>
  <si>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</si>
  <si>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</si>
  <si>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</si>
  <si>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</si>
  <si>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</si>
  <si>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</si>
  <si>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</si>
  <si>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</si>
  <si>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</si>
  <si>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與台達電、廣達模型相同（台達電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</si>
  <si>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</si>
  <si>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金額與台光電份額（本專案權威：每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金額、台光電份額，規則第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</si>
  <si>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</si>
  <si>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</si>
  <si>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</si>
  <si>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</si>
  <si>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</si>
  <si>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</si>
  <si>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</si>
  <si>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</si>
  <si>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</si>
  <si>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</si>
  <si>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</si>
  <si>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</si>
  <si>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</si>
  <si>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</si>
  <si>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</si>
  <si>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</si>
  <si>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</si>
  <si>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</si>
  <si>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</si>
  <si>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</si>
  <si>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</si>
  <si>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</si>
  <si>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</si>
  <si>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</si>
  <si>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</si>
  <si>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</si>
  <si>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</si>
  <si>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</si>
  <si>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</si>
  <si>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</si>
  <si>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</si>
  <si>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</si>
  <si>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</si>
  <si>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</si>
  <si>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</si>
  <si>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</si>
  <si>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</si>
  <si>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</si>
  <si>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</si>
  <si>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</si>
  <si>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</si>
  <si>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）、無鹵高速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；公司自估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</si>
  <si>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對手：台燿、斗山、生益、松下（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）；台光電為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首家認證量產（公司，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</si>
  <si>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</si>
  <si>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</si>
  <si>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</si>
  <si>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</si>
  <si>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</si>
  <si>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</si>
  <si>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全產品漲價至少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（銅箔、玻纖布上漲）；下半年不排除再漲（富果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</si>
  <si>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、供給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年仍缺約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</si>
  <si>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</si>
  <si>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</si>
  <si>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</si>
  <si>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</si>
  <si>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</si>
  <si>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</si>
  <si>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</si>
  <si>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</si>
  <si>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</si>
  <si>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中山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）；年底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Noto Sans CJK SC"/>
        <family val="2"/>
      </rPr>
      <t xml:space="preserve">萬（本土投顧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</si>
  <si>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萬張／月（公司簡介）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</si>
  <si>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</si>
  <si>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</si>
  <si>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萬張（</t>
    </r>
    <r>
      <rPr>
        <sz val="11"/>
        <color theme="1"/>
        <rFont val="Calibri"/>
        <family val="2"/>
        <charset val="1"/>
      </rPr>
      <t xml:space="preserve">Q1 120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Q3 120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90 </t>
    </r>
    <r>
      <rPr>
        <sz val="11"/>
        <color theme="1"/>
        <rFont val="Noto Sans CJK SC"/>
        <family val="2"/>
      </rPr>
      <t xml:space="preserve">萬；台灣、中國、馬來西亞），年底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</si>
  <si>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依開出月份加權：</t>
    </r>
    <r>
      <rPr>
        <sz val="11"/>
        <color theme="1"/>
        <rFont val="Calibri"/>
        <family val="2"/>
        <charset val="1"/>
      </rPr>
      <t xml:space="preserve">6.15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10.5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0.9 ×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；崑山、中山各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萬已從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（設備交期），低值反映再延遲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</si>
  <si>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</si>
  <si>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</si>
  <si>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萬張／月（富果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945 → 1,110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</si>
  <si>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</si>
  <si>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</si>
  <si>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</si>
  <si>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年計畫：未找到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</si>
  <si>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年底不再擴產</t>
    </r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</si>
  <si>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</si>
  <si>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</si>
  <si>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以上占營收 </t>
    </r>
    <r>
      <rPr>
        <sz val="11"/>
        <color theme="1"/>
        <rFont val="Calibri"/>
        <family val="2"/>
        <charset val="1"/>
      </rPr>
      <t xml:space="preserve">1Q26 55–60% → 2Q26 60–65%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下半年個位數占比、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</si>
  <si>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單價為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</si>
  <si>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</si>
  <si>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</si>
  <si>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</si>
  <si>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</si>
  <si>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</si>
  <si>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</si>
  <si>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</si>
  <si>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年基礎設施占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基礎設施中低軌衛星約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（含通用伺服器，富果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</si>
  <si>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讀法：基礎設施 </t>
    </r>
    <r>
      <rPr>
        <sz val="11"/>
        <color theme="1"/>
        <rFont val="Calibri"/>
        <family val="2"/>
        <charset val="1"/>
      </rPr>
      <t xml:space="preserve">67.5% × AI </t>
    </r>
    <r>
      <rPr>
        <sz val="11"/>
        <color theme="1"/>
        <rFont val="Noto Sans CJK SC"/>
        <family val="2"/>
      </rPr>
      <t xml:space="preserve">伺服器＋交換器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拆分比例）；只用於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</si>
  <si>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</si>
  <si>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</si>
  <si>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、通用伺服器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、低軌衛星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</si>
  <si>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公司：下半年基礎設施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以上（富果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）；基準＝</t>
    </r>
    <r>
      <rPr>
        <sz val="11"/>
        <color theme="1"/>
        <rFont val="Calibri"/>
        <family val="2"/>
        <charset val="1"/>
      </rPr>
      <t xml:space="preserve">78%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57.5%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）；交換器含非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企業交換器（未拆）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</si>
  <si>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</si>
  <si>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</si>
  <si>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年增：手持 </t>
    </r>
    <r>
      <rPr>
        <sz val="11"/>
        <color theme="1"/>
        <rFont val="Calibri"/>
        <family val="2"/>
        <charset val="1"/>
      </rPr>
      <t xml:space="preserve">+42%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+58%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，含漲價）；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指引：手持持平、車用個位數季減</t>
    </r>
  </si>
  <si>
    <r>
      <rPr>
        <sz val="11"/>
        <color theme="1"/>
        <rFont val="Noto Sans CJK SC"/>
        <family val="2"/>
      </rPr>
      <t xml:space="preserve">通用伺服器、記憶體模組（</t>
    </r>
    <r>
      <rPr>
        <sz val="11"/>
        <color theme="1"/>
        <rFont val="Calibri"/>
        <family val="2"/>
        <charset val="1"/>
      </rPr>
      <t xml:space="preserve">DDR5 RDIMM</t>
    </r>
    <r>
      <rPr>
        <sz val="11"/>
        <color theme="1"/>
        <rFont val="Noto Sans CJK SC"/>
        <family val="2"/>
      </rPr>
      <t xml:space="preserve">）、低軌衛星持續成長（公司）；手機、筆電成熟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</si>
  <si>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</si>
  <si>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</si>
  <si>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</si>
  <si>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</si>
  <si>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</si>
  <si>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</si>
  <si>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相關（高速材料）毛利率高於其他營收的幅度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</si>
  <si>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</si>
  <si>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以上占比上升：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29.8% → 2Q26 33.9%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</si>
  <si>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毛利率改善歸因高階產品組合與滿載（富果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</si>
  <si>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尚未舉行）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</si>
  <si>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</si>
  <si>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</si>
  <si>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</si>
  <si>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</si>
  <si>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https://finance.technews.tw/2026/10/05/emc-2383-202609-financial-report/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103.7%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</si>
  <si>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803.42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201.46 </t>
    </r>
    <r>
      <rPr>
        <sz val="11"/>
        <color theme="1"/>
        <rFont val="Noto Sans CJK SC"/>
        <family val="2"/>
      </rPr>
      <t xml:space="preserve">億（財報狗）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</si>
  <si>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</si>
  <si>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</si>
  <si>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月底，日期未找到）；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月月營收 </t>
    </r>
    <r>
      <rPr>
        <sz val="11"/>
        <color theme="1"/>
        <rFont val="Calibri"/>
        <family val="2"/>
        <charset val="1"/>
      </rPr>
      <t xml:space="preserve">215.3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</si>
  <si>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萬張；崑山、中山延到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</si>
  <si>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</si>
  <si>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</si>
  <si>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35% ± 1.5%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</si>
  <si>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34.7%</t>
    </r>
    <r>
      <rPr>
        <sz val="11"/>
        <color theme="1"/>
        <rFont val="Noto Sans CJK SC"/>
        <family val="2"/>
      </rPr>
      <t xml:space="preserve">；本土投顧 </t>
    </r>
    <r>
      <rPr>
        <sz val="11"/>
        <color theme="1"/>
        <rFont val="Calibri"/>
        <family val="2"/>
        <charset val="1"/>
      </rPr>
      <t xml:space="preserve">35.08%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</si>
  <si>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</si>
  <si>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</si>
  <si>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指引；下半年不排除再漲價（公司）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</si>
  <si>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</si>
  <si>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</si>
  <si>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6.9%</t>
    </r>
    <r>
      <rPr>
        <sz val="11"/>
        <color theme="1"/>
        <rFont val="Noto Sans CJK SC"/>
        <family val="2"/>
      </rPr>
      <t xml:space="preserve">（凱基：毛利 </t>
    </r>
    <r>
      <rPr>
        <sz val="11"/>
        <color theme="1"/>
        <rFont val="Calibri"/>
        <family val="2"/>
        <charset val="1"/>
      </rPr>
      <t xml:space="preserve">160.03 −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127.34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FY2025 9.6%</t>
    </r>
    <r>
      <rPr>
        <sz val="11"/>
        <color theme="1"/>
        <rFont val="Noto Sans CJK SC"/>
        <family val="2"/>
      </rPr>
      <t xml:space="preserve">（公司）</t>
    </r>
  </si>
  <si>
    <t xml:space="preserve">營收成長快於費用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</si>
  <si>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</si>
  <si>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</si>
  <si>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（含中國政府補助 </t>
    </r>
    <r>
      <rPr>
        <sz val="11"/>
        <color theme="1"/>
        <rFont val="Calibri"/>
        <family val="2"/>
        <charset val="1"/>
      </rPr>
      <t xml:space="preserve">1.35 </t>
    </r>
    <r>
      <rPr>
        <sz val="11"/>
        <color theme="1"/>
        <rFont val="Noto Sans CJK SC"/>
        <family val="2"/>
      </rPr>
      <t xml:space="preserve">億；凱基）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</si>
  <si>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業外：未找到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</si>
  <si>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</si>
  <si>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</si>
  <si>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2Q26 98.73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127.34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</si>
  <si>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146.49 ÷ 191.08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</si>
  <si>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</si>
  <si>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</si>
  <si>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</si>
  <si>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152.13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</si>
  <si>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358.3 </t>
    </r>
    <r>
      <rPr>
        <sz val="11"/>
        <color theme="1"/>
        <rFont val="Noto Sans CJK SC"/>
        <family val="2"/>
      </rPr>
      <t xml:space="preserve">百萬股；現金股利 </t>
    </r>
    <r>
      <rPr>
        <sz val="11"/>
        <color theme="1"/>
        <rFont val="Calibri"/>
        <family val="2"/>
        <charset val="1"/>
      </rPr>
      <t xml:space="preserve">89.6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</si>
  <si>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</si>
  <si>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</si>
  <si>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</si>
  <si>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</si>
  <si>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+55%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（擴產期，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</si>
  <si>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</si>
  <si>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</si>
  <si>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</si>
  <si>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個百分點（台光電營業費用率約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</si>
  <si>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</si>
  <si>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</si>
  <si>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（凱基）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</si>
  <si>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</si>
  <si>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</si>
  <si>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</si>
  <si>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</si>
  <si>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</si>
  <si>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1H26 358.3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351.5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</si>
  <si>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</si>
  <si>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</si>
  <si>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</si>
  <si>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</si>
  <si>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共識、研調與市場資料（只作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</si>
  <si>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</si>
  <si>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</si>
  <si>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https://www.kgi.com.hk/zh-hk/-/media/files/kgishk/research-reports/tw-reports/emc-2383-tt20260729en.pdf</t>
  </si>
  <si>
    <t xml:space="preserve">b_eps26k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</si>
  <si>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</si>
  <si>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</si>
  <si>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b_eps26c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</si>
  <si>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</si>
  <si>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共識來源（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或其他）未載明</t>
    </r>
  </si>
  <si>
    <t xml:space="preserve">b_eps26l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</si>
  <si>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</si>
  <si>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https://www.mirrormedia.mg/external/setn_1915172</t>
    </r>
    <r>
      <rPr>
        <sz val="11"/>
        <color theme="1"/>
        <rFont val="Noto Sans CJK SC"/>
        <family val="2"/>
      </rPr>
      <t xml:space="preserve">（三立轉載，未具名本土投顧）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</si>
  <si>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</si>
  <si>
    <t xml:space="preserve">b_rev27k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</si>
  <si>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</si>
  <si>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b_rev27l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</si>
  <si>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</si>
  <si>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https://www.mirrormedia.mg/external/setn_1915172</t>
  </si>
  <si>
    <t xml:space="preserve">b_eps27k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</si>
  <si>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</si>
  <si>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7,625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</si>
  <si>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b_eps27c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</si>
  <si>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</si>
  <si>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b_eps27l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</si>
  <si>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</si>
  <si>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6,145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</si>
  <si>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ms_rev28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</si>
  <si>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</si>
  <si>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</si>
  <si>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942.61 </t>
    </r>
    <r>
      <rPr>
        <sz val="11"/>
        <color theme="1"/>
        <rFont val="Noto Sans CJK SC"/>
        <family val="2"/>
      </rPr>
      <t xml:space="preserve">億推算</t>
    </r>
  </si>
  <si>
    <t xml:space="preserve">ms_eps28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</si>
  <si>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8,400 ÷ 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）</t>
    </r>
  </si>
  <si>
    <t xml:space="preserve">https://www.itiger.com/news/1142209073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</si>
  <si>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（同上）</t>
    </r>
  </si>
  <si>
    <t xml:space="preserve">hs_sh25</t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</si>
  <si>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</si>
  <si>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（公司轉述 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</si>
  <si>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</si>
  <si>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hs_sh25c</t>
  </si>
  <si>
    <r>
      <rPr>
        <sz val="11"/>
        <color theme="1"/>
        <rFont val="Noto Sans CJK SC"/>
        <family val="2"/>
      </rPr>
      <t xml:space="preserve">公司自估：高速材料市占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</si>
  <si>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https://blog.fugle.tw/post/earnings-call-2383-2026-03-12</t>
    </r>
    <r>
      <rPr>
        <sz val="11"/>
        <color theme="1"/>
        <rFont val="Noto Sans CJK SC"/>
        <family val="2"/>
      </rPr>
      <t xml:space="preserve">（「超過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</si>
  <si>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利基市場（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、高速、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伺服器、交換器、低軌衛星）多數超過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</si>
  <si>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</si>
  <si>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</si>
  <si>
    <t xml:space="preserve">US$</t>
  </si>
  <si>
    <r>
      <rPr>
        <sz val="11"/>
        <color theme="1"/>
        <rFont val="Calibri"/>
        <family val="2"/>
        <charset val="1"/>
      </rPr>
      <t xml:space="preserve">VR200 18,750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VR300 35,601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</si>
  <si>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</si>
  <si>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</t>
    </r>
  </si>
  <si>
    <t xml:space="preserve">sht_gb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</si>
  <si>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</si>
  <si>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t xml:space="preserve">張</t>
  </si>
  <si>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（源達證券測算）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</si>
  <si>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張</t>
    </r>
  </si>
  <si>
    <t xml:space="preserve">sht_vr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</si>
  <si>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</t>
    </r>
  </si>
  <si>
    <t xml:space="preserve">https://finance.sina.cn/2026-09-28/detail-initkarh2920455.d.html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</si>
  <si>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</si>
  <si>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</si>
  <si>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</si>
  <si>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14:30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</si>
  <si>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</si>
  <si>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</si>
  <si>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</si>
  <si>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股市、財報狗（近四季 </t>
    </r>
    <r>
      <rPr>
        <sz val="11"/>
        <color theme="1"/>
        <rFont val="Calibri"/>
        <family val="2"/>
        <charset val="1"/>
      </rPr>
      <t xml:space="preserve">EPS 63.95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</si>
  <si>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79.28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</si>
  <si>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為新台幣；股數為十億股）。藍字＝輸入；黑字＝公式。實績取自台光電法說（經轉述）、券商整理的季報數字與月營收公告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</si>
  <si>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1.7863</t>
    </r>
    <r>
      <rPr>
        <sz val="11"/>
        <color theme="1"/>
        <rFont val="Noto Sans CJK SC"/>
        <family val="2"/>
      </rPr>
      <t xml:space="preserve">；玩股網單季營業利益季增 </t>
    </r>
    <r>
      <rPr>
        <sz val="11"/>
        <color theme="1"/>
        <rFont val="Calibri"/>
        <family val="2"/>
        <charset val="1"/>
      </rPr>
      <t xml:space="preserve">78.63%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的業外、稅前利益：未找到。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</si>
  <si>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</si>
  <si>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</si>
  <si>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</si>
  <si>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</si>
  <si>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</si>
  <si>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</si>
  <si>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</si>
  <si>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年報數字、</t>
    </r>
    <r>
      <rPr>
        <sz val="11"/>
        <color theme="1"/>
        <rFont val="Calibri"/>
        <family val="2"/>
        <charset val="1"/>
      </rPr>
      <t xml:space="preserve">uanalyze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https://www.kgi.com.hk/zh-hk/-/media/files/kgishk/research-reports/tw-reports/emc-2383-tt20260729en.pdf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</si>
  <si>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Noto Sans CJK SC"/>
        <family val="2"/>
      </rPr>
      <t xml:space="preserve">億（同值）；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富果：</t>
    </r>
    <r>
      <rPr>
        <sz val="11"/>
        <color theme="1"/>
        <rFont val="Calibri"/>
        <family val="2"/>
        <charset val="1"/>
      </rPr>
      <t xml:space="preserve">2Q26 472.7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</si>
  <si>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</si>
  <si>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</si>
  <si>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160.03 </t>
    </r>
    <r>
      <rPr>
        <sz val="11"/>
        <color theme="1"/>
        <rFont val="Noto Sans CJK SC"/>
        <family val="2"/>
      </rPr>
      <t xml:space="preserve">億（凱基）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</si>
  <si>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</si>
  <si>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29.8%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2Q26 33.9%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</si>
  <si>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</si>
  <si>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</si>
  <si>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</si>
  <si>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</si>
  <si>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</si>
  <si>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20.3%</t>
    </r>
    <r>
      <rPr>
        <sz val="11"/>
        <color theme="1"/>
        <rFont val="Noto Sans CJK SC"/>
        <family val="2"/>
      </rPr>
      <t xml:space="preserve">（富果）；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億（凱基）；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由玩股網季增率反推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</si>
  <si>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</si>
  <si>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2Q26 26.9%</t>
    </r>
    <r>
      <rPr>
        <sz val="11"/>
        <color theme="1"/>
        <rFont val="Noto Sans CJK SC"/>
        <family val="2"/>
      </rPr>
      <t xml:space="preserve">（凱基）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</si>
  <si>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</si>
  <si>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</si>
  <si>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</si>
  <si>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</si>
  <si>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</si>
  <si>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uanalyze 146.5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2Q26 98.73 </t>
    </r>
    <r>
      <rPr>
        <sz val="11"/>
        <color theme="1"/>
        <rFont val="Noto Sans CJK SC"/>
        <family val="2"/>
      </rPr>
      <t xml:space="preserve">億（凱基）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</si>
  <si>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</si>
  <si>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</si>
  <si>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為加權平均）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</si>
  <si>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</si>
  <si>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</si>
  <si>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</si>
  <si>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14.90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udn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</si>
  <si>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</si>
  <si>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</si>
  <si>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</si>
  <si>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</si>
  <si>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</si>
  <si>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通用伺服器、低軌衛星、手持（手機、筆電、記憶體模組）、車用與工業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</si>
  <si>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</si>
  <si>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</si>
  <si>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</si>
  <si>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</si>
  <si>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</si>
  <si>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</si>
  <si>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營收季增（實績；公司指引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</si>
  <si>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472.75 </t>
    </r>
    <r>
      <rPr>
        <sz val="11"/>
        <color theme="1"/>
        <rFont val="Noto Sans CJK SC"/>
        <family val="2"/>
      </rPr>
      <t xml:space="preserve">億＝上半年 </t>
    </r>
    <r>
      <rPr>
        <sz val="11"/>
        <color theme="1"/>
        <rFont val="Calibri"/>
        <family val="2"/>
        <charset val="1"/>
      </rPr>
      <t xml:space="preserve">803.42 − 1Q26 330.7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</si>
  <si>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金額（加速器／運算板、交換器板、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／中板）、台光電份額與產能（本專案權威，規則第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</si>
  <si>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</si>
  <si>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</si>
  <si>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</si>
  <si>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</si>
  <si>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</si>
  <si>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</si>
  <si>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</si>
  <si>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</si>
  <si>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</si>
  <si>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</si>
  <si>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</si>
  <si>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</si>
  <si>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</si>
  <si>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</si>
  <si>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</si>
  <si>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</si>
  <si>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US$18.75K</t>
    </r>
    <r>
      <rPr>
        <sz val="11"/>
        <color theme="1"/>
        <rFont val="Noto Sans CJK SC"/>
        <family val="2"/>
      </rPr>
      <t xml:space="preserve">（口徑較窄）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</si>
  <si>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</si>
  <si>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</si>
  <si>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台光電有效份額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</si>
  <si>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</si>
  <si>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</si>
  <si>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</si>
  <si>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</si>
  <si>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</si>
  <si>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</si>
  <si>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</si>
  <si>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</si>
  <si>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</si>
  <si>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</si>
  <si>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</si>
  <si>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（台燿、斗山、生益、松下等）＝ 市場 − 台光電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</si>
  <si>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</si>
  <si>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年需求面高於產能時，營收由月產能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每張營收決定，擴產進度與 </t>
    </r>
    <r>
      <rPr>
        <b val="true"/>
        <sz val="11"/>
        <rFont val="Cambria"/>
        <family val="0"/>
        <charset val="1"/>
      </rPr>
      <t xml:space="preserve">M9 </t>
    </r>
    <r>
      <rPr>
        <b val="true"/>
        <sz val="11"/>
        <rFont val="Noto Sans CJK SC"/>
        <family val="2"/>
      </rPr>
      <t xml:space="preserve">組合比需求更關鍵。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</si>
  <si>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台光電損益（十億新台幣；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</si>
  <si>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</si>
  <si>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</si>
  <si>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</si>
  <si>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</si>
  <si>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</si>
  <si>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</si>
  <si>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</si>
  <si>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</si>
  <si>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</si>
  <si>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</si>
  <si>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</si>
  <si>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</si>
  <si>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</si>
  <si>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</si>
  <si>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</si>
  <si>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</si>
  <si>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</si>
  <si>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</si>
  <si>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</si>
  <si>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</si>
  <si>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</si>
  <si>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</si>
  <si>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</si>
  <si>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</si>
  <si>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</si>
  <si>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</si>
  <si>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</si>
  <si>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台光電有效份額（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</si>
  <si>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</si>
  <si>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</si>
  <si>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</si>
  <si>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</si>
  <si>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</si>
  <si>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（膠片）與所有等級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</si>
  <si>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</si>
  <si>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</si>
  <si>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</si>
  <si>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</si>
  <si>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</si>
  <si>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</si>
  <si>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</si>
  <si>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</si>
  <si>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</si>
  <si>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</si>
  <si>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</si>
  <si>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</si>
  <si>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</si>
  <si>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</si>
  <si>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</si>
  <si>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</si>
  <si>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</si>
  <si>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</si>
  <si>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</si>
  <si>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</si>
  <si>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</si>
  <si>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</si>
  <si>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循環位置：台光電不是設備股，不套設備市場見頂年；以本模型營收最高的會計年度為見頂年（比照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</si>
  <si>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</si>
  <si>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</si>
  <si>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</si>
  <si>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</si>
  <si>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</si>
  <si>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</si>
  <si>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</si>
  <si>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</si>
  <si>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</si>
  <si>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</si>
  <si>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</si>
  <si>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</si>
  <si>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</si>
  <si>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</si>
  <si>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</si>
  <si>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</si>
  <si>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</si>
  <si>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</si>
  <si>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</si>
  <si>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</si>
  <si>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</si>
  <si>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</si>
  <si>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</si>
  <si>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</si>
  <si>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</si>
  <si>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</si>
  <si>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</si>
  <si>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</si>
  <si>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</si>
  <si>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</si>
  <si>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</si>
  <si>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</si>
  <si>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</si>
  <si>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</si>
  <si>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</si>
  <si>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，兩者與採用值同量級，只作核對。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年台光電以手機、筆電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材料為主（約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</si>
  <si>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</si>
  <si>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</si>
  <si>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收盤、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nstock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</si>
  <si>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</si>
  <si>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</si>
  <si>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</si>
  <si>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</si>
  <si>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</si>
  <si>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</si>
  <si>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</si>
  <si>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</si>
  <si>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</si>
  <si>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</si>
  <si>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</si>
  <si>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</si>
  <si>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</si>
  <si>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</si>
  <si>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</si>
  <si>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</si>
  <si>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</si>
  <si>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</si>
  <si>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</si>
  <si>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</si>
  <si>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</si>
  <si>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</si>
  <si>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</si>
  <si>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</si>
  <si>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</si>
  <si>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</si>
  <si>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</si>
  <si>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</si>
  <si>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</si>
  <si>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</si>
  <si>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</si>
  <si>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</si>
  <si>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</si>
  <si>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</si>
  <si>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</si>
  <si>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</si>
  <si>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</si>
  <si>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</si>
  <si>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券商估計、研調份額與每架內容。只作事後對照，不為對上數字而調參數。券商多為單一來源；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</si>
  <si>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</si>
  <si>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</si>
  <si>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</si>
  <si>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</si>
  <si>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</si>
  <si>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</si>
  <si>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</si>
  <si>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</si>
  <si>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</si>
  <si>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</si>
  <si>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</si>
  <si>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608.9 </t>
    </r>
    <r>
      <rPr>
        <sz val="11"/>
        <color theme="1"/>
        <rFont val="Noto Sans CJK SC"/>
        <family val="2"/>
      </rPr>
      <t xml:space="preserve">億，高於凱基 </t>
    </r>
    <r>
      <rPr>
        <sz val="11"/>
        <color theme="1"/>
        <rFont val="Calibri"/>
        <family val="2"/>
        <charset val="1"/>
      </rPr>
      <t xml:space="preserve">556.0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</si>
  <si>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</si>
  <si>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</si>
  <si>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t xml:space="preserve">凱基報告所列共識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</si>
  <si>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</si>
  <si>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</si>
  <si>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</si>
  <si>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</si>
  <si>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</si>
  <si>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</si>
  <si>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</si>
  <si>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</si>
  <si>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三個來源區間 </t>
    </r>
    <r>
      <rPr>
        <sz val="11"/>
        <color theme="1"/>
        <rFont val="Calibri"/>
        <family val="2"/>
        <charset val="1"/>
      </rPr>
      <t xml:space="preserve">190.6–204.9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</si>
  <si>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隱含（複合成長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</si>
  <si>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</t>
    </r>
  </si>
  <si>
    <t xml:space="preserve">由成長率推算，非原文數字</t>
  </si>
  <si>
    <r>
      <rPr>
        <sz val="11"/>
        <color theme="1"/>
        <rFont val="Calibri"/>
        <family val="2"/>
        <charset val="1"/>
      </rPr>
      <t xml:space="preserve">FY2028 EPS vs Morgan Stanley </t>
    </r>
    <r>
      <rPr>
        <sz val="11"/>
        <color theme="1"/>
        <rFont val="Noto Sans CJK SC"/>
        <family val="2"/>
      </rPr>
      <t xml:space="preserve">隱含（目標價 </t>
    </r>
    <r>
      <rPr>
        <sz val="11"/>
        <color theme="1"/>
        <rFont val="Calibri"/>
        <family val="2"/>
        <charset val="1"/>
      </rPr>
      <t xml:space="preserve">÷ 20 </t>
    </r>
    <r>
      <rPr>
        <sz val="11"/>
        <color theme="1"/>
        <rFont val="Noto Sans CJK SC"/>
        <family val="2"/>
      </rPr>
      <t xml:space="preserve">倍）</t>
    </r>
  </si>
  <si>
    <t xml:space="preserve">由目標價推算，非原文數字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</si>
  <si>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</si>
  <si>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</si>
  <si>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（公司轉述）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</si>
  <si>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），不含非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</si>
  <si>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公司自估（超過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</si>
  <si>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</si>
  <si>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</si>
  <si>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18,750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</si>
  <si>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</si>
  <si>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每架張數換算</t>
    </r>
  </si>
  <si>
    <r>
      <rPr>
        <sz val="11"/>
        <color theme="1"/>
        <rFont val="Noto Sans CJK SC"/>
        <family val="2"/>
      </rPr>
      <t xml:space="preserve">源達證券：每架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 →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</t>
    </r>
  </si>
  <si>
    <r>
      <rPr>
        <sz val="11"/>
        <color theme="1"/>
        <rFont val="Noto Sans CJK SC"/>
        <family val="2"/>
      </rPr>
      <t xml:space="preserve">張數不含材料等級升級（</t>
    </r>
    <r>
      <rPr>
        <sz val="11"/>
        <color theme="1"/>
        <rFont val="Calibri"/>
        <family val="2"/>
        <charset val="1"/>
      </rPr>
      <t xml:space="preserve">M8 → M9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</si>
  <si>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Morgan Stanley VR200 </t>
    </r>
    <r>
      <rPr>
        <sz val="11"/>
        <color theme="1"/>
        <rFont val="Noto Sans CJK SC"/>
        <family val="2"/>
      </rPr>
      <t xml:space="preserve">每架</t>
    </r>
  </si>
  <si>
    <t xml:space="preserve">Morgan Stanley</t>
  </si>
  <si>
    <r>
      <rPr>
        <sz val="11"/>
        <color theme="1"/>
        <rFont val="Noto Sans CJK SC"/>
        <family val="2"/>
      </rPr>
      <t xml:space="preserve">本模型含交換器（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口徑較窄（未載明），差距不具意義，不列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</si>
  <si>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</si>
  <si>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</si>
  <si>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</si>
  <si>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</si>
  <si>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</si>
  <si>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頁）；漲價與 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組合使每張營收倍增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</si>
  <si>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</si>
  <si>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</si>
  <si>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</si>
  <si>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</si>
  <si>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</si>
  <si>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</si>
  <si>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</si>
  <si>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</si>
  <si>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</si>
  <si>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</si>
  <si>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</si>
  <si>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；有效份額、每張營收、其他營收毛利率在每個案例內依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</si>
  <si>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</si>
  <si>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</si>
  <si>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</si>
  <si>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</si>
  <si>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</si>
  <si>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</si>
  <si>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</si>
  <si>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</si>
  <si>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</si>
  <si>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</si>
  <si>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</si>
  <si>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</si>
  <si>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</si>
  <si>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</si>
  <si>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</si>
  <si>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</si>
  <si>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1.70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</si>
  <si>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</si>
  <si>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</si>
  <si>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</si>
  <si>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2027 2.50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</si>
  <si>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</si>
  <si>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（台燿、斗山、生益追趕）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</si>
  <si>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</si>
  <si>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</si>
  <si>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</si>
  <si>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</si>
  <si>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</si>
  <si>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</si>
  <si>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</si>
  <si>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2029 11.1 </t>
    </r>
    <r>
      <rPr>
        <sz val="11"/>
        <color theme="1"/>
        <rFont val="Noto Sans CJK SC"/>
        <family val="2"/>
      </rPr>
      <t xml:space="preserve">百萬張</t>
    </r>
  </si>
  <si>
    <t xml:space="preserve">擴產提前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</si>
  <si>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2029 13.0 </t>
    </r>
    <r>
      <rPr>
        <sz val="11"/>
        <color theme="1"/>
        <rFont val="Noto Sans CJK SC"/>
        <family val="2"/>
      </rPr>
      <t xml:space="preserve">百萬張</t>
    </r>
  </si>
  <si>
    <t xml:space="preserve">每張組合升級 慢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</si>
  <si>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2029 1.20</t>
    </r>
  </si>
  <si>
    <t xml:space="preserve">每張組合升級 快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</si>
  <si>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2029 1.85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</si>
  <si>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</si>
  <si>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</si>
  <si>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</si>
  <si>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</si>
  <si>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</si>
  <si>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</si>
  <si>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</si>
  <si>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</si>
  <si>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</si>
  <si>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</si>
  <si>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</si>
  <si>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</si>
  <si>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</si>
  <si>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</si>
  <si>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</si>
  <si>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</si>
  <si>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部署）對營收的影響被產能上限截斷，只有產能與每張組合指數會改變營收；價格指數同時改變產能上限營收與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</si>
  <si>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</si>
  <si>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</si>
  <si>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</si>
  <si>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</si>
  <si>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</si>
  <si>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</si>
  <si>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</si>
  <si>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</si>
  <si>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</si>
  <si>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</si>
  <si>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慢（情境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</si>
  <si>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</si>
  <si>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</si>
  <si>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</si>
  <si>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</si>
  <si>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</si>
  <si>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</si>
  <si>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</si>
  <si>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來源（公司原文＝台光電法說，經富果、</t>
    </r>
    <r>
      <rPr>
        <b val="true"/>
        <sz val="11"/>
        <rFont val="Cambria"/>
        <family val="0"/>
        <charset val="1"/>
      </rPr>
      <t xml:space="preserve">uanalyze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udn </t>
    </r>
    <r>
      <rPr>
        <b val="true"/>
        <sz val="11"/>
        <rFont val="Noto Sans CJK SC"/>
        <family val="2"/>
      </rPr>
      <t xml:space="preserve">轉述；季報細項取自凱基整理；券商與研調皆為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</si>
  <si>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、產品組合、擴產、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、漲價、份額）</t>
    </r>
  </si>
  <si>
    <t xml:space="preserve">https://blog.fugle.tw/post/earnings-call-2383-2026-03-12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</si>
  <si>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指引、基礎設施占比、產能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</si>
  <si>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https://blog.fugle.tw/post/earnings-call-2383-2026-08-27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</si>
  <si>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</si>
  <si>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https://uanalyze.com.tw/articles/9219952430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</si>
  <si>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億、股利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元）</t>
    </r>
  </si>
  <si>
    <t xml:space="preserve">https://uanalyze.com.tw/articles/5965248827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</si>
  <si>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udn 1Q26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53.4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14.9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</si>
  <si>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https://udn.com/news/story/7253/9472499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</si>
  <si>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</si>
  <si>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https://finance.technews.tw/2026/10/05/emc-2383-202609-financial-report/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</si>
  <si>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損益細項、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預估、共識、產品組合、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以上占比）</t>
    </r>
  </si>
  <si>
    <r>
      <rPr>
        <sz val="11"/>
        <color theme="1"/>
        <rFont val="Noto Sans CJK SC"/>
        <family val="2"/>
      </rPr>
      <t xml:space="preserve">券商：三立／鏡週刊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、產能路徑、高階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供需）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</si>
  <si>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／老虎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每架金額、</t>
    </r>
    <r>
      <rPr>
        <sz val="11"/>
        <color theme="1"/>
        <rFont val="Calibri"/>
        <family val="2"/>
        <charset val="1"/>
      </rPr>
      <t xml:space="preserve">TAM</t>
    </r>
    <r>
      <rPr>
        <sz val="11"/>
        <color theme="1"/>
        <rFont val="Noto Sans CJK SC"/>
        <family val="2"/>
      </rPr>
      <t xml:space="preserve">、台光電成長率與目標價）</t>
    </r>
  </si>
  <si>
    <r>
      <rPr>
        <sz val="11"/>
        <color theme="1"/>
        <rFont val="Noto Sans CJK SC"/>
        <family val="2"/>
      </rPr>
      <t xml:space="preserve">研調：源達證券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（新浪轉載；每架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張數、板層數、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</si>
  <si>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</si>
  <si>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https://tw.stock.yahoo.com/quote/2383.TW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</si>
  <si>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</si>
  <si>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https://finance.yahoo.com/quote/2383.TW/history/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</si>
  <si>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、月本益比；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年度財報與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</si>
  <si>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https://histock.tw/stock/2383/%E6%9C%AC%E7%9B%8A%E6%AF%94</t>
  </si>
  <si>
    <r>
      <rPr>
        <sz val="11"/>
        <color theme="1"/>
        <rFont val="Noto Sans CJK SC"/>
        <family val="2"/>
      </rPr>
      <t xml:space="preserve">資料商：玩股網（單季營業利益季增率，用於拆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營業利益）</t>
    </r>
  </si>
  <si>
    <t xml:space="preserve">https://www.wantgoo.com/stock/2383/enterprise-growth/operating-profit-margin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</si>
  <si>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</si>
  <si>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月上旬）；法說原文（公司網站）；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業外；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）；每張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</si>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</sst>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"/>
    <numFmt numFmtId="166" formatCode="0.0%"/>
    <numFmt numFmtId="167" formatCode="0.00"/>
    <numFmt numFmtId="168" formatCode="0.0"/>
    <numFmt numFmtId="169" formatCode="#,##0"/>
    <numFmt numFmtId="170" formatCode="#,##0.0"/>
    <numFmt numFmtId="171" formatCode="#,##0.00"/>
    <numFmt numFmtId="172" formatCode="0.00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3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5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6" t="n">
        <v>781.872916666667</v>
      </c>
      <c r="G5" s="7" t="s">
        <v>28</v>
      </c>
      <c r="H5" s="7" t="s">
        <v>29</v>
      </c>
      <c r="I5" s="3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6" t="n">
        <v>1565.35</v>
      </c>
      <c r="G6" s="7" t="s">
        <v>28</v>
      </c>
      <c r="H6" s="7" t="s">
        <v>29</v>
      </c>
      <c r="I6" s="3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6" t="n">
        <v>1984.26388888889</v>
      </c>
      <c r="G7" s="7" t="s">
        <v>28</v>
      </c>
      <c r="H7" s="7" t="s">
        <v>29</v>
      </c>
      <c r="I7" s="3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6" t="n">
        <v>2260.39027777778</v>
      </c>
      <c r="G8" s="7" t="s">
        <v>28</v>
      </c>
      <c r="H8" s="7" t="s">
        <v>29</v>
      </c>
      <c r="I8" s="3" t="s">
        <v>33</v>
      </c>
    </row>
    <row r="9" customFormat="false" ht="17.15" hidden="false" customHeight="false" outlineLevel="0" collapsed="false">
      <c r="A9" s="0" t="s">
        <v>38</v>
      </c>
      <c r="B9" s="3" t="s">
        <v>39</v>
      </c>
      <c r="C9" s="0" t="s">
        <v>27</v>
      </c>
      <c r="E9" s="6" t="n">
        <v>32.237224</v>
      </c>
      <c r="G9" s="7" t="s">
        <v>28</v>
      </c>
      <c r="H9" s="7" t="s">
        <v>40</v>
      </c>
      <c r="I9" s="7" t="s">
        <v>41</v>
      </c>
    </row>
    <row r="10" customFormat="false" ht="17.15" hidden="false" customHeight="false" outlineLevel="0" collapsed="false">
      <c r="A10" s="0" t="s">
        <v>42</v>
      </c>
      <c r="B10" s="3" t="s">
        <v>43</v>
      </c>
      <c r="C10" s="0" t="s">
        <v>27</v>
      </c>
      <c r="E10" s="6" t="n">
        <v>37.586352</v>
      </c>
      <c r="G10" s="7" t="s">
        <v>28</v>
      </c>
      <c r="H10" s="7" t="s">
        <v>40</v>
      </c>
      <c r="I10" s="3" t="s">
        <v>44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47</v>
      </c>
      <c r="D11" s="6" t="n">
        <v>0.15</v>
      </c>
      <c r="E11" s="6" t="n">
        <v>0.22</v>
      </c>
      <c r="F11" s="6" t="n">
        <v>0.3</v>
      </c>
      <c r="G11" s="7" t="s">
        <v>48</v>
      </c>
      <c r="H11" s="7" t="s">
        <v>49</v>
      </c>
      <c r="I11" s="3" t="s">
        <v>50</v>
      </c>
    </row>
    <row r="12" customFormat="false" ht="17.15" hidden="false" customHeight="false" outlineLevel="0" collapsed="false">
      <c r="A12" s="0" t="s">
        <v>51</v>
      </c>
      <c r="B12" s="3" t="s">
        <v>52</v>
      </c>
      <c r="C12" s="3" t="s">
        <v>53</v>
      </c>
      <c r="E12" s="6" t="n">
        <v>6764</v>
      </c>
      <c r="G12" s="7" t="s">
        <v>28</v>
      </c>
      <c r="H12" s="7" t="s">
        <v>54</v>
      </c>
      <c r="I12" s="7" t="s">
        <v>55</v>
      </c>
    </row>
    <row r="13" customFormat="false" ht="17.15" hidden="false" customHeight="false" outlineLevel="0" collapsed="false">
      <c r="A13" s="0" t="s">
        <v>56</v>
      </c>
      <c r="B13" s="3" t="s">
        <v>57</v>
      </c>
      <c r="C13" s="3" t="s">
        <v>53</v>
      </c>
      <c r="E13" s="6" t="n">
        <v>4052</v>
      </c>
      <c r="G13" s="7" t="s">
        <v>28</v>
      </c>
      <c r="H13" s="7" t="s">
        <v>54</v>
      </c>
      <c r="I13" s="3" t="s">
        <v>33</v>
      </c>
    </row>
    <row r="14" customFormat="false" ht="17.15" hidden="false" customHeight="false" outlineLevel="0" collapsed="false">
      <c r="A14" s="0" t="s">
        <v>58</v>
      </c>
      <c r="B14" s="3" t="s">
        <v>59</v>
      </c>
      <c r="C14" s="0" t="s">
        <v>60</v>
      </c>
      <c r="E14" s="6" t="n">
        <v>1</v>
      </c>
      <c r="G14" s="7" t="s">
        <v>61</v>
      </c>
      <c r="H14" s="7" t="s">
        <v>62</v>
      </c>
      <c r="I14" s="7" t="s">
        <v>63</v>
      </c>
    </row>
    <row r="15" customFormat="false" ht="17.15" hidden="false" customHeight="false" outlineLevel="0" collapsed="false">
      <c r="A15" s="0" t="s">
        <v>64</v>
      </c>
      <c r="B15" s="3" t="s">
        <v>65</v>
      </c>
      <c r="C15" s="0" t="s">
        <v>60</v>
      </c>
      <c r="E15" s="6" t="n">
        <v>1</v>
      </c>
      <c r="G15" s="7" t="s">
        <v>61</v>
      </c>
      <c r="H15" s="7" t="s">
        <v>66</v>
      </c>
      <c r="I15" s="3" t="s">
        <v>33</v>
      </c>
    </row>
    <row r="16" customFormat="false" ht="17.15" hidden="false" customHeight="false" outlineLevel="0" collapsed="false">
      <c r="A16" s="0" t="s">
        <v>67</v>
      </c>
      <c r="B16" s="3" t="s">
        <v>68</v>
      </c>
      <c r="C16" s="0" t="s">
        <v>60</v>
      </c>
      <c r="E16" s="6" t="n">
        <v>0.8</v>
      </c>
      <c r="G16" s="7" t="s">
        <v>61</v>
      </c>
      <c r="H16" s="7" t="s">
        <v>69</v>
      </c>
      <c r="I16" s="7" t="s">
        <v>63</v>
      </c>
    </row>
    <row r="17" customFormat="false" ht="17.15" hidden="false" customHeight="false" outlineLevel="0" collapsed="false">
      <c r="A17" s="0" t="s">
        <v>70</v>
      </c>
      <c r="B17" s="3" t="s">
        <v>71</v>
      </c>
      <c r="C17" s="0" t="s">
        <v>60</v>
      </c>
      <c r="E17" s="6" t="n">
        <v>0.85</v>
      </c>
      <c r="G17" s="7" t="s">
        <v>61</v>
      </c>
      <c r="H17" s="7" t="s">
        <v>72</v>
      </c>
      <c r="I17" s="3" t="s">
        <v>33</v>
      </c>
    </row>
    <row r="18" customFormat="false" ht="17.15" hidden="false" customHeight="false" outlineLevel="0" collapsed="false">
      <c r="A18" s="0" t="s">
        <v>73</v>
      </c>
      <c r="B18" s="3" t="s">
        <v>74</v>
      </c>
      <c r="C18" s="0" t="s">
        <v>60</v>
      </c>
      <c r="E18" s="6" t="n">
        <v>0.6</v>
      </c>
      <c r="G18" s="7" t="s">
        <v>61</v>
      </c>
      <c r="H18" s="7" t="s">
        <v>75</v>
      </c>
      <c r="I18" s="7" t="s">
        <v>63</v>
      </c>
    </row>
    <row r="19" customFormat="false" ht="17.15" hidden="false" customHeight="false" outlineLevel="0" collapsed="false">
      <c r="A19" s="0" t="s">
        <v>76</v>
      </c>
      <c r="B19" s="3" t="s">
        <v>77</v>
      </c>
      <c r="C19" s="0" t="s">
        <v>60</v>
      </c>
      <c r="E19" s="6" t="n">
        <v>0.6</v>
      </c>
      <c r="G19" s="7" t="s">
        <v>61</v>
      </c>
      <c r="H19" s="7" t="s">
        <v>78</v>
      </c>
      <c r="I19" s="3" t="s">
        <v>33</v>
      </c>
    </row>
    <row r="20" customFormat="false" ht="17.15" hidden="false" customHeight="false" outlineLevel="0" collapsed="false">
      <c r="A20" s="0" t="s">
        <v>79</v>
      </c>
      <c r="B20" s="3" t="s">
        <v>80</v>
      </c>
      <c r="C20" s="0" t="s">
        <v>81</v>
      </c>
      <c r="D20" s="6" t="n">
        <v>30.5</v>
      </c>
      <c r="E20" s="6" t="n">
        <v>32</v>
      </c>
      <c r="F20" s="6" t="n">
        <v>33</v>
      </c>
      <c r="G20" s="7" t="s">
        <v>28</v>
      </c>
      <c r="H20" s="3" t="s">
        <v>82</v>
      </c>
      <c r="I20" s="7" t="s">
        <v>83</v>
      </c>
    </row>
    <row r="21" customFormat="false" ht="17.15" hidden="false" customHeight="false" outlineLevel="0" collapsed="false">
      <c r="A21" s="5" t="s">
        <v>84</v>
      </c>
    </row>
    <row r="22" customFormat="false" ht="17.15" hidden="false" customHeight="false" outlineLevel="0" collapsed="false">
      <c r="A22" s="0" t="s">
        <v>85</v>
      </c>
      <c r="B22" s="3" t="s">
        <v>86</v>
      </c>
      <c r="C22" s="0" t="s">
        <v>87</v>
      </c>
      <c r="D22" s="6" t="n">
        <v>130</v>
      </c>
      <c r="E22" s="6" t="n">
        <v>190</v>
      </c>
      <c r="F22" s="6" t="n">
        <v>250</v>
      </c>
      <c r="G22" s="7" t="s">
        <v>61</v>
      </c>
      <c r="H22" s="3" t="s">
        <v>88</v>
      </c>
      <c r="I22" s="7" t="s">
        <v>89</v>
      </c>
    </row>
    <row r="23" customFormat="false" ht="17.15" hidden="false" customHeight="false" outlineLevel="0" collapsed="false">
      <c r="A23" s="0" t="s">
        <v>90</v>
      </c>
      <c r="B23" s="3" t="s">
        <v>91</v>
      </c>
      <c r="C23" s="0" t="s">
        <v>87</v>
      </c>
      <c r="D23" s="6" t="n">
        <v>60</v>
      </c>
      <c r="E23" s="6" t="n">
        <v>90</v>
      </c>
      <c r="F23" s="6" t="n">
        <v>120</v>
      </c>
      <c r="G23" s="7" t="s">
        <v>61</v>
      </c>
      <c r="H23" s="3" t="s">
        <v>92</v>
      </c>
      <c r="I23" s="7" t="s">
        <v>93</v>
      </c>
    </row>
    <row r="24" customFormat="false" ht="17.15" hidden="false" customHeight="false" outlineLevel="0" collapsed="false">
      <c r="A24" s="0" t="s">
        <v>94</v>
      </c>
      <c r="B24" s="3" t="s">
        <v>95</v>
      </c>
      <c r="C24" s="0" t="s">
        <v>87</v>
      </c>
      <c r="D24" s="6" t="n">
        <v>40</v>
      </c>
      <c r="E24" s="6" t="n">
        <v>70</v>
      </c>
      <c r="F24" s="6" t="n">
        <v>100</v>
      </c>
      <c r="G24" s="7" t="s">
        <v>61</v>
      </c>
      <c r="H24" s="3" t="s">
        <v>96</v>
      </c>
      <c r="I24" s="7" t="s">
        <v>97</v>
      </c>
    </row>
    <row r="25" customFormat="false" ht="17.15" hidden="false" customHeight="false" outlineLevel="0" collapsed="false">
      <c r="A25" s="0" t="s">
        <v>98</v>
      </c>
      <c r="B25" s="3" t="s">
        <v>99</v>
      </c>
      <c r="C25" s="0" t="s">
        <v>60</v>
      </c>
      <c r="D25" s="6" t="n">
        <v>1.2</v>
      </c>
      <c r="E25" s="6" t="n">
        <v>1.45</v>
      </c>
      <c r="F25" s="6" t="n">
        <v>1.8</v>
      </c>
      <c r="G25" s="7" t="s">
        <v>100</v>
      </c>
      <c r="H25" s="3" t="s">
        <v>101</v>
      </c>
      <c r="I25" s="7" t="s">
        <v>102</v>
      </c>
    </row>
    <row r="26" customFormat="false" ht="17.15" hidden="false" customHeight="false" outlineLevel="0" collapsed="false">
      <c r="A26" s="0" t="s">
        <v>103</v>
      </c>
      <c r="B26" s="3" t="s">
        <v>104</v>
      </c>
      <c r="C26" s="0" t="s">
        <v>60</v>
      </c>
      <c r="D26" s="6" t="n">
        <v>1.3</v>
      </c>
      <c r="E26" s="6" t="n">
        <v>1.6</v>
      </c>
      <c r="F26" s="6" t="n">
        <v>2</v>
      </c>
      <c r="G26" s="7" t="s">
        <v>100</v>
      </c>
      <c r="H26" s="3" t="s">
        <v>33</v>
      </c>
      <c r="I26" s="7" t="s">
        <v>105</v>
      </c>
    </row>
    <row r="27" customFormat="false" ht="17.15" hidden="false" customHeight="false" outlineLevel="0" collapsed="false">
      <c r="A27" s="0" t="s">
        <v>106</v>
      </c>
      <c r="B27" s="3" t="s">
        <v>107</v>
      </c>
      <c r="C27" s="0" t="s">
        <v>60</v>
      </c>
      <c r="D27" s="6" t="n">
        <v>1.3</v>
      </c>
      <c r="E27" s="6" t="n">
        <v>1.7</v>
      </c>
      <c r="F27" s="6" t="n">
        <v>2.2</v>
      </c>
      <c r="G27" s="7" t="s">
        <v>100</v>
      </c>
      <c r="H27" s="3" t="s">
        <v>33</v>
      </c>
      <c r="I27" s="7" t="s">
        <v>105</v>
      </c>
    </row>
    <row r="28" customFormat="false" ht="17.15" hidden="false" customHeight="false" outlineLevel="0" collapsed="false">
      <c r="A28" s="0" t="s">
        <v>108</v>
      </c>
      <c r="B28" s="3" t="s">
        <v>109</v>
      </c>
      <c r="C28" s="0" t="s">
        <v>60</v>
      </c>
      <c r="D28" s="6" t="n">
        <v>1.15</v>
      </c>
      <c r="E28" s="6" t="n">
        <v>1.4</v>
      </c>
      <c r="F28" s="6" t="n">
        <v>1.7</v>
      </c>
      <c r="G28" s="7" t="s">
        <v>61</v>
      </c>
      <c r="H28" s="3" t="s">
        <v>110</v>
      </c>
      <c r="I28" s="3" t="s">
        <v>111</v>
      </c>
    </row>
    <row r="29" customFormat="false" ht="17.15" hidden="false" customHeight="false" outlineLevel="0" collapsed="false">
      <c r="A29" s="0" t="s">
        <v>112</v>
      </c>
      <c r="B29" s="3" t="s">
        <v>113</v>
      </c>
      <c r="C29" s="0" t="s">
        <v>60</v>
      </c>
      <c r="D29" s="6" t="n">
        <v>1.25</v>
      </c>
      <c r="E29" s="6" t="n">
        <v>1.6</v>
      </c>
      <c r="F29" s="6" t="n">
        <v>2</v>
      </c>
      <c r="G29" s="7" t="s">
        <v>61</v>
      </c>
      <c r="H29" s="3" t="s">
        <v>33</v>
      </c>
      <c r="I29" s="7" t="s">
        <v>105</v>
      </c>
    </row>
    <row r="30" customFormat="false" ht="17.15" hidden="false" customHeight="false" outlineLevel="0" collapsed="false">
      <c r="A30" s="0" t="s">
        <v>114</v>
      </c>
      <c r="B30" s="3" t="s">
        <v>115</v>
      </c>
      <c r="C30" s="0" t="s">
        <v>60</v>
      </c>
      <c r="D30" s="6" t="n">
        <v>1.3</v>
      </c>
      <c r="E30" s="6" t="n">
        <v>1.75</v>
      </c>
      <c r="F30" s="6" t="n">
        <v>2.2</v>
      </c>
      <c r="G30" s="7" t="s">
        <v>61</v>
      </c>
      <c r="H30" s="3" t="s">
        <v>33</v>
      </c>
      <c r="I30" s="7" t="s">
        <v>105</v>
      </c>
    </row>
    <row r="31" customFormat="false" ht="17.15" hidden="false" customHeight="false" outlineLevel="0" collapsed="false">
      <c r="A31" s="0" t="s">
        <v>116</v>
      </c>
      <c r="B31" s="3" t="s">
        <v>117</v>
      </c>
      <c r="C31" s="0" t="s">
        <v>60</v>
      </c>
      <c r="D31" s="6" t="n">
        <v>1.3</v>
      </c>
      <c r="E31" s="6" t="n">
        <v>1.8</v>
      </c>
      <c r="F31" s="6" t="n">
        <v>2.5</v>
      </c>
      <c r="G31" s="7" t="s">
        <v>61</v>
      </c>
      <c r="H31" s="7" t="s">
        <v>118</v>
      </c>
      <c r="I31" s="7" t="s">
        <v>119</v>
      </c>
    </row>
    <row r="32" customFormat="false" ht="17.15" hidden="false" customHeight="false" outlineLevel="0" collapsed="false">
      <c r="A32" s="0" t="s">
        <v>120</v>
      </c>
      <c r="B32" s="3" t="s">
        <v>121</v>
      </c>
      <c r="C32" s="0" t="s">
        <v>60</v>
      </c>
      <c r="D32" s="6" t="n">
        <v>1.5</v>
      </c>
      <c r="E32" s="6" t="n">
        <v>2.3</v>
      </c>
      <c r="F32" s="6" t="n">
        <v>3</v>
      </c>
      <c r="G32" s="7" t="s">
        <v>61</v>
      </c>
      <c r="H32" s="3" t="s">
        <v>33</v>
      </c>
      <c r="I32" s="7" t="s">
        <v>105</v>
      </c>
    </row>
    <row r="33" customFormat="false" ht="17.15" hidden="false" customHeight="false" outlineLevel="0" collapsed="false">
      <c r="A33" s="0" t="s">
        <v>122</v>
      </c>
      <c r="B33" s="3" t="s">
        <v>123</v>
      </c>
      <c r="C33" s="0" t="s">
        <v>60</v>
      </c>
      <c r="D33" s="6" t="n">
        <v>1.5</v>
      </c>
      <c r="E33" s="6" t="n">
        <v>2.6</v>
      </c>
      <c r="F33" s="6" t="n">
        <v>3.5</v>
      </c>
      <c r="G33" s="7" t="s">
        <v>61</v>
      </c>
      <c r="H33" s="3" t="s">
        <v>33</v>
      </c>
      <c r="I33" s="7" t="s">
        <v>105</v>
      </c>
    </row>
    <row r="34" customFormat="false" ht="17.15" hidden="false" customHeight="false" outlineLevel="0" collapsed="false">
      <c r="A34" s="0" t="s">
        <v>124</v>
      </c>
      <c r="B34" s="3" t="s">
        <v>125</v>
      </c>
      <c r="C34" s="0" t="s">
        <v>60</v>
      </c>
      <c r="D34" s="6" t="n">
        <v>0.85</v>
      </c>
      <c r="E34" s="6" t="n">
        <v>0.95</v>
      </c>
      <c r="F34" s="6" t="n">
        <v>1.05</v>
      </c>
      <c r="G34" s="7" t="s">
        <v>61</v>
      </c>
      <c r="H34" s="7" t="s">
        <v>126</v>
      </c>
      <c r="I34" s="3" t="s">
        <v>127</v>
      </c>
    </row>
    <row r="35" customFormat="false" ht="17.15" hidden="false" customHeight="false" outlineLevel="0" collapsed="false">
      <c r="A35" s="0" t="s">
        <v>128</v>
      </c>
      <c r="B35" s="3" t="s">
        <v>129</v>
      </c>
      <c r="C35" s="0" t="s">
        <v>60</v>
      </c>
      <c r="D35" s="6" t="n">
        <v>0.75</v>
      </c>
      <c r="E35" s="6" t="n">
        <v>0.9</v>
      </c>
      <c r="F35" s="6" t="n">
        <v>1</v>
      </c>
      <c r="G35" s="7" t="s">
        <v>61</v>
      </c>
      <c r="H35" s="3" t="s">
        <v>33</v>
      </c>
      <c r="I35" s="7" t="s">
        <v>105</v>
      </c>
    </row>
    <row r="36" customFormat="false" ht="17.15" hidden="false" customHeight="false" outlineLevel="0" collapsed="false">
      <c r="A36" s="0" t="s">
        <v>130</v>
      </c>
      <c r="B36" s="3" t="s">
        <v>131</v>
      </c>
      <c r="C36" s="0" t="s">
        <v>60</v>
      </c>
      <c r="D36" s="6" t="n">
        <v>0.7</v>
      </c>
      <c r="E36" s="6" t="n">
        <v>0.85</v>
      </c>
      <c r="F36" s="6" t="n">
        <v>1</v>
      </c>
      <c r="G36" s="7" t="s">
        <v>61</v>
      </c>
      <c r="H36" s="3" t="s">
        <v>33</v>
      </c>
      <c r="I36" s="7" t="s">
        <v>105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60</v>
      </c>
      <c r="D37" s="6" t="n">
        <v>0.95</v>
      </c>
      <c r="E37" s="6" t="n">
        <v>1</v>
      </c>
      <c r="F37" s="6" t="n">
        <v>1.08</v>
      </c>
      <c r="G37" s="7" t="s">
        <v>61</v>
      </c>
      <c r="H37" s="3" t="s">
        <v>134</v>
      </c>
      <c r="I37" s="3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60</v>
      </c>
      <c r="D38" s="6" t="n">
        <v>0.88</v>
      </c>
      <c r="E38" s="6" t="n">
        <v>0.97</v>
      </c>
      <c r="F38" s="6" t="n">
        <v>1.05</v>
      </c>
      <c r="G38" s="7" t="s">
        <v>61</v>
      </c>
      <c r="H38" s="3" t="s">
        <v>33</v>
      </c>
      <c r="I38" s="3" t="s">
        <v>138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60</v>
      </c>
      <c r="D39" s="6" t="n">
        <v>0.85</v>
      </c>
      <c r="E39" s="6" t="n">
        <v>0.93</v>
      </c>
      <c r="F39" s="6" t="n">
        <v>1</v>
      </c>
      <c r="G39" s="7" t="s">
        <v>61</v>
      </c>
      <c r="H39" s="3" t="s">
        <v>33</v>
      </c>
      <c r="I39" s="3" t="s">
        <v>138</v>
      </c>
    </row>
    <row r="40" customFormat="false" ht="17.15" hidden="false" customHeight="false" outlineLevel="0" collapsed="false">
      <c r="A40" s="5" t="s">
        <v>141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3" t="s">
        <v>144</v>
      </c>
      <c r="D41" s="6" t="n">
        <v>5.85</v>
      </c>
      <c r="E41" s="6" t="n">
        <v>6</v>
      </c>
      <c r="F41" s="6" t="n">
        <v>6.15</v>
      </c>
      <c r="G41" s="7" t="s">
        <v>28</v>
      </c>
      <c r="H41" s="3" t="s">
        <v>145</v>
      </c>
      <c r="I41" s="3" t="s">
        <v>146</v>
      </c>
    </row>
    <row r="42" customFormat="false" ht="17.15" hidden="false" customHeight="false" outlineLevel="0" collapsed="false">
      <c r="A42" s="0" t="s">
        <v>147</v>
      </c>
      <c r="B42" s="3" t="s">
        <v>148</v>
      </c>
      <c r="C42" s="3" t="s">
        <v>144</v>
      </c>
      <c r="D42" s="6" t="n">
        <v>7</v>
      </c>
      <c r="E42" s="6" t="n">
        <v>7.76</v>
      </c>
      <c r="F42" s="6" t="n">
        <v>8.2</v>
      </c>
      <c r="G42" s="7" t="s">
        <v>28</v>
      </c>
      <c r="H42" s="3" t="s">
        <v>149</v>
      </c>
      <c r="I42" s="3" t="s">
        <v>150</v>
      </c>
    </row>
    <row r="43" customFormat="false" ht="17.15" hidden="false" customHeight="false" outlineLevel="0" collapsed="false">
      <c r="A43" s="0" t="s">
        <v>151</v>
      </c>
      <c r="B43" s="3" t="s">
        <v>152</v>
      </c>
      <c r="C43" s="3" t="s">
        <v>144</v>
      </c>
      <c r="D43" s="6" t="n">
        <v>9.5</v>
      </c>
      <c r="E43" s="6" t="n">
        <v>10.3</v>
      </c>
      <c r="F43" s="6" t="n">
        <v>10.8</v>
      </c>
      <c r="G43" s="7" t="s">
        <v>28</v>
      </c>
      <c r="H43" s="3" t="s">
        <v>153</v>
      </c>
      <c r="I43" s="3" t="s">
        <v>154</v>
      </c>
    </row>
    <row r="44" customFormat="false" ht="17.15" hidden="false" customHeight="false" outlineLevel="0" collapsed="false">
      <c r="A44" s="0" t="s">
        <v>155</v>
      </c>
      <c r="B44" s="3" t="s">
        <v>156</v>
      </c>
      <c r="C44" s="3" t="s">
        <v>144</v>
      </c>
      <c r="D44" s="6" t="n">
        <v>11.1</v>
      </c>
      <c r="E44" s="6" t="n">
        <v>11.8</v>
      </c>
      <c r="F44" s="6" t="n">
        <v>13</v>
      </c>
      <c r="G44" s="7" t="s">
        <v>61</v>
      </c>
      <c r="H44" s="3" t="s">
        <v>157</v>
      </c>
      <c r="I44" s="3" t="s">
        <v>158</v>
      </c>
    </row>
    <row r="45" customFormat="false" ht="17.15" hidden="false" customHeight="false" outlineLevel="0" collapsed="false">
      <c r="A45" s="0" t="s">
        <v>159</v>
      </c>
      <c r="B45" s="3" t="s">
        <v>160</v>
      </c>
      <c r="C45" s="0" t="s">
        <v>60</v>
      </c>
      <c r="D45" s="6" t="n">
        <v>1.1</v>
      </c>
      <c r="E45" s="6" t="n">
        <v>1.25</v>
      </c>
      <c r="F45" s="6" t="n">
        <v>1.45</v>
      </c>
      <c r="G45" s="7" t="s">
        <v>61</v>
      </c>
      <c r="H45" s="3" t="s">
        <v>161</v>
      </c>
      <c r="I45" s="7" t="s">
        <v>162</v>
      </c>
    </row>
    <row r="46" customFormat="false" ht="17.15" hidden="false" customHeight="false" outlineLevel="0" collapsed="false">
      <c r="A46" s="0" t="s">
        <v>163</v>
      </c>
      <c r="B46" s="3" t="s">
        <v>164</v>
      </c>
      <c r="C46" s="0" t="s">
        <v>60</v>
      </c>
      <c r="D46" s="6" t="n">
        <v>1.15</v>
      </c>
      <c r="E46" s="6" t="n">
        <v>1.4</v>
      </c>
      <c r="F46" s="6" t="n">
        <v>1.7</v>
      </c>
      <c r="G46" s="7" t="s">
        <v>61</v>
      </c>
      <c r="H46" s="3" t="s">
        <v>33</v>
      </c>
      <c r="I46" s="7" t="s">
        <v>105</v>
      </c>
    </row>
    <row r="47" customFormat="false" ht="17.15" hidden="false" customHeight="false" outlineLevel="0" collapsed="false">
      <c r="A47" s="0" t="s">
        <v>165</v>
      </c>
      <c r="B47" s="3" t="s">
        <v>166</v>
      </c>
      <c r="C47" s="0" t="s">
        <v>60</v>
      </c>
      <c r="D47" s="6" t="n">
        <v>1.2</v>
      </c>
      <c r="E47" s="6" t="n">
        <v>1.5</v>
      </c>
      <c r="F47" s="6" t="n">
        <v>1.85</v>
      </c>
      <c r="G47" s="7" t="s">
        <v>61</v>
      </c>
      <c r="H47" s="3" t="s">
        <v>33</v>
      </c>
      <c r="I47" s="7" t="s">
        <v>105</v>
      </c>
    </row>
    <row r="48" customFormat="false" ht="17.15" hidden="false" customHeight="false" outlineLevel="0" collapsed="false">
      <c r="A48" s="5" t="s">
        <v>167</v>
      </c>
    </row>
    <row r="49" customFormat="false" ht="17.15" hidden="false" customHeight="false" outlineLevel="0" collapsed="false">
      <c r="A49" s="0" t="s">
        <v>168</v>
      </c>
      <c r="B49" s="0" t="s">
        <v>169</v>
      </c>
      <c r="C49" s="0" t="s">
        <v>47</v>
      </c>
      <c r="D49" s="6" t="n">
        <v>0.45</v>
      </c>
      <c r="E49" s="6" t="n">
        <v>0.5</v>
      </c>
      <c r="F49" s="6" t="n">
        <v>0.55</v>
      </c>
      <c r="G49" s="7" t="s">
        <v>61</v>
      </c>
      <c r="H49" s="3" t="s">
        <v>170</v>
      </c>
      <c r="I49" s="3" t="s">
        <v>171</v>
      </c>
    </row>
    <row r="50" customFormat="false" ht="17.15" hidden="false" customHeight="false" outlineLevel="0" collapsed="false">
      <c r="A50" s="0" t="s">
        <v>172</v>
      </c>
      <c r="B50" s="0" t="s">
        <v>173</v>
      </c>
      <c r="C50" s="0" t="s">
        <v>47</v>
      </c>
      <c r="D50" s="6" t="n">
        <v>0.525</v>
      </c>
      <c r="E50" s="6" t="n">
        <v>0.585</v>
      </c>
      <c r="F50" s="6" t="n">
        <v>0.64</v>
      </c>
      <c r="G50" s="7" t="s">
        <v>48</v>
      </c>
      <c r="H50" s="3" t="s">
        <v>174</v>
      </c>
      <c r="I50" s="3" t="s">
        <v>175</v>
      </c>
    </row>
    <row r="51" customFormat="false" ht="17.15" hidden="false" customHeight="false" outlineLevel="0" collapsed="false">
      <c r="A51" s="0" t="s">
        <v>176</v>
      </c>
      <c r="B51" s="3" t="s">
        <v>177</v>
      </c>
      <c r="C51" s="0" t="s">
        <v>47</v>
      </c>
      <c r="D51" s="6" t="n">
        <v>0</v>
      </c>
      <c r="E51" s="6" t="n">
        <v>0.08</v>
      </c>
      <c r="F51" s="6" t="n">
        <v>0.15</v>
      </c>
      <c r="G51" s="7" t="s">
        <v>61</v>
      </c>
      <c r="H51" s="7" t="s">
        <v>178</v>
      </c>
      <c r="I51" s="3" t="s">
        <v>179</v>
      </c>
    </row>
    <row r="52" customFormat="false" ht="17.15" hidden="false" customHeight="false" outlineLevel="0" collapsed="false">
      <c r="A52" s="0" t="s">
        <v>180</v>
      </c>
      <c r="B52" s="3" t="s">
        <v>181</v>
      </c>
      <c r="C52" s="0" t="s">
        <v>47</v>
      </c>
      <c r="D52" s="6" t="n">
        <v>0</v>
      </c>
      <c r="E52" s="6" t="n">
        <v>0.06</v>
      </c>
      <c r="F52" s="6" t="n">
        <v>0.12</v>
      </c>
      <c r="G52" s="7" t="s">
        <v>61</v>
      </c>
      <c r="H52" s="3" t="s">
        <v>33</v>
      </c>
      <c r="I52" s="7" t="s">
        <v>105</v>
      </c>
    </row>
    <row r="53" customFormat="false" ht="17.15" hidden="false" customHeight="false" outlineLevel="0" collapsed="false">
      <c r="A53" s="0" t="s">
        <v>182</v>
      </c>
      <c r="B53" s="3" t="s">
        <v>183</v>
      </c>
      <c r="C53" s="0" t="s">
        <v>47</v>
      </c>
      <c r="D53" s="6" t="n">
        <v>0</v>
      </c>
      <c r="E53" s="6" t="n">
        <v>0.05</v>
      </c>
      <c r="F53" s="6" t="n">
        <v>0.1</v>
      </c>
      <c r="G53" s="7" t="s">
        <v>61</v>
      </c>
      <c r="H53" s="3" t="s">
        <v>33</v>
      </c>
      <c r="I53" s="7" t="s">
        <v>105</v>
      </c>
    </row>
    <row r="54" customFormat="false" ht="17.15" hidden="false" customHeight="false" outlineLevel="0" collapsed="false">
      <c r="A54" s="5" t="s">
        <v>184</v>
      </c>
    </row>
    <row r="55" customFormat="false" ht="17.15" hidden="false" customHeight="false" outlineLevel="0" collapsed="false">
      <c r="A55" s="0" t="s">
        <v>185</v>
      </c>
      <c r="B55" s="0" t="s">
        <v>186</v>
      </c>
      <c r="C55" s="0" t="s">
        <v>187</v>
      </c>
      <c r="D55" s="6" t="n">
        <v>0.04</v>
      </c>
      <c r="E55" s="6" t="n">
        <v>0.08</v>
      </c>
      <c r="F55" s="6" t="n">
        <v>0.12</v>
      </c>
      <c r="G55" s="7" t="s">
        <v>61</v>
      </c>
      <c r="H55" s="3" t="s">
        <v>188</v>
      </c>
      <c r="I55" s="7" t="s">
        <v>189</v>
      </c>
    </row>
    <row r="56" customFormat="false" ht="17.15" hidden="false" customHeight="false" outlineLevel="0" collapsed="false">
      <c r="A56" s="5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193</v>
      </c>
      <c r="E57" s="0" t="n">
        <f aca="false">141.227-80.342</f>
        <v>60.885</v>
      </c>
      <c r="G57" s="0" t="s">
        <v>194</v>
      </c>
      <c r="H57" s="0" t="s">
        <v>195</v>
      </c>
      <c r="I57" s="3" t="s">
        <v>196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47</v>
      </c>
      <c r="D58" s="6" t="n">
        <v>0</v>
      </c>
      <c r="E58" s="6" t="n">
        <v>0.06</v>
      </c>
      <c r="F58" s="6" t="n">
        <v>0.12</v>
      </c>
      <c r="G58" s="7" t="s">
        <v>61</v>
      </c>
      <c r="H58" s="3" t="s">
        <v>199</v>
      </c>
      <c r="I58" s="7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47</v>
      </c>
      <c r="D59" s="6" t="n">
        <v>0.335</v>
      </c>
      <c r="E59" s="6" t="n">
        <v>0.35</v>
      </c>
      <c r="F59" s="6" t="n">
        <v>0.365</v>
      </c>
      <c r="G59" s="7" t="s">
        <v>48</v>
      </c>
      <c r="H59" s="3" t="s">
        <v>203</v>
      </c>
      <c r="I59" s="3" t="s">
        <v>204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0" t="s">
        <v>47</v>
      </c>
      <c r="D60" s="6" t="n">
        <v>0.335</v>
      </c>
      <c r="E60" s="6" t="n">
        <v>0.35</v>
      </c>
      <c r="F60" s="6" t="n">
        <v>0.37</v>
      </c>
      <c r="G60" s="7" t="s">
        <v>61</v>
      </c>
      <c r="H60" s="3" t="s">
        <v>207</v>
      </c>
      <c r="I60" s="7" t="s">
        <v>105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0" t="s">
        <v>47</v>
      </c>
      <c r="D61" s="6" t="n">
        <v>0.06</v>
      </c>
      <c r="E61" s="6" t="n">
        <v>0.065</v>
      </c>
      <c r="F61" s="6" t="n">
        <v>0.07</v>
      </c>
      <c r="G61" s="7" t="s">
        <v>61</v>
      </c>
      <c r="H61" s="7" t="s">
        <v>210</v>
      </c>
      <c r="I61" s="3" t="s">
        <v>211</v>
      </c>
    </row>
    <row r="62" customFormat="false" ht="17.15" hidden="false" customHeight="false" outlineLevel="0" collapsed="false">
      <c r="A62" s="0" t="s">
        <v>212</v>
      </c>
      <c r="B62" s="0" t="s">
        <v>213</v>
      </c>
      <c r="C62" s="0" t="s">
        <v>193</v>
      </c>
      <c r="D62" s="6" t="n">
        <v>-0.5</v>
      </c>
      <c r="E62" s="6" t="n">
        <v>0.1</v>
      </c>
      <c r="F62" s="6" t="n">
        <v>0.5</v>
      </c>
      <c r="G62" s="7" t="s">
        <v>61</v>
      </c>
      <c r="H62" s="7" t="s">
        <v>214</v>
      </c>
      <c r="I62" s="7" t="s">
        <v>215</v>
      </c>
    </row>
    <row r="63" customFormat="false" ht="17.15" hidden="false" customHeight="false" outlineLevel="0" collapsed="false">
      <c r="A63" s="0" t="s">
        <v>216</v>
      </c>
      <c r="B63" s="0" t="s">
        <v>217</v>
      </c>
      <c r="C63" s="0" t="s">
        <v>47</v>
      </c>
      <c r="D63" s="6" t="n">
        <v>0.75</v>
      </c>
      <c r="E63" s="6" t="n">
        <v>0.77</v>
      </c>
      <c r="F63" s="6" t="n">
        <v>0.79</v>
      </c>
      <c r="G63" s="7" t="s">
        <v>28</v>
      </c>
      <c r="H63" s="7" t="s">
        <v>218</v>
      </c>
      <c r="I63" s="7" t="s">
        <v>219</v>
      </c>
    </row>
    <row r="64" customFormat="false" ht="17.15" hidden="false" customHeight="false" outlineLevel="0" collapsed="false">
      <c r="A64" s="0" t="s">
        <v>220</v>
      </c>
      <c r="B64" s="3" t="s">
        <v>221</v>
      </c>
      <c r="C64" s="3" t="s">
        <v>222</v>
      </c>
      <c r="E64" s="0" t="n">
        <f aca="false">15.213/42.46</f>
        <v>0.358290155440415</v>
      </c>
      <c r="G64" s="0" t="s">
        <v>28</v>
      </c>
      <c r="H64" s="0" t="s">
        <v>223</v>
      </c>
      <c r="I64" s="3" t="s">
        <v>224</v>
      </c>
    </row>
    <row r="65" customFormat="false" ht="17.15" hidden="false" customHeight="false" outlineLevel="0" collapsed="false">
      <c r="A65" s="5" t="s">
        <v>225</v>
      </c>
    </row>
    <row r="66" customFormat="false" ht="17.15" hidden="false" customHeight="false" outlineLevel="0" collapsed="false">
      <c r="A66" s="0" t="s">
        <v>226</v>
      </c>
      <c r="B66" s="3" t="s">
        <v>227</v>
      </c>
      <c r="C66" s="0" t="s">
        <v>60</v>
      </c>
      <c r="D66" s="6" t="n">
        <v>0.45</v>
      </c>
      <c r="E66" s="6" t="n">
        <v>0.6</v>
      </c>
      <c r="F66" s="6" t="n">
        <v>1</v>
      </c>
      <c r="G66" s="7" t="s">
        <v>28</v>
      </c>
      <c r="H66" s="7" t="s">
        <v>228</v>
      </c>
      <c r="I66" s="7" t="s">
        <v>229</v>
      </c>
    </row>
    <row r="67" customFormat="false" ht="17.15" hidden="false" customHeight="false" outlineLevel="0" collapsed="false">
      <c r="A67" s="0" t="s">
        <v>230</v>
      </c>
      <c r="B67" s="3" t="s">
        <v>231</v>
      </c>
      <c r="C67" s="0" t="s">
        <v>187</v>
      </c>
      <c r="D67" s="6" t="n">
        <v>-0.01</v>
      </c>
      <c r="E67" s="6" t="n">
        <v>0</v>
      </c>
      <c r="F67" s="6" t="n">
        <v>0.01</v>
      </c>
      <c r="G67" s="7" t="s">
        <v>61</v>
      </c>
      <c r="H67" s="3" t="s">
        <v>232</v>
      </c>
      <c r="I67" s="7" t="s">
        <v>233</v>
      </c>
    </row>
    <row r="68" customFormat="false" ht="17.15" hidden="false" customHeight="false" outlineLevel="0" collapsed="false">
      <c r="A68" s="0" t="s">
        <v>234</v>
      </c>
      <c r="B68" s="3" t="s">
        <v>235</v>
      </c>
      <c r="C68" s="0" t="s">
        <v>193</v>
      </c>
      <c r="D68" s="6" t="n">
        <v>-1</v>
      </c>
      <c r="E68" s="6" t="n">
        <v>0.5</v>
      </c>
      <c r="F68" s="6" t="n">
        <v>2</v>
      </c>
      <c r="G68" s="7" t="s">
        <v>61</v>
      </c>
      <c r="H68" s="7" t="s">
        <v>236</v>
      </c>
      <c r="I68" s="7" t="s">
        <v>105</v>
      </c>
    </row>
    <row r="69" customFormat="false" ht="17.15" hidden="false" customHeight="false" outlineLevel="0" collapsed="false">
      <c r="A69" s="0" t="s">
        <v>237</v>
      </c>
      <c r="B69" s="3" t="s">
        <v>238</v>
      </c>
      <c r="C69" s="0" t="s">
        <v>47</v>
      </c>
      <c r="D69" s="6" t="n">
        <v>0.75</v>
      </c>
      <c r="E69" s="6" t="n">
        <v>0.77</v>
      </c>
      <c r="F69" s="6" t="n">
        <v>0.79</v>
      </c>
      <c r="G69" s="7" t="s">
        <v>28</v>
      </c>
      <c r="H69" s="3" t="s">
        <v>239</v>
      </c>
      <c r="I69" s="7" t="s">
        <v>105</v>
      </c>
    </row>
    <row r="70" customFormat="false" ht="17.15" hidden="false" customHeight="false" outlineLevel="0" collapsed="false">
      <c r="A70" s="0" t="s">
        <v>240</v>
      </c>
      <c r="B70" s="3" t="s">
        <v>241</v>
      </c>
      <c r="C70" s="0" t="s">
        <v>47</v>
      </c>
      <c r="D70" s="6" t="n">
        <v>0</v>
      </c>
      <c r="E70" s="6" t="n">
        <v>0</v>
      </c>
      <c r="F70" s="6" t="n">
        <v>0.005</v>
      </c>
      <c r="G70" s="7" t="s">
        <v>61</v>
      </c>
      <c r="H70" s="7" t="s">
        <v>242</v>
      </c>
      <c r="I70" s="7" t="s">
        <v>105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60</v>
      </c>
      <c r="D71" s="6" t="n">
        <v>0.8</v>
      </c>
      <c r="E71" s="6" t="n">
        <v>1</v>
      </c>
      <c r="F71" s="6" t="n">
        <v>1.2</v>
      </c>
      <c r="G71" s="7" t="s">
        <v>61</v>
      </c>
      <c r="H71" s="3" t="s">
        <v>245</v>
      </c>
      <c r="I71" s="7" t="s">
        <v>246</v>
      </c>
    </row>
    <row r="72" customFormat="false" ht="17.15" hidden="false" customHeight="false" outlineLevel="0" collapsed="false">
      <c r="A72" s="5" t="s">
        <v>247</v>
      </c>
    </row>
    <row r="73" customFormat="false" ht="17.15" hidden="false" customHeight="false" outlineLevel="0" collapsed="false">
      <c r="A73" s="0" t="s">
        <v>248</v>
      </c>
      <c r="B73" s="3" t="s">
        <v>249</v>
      </c>
      <c r="C73" s="0" t="s">
        <v>193</v>
      </c>
      <c r="E73" s="6" t="n">
        <v>191.123</v>
      </c>
      <c r="G73" s="7" t="s">
        <v>48</v>
      </c>
      <c r="H73" s="7" t="s">
        <v>250</v>
      </c>
      <c r="I73" s="7" t="s">
        <v>105</v>
      </c>
    </row>
    <row r="74" customFormat="false" ht="17.15" hidden="false" customHeight="false" outlineLevel="0" collapsed="false">
      <c r="A74" s="0" t="s">
        <v>251</v>
      </c>
      <c r="B74" s="3" t="s">
        <v>252</v>
      </c>
      <c r="C74" s="0" t="s">
        <v>253</v>
      </c>
      <c r="E74" s="6" t="n">
        <v>108.84</v>
      </c>
      <c r="G74" s="7" t="s">
        <v>48</v>
      </c>
      <c r="H74" s="7" t="s">
        <v>250</v>
      </c>
      <c r="I74" s="7" t="s">
        <v>105</v>
      </c>
    </row>
    <row r="75" customFormat="false" ht="17.15" hidden="false" customHeight="false" outlineLevel="0" collapsed="false">
      <c r="A75" s="0" t="s">
        <v>254</v>
      </c>
      <c r="B75" s="3" t="s">
        <v>255</v>
      </c>
      <c r="C75" s="0" t="s">
        <v>253</v>
      </c>
      <c r="E75" s="6" t="n">
        <v>98.72</v>
      </c>
      <c r="G75" s="7" t="s">
        <v>48</v>
      </c>
      <c r="H75" s="7" t="s">
        <v>250</v>
      </c>
      <c r="I75" s="3" t="s">
        <v>256</v>
      </c>
    </row>
    <row r="76" customFormat="false" ht="17.15" hidden="false" customHeight="false" outlineLevel="0" collapsed="false">
      <c r="A76" s="0" t="s">
        <v>257</v>
      </c>
      <c r="B76" s="3" t="s">
        <v>258</v>
      </c>
      <c r="C76" s="0" t="s">
        <v>253</v>
      </c>
      <c r="E76" s="6" t="n">
        <v>120.77</v>
      </c>
      <c r="G76" s="7" t="s">
        <v>48</v>
      </c>
      <c r="H76" s="7" t="s">
        <v>259</v>
      </c>
      <c r="I76" s="7" t="s">
        <v>260</v>
      </c>
    </row>
    <row r="77" customFormat="false" ht="17.15" hidden="false" customHeight="false" outlineLevel="0" collapsed="false">
      <c r="A77" s="0" t="s">
        <v>261</v>
      </c>
      <c r="B77" s="3" t="s">
        <v>262</v>
      </c>
      <c r="C77" s="0" t="s">
        <v>193</v>
      </c>
      <c r="E77" s="6" t="n">
        <v>306.405</v>
      </c>
      <c r="G77" s="7" t="s">
        <v>48</v>
      </c>
      <c r="H77" s="7" t="s">
        <v>250</v>
      </c>
      <c r="I77" s="7" t="s">
        <v>105</v>
      </c>
    </row>
    <row r="78" customFormat="false" ht="17.15" hidden="false" customHeight="false" outlineLevel="0" collapsed="false">
      <c r="A78" s="0" t="s">
        <v>263</v>
      </c>
      <c r="B78" s="3" t="s">
        <v>264</v>
      </c>
      <c r="C78" s="0" t="s">
        <v>193</v>
      </c>
      <c r="E78" s="6" t="n">
        <v>353.014</v>
      </c>
      <c r="G78" s="7" t="s">
        <v>48</v>
      </c>
      <c r="H78" s="7" t="s">
        <v>265</v>
      </c>
      <c r="I78" s="7" t="s">
        <v>105</v>
      </c>
    </row>
    <row r="79" customFormat="false" ht="17.15" hidden="false" customHeight="false" outlineLevel="0" collapsed="false">
      <c r="A79" s="0" t="s">
        <v>266</v>
      </c>
      <c r="B79" s="3" t="s">
        <v>267</v>
      </c>
      <c r="C79" s="0" t="s">
        <v>253</v>
      </c>
      <c r="E79" s="6" t="n">
        <v>190.64</v>
      </c>
      <c r="G79" s="7" t="s">
        <v>48</v>
      </c>
      <c r="H79" s="7" t="s">
        <v>250</v>
      </c>
      <c r="I79" s="3" t="s">
        <v>268</v>
      </c>
    </row>
    <row r="80" customFormat="false" ht="17.15" hidden="false" customHeight="false" outlineLevel="0" collapsed="false">
      <c r="A80" s="0" t="s">
        <v>269</v>
      </c>
      <c r="B80" s="3" t="s">
        <v>270</v>
      </c>
      <c r="C80" s="0" t="s">
        <v>253</v>
      </c>
      <c r="E80" s="6" t="n">
        <v>193.33</v>
      </c>
      <c r="G80" s="7" t="s">
        <v>48</v>
      </c>
      <c r="H80" s="7" t="s">
        <v>250</v>
      </c>
      <c r="I80" s="7" t="s">
        <v>105</v>
      </c>
    </row>
    <row r="81" customFormat="false" ht="17.15" hidden="false" customHeight="false" outlineLevel="0" collapsed="false">
      <c r="A81" s="0" t="s">
        <v>271</v>
      </c>
      <c r="B81" s="3" t="s">
        <v>272</v>
      </c>
      <c r="C81" s="0" t="s">
        <v>253</v>
      </c>
      <c r="E81" s="6" t="n">
        <v>204.85</v>
      </c>
      <c r="G81" s="7" t="s">
        <v>48</v>
      </c>
      <c r="H81" s="7" t="s">
        <v>265</v>
      </c>
      <c r="I81" s="3" t="s">
        <v>273</v>
      </c>
    </row>
    <row r="82" customFormat="false" ht="17.15" hidden="false" customHeight="false" outlineLevel="0" collapsed="false">
      <c r="A82" s="0" t="s">
        <v>274</v>
      </c>
      <c r="B82" s="0" t="s">
        <v>275</v>
      </c>
      <c r="C82" s="0" t="s">
        <v>193</v>
      </c>
      <c r="E82" s="0" t="n">
        <f aca="false">94.261*1.76^3</f>
        <v>513.889857536</v>
      </c>
      <c r="G82" s="0" t="s">
        <v>28</v>
      </c>
      <c r="H82" s="0" t="s">
        <v>276</v>
      </c>
      <c r="I82" s="3" t="s">
        <v>277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253</v>
      </c>
      <c r="E83" s="0" t="n">
        <f aca="false">8400/20</f>
        <v>420</v>
      </c>
      <c r="G83" s="0" t="s">
        <v>28</v>
      </c>
      <c r="H83" s="0" t="s">
        <v>280</v>
      </c>
      <c r="I83" s="3" t="s">
        <v>281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47</v>
      </c>
      <c r="E84" s="6" t="n">
        <v>0.386</v>
      </c>
      <c r="G84" s="7" t="s">
        <v>48</v>
      </c>
      <c r="H84" s="7" t="s">
        <v>284</v>
      </c>
      <c r="I84" s="3" t="s">
        <v>285</v>
      </c>
    </row>
    <row r="85" customFormat="false" ht="17.15" hidden="false" customHeight="false" outlineLevel="0" collapsed="false">
      <c r="A85" s="0" t="s">
        <v>286</v>
      </c>
      <c r="B85" s="3" t="s">
        <v>287</v>
      </c>
      <c r="C85" s="0" t="s">
        <v>47</v>
      </c>
      <c r="E85" s="6" t="n">
        <v>0.5</v>
      </c>
      <c r="G85" s="7" t="s">
        <v>48</v>
      </c>
      <c r="H85" s="7" t="s">
        <v>288</v>
      </c>
      <c r="I85" s="3" t="s">
        <v>289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292</v>
      </c>
      <c r="E86" s="6" t="n">
        <v>6695</v>
      </c>
      <c r="G86" s="7" t="s">
        <v>48</v>
      </c>
      <c r="H86" s="7" t="s">
        <v>280</v>
      </c>
      <c r="I86" s="7" t="s">
        <v>293</v>
      </c>
    </row>
    <row r="87" customFormat="false" ht="17.15" hidden="false" customHeight="false" outlineLevel="0" collapsed="false">
      <c r="A87" s="0" t="s">
        <v>294</v>
      </c>
      <c r="B87" s="0" t="s">
        <v>295</v>
      </c>
      <c r="C87" s="0" t="s">
        <v>292</v>
      </c>
      <c r="E87" s="6" t="n">
        <v>18750</v>
      </c>
      <c r="G87" s="7" t="s">
        <v>48</v>
      </c>
      <c r="H87" s="7" t="s">
        <v>280</v>
      </c>
      <c r="I87" s="7" t="s">
        <v>105</v>
      </c>
    </row>
    <row r="88" customFormat="false" ht="17.15" hidden="false" customHeight="false" outlineLevel="0" collapsed="false">
      <c r="A88" s="0" t="s">
        <v>296</v>
      </c>
      <c r="B88" s="3" t="s">
        <v>297</v>
      </c>
      <c r="C88" s="3" t="s">
        <v>298</v>
      </c>
      <c r="E88" s="6" t="n">
        <v>164</v>
      </c>
      <c r="G88" s="7" t="s">
        <v>48</v>
      </c>
      <c r="H88" s="7" t="s">
        <v>299</v>
      </c>
      <c r="I88" s="7" t="s">
        <v>300</v>
      </c>
    </row>
    <row r="89" customFormat="false" ht="17.15" hidden="false" customHeight="false" outlineLevel="0" collapsed="false">
      <c r="A89" s="0" t="s">
        <v>301</v>
      </c>
      <c r="B89" s="3" t="s">
        <v>302</v>
      </c>
      <c r="C89" s="3" t="s">
        <v>298</v>
      </c>
      <c r="E89" s="6" t="n">
        <v>578</v>
      </c>
      <c r="G89" s="7" t="s">
        <v>48</v>
      </c>
      <c r="H89" s="7" t="s">
        <v>303</v>
      </c>
      <c r="I89" s="7" t="s">
        <v>105</v>
      </c>
    </row>
    <row r="90" customFormat="false" ht="17.15" hidden="false" customHeight="false" outlineLevel="0" collapsed="false">
      <c r="A90" s="5" t="s">
        <v>304</v>
      </c>
    </row>
    <row r="91" customFormat="false" ht="17.15" hidden="false" customHeight="false" outlineLevel="0" collapsed="false">
      <c r="A91" s="0" t="s">
        <v>305</v>
      </c>
      <c r="B91" s="3" t="s">
        <v>306</v>
      </c>
      <c r="C91" s="0" t="s">
        <v>253</v>
      </c>
      <c r="E91" s="6" t="n">
        <v>5070</v>
      </c>
      <c r="G91" s="7" t="s">
        <v>48</v>
      </c>
      <c r="H91" s="7" t="s">
        <v>307</v>
      </c>
      <c r="I91" s="3" t="s">
        <v>308</v>
      </c>
    </row>
    <row r="92" customFormat="false" ht="17.15" hidden="false" customHeight="false" outlineLevel="0" collapsed="false">
      <c r="A92" s="0" t="s">
        <v>309</v>
      </c>
      <c r="B92" s="3" t="s">
        <v>310</v>
      </c>
      <c r="C92" s="0" t="s">
        <v>60</v>
      </c>
      <c r="E92" s="6" t="n">
        <v>79.28</v>
      </c>
      <c r="G92" s="7" t="s">
        <v>48</v>
      </c>
      <c r="H92" s="7" t="s">
        <v>311</v>
      </c>
      <c r="I92" s="7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313</v>
      </c>
    </row>
    <row r="2" customFormat="false" ht="17.15" hidden="false" customHeight="false" outlineLevel="0" collapsed="false">
      <c r="A2" s="0" t="s">
        <v>314</v>
      </c>
    </row>
    <row r="3" customFormat="false" ht="17.15" hidden="false" customHeight="false" outlineLevel="0" collapsed="false">
      <c r="A3" s="4" t="s">
        <v>16</v>
      </c>
      <c r="B3" s="8" t="s">
        <v>315</v>
      </c>
      <c r="C3" s="8" t="s">
        <v>316</v>
      </c>
      <c r="D3" s="8" t="s">
        <v>317</v>
      </c>
      <c r="E3" s="8" t="s">
        <v>318</v>
      </c>
      <c r="F3" s="8" t="s">
        <v>319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3" t="s">
        <v>320</v>
      </c>
      <c r="B4" s="9" t="n">
        <v>94.261</v>
      </c>
      <c r="C4" s="9" t="n">
        <v>80.342</v>
      </c>
      <c r="D4" s="10" t="n">
        <f aca="false">q3_rev</f>
        <v>60.885</v>
      </c>
      <c r="E4" s="10" t="n">
        <f aca="false">D4*(1+q4g)</f>
        <v>64.5381</v>
      </c>
      <c r="F4" s="10" t="n">
        <f aca="false">SUM(C4:E4)</f>
        <v>205.7651</v>
      </c>
      <c r="G4" s="7" t="s">
        <v>321</v>
      </c>
      <c r="H4" s="7" t="s">
        <v>322</v>
      </c>
      <c r="I4" s="7" t="s">
        <v>323</v>
      </c>
    </row>
    <row r="5" customFormat="false" ht="17.15" hidden="false" customHeight="false" outlineLevel="0" collapsed="false">
      <c r="A5" s="3" t="s">
        <v>324</v>
      </c>
      <c r="B5" s="9" t="n">
        <v>28.12</v>
      </c>
      <c r="C5" s="10" t="n">
        <f aca="false">C4*0.3202</f>
        <v>25.7255084</v>
      </c>
      <c r="D5" s="10" t="n">
        <f aca="false">D4*q3_gm</f>
        <v>21.30975</v>
      </c>
      <c r="E5" s="10" t="n">
        <f aca="false">E4*q4_gm</f>
        <v>22.588335</v>
      </c>
      <c r="F5" s="10" t="n">
        <f aca="false">SUM(C5:E5)</f>
        <v>69.6235934</v>
      </c>
      <c r="G5" s="7" t="s">
        <v>325</v>
      </c>
      <c r="H5" s="7" t="s">
        <v>322</v>
      </c>
      <c r="I5" s="7" t="s">
        <v>326</v>
      </c>
    </row>
    <row r="6" customFormat="false" ht="17.15" hidden="false" customHeight="false" outlineLevel="0" collapsed="false">
      <c r="A6" s="3" t="s">
        <v>327</v>
      </c>
      <c r="B6" s="11" t="n">
        <f aca="false">B5/B4</f>
        <v>0.298320620405046</v>
      </c>
      <c r="C6" s="11" t="n">
        <f aca="false">C5/C4</f>
        <v>0.3202</v>
      </c>
      <c r="D6" s="11" t="n">
        <f aca="false">D5/D4</f>
        <v>0.35</v>
      </c>
      <c r="E6" s="11" t="n">
        <f aca="false">E5/E4</f>
        <v>0.35</v>
      </c>
      <c r="F6" s="11" t="n">
        <f aca="false">F5/F4</f>
        <v>0.338364442755356</v>
      </c>
      <c r="G6" s="7" t="s">
        <v>28</v>
      </c>
      <c r="H6" s="7" t="s">
        <v>105</v>
      </c>
      <c r="I6" s="7" t="s">
        <v>328</v>
      </c>
    </row>
    <row r="7" customFormat="false" ht="17.15" hidden="false" customHeight="false" outlineLevel="0" collapsed="false">
      <c r="A7" s="3" t="s">
        <v>329</v>
      </c>
      <c r="B7" s="10" t="n">
        <f aca="false">B5-B8</f>
        <v>9.012</v>
      </c>
      <c r="C7" s="10" t="n">
        <f aca="false">C5-C8</f>
        <v>5.86280661418575</v>
      </c>
      <c r="D7" s="10" t="n">
        <f aca="false">D4*q_opx</f>
        <v>3.957525</v>
      </c>
      <c r="E7" s="10" t="n">
        <f aca="false">E4*q_opx</f>
        <v>4.1949765</v>
      </c>
      <c r="F7" s="10" t="n">
        <f aca="false">SUM(C7:E7)</f>
        <v>14.0153081141857</v>
      </c>
      <c r="G7" s="7" t="s">
        <v>330</v>
      </c>
      <c r="H7" s="7" t="s">
        <v>322</v>
      </c>
      <c r="I7" s="7" t="s">
        <v>331</v>
      </c>
    </row>
    <row r="8" customFormat="false" ht="17.15" hidden="false" customHeight="false" outlineLevel="0" collapsed="false">
      <c r="A8" s="3" t="s">
        <v>332</v>
      </c>
      <c r="B8" s="9" t="n">
        <v>19.108</v>
      </c>
      <c r="C8" s="10" t="n">
        <f aca="false">12.734+12.734/1.7863</f>
        <v>19.8627017858143</v>
      </c>
      <c r="D8" s="10" t="n">
        <f aca="false">D5-D7</f>
        <v>17.352225</v>
      </c>
      <c r="E8" s="10" t="n">
        <f aca="false">E5-E7</f>
        <v>18.3933585</v>
      </c>
      <c r="F8" s="10" t="n">
        <f aca="false">SUM(C8:E8)</f>
        <v>55.6082852858143</v>
      </c>
      <c r="G8" s="7" t="s">
        <v>333</v>
      </c>
      <c r="H8" s="7" t="s">
        <v>322</v>
      </c>
      <c r="I8" s="7" t="s">
        <v>334</v>
      </c>
    </row>
    <row r="9" customFormat="false" ht="17.15" hidden="false" customHeight="false" outlineLevel="0" collapsed="false">
      <c r="A9" s="3" t="s">
        <v>335</v>
      </c>
      <c r="B9" s="11" t="n">
        <f aca="false">B8/B4</f>
        <v>0.202713741632276</v>
      </c>
      <c r="C9" s="11" t="n">
        <f aca="false">C8/C4</f>
        <v>0.2472268774217</v>
      </c>
      <c r="D9" s="11" t="n">
        <f aca="false">D8/D4</f>
        <v>0.285</v>
      </c>
      <c r="E9" s="11" t="n">
        <f aca="false">E8/E4</f>
        <v>0.285</v>
      </c>
      <c r="F9" s="11" t="n">
        <f aca="false">F8/F4</f>
        <v>0.270251297648699</v>
      </c>
      <c r="G9" s="7" t="s">
        <v>28</v>
      </c>
      <c r="H9" s="7" t="s">
        <v>105</v>
      </c>
      <c r="I9" s="7" t="s">
        <v>336</v>
      </c>
    </row>
    <row r="10" customFormat="false" ht="17.15" hidden="false" customHeight="false" outlineLevel="0" collapsed="false">
      <c r="A10" s="3" t="s">
        <v>337</v>
      </c>
      <c r="D10" s="10" t="n">
        <f aca="false">q_nop</f>
        <v>0.1</v>
      </c>
      <c r="E10" s="10" t="n">
        <f aca="false">q_nop</f>
        <v>0.1</v>
      </c>
      <c r="G10" s="7" t="s">
        <v>61</v>
      </c>
      <c r="H10" s="7" t="s">
        <v>105</v>
      </c>
      <c r="I10" s="7" t="s">
        <v>338</v>
      </c>
    </row>
    <row r="11" customFormat="false" ht="17.15" hidden="false" customHeight="false" outlineLevel="0" collapsed="false">
      <c r="A11" s="3" t="s">
        <v>339</v>
      </c>
      <c r="D11" s="10" t="n">
        <f aca="false">D8+D10</f>
        <v>17.452225</v>
      </c>
      <c r="E11" s="10" t="n">
        <f aca="false">E8+E10</f>
        <v>18.4933585</v>
      </c>
      <c r="G11" s="7" t="s">
        <v>28</v>
      </c>
      <c r="H11" s="7" t="s">
        <v>105</v>
      </c>
      <c r="I11" s="7" t="s">
        <v>338</v>
      </c>
    </row>
    <row r="12" customFormat="false" ht="17.15" hidden="false" customHeight="false" outlineLevel="0" collapsed="false">
      <c r="A12" s="3" t="s">
        <v>340</v>
      </c>
      <c r="B12" s="9" t="n">
        <v>14.649</v>
      </c>
      <c r="C12" s="9" t="n">
        <v>15.213</v>
      </c>
      <c r="D12" s="10" t="n">
        <f aca="false">D11*q_nir</f>
        <v>13.43821325</v>
      </c>
      <c r="E12" s="10" t="n">
        <f aca="false">E11*q_nir</f>
        <v>14.239886045</v>
      </c>
      <c r="F12" s="10" t="n">
        <f aca="false">SUM(C12:E12)</f>
        <v>42.891099295</v>
      </c>
      <c r="G12" s="7" t="s">
        <v>341</v>
      </c>
      <c r="H12" s="7" t="s">
        <v>322</v>
      </c>
      <c r="I12" s="7" t="s">
        <v>342</v>
      </c>
    </row>
    <row r="13" customFormat="false" ht="17.15" hidden="false" customHeight="false" outlineLevel="0" collapsed="false">
      <c r="A13" s="3" t="s">
        <v>343</v>
      </c>
      <c r="B13" s="11" t="n">
        <f aca="false">B12/B8</f>
        <v>0.766642244086247</v>
      </c>
      <c r="C13" s="11" t="n">
        <f aca="false">C12/C8</f>
        <v>0.765907889271387</v>
      </c>
      <c r="D13" s="11" t="n">
        <f aca="false">D12/D8</f>
        <v>0.774437471275298</v>
      </c>
      <c r="E13" s="11" t="n">
        <f aca="false">E12/E8</f>
        <v>0.774186293655941</v>
      </c>
      <c r="F13" s="11" t="n">
        <f aca="false">F12/F8</f>
        <v>0.771307712053146</v>
      </c>
      <c r="G13" s="7" t="s">
        <v>28</v>
      </c>
      <c r="H13" s="7" t="s">
        <v>105</v>
      </c>
      <c r="I13" s="7" t="s">
        <v>105</v>
      </c>
    </row>
    <row r="14" customFormat="false" ht="17.15" hidden="false" customHeight="false" outlineLevel="0" collapsed="false">
      <c r="A14" s="3" t="s">
        <v>344</v>
      </c>
      <c r="B14" s="10" t="n">
        <f aca="false">14.649/41.67</f>
        <v>0.351547876169906</v>
      </c>
      <c r="C14" s="10" t="n">
        <f aca="false">q_sh</f>
        <v>0.358290155440415</v>
      </c>
      <c r="D14" s="10" t="n">
        <f aca="false">q_sh</f>
        <v>0.358290155440415</v>
      </c>
      <c r="E14" s="10" t="n">
        <f aca="false">q_sh</f>
        <v>0.358290155440415</v>
      </c>
      <c r="F14" s="10" t="n">
        <f aca="false">q_sh</f>
        <v>0.358290155440415</v>
      </c>
      <c r="G14" s="7" t="s">
        <v>28</v>
      </c>
      <c r="H14" s="7" t="s">
        <v>322</v>
      </c>
      <c r="I14" s="3" t="s">
        <v>345</v>
      </c>
    </row>
    <row r="15" customFormat="false" ht="17.15" hidden="false" customHeight="false" outlineLevel="0" collapsed="false">
      <c r="A15" s="0" t="s">
        <v>346</v>
      </c>
      <c r="B15" s="12" t="n">
        <f aca="false">B12/B14</f>
        <v>41.67</v>
      </c>
      <c r="C15" s="12" t="n">
        <f aca="false">C12/C14</f>
        <v>42.46</v>
      </c>
      <c r="D15" s="12" t="n">
        <f aca="false">D12/D14</f>
        <v>37.5065098662328</v>
      </c>
      <c r="E15" s="12" t="n">
        <f aca="false">E12/E14</f>
        <v>39.7440058812003</v>
      </c>
      <c r="F15" s="12" t="n">
        <f aca="false">F12/F14</f>
        <v>119.710515747433</v>
      </c>
      <c r="G15" s="7" t="s">
        <v>28</v>
      </c>
      <c r="H15" s="3" t="s">
        <v>347</v>
      </c>
      <c r="I15" s="7" t="s">
        <v>105</v>
      </c>
    </row>
    <row r="16" customFormat="false" ht="17.15" hidden="false" customHeight="false" outlineLevel="0" collapsed="false">
      <c r="A16" s="3" t="s">
        <v>348</v>
      </c>
      <c r="B16" s="13" t="n">
        <v>41.67</v>
      </c>
      <c r="C16" s="13" t="n">
        <v>42.46</v>
      </c>
      <c r="G16" s="7" t="s">
        <v>194</v>
      </c>
      <c r="H16" s="7" t="s">
        <v>322</v>
      </c>
      <c r="I16" s="7" t="s">
        <v>349</v>
      </c>
    </row>
    <row r="17" customFormat="false" ht="17.15" hidden="false" customHeight="false" outlineLevel="0" collapsed="false">
      <c r="A17" s="0" t="s">
        <v>350</v>
      </c>
      <c r="B17" s="10" t="n">
        <f aca="false">B4*ai_25</f>
        <v>47.1305</v>
      </c>
      <c r="F17" s="10" t="n">
        <f aca="false">F4*ai_26</f>
        <v>120.3725835</v>
      </c>
      <c r="G17" s="7" t="s">
        <v>351</v>
      </c>
      <c r="H17" s="3" t="s">
        <v>352</v>
      </c>
      <c r="I17" s="3" t="s">
        <v>353</v>
      </c>
    </row>
    <row r="18" customFormat="false" ht="17.15" hidden="false" customHeight="false" outlineLevel="0" collapsed="false">
      <c r="A18" s="3" t="s">
        <v>354</v>
      </c>
      <c r="B18" s="10" t="n">
        <f aca="false">B4-B17</f>
        <v>47.1305</v>
      </c>
      <c r="F18" s="10" t="n">
        <f aca="false">F4-F17</f>
        <v>85.3925165</v>
      </c>
      <c r="G18" s="7" t="s">
        <v>28</v>
      </c>
      <c r="H18" s="7" t="s">
        <v>105</v>
      </c>
      <c r="I18" s="3" t="s">
        <v>355</v>
      </c>
    </row>
    <row r="23" customFormat="false" ht="17.15" hidden="false" customHeight="false" outlineLevel="0" collapsed="false">
      <c r="A23" s="5" t="s">
        <v>356</v>
      </c>
    </row>
    <row r="24" customFormat="false" ht="17.15" hidden="false" customHeight="false" outlineLevel="0" collapsed="false">
      <c r="A24" s="0" t="s">
        <v>357</v>
      </c>
      <c r="B24" s="11" t="n">
        <f aca="false">F4/B4-1</f>
        <v>1.1829293132897</v>
      </c>
    </row>
    <row r="25" customFormat="false" ht="17.15" hidden="false" customHeight="false" outlineLevel="0" collapsed="false">
      <c r="A25" s="0" t="s">
        <v>358</v>
      </c>
      <c r="B25" s="11" t="n">
        <f aca="false">F7/B7-1</f>
        <v>0.555182879958472</v>
      </c>
    </row>
    <row r="26" customFormat="false" ht="17.15" hidden="false" customHeight="false" outlineLevel="0" collapsed="false">
      <c r="A26" s="3" t="s">
        <v>359</v>
      </c>
      <c r="B26" s="12" t="n">
        <f aca="false">B25/B24</f>
        <v>0.46932887174342</v>
      </c>
    </row>
    <row r="27" customFormat="false" ht="17.15" hidden="false" customHeight="false" outlineLevel="0" collapsed="false">
      <c r="A27" s="0" t="s">
        <v>360</v>
      </c>
      <c r="B27" s="11" t="n">
        <f aca="false">F4/b_rev26k-1</f>
        <v>0.076610873625885</v>
      </c>
    </row>
    <row r="28" customFormat="false" ht="17.15" hidden="false" customHeight="false" outlineLevel="0" collapsed="false">
      <c r="A28" s="0" t="s">
        <v>361</v>
      </c>
      <c r="B28" s="11" t="n">
        <f aca="false">F15/b_eps26l-1</f>
        <v>-0.00877274366619907</v>
      </c>
    </row>
    <row r="29" customFormat="false" ht="17.15" hidden="false" customHeight="false" outlineLevel="0" collapsed="false">
      <c r="A29" s="0" t="s">
        <v>362</v>
      </c>
      <c r="B29" s="11" t="n">
        <f aca="false">D4/(C4-33.07)-1</f>
        <v>0.287971738026739</v>
      </c>
      <c r="C29" s="7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364</v>
      </c>
    </row>
    <row r="3" customFormat="false" ht="15" hidden="false" customHeight="false" outlineLevel="0" collapsed="false">
      <c r="A3" s="4" t="s">
        <v>16</v>
      </c>
      <c r="B3" s="4" t="s">
        <v>17</v>
      </c>
      <c r="C3" s="8" t="s">
        <v>365</v>
      </c>
      <c r="D3" s="8" t="s">
        <v>366</v>
      </c>
      <c r="E3" s="8" t="s">
        <v>367</v>
      </c>
      <c r="F3" s="8" t="s">
        <v>368</v>
      </c>
      <c r="G3" s="4" t="s">
        <v>369</v>
      </c>
    </row>
    <row r="4" customFormat="false" ht="17.15" hidden="false" customHeight="false" outlineLevel="0" collapsed="false">
      <c r="A4" s="3" t="s">
        <v>370</v>
      </c>
      <c r="B4" s="0" t="s">
        <v>371</v>
      </c>
      <c r="C4" s="14" t="n">
        <f aca="false">PL!D65</f>
        <v>23.3995380420639</v>
      </c>
      <c r="D4" s="14" t="n">
        <f aca="false">PL!E65</f>
        <v>41.6467658260637</v>
      </c>
      <c r="E4" s="14" t="n">
        <f aca="false">PL!F65</f>
        <v>52.792138191248</v>
      </c>
      <c r="F4" s="14" t="n">
        <f aca="false">PL!G65</f>
        <v>60.1385917361116</v>
      </c>
      <c r="G4" s="7" t="s">
        <v>372</v>
      </c>
    </row>
    <row r="5" customFormat="false" ht="17.15" hidden="false" customHeight="false" outlineLevel="0" collapsed="false">
      <c r="A5" s="3" t="s">
        <v>373</v>
      </c>
      <c r="B5" s="0" t="s">
        <v>87</v>
      </c>
      <c r="C5" s="15" t="n">
        <f aca="false">PL!D66</f>
        <v>190</v>
      </c>
      <c r="D5" s="15" t="n">
        <f aca="false">PL!E66</f>
        <v>275.5</v>
      </c>
      <c r="E5" s="15" t="n">
        <f aca="false">PL!F66</f>
        <v>304</v>
      </c>
      <c r="F5" s="15" t="n">
        <f aca="false">PL!G66</f>
        <v>323</v>
      </c>
      <c r="G5" s="7" t="s">
        <v>374</v>
      </c>
    </row>
    <row r="6" customFormat="false" ht="17.15" hidden="false" customHeight="false" outlineLevel="0" collapsed="false">
      <c r="A6" s="3" t="s">
        <v>375</v>
      </c>
      <c r="B6" s="0" t="s">
        <v>87</v>
      </c>
      <c r="C6" s="15" t="n">
        <f aca="false">PL!D67</f>
        <v>90</v>
      </c>
      <c r="D6" s="15" t="n">
        <f aca="false">PL!E67</f>
        <v>126</v>
      </c>
      <c r="E6" s="15" t="n">
        <f aca="false">PL!F67</f>
        <v>144</v>
      </c>
      <c r="F6" s="15" t="n">
        <f aca="false">PL!G67</f>
        <v>157.5</v>
      </c>
      <c r="G6" s="7" t="s">
        <v>61</v>
      </c>
    </row>
    <row r="7" customFormat="false" ht="17.15" hidden="false" customHeight="false" outlineLevel="0" collapsed="false">
      <c r="A7" s="3" t="s">
        <v>376</v>
      </c>
      <c r="B7" s="0" t="s">
        <v>87</v>
      </c>
      <c r="C7" s="15" t="n">
        <f aca="false">PL!D68</f>
        <v>70</v>
      </c>
      <c r="D7" s="15" t="n">
        <f aca="false">PL!E68</f>
        <v>126</v>
      </c>
      <c r="E7" s="15" t="n">
        <f aca="false">PL!F68</f>
        <v>161</v>
      </c>
      <c r="F7" s="15" t="n">
        <f aca="false">PL!G68</f>
        <v>182</v>
      </c>
      <c r="G7" s="7" t="s">
        <v>377</v>
      </c>
    </row>
    <row r="8" customFormat="false" ht="17.15" hidden="false" customHeight="false" outlineLevel="0" collapsed="false">
      <c r="A8" s="3" t="s">
        <v>378</v>
      </c>
      <c r="B8" s="0" t="s">
        <v>87</v>
      </c>
      <c r="C8" s="15" t="n">
        <f aca="false">PL!D69</f>
        <v>350</v>
      </c>
      <c r="D8" s="15" t="n">
        <f aca="false">PL!E69</f>
        <v>527.5</v>
      </c>
      <c r="E8" s="15" t="n">
        <f aca="false">PL!F69</f>
        <v>609</v>
      </c>
      <c r="F8" s="15" t="n">
        <f aca="false">PL!G69</f>
        <v>662.5</v>
      </c>
    </row>
    <row r="9" customFormat="false" ht="17.15" hidden="false" customHeight="false" outlineLevel="0" collapsed="false">
      <c r="A9" s="3" t="s">
        <v>379</v>
      </c>
      <c r="B9" s="0" t="s">
        <v>380</v>
      </c>
      <c r="C9" s="16" t="n">
        <f aca="false">PL!D69*1000/racks_vr</f>
        <v>86.3770977295163</v>
      </c>
      <c r="D9" s="16" t="n">
        <f aca="false">PL!E69*1000/racks_vr</f>
        <v>130.182625863771</v>
      </c>
      <c r="E9" s="16" t="n">
        <f aca="false">PL!F69*1000/racks_vr</f>
        <v>150.296150049358</v>
      </c>
      <c r="F9" s="16" t="n">
        <f aca="false">PL!G69*1000/racks_vr</f>
        <v>163.499506416584</v>
      </c>
      <c r="G9" s="3" t="s">
        <v>381</v>
      </c>
    </row>
    <row r="10" customFormat="false" ht="17.15" hidden="false" customHeight="false" outlineLevel="0" collapsed="false">
      <c r="A10" s="0" t="s">
        <v>382</v>
      </c>
      <c r="B10" s="0" t="s">
        <v>27</v>
      </c>
      <c r="C10" s="16" t="n">
        <f aca="false">PL!D70*PL!D72</f>
        <v>8.18983831472237</v>
      </c>
      <c r="D10" s="16" t="n">
        <f aca="false">PL!E70*PL!E72</f>
        <v>21.9686689732486</v>
      </c>
      <c r="E10" s="16" t="n">
        <f aca="false">PL!F70*PL!F72</f>
        <v>31.1858997937159</v>
      </c>
      <c r="F10" s="16" t="n">
        <f aca="false">PL!G70*PL!G72</f>
        <v>37.0528898334117</v>
      </c>
      <c r="G10" s="3" t="s">
        <v>383</v>
      </c>
    </row>
    <row r="11" customFormat="false" ht="17.15" hidden="false" customHeight="false" outlineLevel="0" collapsed="false">
      <c r="A11" s="3" t="s">
        <v>384</v>
      </c>
      <c r="B11" s="0" t="s">
        <v>47</v>
      </c>
      <c r="C11" s="11" t="n">
        <f aca="false">PL!D75</f>
        <v>0.459306165741139</v>
      </c>
      <c r="D11" s="11" t="n">
        <f aca="false">PL!E75</f>
        <v>0.436340857454082</v>
      </c>
      <c r="E11" s="11" t="n">
        <f aca="false">PL!F75</f>
        <v>0.413375549167025</v>
      </c>
      <c r="F11" s="11" t="n">
        <f aca="false">PL!G75</f>
        <v>0.390410240879968</v>
      </c>
      <c r="G11" s="7" t="s">
        <v>385</v>
      </c>
    </row>
    <row r="12" customFormat="false" ht="17.15" hidden="false" customHeight="false" outlineLevel="0" collapsed="false">
      <c r="A12" s="3" t="s">
        <v>386</v>
      </c>
      <c r="B12" s="0" t="s">
        <v>27</v>
      </c>
      <c r="C12" s="17" t="n">
        <f aca="false">PL!D76/fx</f>
        <v>3.761643234375</v>
      </c>
      <c r="D12" s="17" t="n">
        <f aca="false">PL!E76/fx</f>
        <v>9.58582785691217</v>
      </c>
      <c r="E12" s="17" t="n">
        <f aca="false">PL!F76/fx</f>
        <v>12.8914884534951</v>
      </c>
      <c r="F12" s="17" t="n">
        <f aca="false">PL!G76/fx</f>
        <v>14.4658276451612</v>
      </c>
    </row>
    <row r="13" customFormat="false" ht="17.15" hidden="false" customHeight="false" outlineLevel="0" collapsed="false">
      <c r="A13" s="3" t="s">
        <v>387</v>
      </c>
      <c r="B13" s="0" t="s">
        <v>27</v>
      </c>
      <c r="C13" s="17" t="n">
        <f aca="false">PL!D83/fx</f>
        <v>3.761643234375</v>
      </c>
      <c r="D13" s="17" t="n">
        <f aca="false">PL!E83/fx</f>
        <v>7.51342689104167</v>
      </c>
      <c r="E13" s="17" t="n">
        <f aca="false">PL!F83/fx</f>
        <v>11.9352845958583</v>
      </c>
      <c r="F13" s="17" t="n">
        <f aca="false">PL!G83/fx</f>
        <v>14.4334791036356</v>
      </c>
    </row>
    <row r="14" customFormat="false" ht="17.15" hidden="false" customHeight="false" outlineLevel="0" collapsed="false">
      <c r="A14" s="3" t="s">
        <v>388</v>
      </c>
      <c r="B14" s="0" t="s">
        <v>87</v>
      </c>
      <c r="C14" s="15" t="n">
        <f aca="false">PL!D89</f>
        <v>160.757158009399</v>
      </c>
      <c r="D14" s="15" t="n">
        <f aca="false">PL!E89</f>
        <v>180.408412082255</v>
      </c>
      <c r="E14" s="15" t="n">
        <f aca="false">PL!F89</f>
        <v>226.080719682557</v>
      </c>
      <c r="F14" s="15" t="n">
        <f aca="false">PL!G89</f>
        <v>240.003609778057</v>
      </c>
    </row>
    <row r="15" customFormat="false" ht="15" hidden="false" customHeight="false" outlineLevel="0" collapsed="false">
      <c r="A15" s="3" t="s">
        <v>389</v>
      </c>
      <c r="B15" s="3" t="s">
        <v>144</v>
      </c>
      <c r="C15" s="12" t="n">
        <f aca="false">PL!D78</f>
        <v>6</v>
      </c>
      <c r="D15" s="12" t="n">
        <f aca="false">PL!E78</f>
        <v>7.76</v>
      </c>
      <c r="E15" s="12" t="n">
        <f aca="false">PL!F78</f>
        <v>10.3</v>
      </c>
      <c r="F15" s="12" t="n">
        <f aca="false">PL!G78</f>
        <v>11.8</v>
      </c>
      <c r="G15" s="3" t="s">
        <v>390</v>
      </c>
    </row>
    <row r="16" customFormat="false" ht="17.15" hidden="false" customHeight="false" outlineLevel="0" collapsed="false">
      <c r="A16" s="3" t="s">
        <v>391</v>
      </c>
      <c r="B16" s="0" t="s">
        <v>392</v>
      </c>
      <c r="C16" s="15" t="n">
        <f aca="false">PL!$D$79*PL!D80*PL!D72</f>
        <v>2857.84861111111</v>
      </c>
      <c r="D16" s="15" t="n">
        <f aca="false">PL!$D$79*PL!E80*PL!E72</f>
        <v>3572.31076388889</v>
      </c>
      <c r="E16" s="15" t="n">
        <f aca="false">PL!$D$79*PL!F80*PL!F72</f>
        <v>3880.95841388889</v>
      </c>
      <c r="F16" s="15" t="n">
        <f aca="false">PL!$D$79*PL!G80*PL!G72</f>
        <v>3986.6988125</v>
      </c>
      <c r="G16" s="7" t="s">
        <v>393</v>
      </c>
    </row>
    <row r="17" customFormat="false" ht="17.15" hidden="false" customHeight="false" outlineLevel="0" collapsed="false">
      <c r="A17" s="3" t="s">
        <v>394</v>
      </c>
      <c r="B17" s="0" t="s">
        <v>47</v>
      </c>
      <c r="C17" s="11" t="n">
        <f aca="false">PL!D88</f>
        <v>1</v>
      </c>
      <c r="D17" s="11" t="n">
        <f aca="false">PL!E88</f>
        <v>1.19935703454662</v>
      </c>
      <c r="E17" s="11" t="n">
        <f aca="false">PL!F88</f>
        <v>1.06378859108748</v>
      </c>
      <c r="F17" s="11" t="n">
        <f aca="false">PL!G88</f>
        <v>1.00183369880905</v>
      </c>
      <c r="G17" s="3" t="s">
        <v>395</v>
      </c>
    </row>
    <row r="18" customFormat="false" ht="17.15" hidden="false" customHeight="false" outlineLevel="0" collapsed="false">
      <c r="A18" s="3" t="s">
        <v>396</v>
      </c>
      <c r="B18" s="0" t="s">
        <v>27</v>
      </c>
      <c r="C18" s="16" t="n">
        <f aca="false">PL!D70*PL!D72-PL!D83/fx</f>
        <v>4.42819508034737</v>
      </c>
      <c r="D18" s="16" t="n">
        <f aca="false">PL!E70*PL!E72-PL!E83/fx</f>
        <v>14.4552420822069</v>
      </c>
      <c r="E18" s="16" t="n">
        <f aca="false">PL!F70*PL!F72-PL!F83/fx</f>
        <v>19.2506151978576</v>
      </c>
      <c r="F18" s="16" t="n">
        <f aca="false">PL!G70*PL!G72-PL!G83/fx</f>
        <v>22.6194107297761</v>
      </c>
      <c r="G18" s="3" t="s">
        <v>397</v>
      </c>
    </row>
    <row r="20" customFormat="false" ht="17.15" hidden="false" customHeight="false" outlineLevel="0" collapsed="false">
      <c r="A20" s="1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399</v>
      </c>
    </row>
    <row r="3" customFormat="false" ht="17.15" hidden="false" customHeight="false" outlineLevel="0" collapsed="false">
      <c r="A3" s="4" t="s">
        <v>400</v>
      </c>
      <c r="B3" s="4" t="s">
        <v>17</v>
      </c>
      <c r="C3" s="8" t="s">
        <v>315</v>
      </c>
      <c r="D3" s="8" t="s">
        <v>401</v>
      </c>
      <c r="E3" s="8" t="s">
        <v>402</v>
      </c>
      <c r="F3" s="8" t="s">
        <v>403</v>
      </c>
      <c r="G3" s="8" t="s">
        <v>404</v>
      </c>
      <c r="H3" s="4" t="s">
        <v>369</v>
      </c>
    </row>
    <row r="4" customFormat="false" ht="17.15" hidden="false" customHeight="false" outlineLevel="0" collapsed="false">
      <c r="A4" s="1" t="s">
        <v>405</v>
      </c>
    </row>
    <row r="5" customFormat="false" ht="15" hidden="false" customHeight="false" outlineLevel="0" collapsed="false">
      <c r="A5" s="3" t="s">
        <v>320</v>
      </c>
      <c r="B5" s="0" t="s">
        <v>193</v>
      </c>
      <c r="C5" s="16" t="n">
        <f aca="false">C85</f>
        <v>94.261</v>
      </c>
      <c r="D5" s="16" t="n">
        <f aca="false">D85</f>
        <v>205.7651</v>
      </c>
      <c r="E5" s="16" t="n">
        <f aca="false">E85</f>
        <v>332.653578333333</v>
      </c>
      <c r="F5" s="16" t="n">
        <f aca="false">F85</f>
        <v>479.686459956667</v>
      </c>
      <c r="G5" s="16" t="n">
        <f aca="false">G85</f>
        <v>564.51655185</v>
      </c>
    </row>
    <row r="6" customFormat="false" ht="15" hidden="false" customHeight="false" outlineLevel="0" collapsed="false">
      <c r="A6" s="3" t="s">
        <v>406</v>
      </c>
      <c r="B6" s="0" t="s">
        <v>47</v>
      </c>
      <c r="D6" s="11" t="n">
        <f aca="false">D86</f>
        <v>1.1829293132897</v>
      </c>
      <c r="E6" s="11" t="n">
        <f aca="false">E86</f>
        <v>0.616666666666667</v>
      </c>
      <c r="F6" s="11" t="n">
        <f aca="false">F86</f>
        <v>0.442</v>
      </c>
      <c r="G6" s="11" t="n">
        <f aca="false">G86</f>
        <v>0.17684487467292</v>
      </c>
    </row>
    <row r="7" customFormat="false" ht="17.15" hidden="false" customHeight="false" outlineLevel="0" collapsed="false">
      <c r="A7" s="0" t="s">
        <v>407</v>
      </c>
      <c r="B7" s="0" t="s">
        <v>193</v>
      </c>
      <c r="C7" s="16" t="n">
        <f aca="false">C83</f>
        <v>47.1305</v>
      </c>
      <c r="D7" s="16" t="n">
        <f aca="false">D83</f>
        <v>120.3725835</v>
      </c>
      <c r="E7" s="16" t="n">
        <f aca="false">E83</f>
        <v>240.429660513333</v>
      </c>
      <c r="F7" s="16" t="n">
        <f aca="false">F83</f>
        <v>381.929107067467</v>
      </c>
      <c r="G7" s="16" t="n">
        <f aca="false">G83</f>
        <v>461.87133131634</v>
      </c>
    </row>
    <row r="8" customFormat="false" ht="17.15" hidden="false" customHeight="false" outlineLevel="0" collapsed="false">
      <c r="A8" s="3" t="s">
        <v>408</v>
      </c>
      <c r="B8" s="0" t="s">
        <v>193</v>
      </c>
      <c r="C8" s="16" t="n">
        <f aca="false">C82</f>
        <v>47.1305</v>
      </c>
      <c r="D8" s="16" t="n">
        <f aca="false">D82</f>
        <v>85.3925165</v>
      </c>
      <c r="E8" s="16" t="n">
        <f aca="false">E82</f>
        <v>92.22391782</v>
      </c>
      <c r="F8" s="16" t="n">
        <f aca="false">F82</f>
        <v>97.7573528892</v>
      </c>
      <c r="G8" s="16" t="n">
        <f aca="false">G82</f>
        <v>102.64522053366</v>
      </c>
    </row>
    <row r="9" customFormat="false" ht="17.15" hidden="false" customHeight="false" outlineLevel="0" collapsed="false">
      <c r="A9" s="3" t="s">
        <v>409</v>
      </c>
      <c r="B9" s="0" t="s">
        <v>47</v>
      </c>
      <c r="D9" s="11" t="n">
        <f aca="false">D88</f>
        <v>1</v>
      </c>
      <c r="E9" s="11" t="n">
        <f aca="false">E88</f>
        <v>1.19935703454662</v>
      </c>
      <c r="F9" s="11" t="n">
        <f aca="false">F88</f>
        <v>1.06378859108748</v>
      </c>
      <c r="G9" s="11" t="n">
        <f aca="false">G88</f>
        <v>1.00183369880905</v>
      </c>
    </row>
    <row r="10" customFormat="false" ht="15" hidden="false" customHeight="false" outlineLevel="0" collapsed="false">
      <c r="A10" s="3" t="s">
        <v>327</v>
      </c>
      <c r="B10" s="0" t="s">
        <v>47</v>
      </c>
      <c r="C10" s="11" t="n">
        <f aca="false">C94</f>
        <v>0.298320620405046</v>
      </c>
      <c r="D10" s="11" t="n">
        <f aca="false">D94</f>
        <v>0.338364442755356</v>
      </c>
      <c r="E10" s="11" t="n">
        <f aca="false">E94</f>
        <v>0.349385473683191</v>
      </c>
      <c r="F10" s="11" t="n">
        <f aca="false">F94</f>
        <v>0.339785726036607</v>
      </c>
      <c r="G10" s="11" t="n">
        <f aca="false">G94</f>
        <v>0.318317339530918</v>
      </c>
    </row>
    <row r="11" customFormat="false" ht="15" hidden="false" customHeight="false" outlineLevel="0" collapsed="false">
      <c r="A11" s="3" t="s">
        <v>335</v>
      </c>
      <c r="B11" s="0" t="s">
        <v>47</v>
      </c>
      <c r="C11" s="11" t="n">
        <f aca="false">C98</f>
        <v>0.202713741632276</v>
      </c>
      <c r="D11" s="11" t="n">
        <f aca="false">D98</f>
        <v>0.270251297648699</v>
      </c>
      <c r="E11" s="11" t="n">
        <f aca="false">E98</f>
        <v>0.291664849685591</v>
      </c>
      <c r="F11" s="11" t="n">
        <f aca="false">F98</f>
        <v>0.28914208284537</v>
      </c>
      <c r="G11" s="11" t="n">
        <f aca="false">G98</f>
        <v>0.270717791250024</v>
      </c>
    </row>
    <row r="12" customFormat="false" ht="15" hidden="false" customHeight="false" outlineLevel="0" collapsed="false">
      <c r="A12" s="3" t="s">
        <v>340</v>
      </c>
      <c r="B12" s="0" t="s">
        <v>193</v>
      </c>
      <c r="C12" s="16" t="n">
        <f aca="false">C100</f>
        <v>14.649</v>
      </c>
      <c r="D12" s="16" t="n">
        <f aca="false">D100</f>
        <v>42.891099295</v>
      </c>
      <c r="E12" s="16" t="n">
        <f aca="false">E100</f>
        <v>75.0929840599135</v>
      </c>
      <c r="F12" s="16" t="n">
        <f aca="false">F100</f>
        <v>107.182107451337</v>
      </c>
      <c r="G12" s="16" t="n">
        <f aca="false">G100</f>
        <v>118.059999011502</v>
      </c>
    </row>
    <row r="13" customFormat="false" ht="15" hidden="false" customHeight="false" outlineLevel="0" collapsed="false">
      <c r="A13" s="0" t="s">
        <v>346</v>
      </c>
      <c r="B13" s="0" t="s">
        <v>253</v>
      </c>
      <c r="C13" s="12" t="n">
        <f aca="false">C103</f>
        <v>41.67</v>
      </c>
      <c r="D13" s="12" t="n">
        <f aca="false">D103</f>
        <v>119.710515747433</v>
      </c>
      <c r="E13" s="12" t="n">
        <f aca="false">E103</f>
        <v>209.587070478139</v>
      </c>
      <c r="F13" s="12" t="n">
        <f aca="false">F103</f>
        <v>299.14890438334</v>
      </c>
      <c r="G13" s="12" t="n">
        <f aca="false">G103</f>
        <v>329.509469403035</v>
      </c>
    </row>
    <row r="14" customFormat="false" ht="17.15" hidden="false" customHeight="false" outlineLevel="0" collapsed="false">
      <c r="A14" s="0" t="s">
        <v>410</v>
      </c>
      <c r="B14" s="0" t="s">
        <v>47</v>
      </c>
      <c r="D14" s="11" t="n">
        <f aca="false">D104</f>
        <v>1.87282255213422</v>
      </c>
      <c r="E14" s="11" t="n">
        <f aca="false">E104</f>
        <v>0.750782453567642</v>
      </c>
      <c r="F14" s="11" t="n">
        <f aca="false">F104</f>
        <v>0.42732518614283</v>
      </c>
      <c r="G14" s="11" t="n">
        <f aca="false">G104</f>
        <v>0.101489808502824</v>
      </c>
    </row>
    <row r="16" customFormat="false" ht="17.15" hidden="false" customHeight="false" outlineLevel="0" collapsed="false">
      <c r="A16" s="1" t="s">
        <v>411</v>
      </c>
    </row>
    <row r="17" customFormat="false" ht="15" hidden="false" customHeight="false" outlineLevel="0" collapsed="false">
      <c r="A17" s="3" t="s">
        <v>320</v>
      </c>
      <c r="B17" s="0" t="s">
        <v>193</v>
      </c>
      <c r="C17" s="16" t="n">
        <f aca="false">C132</f>
        <v>94.261</v>
      </c>
      <c r="D17" s="16" t="n">
        <f aca="false">D132</f>
        <v>205.7651</v>
      </c>
      <c r="E17" s="16" t="n">
        <f aca="false">E132</f>
        <v>332.653578333333</v>
      </c>
      <c r="F17" s="16" t="n">
        <f aca="false">F132</f>
        <v>427.779457298675</v>
      </c>
      <c r="G17" s="16" t="n">
        <f aca="false">G132</f>
        <v>496.115732482044</v>
      </c>
    </row>
    <row r="18" customFormat="false" ht="15" hidden="false" customHeight="false" outlineLevel="0" collapsed="false">
      <c r="A18" s="3" t="s">
        <v>406</v>
      </c>
      <c r="B18" s="0" t="s">
        <v>47</v>
      </c>
      <c r="D18" s="11" t="n">
        <f aca="false">D133</f>
        <v>1.1829293132897</v>
      </c>
      <c r="E18" s="11" t="n">
        <f aca="false">E133</f>
        <v>0.616666666666667</v>
      </c>
      <c r="F18" s="11" t="n">
        <f aca="false">F133</f>
        <v>0.285960786719756</v>
      </c>
      <c r="G18" s="11" t="n">
        <f aca="false">G133</f>
        <v>0.159746509603094</v>
      </c>
    </row>
    <row r="19" customFormat="false" ht="17.15" hidden="false" customHeight="false" outlineLevel="0" collapsed="false">
      <c r="A19" s="0" t="s">
        <v>407</v>
      </c>
      <c r="B19" s="0" t="s">
        <v>193</v>
      </c>
      <c r="C19" s="16" t="n">
        <f aca="false">C130</f>
        <v>47.1305</v>
      </c>
      <c r="D19" s="16" t="n">
        <f aca="false">D130</f>
        <v>120.3725835</v>
      </c>
      <c r="E19" s="16" t="n">
        <f aca="false">E130</f>
        <v>240.429660513333</v>
      </c>
      <c r="F19" s="16" t="n">
        <f aca="false">F130</f>
        <v>330.022104409475</v>
      </c>
      <c r="G19" s="16" t="n">
        <f aca="false">G130</f>
        <v>393.470511948384</v>
      </c>
    </row>
    <row r="20" customFormat="false" ht="17.15" hidden="false" customHeight="false" outlineLevel="0" collapsed="false">
      <c r="A20" s="3" t="s">
        <v>408</v>
      </c>
      <c r="B20" s="0" t="s">
        <v>193</v>
      </c>
      <c r="C20" s="16" t="n">
        <f aca="false">C129</f>
        <v>47.1305</v>
      </c>
      <c r="D20" s="16" t="n">
        <f aca="false">D129</f>
        <v>85.3925165</v>
      </c>
      <c r="E20" s="16" t="n">
        <f aca="false">E129</f>
        <v>92.22391782</v>
      </c>
      <c r="F20" s="16" t="n">
        <f aca="false">F129</f>
        <v>97.7573528892</v>
      </c>
      <c r="G20" s="16" t="n">
        <f aca="false">G129</f>
        <v>102.64522053366</v>
      </c>
    </row>
    <row r="21" customFormat="false" ht="17.15" hidden="false" customHeight="false" outlineLevel="0" collapsed="false">
      <c r="A21" s="3" t="s">
        <v>409</v>
      </c>
      <c r="B21" s="0" t="s">
        <v>47</v>
      </c>
      <c r="D21" s="11" t="n">
        <f aca="false">D135</f>
        <v>1</v>
      </c>
      <c r="E21" s="11" t="n">
        <f aca="false">E135</f>
        <v>1.19935703454662</v>
      </c>
      <c r="F21" s="11" t="n">
        <f aca="false">F135</f>
        <v>0.891789727267514</v>
      </c>
      <c r="G21" s="11" t="n">
        <f aca="false">G135</f>
        <v>0.878832925015579</v>
      </c>
    </row>
    <row r="22" customFormat="false" ht="15" hidden="false" customHeight="false" outlineLevel="0" collapsed="false">
      <c r="A22" s="3" t="s">
        <v>327</v>
      </c>
      <c r="B22" s="0" t="s">
        <v>47</v>
      </c>
      <c r="C22" s="11" t="n">
        <f aca="false">C141</f>
        <v>0.298320620405046</v>
      </c>
      <c r="D22" s="11" t="n">
        <f aca="false">D141</f>
        <v>0.338364442755356</v>
      </c>
      <c r="E22" s="11" t="n">
        <f aca="false">E141</f>
        <v>0.349385473683191</v>
      </c>
      <c r="F22" s="11" t="n">
        <f aca="false">F141</f>
        <v>0.338288072123118</v>
      </c>
      <c r="G22" s="11" t="n">
        <f aca="false">G141</f>
        <v>0.317497617052056</v>
      </c>
    </row>
    <row r="23" customFormat="false" ht="15" hidden="false" customHeight="false" outlineLevel="0" collapsed="false">
      <c r="A23" s="3" t="s">
        <v>335</v>
      </c>
      <c r="B23" s="0" t="s">
        <v>47</v>
      </c>
      <c r="C23" s="11" t="n">
        <f aca="false">C145</f>
        <v>0.202713741632276</v>
      </c>
      <c r="D23" s="11" t="n">
        <f aca="false">D145</f>
        <v>0.270251297648699</v>
      </c>
      <c r="E23" s="11" t="n">
        <f aca="false">E145</f>
        <v>0.291664849685591</v>
      </c>
      <c r="F23" s="11" t="n">
        <f aca="false">F145</f>
        <v>0.285701612469801</v>
      </c>
      <c r="G23" s="11" t="n">
        <f aca="false">G145</f>
        <v>0.267808515851623</v>
      </c>
    </row>
    <row r="24" customFormat="false" ht="15" hidden="false" customHeight="false" outlineLevel="0" collapsed="false">
      <c r="A24" s="3" t="s">
        <v>340</v>
      </c>
      <c r="B24" s="0" t="s">
        <v>193</v>
      </c>
      <c r="C24" s="16" t="n">
        <f aca="false">C147</f>
        <v>14.649</v>
      </c>
      <c r="D24" s="16" t="n">
        <f aca="false">D147</f>
        <v>42.891099295</v>
      </c>
      <c r="E24" s="16" t="n">
        <f aca="false">E147</f>
        <v>75.0929840599135</v>
      </c>
      <c r="F24" s="16" t="n">
        <f aca="false">F147</f>
        <v>94.4923061633998</v>
      </c>
      <c r="G24" s="16" t="n">
        <f aca="false">G147</f>
        <v>102.690293865126</v>
      </c>
    </row>
    <row r="25" customFormat="false" ht="15" hidden="false" customHeight="false" outlineLevel="0" collapsed="false">
      <c r="A25" s="0" t="s">
        <v>346</v>
      </c>
      <c r="B25" s="0" t="s">
        <v>253</v>
      </c>
      <c r="C25" s="12" t="n">
        <f aca="false">C150</f>
        <v>41.67</v>
      </c>
      <c r="D25" s="12" t="n">
        <f aca="false">D150</f>
        <v>119.710515747433</v>
      </c>
      <c r="E25" s="12" t="n">
        <f aca="false">E150</f>
        <v>209.587070478139</v>
      </c>
      <c r="F25" s="12" t="n">
        <f aca="false">F150</f>
        <v>263.731237737327</v>
      </c>
      <c r="G25" s="12" t="n">
        <f aca="false">G150</f>
        <v>286.612100014017</v>
      </c>
    </row>
    <row r="26" customFormat="false" ht="17.15" hidden="false" customHeight="false" outlineLevel="0" collapsed="false">
      <c r="A26" s="0" t="s">
        <v>410</v>
      </c>
      <c r="B26" s="0" t="s">
        <v>47</v>
      </c>
      <c r="D26" s="11" t="n">
        <f aca="false">D151</f>
        <v>1.87282255213422</v>
      </c>
      <c r="E26" s="11" t="n">
        <f aca="false">E151</f>
        <v>0.750782453567642</v>
      </c>
      <c r="F26" s="11" t="n">
        <f aca="false">F151</f>
        <v>0.25833734464472</v>
      </c>
      <c r="G26" s="11" t="n">
        <f aca="false">G151</f>
        <v>0.0867582561436251</v>
      </c>
    </row>
    <row r="28" customFormat="false" ht="17.15" hidden="false" customHeight="false" outlineLevel="0" collapsed="false">
      <c r="A28" s="1" t="s">
        <v>412</v>
      </c>
    </row>
    <row r="29" customFormat="false" ht="15" hidden="false" customHeight="false" outlineLevel="0" collapsed="false">
      <c r="A29" s="3" t="s">
        <v>320</v>
      </c>
      <c r="B29" s="0" t="s">
        <v>193</v>
      </c>
      <c r="C29" s="16" t="n">
        <f aca="false">C179</f>
        <v>94.261</v>
      </c>
      <c r="D29" s="16" t="n">
        <f aca="false">D179</f>
        <v>205.7651</v>
      </c>
      <c r="E29" s="16" t="n">
        <f aca="false">E179</f>
        <v>332.653578333333</v>
      </c>
      <c r="F29" s="16" t="n">
        <f aca="false">F179</f>
        <v>345.273931196306</v>
      </c>
      <c r="G29" s="16" t="n">
        <f aca="false">G179</f>
        <v>380.389111320755</v>
      </c>
    </row>
    <row r="30" customFormat="false" ht="15" hidden="false" customHeight="false" outlineLevel="0" collapsed="false">
      <c r="A30" s="3" t="s">
        <v>406</v>
      </c>
      <c r="B30" s="0" t="s">
        <v>47</v>
      </c>
      <c r="D30" s="11" t="n">
        <f aca="false">D180</f>
        <v>1.1829293132897</v>
      </c>
      <c r="E30" s="11" t="n">
        <f aca="false">E180</f>
        <v>0.616666666666667</v>
      </c>
      <c r="F30" s="11" t="n">
        <f aca="false">F180</f>
        <v>0.037938425091363</v>
      </c>
      <c r="G30" s="11" t="n">
        <f aca="false">G180</f>
        <v>0.101702378754113</v>
      </c>
    </row>
    <row r="31" customFormat="false" ht="17.15" hidden="false" customHeight="false" outlineLevel="0" collapsed="false">
      <c r="A31" s="0" t="s">
        <v>407</v>
      </c>
      <c r="B31" s="0" t="s">
        <v>193</v>
      </c>
      <c r="C31" s="16" t="n">
        <f aca="false">C177</f>
        <v>47.1305</v>
      </c>
      <c r="D31" s="16" t="n">
        <f aca="false">D177</f>
        <v>120.3725835</v>
      </c>
      <c r="E31" s="16" t="n">
        <f aca="false">E177</f>
        <v>240.429660513333</v>
      </c>
      <c r="F31" s="16" t="n">
        <f aca="false">F177</f>
        <v>247.516578307106</v>
      </c>
      <c r="G31" s="16" t="n">
        <f aca="false">G177</f>
        <v>277.743890787095</v>
      </c>
    </row>
    <row r="32" customFormat="false" ht="17.15" hidden="false" customHeight="false" outlineLevel="0" collapsed="false">
      <c r="A32" s="3" t="s">
        <v>408</v>
      </c>
      <c r="B32" s="0" t="s">
        <v>193</v>
      </c>
      <c r="C32" s="16" t="n">
        <f aca="false">C176</f>
        <v>47.1305</v>
      </c>
      <c r="D32" s="16" t="n">
        <f aca="false">D176</f>
        <v>85.3925165</v>
      </c>
      <c r="E32" s="16" t="n">
        <f aca="false">E176</f>
        <v>92.22391782</v>
      </c>
      <c r="F32" s="16" t="n">
        <f aca="false">F176</f>
        <v>97.7573528892</v>
      </c>
      <c r="G32" s="16" t="n">
        <f aca="false">G176</f>
        <v>102.64522053366</v>
      </c>
    </row>
    <row r="33" customFormat="false" ht="17.15" hidden="false" customHeight="false" outlineLevel="0" collapsed="false">
      <c r="A33" s="3" t="s">
        <v>409</v>
      </c>
      <c r="B33" s="0" t="s">
        <v>47</v>
      </c>
      <c r="D33" s="11" t="n">
        <f aca="false">D182</f>
        <v>1</v>
      </c>
      <c r="E33" s="11" t="n">
        <f aca="false">E182</f>
        <v>1.19935703454662</v>
      </c>
      <c r="F33" s="11" t="n">
        <f aca="false">F182</f>
        <v>0.719790863447547</v>
      </c>
      <c r="G33" s="11" t="n">
        <f aca="false">G182</f>
        <v>0.673831635359789</v>
      </c>
    </row>
    <row r="34" customFormat="false" ht="15" hidden="false" customHeight="false" outlineLevel="0" collapsed="false">
      <c r="A34" s="3" t="s">
        <v>327</v>
      </c>
      <c r="B34" s="0" t="s">
        <v>47</v>
      </c>
      <c r="C34" s="11" t="n">
        <f aca="false">C188</f>
        <v>0.298320620405046</v>
      </c>
      <c r="D34" s="11" t="n">
        <f aca="false">D188</f>
        <v>0.338364442755356</v>
      </c>
      <c r="E34" s="11" t="n">
        <f aca="false">E188</f>
        <v>0.349385473683191</v>
      </c>
      <c r="F34" s="11" t="n">
        <f aca="false">F188</f>
        <v>0.334980858696562</v>
      </c>
      <c r="G34" s="11" t="n">
        <f aca="false">G188</f>
        <v>0.315439417793948</v>
      </c>
    </row>
    <row r="35" customFormat="false" ht="15" hidden="false" customHeight="false" outlineLevel="0" collapsed="false">
      <c r="A35" s="3" t="s">
        <v>335</v>
      </c>
      <c r="B35" s="0" t="s">
        <v>47</v>
      </c>
      <c r="C35" s="11" t="n">
        <f aca="false">C192</f>
        <v>0.202713741632276</v>
      </c>
      <c r="D35" s="11" t="n">
        <f aca="false">D192</f>
        <v>0.270251297648699</v>
      </c>
      <c r="E35" s="11" t="n">
        <f aca="false">E192</f>
        <v>0.291664849685591</v>
      </c>
      <c r="F35" s="11" t="n">
        <f aca="false">F192</f>
        <v>0.278104149720055</v>
      </c>
      <c r="G35" s="11" t="n">
        <f aca="false">G192</f>
        <v>0.260662911816061</v>
      </c>
    </row>
    <row r="36" customFormat="false" ht="15" hidden="false" customHeight="false" outlineLevel="0" collapsed="false">
      <c r="A36" s="3" t="s">
        <v>340</v>
      </c>
      <c r="B36" s="0" t="s">
        <v>193</v>
      </c>
      <c r="C36" s="16" t="n">
        <f aca="false">C194</f>
        <v>14.649</v>
      </c>
      <c r="D36" s="16" t="n">
        <f aca="false">D194</f>
        <v>42.891099295</v>
      </c>
      <c r="E36" s="16" t="n">
        <f aca="false">E194</f>
        <v>75.0929840599135</v>
      </c>
      <c r="F36" s="16" t="n">
        <f aca="false">F194</f>
        <v>74.322027053004</v>
      </c>
      <c r="G36" s="16" t="n">
        <f aca="false">G194</f>
        <v>76.7330667025937</v>
      </c>
    </row>
    <row r="37" customFormat="false" ht="15" hidden="false" customHeight="false" outlineLevel="0" collapsed="false">
      <c r="A37" s="0" t="s">
        <v>346</v>
      </c>
      <c r="B37" s="0" t="s">
        <v>253</v>
      </c>
      <c r="C37" s="12" t="n">
        <f aca="false">C197</f>
        <v>41.67</v>
      </c>
      <c r="D37" s="12" t="n">
        <f aca="false">D197</f>
        <v>119.710515747433</v>
      </c>
      <c r="E37" s="12" t="n">
        <f aca="false">E197</f>
        <v>209.587070478139</v>
      </c>
      <c r="F37" s="12" t="n">
        <f aca="false">F197</f>
        <v>207.43530327158</v>
      </c>
      <c r="G37" s="12" t="n">
        <f aca="false">G197</f>
        <v>214.16459687058</v>
      </c>
    </row>
    <row r="38" customFormat="false" ht="17.15" hidden="false" customHeight="false" outlineLevel="0" collapsed="false">
      <c r="A38" s="0" t="s">
        <v>410</v>
      </c>
      <c r="B38" s="0" t="s">
        <v>47</v>
      </c>
      <c r="D38" s="11" t="n">
        <f aca="false">D198</f>
        <v>1.87282255213422</v>
      </c>
      <c r="E38" s="11" t="n">
        <f aca="false">E198</f>
        <v>0.750782453567642</v>
      </c>
      <c r="F38" s="11" t="n">
        <f aca="false">F198</f>
        <v>-0.0102666982350085</v>
      </c>
      <c r="G38" s="11" t="n">
        <f aca="false">G198</f>
        <v>0.0324404452514486</v>
      </c>
    </row>
    <row r="40" customFormat="false" ht="17.15" hidden="false" customHeight="false" outlineLevel="0" collapsed="false">
      <c r="A40" s="1" t="s">
        <v>413</v>
      </c>
    </row>
    <row r="41" customFormat="false" ht="17.15" hidden="false" customHeight="false" outlineLevel="0" collapsed="false">
      <c r="A41" s="3" t="s">
        <v>414</v>
      </c>
      <c r="D41" s="18" t="n">
        <f aca="false">D85-a26_rev</f>
        <v>0</v>
      </c>
    </row>
    <row r="42" customFormat="false" ht="17.15" hidden="false" customHeight="false" outlineLevel="0" collapsed="false">
      <c r="A42" s="3" t="s">
        <v>415</v>
      </c>
      <c r="D42" s="18" t="n">
        <f aca="false">D83-a26_ai</f>
        <v>0</v>
      </c>
    </row>
    <row r="43" customFormat="false" ht="17.15" hidden="false" customHeight="false" outlineLevel="0" collapsed="false">
      <c r="A43" s="3" t="s">
        <v>416</v>
      </c>
      <c r="D43" s="18" t="n">
        <f aca="false">D92*D83+D91*D82-a26_gp</f>
        <v>0</v>
      </c>
    </row>
    <row r="44" customFormat="false" ht="17.15" hidden="false" customHeight="false" outlineLevel="0" collapsed="false">
      <c r="A44" s="3" t="s">
        <v>417</v>
      </c>
      <c r="D44" s="18" t="n">
        <f aca="false">D81-D85</f>
        <v>0</v>
      </c>
    </row>
    <row r="60" customFormat="false" ht="17.15" hidden="false" customHeight="false" outlineLevel="0" collapsed="false">
      <c r="A60" s="1" t="s">
        <v>418</v>
      </c>
    </row>
    <row r="61" customFormat="false" ht="17.15" hidden="false" customHeight="false" outlineLevel="0" collapsed="false">
      <c r="A61" s="4" t="s">
        <v>16</v>
      </c>
      <c r="B61" s="4" t="s">
        <v>17</v>
      </c>
      <c r="C61" s="8" t="s">
        <v>315</v>
      </c>
      <c r="D61" s="8" t="s">
        <v>401</v>
      </c>
      <c r="E61" s="8" t="s">
        <v>402</v>
      </c>
      <c r="F61" s="8" t="s">
        <v>403</v>
      </c>
      <c r="G61" s="8" t="s">
        <v>404</v>
      </c>
      <c r="H61" s="4" t="s">
        <v>369</v>
      </c>
    </row>
    <row r="62" customFormat="false" ht="17.15" hidden="false" customHeight="false" outlineLevel="0" collapsed="false">
      <c r="A62" s="5" t="s">
        <v>419</v>
      </c>
    </row>
    <row r="63" customFormat="false" ht="17.15" hidden="false" customHeight="false" outlineLevel="0" collapsed="false">
      <c r="A63" s="0" t="s">
        <v>420</v>
      </c>
      <c r="B63" s="0" t="s">
        <v>27</v>
      </c>
      <c r="D63" s="17" t="n">
        <f aca="false">itc_26*1</f>
        <v>781.872916666667</v>
      </c>
      <c r="E63" s="17" t="n">
        <f aca="false">itc_27*1*1</f>
        <v>1565.35</v>
      </c>
      <c r="F63" s="17" t="n">
        <f aca="false">itc_28*um28_A*1</f>
        <v>1984.26388888889</v>
      </c>
      <c r="G63" s="17" t="n">
        <f aca="false">itc_29*um29_A*1</f>
        <v>2260.39027777778</v>
      </c>
    </row>
    <row r="64" customFormat="false" ht="17.15" hidden="false" customHeight="false" outlineLevel="0" collapsed="false">
      <c r="A64" s="3" t="s">
        <v>421</v>
      </c>
      <c r="B64" s="0" t="s">
        <v>27</v>
      </c>
      <c r="D64" s="17" t="n">
        <f aca="false">itpg_gb*(1-vr26)+itpg_vr*vr26</f>
        <v>33.41403216</v>
      </c>
      <c r="E64" s="17" t="n">
        <f aca="false">itpg_vr</f>
        <v>37.586352</v>
      </c>
      <c r="F64" s="17" t="n">
        <f aca="false">itpg_vr</f>
        <v>37.586352</v>
      </c>
      <c r="G64" s="17" t="n">
        <f aca="false">itpg_vr</f>
        <v>37.586352</v>
      </c>
    </row>
    <row r="65" customFormat="false" ht="17.15" hidden="false" customHeight="false" outlineLevel="0" collapsed="false">
      <c r="A65" s="3" t="s">
        <v>422</v>
      </c>
      <c r="B65" s="0" t="s">
        <v>371</v>
      </c>
      <c r="D65" s="14" t="n">
        <f aca="false">D63/D64</f>
        <v>23.3995380420639</v>
      </c>
      <c r="E65" s="14" t="n">
        <f aca="false">E63/E64</f>
        <v>41.6467658260637</v>
      </c>
      <c r="F65" s="14" t="n">
        <f aca="false">F63/F64</f>
        <v>52.792138191248</v>
      </c>
      <c r="G65" s="14" t="n">
        <f aca="false">G63/G64</f>
        <v>60.1385917361116</v>
      </c>
    </row>
    <row r="66" customFormat="false" ht="17.15" hidden="false" customHeight="false" outlineLevel="0" collapsed="false">
      <c r="A66" s="3" t="s">
        <v>373</v>
      </c>
      <c r="B66" s="0" t="s">
        <v>87</v>
      </c>
      <c r="D66" s="15" t="n">
        <f aca="false">cmp_26</f>
        <v>190</v>
      </c>
      <c r="E66" s="15" t="n">
        <f aca="false">cmp_26*cmpx_27</f>
        <v>275.5</v>
      </c>
      <c r="F66" s="15" t="n">
        <f aca="false">cmp_26*cmpx_28</f>
        <v>304</v>
      </c>
      <c r="G66" s="15" t="n">
        <f aca="false">cmp_26*cmpx_29</f>
        <v>323</v>
      </c>
    </row>
    <row r="67" customFormat="false" ht="17.15" hidden="false" customHeight="false" outlineLevel="0" collapsed="false">
      <c r="A67" s="3" t="s">
        <v>375</v>
      </c>
      <c r="B67" s="0" t="s">
        <v>87</v>
      </c>
      <c r="D67" s="15" t="n">
        <f aca="false">sw_26</f>
        <v>90</v>
      </c>
      <c r="E67" s="15" t="n">
        <f aca="false">sw_26*swx_27</f>
        <v>126</v>
      </c>
      <c r="F67" s="15" t="n">
        <f aca="false">sw_26*swx_28</f>
        <v>144</v>
      </c>
      <c r="G67" s="15" t="n">
        <f aca="false">sw_26*swx_29</f>
        <v>157.5</v>
      </c>
    </row>
    <row r="68" customFormat="false" ht="17.15" hidden="false" customHeight="false" outlineLevel="0" collapsed="false">
      <c r="A68" s="3" t="s">
        <v>376</v>
      </c>
      <c r="B68" s="0" t="s">
        <v>87</v>
      </c>
      <c r="D68" s="15" t="n">
        <f aca="false">ubb_26</f>
        <v>70</v>
      </c>
      <c r="E68" s="15" t="n">
        <f aca="false">ubb_26*ubbx_27</f>
        <v>126</v>
      </c>
      <c r="F68" s="15" t="n">
        <f aca="false">ubb_26*ubbx_28</f>
        <v>161</v>
      </c>
      <c r="G68" s="15" t="n">
        <f aca="false">ubb_26*ubbx_29</f>
        <v>182</v>
      </c>
    </row>
    <row r="69" customFormat="false" ht="17.15" hidden="false" customHeight="false" outlineLevel="0" collapsed="false">
      <c r="A69" s="3" t="s">
        <v>423</v>
      </c>
      <c r="B69" s="0" t="s">
        <v>87</v>
      </c>
      <c r="D69" s="15" t="n">
        <f aca="false">D66+D67+D68</f>
        <v>350</v>
      </c>
      <c r="E69" s="15" t="n">
        <f aca="false">E66+E67+E68</f>
        <v>527.5</v>
      </c>
      <c r="F69" s="15" t="n">
        <f aca="false">F66+F67+F68</f>
        <v>609</v>
      </c>
      <c r="G69" s="15" t="n">
        <f aca="false">G66+G67+G68</f>
        <v>662.5</v>
      </c>
    </row>
    <row r="70" customFormat="false" ht="17.15" hidden="false" customHeight="false" outlineLevel="0" collapsed="false">
      <c r="A70" s="0" t="s">
        <v>424</v>
      </c>
      <c r="B70" s="0" t="s">
        <v>27</v>
      </c>
      <c r="D70" s="17" t="n">
        <f aca="false">D65*D69/1000</f>
        <v>8.18983831472237</v>
      </c>
      <c r="E70" s="17" t="n">
        <f aca="false">E65*E69/1000</f>
        <v>21.9686689732486</v>
      </c>
      <c r="F70" s="17" t="n">
        <f aca="false">F65*F69/1000</f>
        <v>32.15041215847</v>
      </c>
      <c r="G70" s="17" t="n">
        <f aca="false">G65*G69/1000</f>
        <v>39.8418170251739</v>
      </c>
    </row>
    <row r="71" customFormat="false" ht="17.15" hidden="false" customHeight="false" outlineLevel="0" collapsed="false">
      <c r="A71" s="0" t="s">
        <v>425</v>
      </c>
      <c r="B71" s="0" t="s">
        <v>193</v>
      </c>
      <c r="D71" s="16" t="n">
        <f aca="false">D70*fx</f>
        <v>262.074826071116</v>
      </c>
      <c r="E71" s="16" t="n">
        <f aca="false">E70*fx</f>
        <v>702.997407143955</v>
      </c>
      <c r="F71" s="16" t="n">
        <f aca="false">F70*fx</f>
        <v>1028.81318907104</v>
      </c>
      <c r="G71" s="16" t="n">
        <f aca="false">G70*fx</f>
        <v>1274.93814480557</v>
      </c>
    </row>
    <row r="72" customFormat="false" ht="17.15" hidden="false" customHeight="false" outlineLevel="0" collapsed="false">
      <c r="A72" s="0" t="s">
        <v>426</v>
      </c>
      <c r="B72" s="0" t="s">
        <v>60</v>
      </c>
      <c r="D72" s="12" t="n">
        <f aca="false">1</f>
        <v>1</v>
      </c>
      <c r="E72" s="12" t="n">
        <f aca="false">pp_27</f>
        <v>1</v>
      </c>
      <c r="F72" s="12" t="n">
        <f aca="false">pp_28</f>
        <v>0.97</v>
      </c>
      <c r="G72" s="12" t="n">
        <f aca="false">pp_29</f>
        <v>0.93</v>
      </c>
    </row>
    <row r="73" customFormat="false" ht="17.15" hidden="false" customHeight="false" outlineLevel="0" collapsed="false">
      <c r="A73" s="3" t="s">
        <v>427</v>
      </c>
      <c r="B73" s="0" t="s">
        <v>47</v>
      </c>
      <c r="D73" s="11" t="n">
        <f aca="false">a26_ai/D71</f>
        <v>0.459306165741139</v>
      </c>
      <c r="H73" s="7" t="s">
        <v>428</v>
      </c>
    </row>
    <row r="74" customFormat="false" ht="17.15" hidden="false" customHeight="false" outlineLevel="0" collapsed="false">
      <c r="A74" s="3" t="s">
        <v>429</v>
      </c>
      <c r="B74" s="0" t="s">
        <v>60</v>
      </c>
      <c r="D74" s="12" t="n">
        <f aca="false">1</f>
        <v>1</v>
      </c>
      <c r="E74" s="12" t="n">
        <f aca="false">rel_27</f>
        <v>0.95</v>
      </c>
      <c r="F74" s="12" t="n">
        <f aca="false">rel_28</f>
        <v>0.9</v>
      </c>
      <c r="G74" s="12" t="n">
        <f aca="false">rel_29</f>
        <v>0.85</v>
      </c>
    </row>
    <row r="75" customFormat="false" ht="15" hidden="false" customHeight="false" outlineLevel="0" collapsed="false">
      <c r="A75" s="3" t="s">
        <v>384</v>
      </c>
      <c r="B75" s="0" t="s">
        <v>47</v>
      </c>
      <c r="D75" s="11" t="n">
        <f aca="false">$D$73*D74</f>
        <v>0.459306165741139</v>
      </c>
      <c r="E75" s="11" t="n">
        <f aca="false">$D$73*E74</f>
        <v>0.436340857454082</v>
      </c>
      <c r="F75" s="11" t="n">
        <f aca="false">$D$73*F74</f>
        <v>0.413375549167025</v>
      </c>
      <c r="G75" s="11" t="n">
        <f aca="false">$D$73*G74</f>
        <v>0.390410240879968</v>
      </c>
    </row>
    <row r="76" customFormat="false" ht="17.15" hidden="false" customHeight="false" outlineLevel="0" collapsed="false">
      <c r="A76" s="0" t="s">
        <v>430</v>
      </c>
      <c r="B76" s="0" t="s">
        <v>193</v>
      </c>
      <c r="D76" s="16" t="n">
        <f aca="false">D71*D75*D72</f>
        <v>120.3725835</v>
      </c>
      <c r="E76" s="16" t="n">
        <f aca="false">E71*E75*E72</f>
        <v>306.746491421189</v>
      </c>
      <c r="F76" s="16" t="n">
        <f aca="false">F71*F75*F72</f>
        <v>412.527630511844</v>
      </c>
      <c r="G76" s="16" t="n">
        <f aca="false">G71*G75*G72</f>
        <v>462.906484645158</v>
      </c>
    </row>
    <row r="77" customFormat="false" ht="17.15" hidden="false" customHeight="false" outlineLevel="0" collapsed="false">
      <c r="A77" s="5" t="s">
        <v>431</v>
      </c>
    </row>
    <row r="78" customFormat="false" ht="15" hidden="false" customHeight="false" outlineLevel="0" collapsed="false">
      <c r="A78" s="3" t="s">
        <v>389</v>
      </c>
      <c r="B78" s="3" t="s">
        <v>144</v>
      </c>
      <c r="D78" s="12" t="n">
        <f aca="false">cap_26</f>
        <v>6</v>
      </c>
      <c r="E78" s="12" t="n">
        <f aca="false">cap_27</f>
        <v>7.76</v>
      </c>
      <c r="F78" s="12" t="n">
        <f aca="false">cap_28</f>
        <v>10.3</v>
      </c>
      <c r="G78" s="12" t="n">
        <f aca="false">cap_29</f>
        <v>11.8</v>
      </c>
    </row>
    <row r="79" customFormat="false" ht="17.15" hidden="false" customHeight="false" outlineLevel="0" collapsed="false">
      <c r="A79" s="3" t="s">
        <v>432</v>
      </c>
      <c r="B79" s="0" t="s">
        <v>392</v>
      </c>
      <c r="D79" s="15" t="n">
        <f aca="false">a26_rev/(D78*12)*1000</f>
        <v>2857.84861111111</v>
      </c>
      <c r="H79" s="7" t="s">
        <v>433</v>
      </c>
    </row>
    <row r="80" customFormat="false" ht="17.15" hidden="false" customHeight="false" outlineLevel="0" collapsed="false">
      <c r="A80" s="3" t="s">
        <v>434</v>
      </c>
      <c r="B80" s="0" t="s">
        <v>60</v>
      </c>
      <c r="D80" s="12" t="n">
        <f aca="false">1</f>
        <v>1</v>
      </c>
      <c r="E80" s="12" t="n">
        <f aca="false">mix_27</f>
        <v>1.25</v>
      </c>
      <c r="F80" s="12" t="n">
        <f aca="false">mix_28</f>
        <v>1.4</v>
      </c>
      <c r="G80" s="12" t="n">
        <f aca="false">mix_29</f>
        <v>1.5</v>
      </c>
    </row>
    <row r="81" customFormat="false" ht="17.15" hidden="false" customHeight="false" outlineLevel="0" collapsed="false">
      <c r="A81" s="3" t="s">
        <v>435</v>
      </c>
      <c r="B81" s="0" t="s">
        <v>193</v>
      </c>
      <c r="D81" s="16" t="n">
        <f aca="false">D78*12*$D$79*D80*D72/1000</f>
        <v>205.7651</v>
      </c>
      <c r="E81" s="16" t="n">
        <f aca="false">E78*12*$D$79*E80*E72/1000</f>
        <v>332.653578333333</v>
      </c>
      <c r="F81" s="16" t="n">
        <f aca="false">F78*12*$D$79*F80*F72/1000</f>
        <v>479.686459956667</v>
      </c>
      <c r="G81" s="16" t="n">
        <f aca="false">G78*12*$D$79*G80*G72/1000</f>
        <v>564.51655185</v>
      </c>
    </row>
    <row r="82" customFormat="false" ht="17.15" hidden="false" customHeight="false" outlineLevel="0" collapsed="false">
      <c r="A82" s="3" t="s">
        <v>436</v>
      </c>
      <c r="B82" s="0" t="s">
        <v>193</v>
      </c>
      <c r="C82" s="16" t="n">
        <f aca="false">a25_nai</f>
        <v>47.1305</v>
      </c>
      <c r="D82" s="16" t="n">
        <f aca="false">a26_nai</f>
        <v>85.3925165</v>
      </c>
      <c r="E82" s="16" t="n">
        <f aca="false">D82*(1+g_nai27)</f>
        <v>92.22391782</v>
      </c>
      <c r="F82" s="16" t="n">
        <f aca="false">E82*(1+g_nai28)</f>
        <v>97.7573528892</v>
      </c>
      <c r="G82" s="16" t="n">
        <f aca="false">F82*(1+g_nai29)</f>
        <v>102.64522053366</v>
      </c>
    </row>
    <row r="83" customFormat="false" ht="17.15" hidden="false" customHeight="false" outlineLevel="0" collapsed="false">
      <c r="A83" s="0" t="s">
        <v>437</v>
      </c>
      <c r="B83" s="0" t="s">
        <v>193</v>
      </c>
      <c r="C83" s="16" t="n">
        <f aca="false">a25_ai</f>
        <v>47.1305</v>
      </c>
      <c r="D83" s="16" t="n">
        <f aca="false">D76</f>
        <v>120.3725835</v>
      </c>
      <c r="E83" s="16" t="n">
        <f aca="false">MIN(E76,E81-E82)</f>
        <v>240.429660513333</v>
      </c>
      <c r="F83" s="16" t="n">
        <f aca="false">MIN(F76,F81-F82)</f>
        <v>381.929107067467</v>
      </c>
      <c r="G83" s="16" t="n">
        <f aca="false">MIN(G76,G81-G82)</f>
        <v>461.87133131634</v>
      </c>
      <c r="H83" s="3" t="s">
        <v>438</v>
      </c>
    </row>
    <row r="84" customFormat="false" ht="15" hidden="false" customHeight="false" outlineLevel="0" collapsed="false">
      <c r="A84" s="3" t="s">
        <v>439</v>
      </c>
      <c r="E84" s="0" t="str">
        <f aca="false">IF(E76&gt;E81-E82+0.0001,"受限","未受限")</f>
        <v>受限</v>
      </c>
      <c r="F84" s="0" t="str">
        <f aca="false">IF(F76&gt;F81-F82+0.0001,"受限","未受限")</f>
        <v>受限</v>
      </c>
      <c r="G84" s="0" t="str">
        <f aca="false">IF(G76&gt;G81-G82+0.0001,"受限","未受限")</f>
        <v>受限</v>
      </c>
    </row>
    <row r="85" customFormat="false" ht="15" hidden="false" customHeight="false" outlineLevel="0" collapsed="false">
      <c r="A85" s="3" t="s">
        <v>320</v>
      </c>
      <c r="B85" s="0" t="s">
        <v>193</v>
      </c>
      <c r="C85" s="16" t="n">
        <f aca="false">C83+C82</f>
        <v>94.261</v>
      </c>
      <c r="D85" s="16" t="n">
        <f aca="false">D83+D82</f>
        <v>205.7651</v>
      </c>
      <c r="E85" s="16" t="n">
        <f aca="false">E83+E82</f>
        <v>332.653578333333</v>
      </c>
      <c r="F85" s="16" t="n">
        <f aca="false">F83+F82</f>
        <v>479.686459956667</v>
      </c>
      <c r="G85" s="16" t="n">
        <f aca="false">G83+G82</f>
        <v>564.51655185</v>
      </c>
    </row>
    <row r="86" customFormat="false" ht="15" hidden="false" customHeight="false" outlineLevel="0" collapsed="false">
      <c r="A86" s="3" t="s">
        <v>440</v>
      </c>
      <c r="B86" s="0" t="s">
        <v>47</v>
      </c>
      <c r="D86" s="11" t="n">
        <f aca="false">D85/C85-1</f>
        <v>1.1829293132897</v>
      </c>
      <c r="E86" s="11" t="n">
        <f aca="false">E85/D85-1</f>
        <v>0.616666666666667</v>
      </c>
      <c r="F86" s="11" t="n">
        <f aca="false">F85/E85-1</f>
        <v>0.442</v>
      </c>
      <c r="G86" s="11" t="n">
        <f aca="false">G85/F85-1</f>
        <v>0.17684487467292</v>
      </c>
    </row>
    <row r="87" customFormat="false" ht="17.15" hidden="false" customHeight="false" outlineLevel="0" collapsed="false">
      <c r="A87" s="0" t="s">
        <v>441</v>
      </c>
      <c r="B87" s="0" t="s">
        <v>47</v>
      </c>
      <c r="C87" s="11" t="n">
        <f aca="false">C83/C85</f>
        <v>0.5</v>
      </c>
      <c r="D87" s="11" t="n">
        <f aca="false">D83/D85</f>
        <v>0.585</v>
      </c>
      <c r="E87" s="11" t="n">
        <f aca="false">E83/E85</f>
        <v>0.722762886597938</v>
      </c>
      <c r="F87" s="11" t="n">
        <f aca="false">F83/F85</f>
        <v>0.796205728012354</v>
      </c>
      <c r="G87" s="11" t="n">
        <f aca="false">G83/G85</f>
        <v>0.818171459814106</v>
      </c>
    </row>
    <row r="88" customFormat="false" ht="17.15" hidden="false" customHeight="false" outlineLevel="0" collapsed="false">
      <c r="A88" s="3" t="s">
        <v>442</v>
      </c>
      <c r="B88" s="0" t="s">
        <v>47</v>
      </c>
      <c r="D88" s="11" t="n">
        <f aca="false">(D76+D82)/D81</f>
        <v>1</v>
      </c>
      <c r="E88" s="11" t="n">
        <f aca="false">(E76+E82)/E81</f>
        <v>1.19935703454662</v>
      </c>
      <c r="F88" s="11" t="n">
        <f aca="false">(F76+F82)/F81</f>
        <v>1.06378859108748</v>
      </c>
      <c r="G88" s="11" t="n">
        <f aca="false">(G76+G82)/G81</f>
        <v>1.00183369880905</v>
      </c>
      <c r="H88" s="3" t="s">
        <v>443</v>
      </c>
    </row>
    <row r="89" customFormat="false" ht="17.15" hidden="false" customHeight="false" outlineLevel="0" collapsed="false">
      <c r="A89" s="3" t="s">
        <v>388</v>
      </c>
      <c r="B89" s="0" t="s">
        <v>87</v>
      </c>
      <c r="D89" s="15" t="n">
        <f aca="false">D83/fx/D65*1000</f>
        <v>160.757158009399</v>
      </c>
      <c r="E89" s="15" t="n">
        <f aca="false">E83/fx/E65*1000</f>
        <v>180.408412082255</v>
      </c>
      <c r="F89" s="15" t="n">
        <f aca="false">F83/fx/F65*1000</f>
        <v>226.080719682557</v>
      </c>
      <c r="G89" s="15" t="n">
        <f aca="false">G83/fx/G65*1000</f>
        <v>240.003609778057</v>
      </c>
    </row>
    <row r="90" customFormat="false" ht="17.15" hidden="false" customHeight="false" outlineLevel="0" collapsed="false">
      <c r="A90" s="5" t="s">
        <v>444</v>
      </c>
    </row>
    <row r="91" customFormat="false" ht="17.15" hidden="false" customHeight="false" outlineLevel="0" collapsed="false">
      <c r="A91" s="3" t="s">
        <v>445</v>
      </c>
      <c r="B91" s="0" t="s">
        <v>47</v>
      </c>
      <c r="D91" s="11" t="n">
        <f aca="false">a26_gp/D85-d_ai*D87</f>
        <v>0.291564442755356</v>
      </c>
      <c r="H91" s="7" t="s">
        <v>446</v>
      </c>
    </row>
    <row r="92" customFormat="false" ht="17.15" hidden="false" customHeight="false" outlineLevel="0" collapsed="false">
      <c r="A92" s="0" t="s">
        <v>447</v>
      </c>
      <c r="B92" s="0" t="s">
        <v>47</v>
      </c>
      <c r="D92" s="11" t="n">
        <f aca="false">D91+d_ai</f>
        <v>0.371564442755356</v>
      </c>
      <c r="E92" s="11" t="n">
        <f aca="false">1-(1-$D$92)/E72</f>
        <v>0.371564442755356</v>
      </c>
      <c r="F92" s="11" t="n">
        <f aca="false">1-(1-$D$92)/F72</f>
        <v>0.352128291500367</v>
      </c>
      <c r="G92" s="11" t="n">
        <f aca="false">1-(1-$D$92)/G72</f>
        <v>0.324262841672425</v>
      </c>
      <c r="H92" s="7" t="s">
        <v>448</v>
      </c>
    </row>
    <row r="93" customFormat="false" ht="15" hidden="false" customHeight="false" outlineLevel="0" collapsed="false">
      <c r="A93" s="3" t="s">
        <v>324</v>
      </c>
      <c r="B93" s="0" t="s">
        <v>193</v>
      </c>
      <c r="C93" s="16" t="n">
        <f aca="false">a25_gp</f>
        <v>28.12</v>
      </c>
      <c r="D93" s="16" t="n">
        <f aca="false">a26_gp</f>
        <v>69.6235934</v>
      </c>
      <c r="E93" s="16" t="n">
        <f aca="false">E83*E92+E82*$D$91</f>
        <v>116.2243280384</v>
      </c>
      <c r="F93" s="16" t="n">
        <f aca="false">F83*F92+F82*$D$91</f>
        <v>162.990612066306</v>
      </c>
      <c r="G93" s="16" t="n">
        <f aca="false">G83*G92+G82*$D$91</f>
        <v>179.69540690606</v>
      </c>
    </row>
    <row r="94" customFormat="false" ht="15" hidden="false" customHeight="false" outlineLevel="0" collapsed="false">
      <c r="A94" s="3" t="s">
        <v>327</v>
      </c>
      <c r="B94" s="0" t="s">
        <v>47</v>
      </c>
      <c r="C94" s="11" t="n">
        <f aca="false">C93/C85</f>
        <v>0.298320620405046</v>
      </c>
      <c r="D94" s="11" t="n">
        <f aca="false">D93/D85</f>
        <v>0.338364442755356</v>
      </c>
      <c r="E94" s="11" t="n">
        <f aca="false">E93/E85</f>
        <v>0.349385473683191</v>
      </c>
      <c r="F94" s="11" t="n">
        <f aca="false">F93/F85</f>
        <v>0.339785726036607</v>
      </c>
      <c r="G94" s="11" t="n">
        <f aca="false">G93/G85</f>
        <v>0.318317339530918</v>
      </c>
    </row>
    <row r="95" customFormat="false" ht="15" hidden="false" customHeight="false" outlineLevel="0" collapsed="false">
      <c r="A95" s="3" t="s">
        <v>449</v>
      </c>
      <c r="B95" s="0" t="s">
        <v>193</v>
      </c>
      <c r="C95" s="16" t="n">
        <f aca="false">a25_opx</f>
        <v>9.012</v>
      </c>
      <c r="D95" s="16" t="n">
        <f aca="false">a26_opx</f>
        <v>14.0153081141857</v>
      </c>
      <c r="E95" s="16" t="n">
        <f aca="false">D95*(1+MAX(0,phi*E86))</f>
        <v>19.2009721164345</v>
      </c>
      <c r="F95" s="16" t="n">
        <f aca="false">E95*(1+MAX(0,phi*F86))</f>
        <v>24.2930699217129</v>
      </c>
      <c r="G95" s="16" t="n">
        <f aca="false">F95*(1+MAX(0,phi*G86))</f>
        <v>26.8707328651484</v>
      </c>
    </row>
    <row r="96" customFormat="false" ht="15" hidden="false" customHeight="false" outlineLevel="0" collapsed="false">
      <c r="A96" s="3" t="s">
        <v>329</v>
      </c>
      <c r="B96" s="0" t="s">
        <v>193</v>
      </c>
      <c r="C96" s="16" t="n">
        <f aca="false">C95</f>
        <v>9.012</v>
      </c>
      <c r="D96" s="16" t="n">
        <f aca="false">D95</f>
        <v>14.0153081141857</v>
      </c>
      <c r="E96" s="16" t="n">
        <f aca="false">E95+0*E85</f>
        <v>19.2009721164345</v>
      </c>
      <c r="F96" s="16" t="n">
        <f aca="false">F95+0*F85</f>
        <v>24.2930699217129</v>
      </c>
      <c r="G96" s="16" t="n">
        <f aca="false">G95+0*G85</f>
        <v>26.8707328651484</v>
      </c>
    </row>
    <row r="97" customFormat="false" ht="15" hidden="false" customHeight="false" outlineLevel="0" collapsed="false">
      <c r="A97" s="3" t="s">
        <v>332</v>
      </c>
      <c r="B97" s="0" t="s">
        <v>193</v>
      </c>
      <c r="C97" s="16" t="n">
        <f aca="false">C93-C96</f>
        <v>19.108</v>
      </c>
      <c r="D97" s="16" t="n">
        <f aca="false">D93-D96</f>
        <v>55.6082852858143</v>
      </c>
      <c r="E97" s="16" t="n">
        <f aca="false">E93-E96</f>
        <v>97.0233559219655</v>
      </c>
      <c r="F97" s="16" t="n">
        <f aca="false">F93-F96</f>
        <v>138.697542144593</v>
      </c>
      <c r="G97" s="16" t="n">
        <f aca="false">G93-G96</f>
        <v>152.824674040911</v>
      </c>
    </row>
    <row r="98" customFormat="false" ht="15" hidden="false" customHeight="false" outlineLevel="0" collapsed="false">
      <c r="A98" s="3" t="s">
        <v>335</v>
      </c>
      <c r="B98" s="0" t="s">
        <v>47</v>
      </c>
      <c r="C98" s="11" t="n">
        <f aca="false">C97/C85</f>
        <v>0.202713741632276</v>
      </c>
      <c r="D98" s="11" t="n">
        <f aca="false">D97/D85</f>
        <v>0.270251297648699</v>
      </c>
      <c r="E98" s="11" t="n">
        <f aca="false">E97/E85</f>
        <v>0.291664849685591</v>
      </c>
      <c r="F98" s="11" t="n">
        <f aca="false">F97/F85</f>
        <v>0.28914208284537</v>
      </c>
      <c r="G98" s="11" t="n">
        <f aca="false">G97/G85</f>
        <v>0.270717791250024</v>
      </c>
    </row>
    <row r="99" customFormat="false" ht="17.15" hidden="false" customHeight="false" outlineLevel="0" collapsed="false">
      <c r="A99" s="3" t="s">
        <v>337</v>
      </c>
      <c r="B99" s="0" t="s">
        <v>193</v>
      </c>
      <c r="E99" s="16" t="n">
        <f aca="false">nop_f</f>
        <v>0.5</v>
      </c>
      <c r="F99" s="16" t="n">
        <f aca="false">nop_f</f>
        <v>0.5</v>
      </c>
      <c r="G99" s="16" t="n">
        <f aca="false">nop_f</f>
        <v>0.5</v>
      </c>
      <c r="H99" s="7" t="s">
        <v>450</v>
      </c>
    </row>
    <row r="100" customFormat="false" ht="15" hidden="false" customHeight="false" outlineLevel="0" collapsed="false">
      <c r="A100" s="3" t="s">
        <v>340</v>
      </c>
      <c r="B100" s="0" t="s">
        <v>193</v>
      </c>
      <c r="C100" s="16" t="n">
        <f aca="false">a25_ni</f>
        <v>14.649</v>
      </c>
      <c r="D100" s="16" t="n">
        <f aca="false">a26_ni</f>
        <v>42.891099295</v>
      </c>
      <c r="E100" s="16" t="n">
        <f aca="false">(E97+E99)*nir_f</f>
        <v>75.0929840599135</v>
      </c>
      <c r="F100" s="16" t="n">
        <f aca="false">(F97+F99)*nir_f</f>
        <v>107.182107451337</v>
      </c>
      <c r="G100" s="16" t="n">
        <f aca="false">(G97+G99)*nir_f</f>
        <v>118.059999011502</v>
      </c>
    </row>
    <row r="101" customFormat="false" ht="17.15" hidden="false" customHeight="false" outlineLevel="0" collapsed="false">
      <c r="A101" s="3" t="s">
        <v>343</v>
      </c>
      <c r="B101" s="0" t="s">
        <v>47</v>
      </c>
      <c r="C101" s="11" t="n">
        <f aca="false">C100/C97</f>
        <v>0.766642244086247</v>
      </c>
      <c r="D101" s="11" t="n">
        <f aca="false">D100/D97</f>
        <v>0.771307712053146</v>
      </c>
      <c r="E101" s="11" t="n">
        <f aca="false">E100/E97</f>
        <v>0.77396811671109</v>
      </c>
      <c r="F101" s="11" t="n">
        <f aca="false">F100/F97</f>
        <v>0.772775824243508</v>
      </c>
      <c r="G101" s="11" t="n">
        <f aca="false">G100/G97</f>
        <v>0.772519226704825</v>
      </c>
    </row>
    <row r="102" customFormat="false" ht="15" hidden="false" customHeight="false" outlineLevel="0" collapsed="false">
      <c r="A102" s="3" t="s">
        <v>451</v>
      </c>
      <c r="B102" s="3" t="s">
        <v>222</v>
      </c>
      <c r="C102" s="18" t="n">
        <f aca="false">a25_sh</f>
        <v>0.351547876169906</v>
      </c>
      <c r="D102" s="18" t="n">
        <f aca="false">a26_sh</f>
        <v>0.358290155440415</v>
      </c>
      <c r="E102" s="18" t="n">
        <f aca="false">D102*(1+sh_g)</f>
        <v>0.358290155440415</v>
      </c>
      <c r="F102" s="18" t="n">
        <f aca="false">E102*(1+sh_g)</f>
        <v>0.358290155440415</v>
      </c>
      <c r="G102" s="18" t="n">
        <f aca="false">F102*(1+sh_g)</f>
        <v>0.358290155440415</v>
      </c>
    </row>
    <row r="103" customFormat="false" ht="15" hidden="false" customHeight="false" outlineLevel="0" collapsed="false">
      <c r="A103" s="0" t="s">
        <v>346</v>
      </c>
      <c r="B103" s="0" t="s">
        <v>253</v>
      </c>
      <c r="C103" s="17" t="n">
        <f aca="false">C100/C102</f>
        <v>41.67</v>
      </c>
      <c r="D103" s="17" t="n">
        <f aca="false">D100/D102</f>
        <v>119.710515747433</v>
      </c>
      <c r="E103" s="17" t="n">
        <f aca="false">E100/E102</f>
        <v>209.587070478139</v>
      </c>
      <c r="F103" s="17" t="n">
        <f aca="false">F100/F102</f>
        <v>299.14890438334</v>
      </c>
      <c r="G103" s="17" t="n">
        <f aca="false">G100/G102</f>
        <v>329.509469403035</v>
      </c>
    </row>
    <row r="104" customFormat="false" ht="17.15" hidden="false" customHeight="false" outlineLevel="0" collapsed="false">
      <c r="A104" s="0" t="s">
        <v>452</v>
      </c>
      <c r="B104" s="0" t="s">
        <v>47</v>
      </c>
      <c r="D104" s="11" t="n">
        <f aca="false">D103/C103-1</f>
        <v>1.87282255213422</v>
      </c>
      <c r="E104" s="11" t="n">
        <f aca="false">E103/D103-1</f>
        <v>0.750782453567642</v>
      </c>
      <c r="F104" s="11" t="n">
        <f aca="false">F103/E103-1</f>
        <v>0.42732518614283</v>
      </c>
      <c r="G104" s="11" t="n">
        <f aca="false">G103/F103-1</f>
        <v>0.101489808502824</v>
      </c>
    </row>
    <row r="107" customFormat="false" ht="17.15" hidden="false" customHeight="false" outlineLevel="0" collapsed="false">
      <c r="A107" s="1" t="s">
        <v>453</v>
      </c>
    </row>
    <row r="108" customFormat="false" ht="17.15" hidden="false" customHeight="false" outlineLevel="0" collapsed="false">
      <c r="A108" s="4" t="s">
        <v>16</v>
      </c>
      <c r="B108" s="4" t="s">
        <v>17</v>
      </c>
      <c r="C108" s="8" t="s">
        <v>315</v>
      </c>
      <c r="D108" s="8" t="s">
        <v>401</v>
      </c>
      <c r="E108" s="8" t="s">
        <v>402</v>
      </c>
      <c r="F108" s="8" t="s">
        <v>403</v>
      </c>
      <c r="G108" s="8" t="s">
        <v>404</v>
      </c>
      <c r="H108" s="4" t="s">
        <v>369</v>
      </c>
    </row>
    <row r="109" customFormat="false" ht="17.15" hidden="false" customHeight="false" outlineLevel="0" collapsed="false">
      <c r="A109" s="5" t="s">
        <v>419</v>
      </c>
    </row>
    <row r="110" customFormat="false" ht="17.15" hidden="false" customHeight="false" outlineLevel="0" collapsed="false">
      <c r="A110" s="0" t="s">
        <v>420</v>
      </c>
      <c r="B110" s="0" t="s">
        <v>27</v>
      </c>
      <c r="D110" s="17" t="n">
        <f aca="false">itc_26*1</f>
        <v>781.872916666667</v>
      </c>
      <c r="E110" s="17" t="n">
        <f aca="false">itc_27*1*1</f>
        <v>1565.35</v>
      </c>
      <c r="F110" s="17" t="n">
        <f aca="false">itc_28*um28_B*1</f>
        <v>1587.41111111111</v>
      </c>
      <c r="G110" s="17" t="n">
        <f aca="false">itc_29*um29_B*1</f>
        <v>1921.33173611111</v>
      </c>
    </row>
    <row r="111" customFormat="false" ht="17.15" hidden="false" customHeight="false" outlineLevel="0" collapsed="false">
      <c r="A111" s="3" t="s">
        <v>421</v>
      </c>
      <c r="B111" s="0" t="s">
        <v>27</v>
      </c>
      <c r="D111" s="17" t="n">
        <f aca="false">itpg_gb*(1-vr26)+itpg_vr*vr26</f>
        <v>33.41403216</v>
      </c>
      <c r="E111" s="17" t="n">
        <f aca="false">itpg_vr</f>
        <v>37.586352</v>
      </c>
      <c r="F111" s="17" t="n">
        <f aca="false">itpg_vr</f>
        <v>37.586352</v>
      </c>
      <c r="G111" s="17" t="n">
        <f aca="false">itpg_vr</f>
        <v>37.586352</v>
      </c>
    </row>
    <row r="112" customFormat="false" ht="17.15" hidden="false" customHeight="false" outlineLevel="0" collapsed="false">
      <c r="A112" s="3" t="s">
        <v>422</v>
      </c>
      <c r="B112" s="0" t="s">
        <v>371</v>
      </c>
      <c r="D112" s="14" t="n">
        <f aca="false">D110/D111</f>
        <v>23.3995380420639</v>
      </c>
      <c r="E112" s="14" t="n">
        <f aca="false">E110/E111</f>
        <v>41.6467658260637</v>
      </c>
      <c r="F112" s="14" t="n">
        <f aca="false">F110/F111</f>
        <v>42.2337105529984</v>
      </c>
      <c r="G112" s="14" t="n">
        <f aca="false">G110/G111</f>
        <v>51.1178029756948</v>
      </c>
    </row>
    <row r="113" customFormat="false" ht="17.15" hidden="false" customHeight="false" outlineLevel="0" collapsed="false">
      <c r="A113" s="3" t="s">
        <v>373</v>
      </c>
      <c r="B113" s="0" t="s">
        <v>87</v>
      </c>
      <c r="D113" s="15" t="n">
        <f aca="false">cmp_26</f>
        <v>190</v>
      </c>
      <c r="E113" s="15" t="n">
        <f aca="false">cmp_26*cmpx_27</f>
        <v>275.5</v>
      </c>
      <c r="F113" s="15" t="n">
        <f aca="false">cmp_26*cmpx_28</f>
        <v>304</v>
      </c>
      <c r="G113" s="15" t="n">
        <f aca="false">cmp_26*cmpx_29</f>
        <v>323</v>
      </c>
    </row>
    <row r="114" customFormat="false" ht="17.15" hidden="false" customHeight="false" outlineLevel="0" collapsed="false">
      <c r="A114" s="3" t="s">
        <v>375</v>
      </c>
      <c r="B114" s="0" t="s">
        <v>87</v>
      </c>
      <c r="D114" s="15" t="n">
        <f aca="false">sw_26</f>
        <v>90</v>
      </c>
      <c r="E114" s="15" t="n">
        <f aca="false">sw_26*swx_27</f>
        <v>126</v>
      </c>
      <c r="F114" s="15" t="n">
        <f aca="false">sw_26*swx_28</f>
        <v>144</v>
      </c>
      <c r="G114" s="15" t="n">
        <f aca="false">sw_26*swx_29</f>
        <v>157.5</v>
      </c>
    </row>
    <row r="115" customFormat="false" ht="17.15" hidden="false" customHeight="false" outlineLevel="0" collapsed="false">
      <c r="A115" s="3" t="s">
        <v>376</v>
      </c>
      <c r="B115" s="0" t="s">
        <v>87</v>
      </c>
      <c r="D115" s="15" t="n">
        <f aca="false">ubb_26</f>
        <v>70</v>
      </c>
      <c r="E115" s="15" t="n">
        <f aca="false">ubb_26*ubbx_27</f>
        <v>126</v>
      </c>
      <c r="F115" s="15" t="n">
        <f aca="false">ubb_26*ubbx_28</f>
        <v>161</v>
      </c>
      <c r="G115" s="15" t="n">
        <f aca="false">ubb_26*ubbx_29</f>
        <v>182</v>
      </c>
    </row>
    <row r="116" customFormat="false" ht="17.15" hidden="false" customHeight="false" outlineLevel="0" collapsed="false">
      <c r="A116" s="3" t="s">
        <v>423</v>
      </c>
      <c r="B116" s="0" t="s">
        <v>87</v>
      </c>
      <c r="D116" s="15" t="n">
        <f aca="false">D113+D114+D115</f>
        <v>350</v>
      </c>
      <c r="E116" s="15" t="n">
        <f aca="false">E113+E114+E115</f>
        <v>527.5</v>
      </c>
      <c r="F116" s="15" t="n">
        <f aca="false">F113+F114+F115</f>
        <v>609</v>
      </c>
      <c r="G116" s="15" t="n">
        <f aca="false">G113+G114+G115</f>
        <v>662.5</v>
      </c>
    </row>
    <row r="117" customFormat="false" ht="17.15" hidden="false" customHeight="false" outlineLevel="0" collapsed="false">
      <c r="A117" s="0" t="s">
        <v>424</v>
      </c>
      <c r="B117" s="0" t="s">
        <v>27</v>
      </c>
      <c r="D117" s="17" t="n">
        <f aca="false">D112*D116/1000</f>
        <v>8.18983831472237</v>
      </c>
      <c r="E117" s="17" t="n">
        <f aca="false">E112*E116/1000</f>
        <v>21.9686689732486</v>
      </c>
      <c r="F117" s="17" t="n">
        <f aca="false">F112*F116/1000</f>
        <v>25.720329726776</v>
      </c>
      <c r="G117" s="17" t="n">
        <f aca="false">G112*G116/1000</f>
        <v>33.8655444713978</v>
      </c>
    </row>
    <row r="118" customFormat="false" ht="17.15" hidden="false" customHeight="false" outlineLevel="0" collapsed="false">
      <c r="A118" s="0" t="s">
        <v>425</v>
      </c>
      <c r="B118" s="0" t="s">
        <v>193</v>
      </c>
      <c r="D118" s="16" t="n">
        <f aca="false">D117*fx</f>
        <v>262.074826071116</v>
      </c>
      <c r="E118" s="16" t="n">
        <f aca="false">E117*fx</f>
        <v>702.997407143955</v>
      </c>
      <c r="F118" s="16" t="n">
        <f aca="false">F117*fx</f>
        <v>823.050551256833</v>
      </c>
      <c r="G118" s="16" t="n">
        <f aca="false">G117*fx</f>
        <v>1083.69742308473</v>
      </c>
    </row>
    <row r="119" customFormat="false" ht="17.15" hidden="false" customHeight="false" outlineLevel="0" collapsed="false">
      <c r="A119" s="0" t="s">
        <v>426</v>
      </c>
      <c r="B119" s="0" t="s">
        <v>60</v>
      </c>
      <c r="D119" s="12" t="n">
        <f aca="false">1</f>
        <v>1</v>
      </c>
      <c r="E119" s="12" t="n">
        <f aca="false">pp_27</f>
        <v>1</v>
      </c>
      <c r="F119" s="12" t="n">
        <f aca="false">pp_28</f>
        <v>0.97</v>
      </c>
      <c r="G119" s="12" t="n">
        <f aca="false">pp_29</f>
        <v>0.93</v>
      </c>
    </row>
    <row r="120" customFormat="false" ht="17.15" hidden="false" customHeight="false" outlineLevel="0" collapsed="false">
      <c r="A120" s="3" t="s">
        <v>427</v>
      </c>
      <c r="B120" s="0" t="s">
        <v>47</v>
      </c>
      <c r="D120" s="11" t="n">
        <f aca="false">a26_ai/D118</f>
        <v>0.459306165741139</v>
      </c>
      <c r="H120" s="7" t="s">
        <v>428</v>
      </c>
    </row>
    <row r="121" customFormat="false" ht="17.15" hidden="false" customHeight="false" outlineLevel="0" collapsed="false">
      <c r="A121" s="3" t="s">
        <v>429</v>
      </c>
      <c r="B121" s="0" t="s">
        <v>60</v>
      </c>
      <c r="D121" s="12" t="n">
        <f aca="false">1</f>
        <v>1</v>
      </c>
      <c r="E121" s="12" t="n">
        <f aca="false">rel_27</f>
        <v>0.95</v>
      </c>
      <c r="F121" s="12" t="n">
        <f aca="false">rel_28</f>
        <v>0.9</v>
      </c>
      <c r="G121" s="12" t="n">
        <f aca="false">rel_29</f>
        <v>0.85</v>
      </c>
    </row>
    <row r="122" customFormat="false" ht="15" hidden="false" customHeight="false" outlineLevel="0" collapsed="false">
      <c r="A122" s="3" t="s">
        <v>384</v>
      </c>
      <c r="B122" s="0" t="s">
        <v>47</v>
      </c>
      <c r="D122" s="11" t="n">
        <f aca="false">$D$120*D121</f>
        <v>0.459306165741139</v>
      </c>
      <c r="E122" s="11" t="n">
        <f aca="false">$D$120*E121</f>
        <v>0.436340857454082</v>
      </c>
      <c r="F122" s="11" t="n">
        <f aca="false">$D$120*F121</f>
        <v>0.413375549167025</v>
      </c>
      <c r="G122" s="11" t="n">
        <f aca="false">$D$120*G121</f>
        <v>0.390410240879968</v>
      </c>
    </row>
    <row r="123" customFormat="false" ht="17.15" hidden="false" customHeight="false" outlineLevel="0" collapsed="false">
      <c r="A123" s="0" t="s">
        <v>430</v>
      </c>
      <c r="B123" s="0" t="s">
        <v>193</v>
      </c>
      <c r="D123" s="16" t="n">
        <f aca="false">D118*D122*D119</f>
        <v>120.3725835</v>
      </c>
      <c r="E123" s="16" t="n">
        <f aca="false">E118*E122*E119</f>
        <v>306.746491421189</v>
      </c>
      <c r="F123" s="16" t="n">
        <f aca="false">F118*F122*F119</f>
        <v>330.022104409475</v>
      </c>
      <c r="G123" s="16" t="n">
        <f aca="false">G118*G122*G119</f>
        <v>393.470511948384</v>
      </c>
    </row>
    <row r="124" customFormat="false" ht="17.15" hidden="false" customHeight="false" outlineLevel="0" collapsed="false">
      <c r="A124" s="5" t="s">
        <v>431</v>
      </c>
    </row>
    <row r="125" customFormat="false" ht="15" hidden="false" customHeight="false" outlineLevel="0" collapsed="false">
      <c r="A125" s="3" t="s">
        <v>389</v>
      </c>
      <c r="B125" s="3" t="s">
        <v>144</v>
      </c>
      <c r="D125" s="12" t="n">
        <f aca="false">cap_26</f>
        <v>6</v>
      </c>
      <c r="E125" s="12" t="n">
        <f aca="false">cap_27</f>
        <v>7.76</v>
      </c>
      <c r="F125" s="12" t="n">
        <f aca="false">cap_28</f>
        <v>10.3</v>
      </c>
      <c r="G125" s="12" t="n">
        <f aca="false">cap_29</f>
        <v>11.8</v>
      </c>
    </row>
    <row r="126" customFormat="false" ht="17.15" hidden="false" customHeight="false" outlineLevel="0" collapsed="false">
      <c r="A126" s="3" t="s">
        <v>432</v>
      </c>
      <c r="B126" s="0" t="s">
        <v>392</v>
      </c>
      <c r="D126" s="15" t="n">
        <f aca="false">a26_rev/(D125*12)*1000</f>
        <v>2857.84861111111</v>
      </c>
      <c r="H126" s="7" t="s">
        <v>433</v>
      </c>
    </row>
    <row r="127" customFormat="false" ht="17.15" hidden="false" customHeight="false" outlineLevel="0" collapsed="false">
      <c r="A127" s="3" t="s">
        <v>434</v>
      </c>
      <c r="B127" s="0" t="s">
        <v>60</v>
      </c>
      <c r="D127" s="12" t="n">
        <f aca="false">1</f>
        <v>1</v>
      </c>
      <c r="E127" s="12" t="n">
        <f aca="false">mix_27</f>
        <v>1.25</v>
      </c>
      <c r="F127" s="12" t="n">
        <f aca="false">mix_28</f>
        <v>1.4</v>
      </c>
      <c r="G127" s="12" t="n">
        <f aca="false">mix_29</f>
        <v>1.5</v>
      </c>
    </row>
    <row r="128" customFormat="false" ht="17.15" hidden="false" customHeight="false" outlineLevel="0" collapsed="false">
      <c r="A128" s="3" t="s">
        <v>435</v>
      </c>
      <c r="B128" s="0" t="s">
        <v>193</v>
      </c>
      <c r="D128" s="16" t="n">
        <f aca="false">D125*12*$D$126*D127*D119/1000</f>
        <v>205.7651</v>
      </c>
      <c r="E128" s="16" t="n">
        <f aca="false">E125*12*$D$126*E127*E119/1000</f>
        <v>332.653578333333</v>
      </c>
      <c r="F128" s="16" t="n">
        <f aca="false">F125*12*$D$126*F127*F119/1000</f>
        <v>479.686459956667</v>
      </c>
      <c r="G128" s="16" t="n">
        <f aca="false">G125*12*$D$126*G127*G119/1000</f>
        <v>564.51655185</v>
      </c>
    </row>
    <row r="129" customFormat="false" ht="17.15" hidden="false" customHeight="false" outlineLevel="0" collapsed="false">
      <c r="A129" s="3" t="s">
        <v>436</v>
      </c>
      <c r="B129" s="0" t="s">
        <v>193</v>
      </c>
      <c r="C129" s="16" t="n">
        <f aca="false">a25_nai</f>
        <v>47.1305</v>
      </c>
      <c r="D129" s="16" t="n">
        <f aca="false">a26_nai</f>
        <v>85.3925165</v>
      </c>
      <c r="E129" s="16" t="n">
        <f aca="false">D129*(1+g_nai27)</f>
        <v>92.22391782</v>
      </c>
      <c r="F129" s="16" t="n">
        <f aca="false">E129*(1+g_nai28)</f>
        <v>97.7573528892</v>
      </c>
      <c r="G129" s="16" t="n">
        <f aca="false">F129*(1+g_nai29)</f>
        <v>102.64522053366</v>
      </c>
    </row>
    <row r="130" customFormat="false" ht="17.15" hidden="false" customHeight="false" outlineLevel="0" collapsed="false">
      <c r="A130" s="0" t="s">
        <v>437</v>
      </c>
      <c r="B130" s="0" t="s">
        <v>193</v>
      </c>
      <c r="C130" s="16" t="n">
        <f aca="false">a25_ai</f>
        <v>47.1305</v>
      </c>
      <c r="D130" s="16" t="n">
        <f aca="false">D123</f>
        <v>120.3725835</v>
      </c>
      <c r="E130" s="16" t="n">
        <f aca="false">MIN(E123,E128-E129)</f>
        <v>240.429660513333</v>
      </c>
      <c r="F130" s="16" t="n">
        <f aca="false">MIN(F123,F128-F129)</f>
        <v>330.022104409475</v>
      </c>
      <c r="G130" s="16" t="n">
        <f aca="false">MIN(G123,G128-G129)</f>
        <v>393.470511948384</v>
      </c>
      <c r="H130" s="3" t="s">
        <v>438</v>
      </c>
    </row>
    <row r="131" customFormat="false" ht="15" hidden="false" customHeight="false" outlineLevel="0" collapsed="false">
      <c r="A131" s="3" t="s">
        <v>439</v>
      </c>
      <c r="E131" s="0" t="str">
        <f aca="false">IF(E123&gt;E128-E129+0.0001,"受限","未受限")</f>
        <v>受限</v>
      </c>
      <c r="F131" s="0" t="str">
        <f aca="false">IF(F123&gt;F128-F129+0.0001,"受限","未受限")</f>
        <v>未受限</v>
      </c>
      <c r="G131" s="0" t="str">
        <f aca="false">IF(G123&gt;G128-G129+0.0001,"受限","未受限")</f>
        <v>未受限</v>
      </c>
    </row>
    <row r="132" customFormat="false" ht="15" hidden="false" customHeight="false" outlineLevel="0" collapsed="false">
      <c r="A132" s="3" t="s">
        <v>320</v>
      </c>
      <c r="B132" s="0" t="s">
        <v>193</v>
      </c>
      <c r="C132" s="16" t="n">
        <f aca="false">C130+C129</f>
        <v>94.261</v>
      </c>
      <c r="D132" s="16" t="n">
        <f aca="false">D130+D129</f>
        <v>205.7651</v>
      </c>
      <c r="E132" s="16" t="n">
        <f aca="false">E130+E129</f>
        <v>332.653578333333</v>
      </c>
      <c r="F132" s="16" t="n">
        <f aca="false">F130+F129</f>
        <v>427.779457298675</v>
      </c>
      <c r="G132" s="16" t="n">
        <f aca="false">G130+G129</f>
        <v>496.115732482044</v>
      </c>
    </row>
    <row r="133" customFormat="false" ht="15" hidden="false" customHeight="false" outlineLevel="0" collapsed="false">
      <c r="A133" s="3" t="s">
        <v>440</v>
      </c>
      <c r="B133" s="0" t="s">
        <v>47</v>
      </c>
      <c r="D133" s="11" t="n">
        <f aca="false">D132/C132-1</f>
        <v>1.1829293132897</v>
      </c>
      <c r="E133" s="11" t="n">
        <f aca="false">E132/D132-1</f>
        <v>0.616666666666667</v>
      </c>
      <c r="F133" s="11" t="n">
        <f aca="false">F132/E132-1</f>
        <v>0.285960786719756</v>
      </c>
      <c r="G133" s="11" t="n">
        <f aca="false">G132/F132-1</f>
        <v>0.159746509603094</v>
      </c>
    </row>
    <row r="134" customFormat="false" ht="17.15" hidden="false" customHeight="false" outlineLevel="0" collapsed="false">
      <c r="A134" s="0" t="s">
        <v>441</v>
      </c>
      <c r="B134" s="0" t="s">
        <v>47</v>
      </c>
      <c r="C134" s="11" t="n">
        <f aca="false">C130/C132</f>
        <v>0.5</v>
      </c>
      <c r="D134" s="11" t="n">
        <f aca="false">D130/D132</f>
        <v>0.585</v>
      </c>
      <c r="E134" s="11" t="n">
        <f aca="false">E130/E132</f>
        <v>0.722762886597938</v>
      </c>
      <c r="F134" s="11" t="n">
        <f aca="false">F130/F132</f>
        <v>0.77147721513671</v>
      </c>
      <c r="G134" s="11" t="n">
        <f aca="false">G130/G132</f>
        <v>0.79310226664224</v>
      </c>
    </row>
    <row r="135" customFormat="false" ht="17.15" hidden="false" customHeight="false" outlineLevel="0" collapsed="false">
      <c r="A135" s="3" t="s">
        <v>442</v>
      </c>
      <c r="B135" s="0" t="s">
        <v>47</v>
      </c>
      <c r="D135" s="11" t="n">
        <f aca="false">(D123+D129)/D128</f>
        <v>1</v>
      </c>
      <c r="E135" s="11" t="n">
        <f aca="false">(E123+E129)/E128</f>
        <v>1.19935703454662</v>
      </c>
      <c r="F135" s="11" t="n">
        <f aca="false">(F123+F129)/F128</f>
        <v>0.891789727267514</v>
      </c>
      <c r="G135" s="11" t="n">
        <f aca="false">(G123+G129)/G128</f>
        <v>0.878832925015579</v>
      </c>
      <c r="H135" s="3" t="s">
        <v>443</v>
      </c>
    </row>
    <row r="136" customFormat="false" ht="17.15" hidden="false" customHeight="false" outlineLevel="0" collapsed="false">
      <c r="A136" s="3" t="s">
        <v>388</v>
      </c>
      <c r="B136" s="0" t="s">
        <v>87</v>
      </c>
      <c r="D136" s="15" t="n">
        <f aca="false">D130/fx/D112*1000</f>
        <v>160.757158009399</v>
      </c>
      <c r="E136" s="15" t="n">
        <f aca="false">E130/fx/E112*1000</f>
        <v>180.408412082255</v>
      </c>
      <c r="F136" s="15" t="n">
        <f aca="false">F130/fx/F112*1000</f>
        <v>244.193338159437</v>
      </c>
      <c r="G136" s="15" t="n">
        <f aca="false">G130/fx/G112*1000</f>
        <v>240.54150966217</v>
      </c>
    </row>
    <row r="137" customFormat="false" ht="17.15" hidden="false" customHeight="false" outlineLevel="0" collapsed="false">
      <c r="A137" s="5" t="s">
        <v>444</v>
      </c>
    </row>
    <row r="138" customFormat="false" ht="17.15" hidden="false" customHeight="false" outlineLevel="0" collapsed="false">
      <c r="A138" s="3" t="s">
        <v>445</v>
      </c>
      <c r="B138" s="0" t="s">
        <v>47</v>
      </c>
      <c r="D138" s="11" t="n">
        <f aca="false">a26_gp/D132-d_ai*D134</f>
        <v>0.291564442755356</v>
      </c>
      <c r="H138" s="7" t="s">
        <v>446</v>
      </c>
    </row>
    <row r="139" customFormat="false" ht="17.15" hidden="false" customHeight="false" outlineLevel="0" collapsed="false">
      <c r="A139" s="0" t="s">
        <v>447</v>
      </c>
      <c r="B139" s="0" t="s">
        <v>47</v>
      </c>
      <c r="D139" s="11" t="n">
        <f aca="false">D138+d_ai</f>
        <v>0.371564442755356</v>
      </c>
      <c r="E139" s="11" t="n">
        <f aca="false">1-(1-$D$139)/E119</f>
        <v>0.371564442755356</v>
      </c>
      <c r="F139" s="11" t="n">
        <f aca="false">1-(1-$D$139)/F119</f>
        <v>0.352128291500367</v>
      </c>
      <c r="G139" s="11" t="n">
        <f aca="false">1-(1-$D$139)/G119</f>
        <v>0.324262841672425</v>
      </c>
      <c r="H139" s="7" t="s">
        <v>448</v>
      </c>
    </row>
    <row r="140" customFormat="false" ht="15" hidden="false" customHeight="false" outlineLevel="0" collapsed="false">
      <c r="A140" s="3" t="s">
        <v>324</v>
      </c>
      <c r="B140" s="0" t="s">
        <v>193</v>
      </c>
      <c r="C140" s="16" t="n">
        <f aca="false">a25_gp</f>
        <v>28.12</v>
      </c>
      <c r="D140" s="16" t="n">
        <f aca="false">a26_gp</f>
        <v>69.6235934</v>
      </c>
      <c r="E140" s="16" t="n">
        <f aca="false">E130*E139+E129*$D$138</f>
        <v>116.2243280384</v>
      </c>
      <c r="F140" s="16" t="n">
        <f aca="false">F130*F139+F129*$D$138</f>
        <v>144.712687903442</v>
      </c>
      <c r="G140" s="16" t="n">
        <f aca="false">G130*G139+G129*$D$138</f>
        <v>157.515562845084</v>
      </c>
    </row>
    <row r="141" customFormat="false" ht="15" hidden="false" customHeight="false" outlineLevel="0" collapsed="false">
      <c r="A141" s="3" t="s">
        <v>327</v>
      </c>
      <c r="B141" s="0" t="s">
        <v>47</v>
      </c>
      <c r="C141" s="11" t="n">
        <f aca="false">C140/C132</f>
        <v>0.298320620405046</v>
      </c>
      <c r="D141" s="11" t="n">
        <f aca="false">D140/D132</f>
        <v>0.338364442755356</v>
      </c>
      <c r="E141" s="11" t="n">
        <f aca="false">E140/E132</f>
        <v>0.349385473683191</v>
      </c>
      <c r="F141" s="11" t="n">
        <f aca="false">F140/F132</f>
        <v>0.338288072123118</v>
      </c>
      <c r="G141" s="11" t="n">
        <f aca="false">G140/G132</f>
        <v>0.317497617052056</v>
      </c>
    </row>
    <row r="142" customFormat="false" ht="15" hidden="false" customHeight="false" outlineLevel="0" collapsed="false">
      <c r="A142" s="3" t="s">
        <v>449</v>
      </c>
      <c r="B142" s="0" t="s">
        <v>193</v>
      </c>
      <c r="C142" s="16" t="n">
        <f aca="false">a25_opx</f>
        <v>9.012</v>
      </c>
      <c r="D142" s="16" t="n">
        <f aca="false">a26_opx</f>
        <v>14.0153081141857</v>
      </c>
      <c r="E142" s="16" t="n">
        <f aca="false">D142*(1+MAX(0,phi*E133))</f>
        <v>19.2009721164345</v>
      </c>
      <c r="F142" s="16" t="n">
        <f aca="false">E142*(1+MAX(0,phi*F133))</f>
        <v>22.4954071717543</v>
      </c>
      <c r="G142" s="16" t="n">
        <f aca="false">F142*(1+MAX(0,phi*G133))</f>
        <v>24.6515448384272</v>
      </c>
    </row>
    <row r="143" customFormat="false" ht="15" hidden="false" customHeight="false" outlineLevel="0" collapsed="false">
      <c r="A143" s="3" t="s">
        <v>329</v>
      </c>
      <c r="B143" s="0" t="s">
        <v>193</v>
      </c>
      <c r="C143" s="16" t="n">
        <f aca="false">C142</f>
        <v>9.012</v>
      </c>
      <c r="D143" s="16" t="n">
        <f aca="false">D142</f>
        <v>14.0153081141857</v>
      </c>
      <c r="E143" s="16" t="n">
        <f aca="false">E142+0*E132</f>
        <v>19.2009721164345</v>
      </c>
      <c r="F143" s="16" t="n">
        <f aca="false">F142+0*F132</f>
        <v>22.4954071717543</v>
      </c>
      <c r="G143" s="16" t="n">
        <f aca="false">G142+0*G132</f>
        <v>24.6515448384272</v>
      </c>
    </row>
    <row r="144" customFormat="false" ht="15" hidden="false" customHeight="false" outlineLevel="0" collapsed="false">
      <c r="A144" s="3" t="s">
        <v>332</v>
      </c>
      <c r="B144" s="0" t="s">
        <v>193</v>
      </c>
      <c r="C144" s="16" t="n">
        <f aca="false">C140-C143</f>
        <v>19.108</v>
      </c>
      <c r="D144" s="16" t="n">
        <f aca="false">D140-D143</f>
        <v>55.6082852858143</v>
      </c>
      <c r="E144" s="16" t="n">
        <f aca="false">E140-E143</f>
        <v>97.0233559219655</v>
      </c>
      <c r="F144" s="16" t="n">
        <f aca="false">F140-F143</f>
        <v>122.217280731688</v>
      </c>
      <c r="G144" s="16" t="n">
        <f aca="false">G140-G143</f>
        <v>132.864018006657</v>
      </c>
    </row>
    <row r="145" customFormat="false" ht="15" hidden="false" customHeight="false" outlineLevel="0" collapsed="false">
      <c r="A145" s="3" t="s">
        <v>335</v>
      </c>
      <c r="B145" s="0" t="s">
        <v>47</v>
      </c>
      <c r="C145" s="11" t="n">
        <f aca="false">C144/C132</f>
        <v>0.202713741632276</v>
      </c>
      <c r="D145" s="11" t="n">
        <f aca="false">D144/D132</f>
        <v>0.270251297648699</v>
      </c>
      <c r="E145" s="11" t="n">
        <f aca="false">E144/E132</f>
        <v>0.291664849685591</v>
      </c>
      <c r="F145" s="11" t="n">
        <f aca="false">F144/F132</f>
        <v>0.285701612469801</v>
      </c>
      <c r="G145" s="11" t="n">
        <f aca="false">G144/G132</f>
        <v>0.267808515851623</v>
      </c>
    </row>
    <row r="146" customFormat="false" ht="17.15" hidden="false" customHeight="false" outlineLevel="0" collapsed="false">
      <c r="A146" s="3" t="s">
        <v>337</v>
      </c>
      <c r="B146" s="0" t="s">
        <v>193</v>
      </c>
      <c r="E146" s="16" t="n">
        <f aca="false">nop_f</f>
        <v>0.5</v>
      </c>
      <c r="F146" s="16" t="n">
        <f aca="false">nop_f</f>
        <v>0.5</v>
      </c>
      <c r="G146" s="16" t="n">
        <f aca="false">nop_f</f>
        <v>0.5</v>
      </c>
      <c r="H146" s="7" t="s">
        <v>450</v>
      </c>
    </row>
    <row r="147" customFormat="false" ht="15" hidden="false" customHeight="false" outlineLevel="0" collapsed="false">
      <c r="A147" s="3" t="s">
        <v>340</v>
      </c>
      <c r="B147" s="0" t="s">
        <v>193</v>
      </c>
      <c r="C147" s="16" t="n">
        <f aca="false">a25_ni</f>
        <v>14.649</v>
      </c>
      <c r="D147" s="16" t="n">
        <f aca="false">a26_ni</f>
        <v>42.891099295</v>
      </c>
      <c r="E147" s="16" t="n">
        <f aca="false">(E144+E146)*nir_f</f>
        <v>75.0929840599135</v>
      </c>
      <c r="F147" s="16" t="n">
        <f aca="false">(F144+F146)*nir_f</f>
        <v>94.4923061633998</v>
      </c>
      <c r="G147" s="16" t="n">
        <f aca="false">(G144+G146)*nir_f</f>
        <v>102.690293865126</v>
      </c>
    </row>
    <row r="148" customFormat="false" ht="17.15" hidden="false" customHeight="false" outlineLevel="0" collapsed="false">
      <c r="A148" s="3" t="s">
        <v>343</v>
      </c>
      <c r="B148" s="0" t="s">
        <v>47</v>
      </c>
      <c r="C148" s="11" t="n">
        <f aca="false">C147/C144</f>
        <v>0.766642244086247</v>
      </c>
      <c r="D148" s="11" t="n">
        <f aca="false">D147/D144</f>
        <v>0.771307712053146</v>
      </c>
      <c r="E148" s="11" t="n">
        <f aca="false">E147/E144</f>
        <v>0.77396811671109</v>
      </c>
      <c r="F148" s="11" t="n">
        <f aca="false">F147/F144</f>
        <v>0.773150127360837</v>
      </c>
      <c r="G148" s="11" t="n">
        <f aca="false">G147/G144</f>
        <v>0.772897699510944</v>
      </c>
    </row>
    <row r="149" customFormat="false" ht="15" hidden="false" customHeight="false" outlineLevel="0" collapsed="false">
      <c r="A149" s="3" t="s">
        <v>451</v>
      </c>
      <c r="B149" s="3" t="s">
        <v>222</v>
      </c>
      <c r="C149" s="18" t="n">
        <f aca="false">a25_sh</f>
        <v>0.351547876169906</v>
      </c>
      <c r="D149" s="18" t="n">
        <f aca="false">a26_sh</f>
        <v>0.358290155440415</v>
      </c>
      <c r="E149" s="18" t="n">
        <f aca="false">D149*(1+sh_g)</f>
        <v>0.358290155440415</v>
      </c>
      <c r="F149" s="18" t="n">
        <f aca="false">E149*(1+sh_g)</f>
        <v>0.358290155440415</v>
      </c>
      <c r="G149" s="18" t="n">
        <f aca="false">F149*(1+sh_g)</f>
        <v>0.358290155440415</v>
      </c>
    </row>
    <row r="150" customFormat="false" ht="15" hidden="false" customHeight="false" outlineLevel="0" collapsed="false">
      <c r="A150" s="0" t="s">
        <v>346</v>
      </c>
      <c r="B150" s="0" t="s">
        <v>253</v>
      </c>
      <c r="C150" s="17" t="n">
        <f aca="false">C147/C149</f>
        <v>41.67</v>
      </c>
      <c r="D150" s="17" t="n">
        <f aca="false">D147/D149</f>
        <v>119.710515747433</v>
      </c>
      <c r="E150" s="17" t="n">
        <f aca="false">E147/E149</f>
        <v>209.587070478139</v>
      </c>
      <c r="F150" s="17" t="n">
        <f aca="false">F147/F149</f>
        <v>263.731237737327</v>
      </c>
      <c r="G150" s="17" t="n">
        <f aca="false">G147/G149</f>
        <v>286.612100014017</v>
      </c>
    </row>
    <row r="151" customFormat="false" ht="17.15" hidden="false" customHeight="false" outlineLevel="0" collapsed="false">
      <c r="A151" s="0" t="s">
        <v>452</v>
      </c>
      <c r="B151" s="0" t="s">
        <v>47</v>
      </c>
      <c r="D151" s="11" t="n">
        <f aca="false">D150/C150-1</f>
        <v>1.87282255213422</v>
      </c>
      <c r="E151" s="11" t="n">
        <f aca="false">E150/D150-1</f>
        <v>0.750782453567642</v>
      </c>
      <c r="F151" s="11" t="n">
        <f aca="false">F150/E150-1</f>
        <v>0.25833734464472</v>
      </c>
      <c r="G151" s="11" t="n">
        <f aca="false">G150/F150-1</f>
        <v>0.0867582561436251</v>
      </c>
    </row>
    <row r="154" customFormat="false" ht="17.15" hidden="false" customHeight="false" outlineLevel="0" collapsed="false">
      <c r="A154" s="1" t="s">
        <v>454</v>
      </c>
    </row>
    <row r="155" customFormat="false" ht="17.15" hidden="false" customHeight="false" outlineLevel="0" collapsed="false">
      <c r="A155" s="4" t="s">
        <v>16</v>
      </c>
      <c r="B155" s="4" t="s">
        <v>17</v>
      </c>
      <c r="C155" s="8" t="s">
        <v>315</v>
      </c>
      <c r="D155" s="8" t="s">
        <v>401</v>
      </c>
      <c r="E155" s="8" t="s">
        <v>402</v>
      </c>
      <c r="F155" s="8" t="s">
        <v>403</v>
      </c>
      <c r="G155" s="8" t="s">
        <v>404</v>
      </c>
      <c r="H155" s="4" t="s">
        <v>369</v>
      </c>
    </row>
    <row r="156" customFormat="false" ht="17.15" hidden="false" customHeight="false" outlineLevel="0" collapsed="false">
      <c r="A156" s="5" t="s">
        <v>419</v>
      </c>
    </row>
    <row r="157" customFormat="false" ht="17.15" hidden="false" customHeight="false" outlineLevel="0" collapsed="false">
      <c r="A157" s="0" t="s">
        <v>420</v>
      </c>
      <c r="B157" s="0" t="s">
        <v>27</v>
      </c>
      <c r="D157" s="17" t="n">
        <f aca="false">itc_26*1</f>
        <v>781.872916666667</v>
      </c>
      <c r="E157" s="17" t="n">
        <f aca="false">itc_27*1*1</f>
        <v>1565.35</v>
      </c>
      <c r="F157" s="17" t="n">
        <f aca="false">itc_28*um28_C*1</f>
        <v>1190.55833333333</v>
      </c>
      <c r="G157" s="17" t="n">
        <f aca="false">itc_29*um29_C*1</f>
        <v>1356.23416666667</v>
      </c>
    </row>
    <row r="158" customFormat="false" ht="17.15" hidden="false" customHeight="false" outlineLevel="0" collapsed="false">
      <c r="A158" s="3" t="s">
        <v>421</v>
      </c>
      <c r="B158" s="0" t="s">
        <v>27</v>
      </c>
      <c r="D158" s="17" t="n">
        <f aca="false">itpg_gb*(1-vr26)+itpg_vr*vr26</f>
        <v>33.41403216</v>
      </c>
      <c r="E158" s="17" t="n">
        <f aca="false">itpg_vr</f>
        <v>37.586352</v>
      </c>
      <c r="F158" s="17" t="n">
        <f aca="false">itpg_vr</f>
        <v>37.586352</v>
      </c>
      <c r="G158" s="17" t="n">
        <f aca="false">itpg_vr</f>
        <v>37.586352</v>
      </c>
    </row>
    <row r="159" customFormat="false" ht="17.15" hidden="false" customHeight="false" outlineLevel="0" collapsed="false">
      <c r="A159" s="3" t="s">
        <v>422</v>
      </c>
      <c r="B159" s="0" t="s">
        <v>371</v>
      </c>
      <c r="D159" s="14" t="n">
        <f aca="false">D157/D158</f>
        <v>23.3995380420639</v>
      </c>
      <c r="E159" s="14" t="n">
        <f aca="false">E157/E158</f>
        <v>41.6467658260637</v>
      </c>
      <c r="F159" s="14" t="n">
        <f aca="false">F157/F158</f>
        <v>31.6752829147488</v>
      </c>
      <c r="G159" s="14" t="n">
        <f aca="false">G157/G158</f>
        <v>36.0831550416669</v>
      </c>
    </row>
    <row r="160" customFormat="false" ht="17.15" hidden="false" customHeight="false" outlineLevel="0" collapsed="false">
      <c r="A160" s="3" t="s">
        <v>373</v>
      </c>
      <c r="B160" s="0" t="s">
        <v>87</v>
      </c>
      <c r="D160" s="15" t="n">
        <f aca="false">cmp_26</f>
        <v>190</v>
      </c>
      <c r="E160" s="15" t="n">
        <f aca="false">cmp_26*cmpx_27</f>
        <v>275.5</v>
      </c>
      <c r="F160" s="15" t="n">
        <f aca="false">cmp_26*cmpx_28</f>
        <v>304</v>
      </c>
      <c r="G160" s="15" t="n">
        <f aca="false">cmp_26*cmpx_29</f>
        <v>323</v>
      </c>
    </row>
    <row r="161" customFormat="false" ht="17.15" hidden="false" customHeight="false" outlineLevel="0" collapsed="false">
      <c r="A161" s="3" t="s">
        <v>375</v>
      </c>
      <c r="B161" s="0" t="s">
        <v>87</v>
      </c>
      <c r="D161" s="15" t="n">
        <f aca="false">sw_26</f>
        <v>90</v>
      </c>
      <c r="E161" s="15" t="n">
        <f aca="false">sw_26*swx_27</f>
        <v>126</v>
      </c>
      <c r="F161" s="15" t="n">
        <f aca="false">sw_26*swx_28</f>
        <v>144</v>
      </c>
      <c r="G161" s="15" t="n">
        <f aca="false">sw_26*swx_29</f>
        <v>157.5</v>
      </c>
    </row>
    <row r="162" customFormat="false" ht="17.15" hidden="false" customHeight="false" outlineLevel="0" collapsed="false">
      <c r="A162" s="3" t="s">
        <v>376</v>
      </c>
      <c r="B162" s="0" t="s">
        <v>87</v>
      </c>
      <c r="D162" s="15" t="n">
        <f aca="false">ubb_26</f>
        <v>70</v>
      </c>
      <c r="E162" s="15" t="n">
        <f aca="false">ubb_26*ubbx_27</f>
        <v>126</v>
      </c>
      <c r="F162" s="15" t="n">
        <f aca="false">ubb_26*ubbx_28</f>
        <v>161</v>
      </c>
      <c r="G162" s="15" t="n">
        <f aca="false">ubb_26*ubbx_29</f>
        <v>182</v>
      </c>
    </row>
    <row r="163" customFormat="false" ht="17.15" hidden="false" customHeight="false" outlineLevel="0" collapsed="false">
      <c r="A163" s="3" t="s">
        <v>423</v>
      </c>
      <c r="B163" s="0" t="s">
        <v>87</v>
      </c>
      <c r="D163" s="15" t="n">
        <f aca="false">D160+D161+D162</f>
        <v>350</v>
      </c>
      <c r="E163" s="15" t="n">
        <f aca="false">E160+E161+E162</f>
        <v>527.5</v>
      </c>
      <c r="F163" s="15" t="n">
        <f aca="false">F160+F161+F162</f>
        <v>609</v>
      </c>
      <c r="G163" s="15" t="n">
        <f aca="false">G160+G161+G162</f>
        <v>662.5</v>
      </c>
    </row>
    <row r="164" customFormat="false" ht="17.15" hidden="false" customHeight="false" outlineLevel="0" collapsed="false">
      <c r="A164" s="0" t="s">
        <v>424</v>
      </c>
      <c r="B164" s="0" t="s">
        <v>27</v>
      </c>
      <c r="D164" s="17" t="n">
        <f aca="false">D159*D163/1000</f>
        <v>8.18983831472237</v>
      </c>
      <c r="E164" s="17" t="n">
        <f aca="false">E159*E163/1000</f>
        <v>21.9686689732486</v>
      </c>
      <c r="F164" s="17" t="n">
        <f aca="false">F159*F163/1000</f>
        <v>19.290247295082</v>
      </c>
      <c r="G164" s="17" t="n">
        <f aca="false">G159*G163/1000</f>
        <v>23.9050902151043</v>
      </c>
    </row>
    <row r="165" customFormat="false" ht="17.15" hidden="false" customHeight="false" outlineLevel="0" collapsed="false">
      <c r="A165" s="0" t="s">
        <v>425</v>
      </c>
      <c r="B165" s="0" t="s">
        <v>193</v>
      </c>
      <c r="D165" s="16" t="n">
        <f aca="false">D164*fx</f>
        <v>262.074826071116</v>
      </c>
      <c r="E165" s="16" t="n">
        <f aca="false">E164*fx</f>
        <v>702.997407143955</v>
      </c>
      <c r="F165" s="16" t="n">
        <f aca="false">F164*fx</f>
        <v>617.287913442625</v>
      </c>
      <c r="G165" s="16" t="n">
        <f aca="false">G164*fx</f>
        <v>764.962886883339</v>
      </c>
    </row>
    <row r="166" customFormat="false" ht="17.15" hidden="false" customHeight="false" outlineLevel="0" collapsed="false">
      <c r="A166" s="0" t="s">
        <v>426</v>
      </c>
      <c r="B166" s="0" t="s">
        <v>60</v>
      </c>
      <c r="D166" s="12" t="n">
        <f aca="false">1</f>
        <v>1</v>
      </c>
      <c r="E166" s="12" t="n">
        <f aca="false">pp_27</f>
        <v>1</v>
      </c>
      <c r="F166" s="12" t="n">
        <f aca="false">pp_28</f>
        <v>0.97</v>
      </c>
      <c r="G166" s="12" t="n">
        <f aca="false">pp_29</f>
        <v>0.93</v>
      </c>
    </row>
    <row r="167" customFormat="false" ht="17.15" hidden="false" customHeight="false" outlineLevel="0" collapsed="false">
      <c r="A167" s="3" t="s">
        <v>427</v>
      </c>
      <c r="B167" s="0" t="s">
        <v>47</v>
      </c>
      <c r="D167" s="11" t="n">
        <f aca="false">a26_ai/D165</f>
        <v>0.459306165741139</v>
      </c>
      <c r="H167" s="7" t="s">
        <v>428</v>
      </c>
    </row>
    <row r="168" customFormat="false" ht="17.15" hidden="false" customHeight="false" outlineLevel="0" collapsed="false">
      <c r="A168" s="3" t="s">
        <v>429</v>
      </c>
      <c r="B168" s="0" t="s">
        <v>60</v>
      </c>
      <c r="D168" s="12" t="n">
        <f aca="false">1</f>
        <v>1</v>
      </c>
      <c r="E168" s="12" t="n">
        <f aca="false">rel_27</f>
        <v>0.95</v>
      </c>
      <c r="F168" s="12" t="n">
        <f aca="false">rel_28</f>
        <v>0.9</v>
      </c>
      <c r="G168" s="12" t="n">
        <f aca="false">rel_29</f>
        <v>0.85</v>
      </c>
    </row>
    <row r="169" customFormat="false" ht="15" hidden="false" customHeight="false" outlineLevel="0" collapsed="false">
      <c r="A169" s="3" t="s">
        <v>384</v>
      </c>
      <c r="B169" s="0" t="s">
        <v>47</v>
      </c>
      <c r="D169" s="11" t="n">
        <f aca="false">$D$167*D168</f>
        <v>0.459306165741139</v>
      </c>
      <c r="E169" s="11" t="n">
        <f aca="false">$D$167*E168</f>
        <v>0.436340857454082</v>
      </c>
      <c r="F169" s="11" t="n">
        <f aca="false">$D$167*F168</f>
        <v>0.413375549167025</v>
      </c>
      <c r="G169" s="11" t="n">
        <f aca="false">$D$167*G168</f>
        <v>0.390410240879968</v>
      </c>
    </row>
    <row r="170" customFormat="false" ht="17.15" hidden="false" customHeight="false" outlineLevel="0" collapsed="false">
      <c r="A170" s="0" t="s">
        <v>430</v>
      </c>
      <c r="B170" s="0" t="s">
        <v>193</v>
      </c>
      <c r="D170" s="16" t="n">
        <f aca="false">D165*D169*D166</f>
        <v>120.3725835</v>
      </c>
      <c r="E170" s="16" t="n">
        <f aca="false">E165*E169*E166</f>
        <v>306.746491421189</v>
      </c>
      <c r="F170" s="16" t="n">
        <f aca="false">F165*F169*F166</f>
        <v>247.516578307106</v>
      </c>
      <c r="G170" s="16" t="n">
        <f aca="false">G165*G169*G166</f>
        <v>277.743890787095</v>
      </c>
    </row>
    <row r="171" customFormat="false" ht="17.15" hidden="false" customHeight="false" outlineLevel="0" collapsed="false">
      <c r="A171" s="5" t="s">
        <v>431</v>
      </c>
    </row>
    <row r="172" customFormat="false" ht="15" hidden="false" customHeight="false" outlineLevel="0" collapsed="false">
      <c r="A172" s="3" t="s">
        <v>389</v>
      </c>
      <c r="B172" s="3" t="s">
        <v>144</v>
      </c>
      <c r="D172" s="12" t="n">
        <f aca="false">cap_26</f>
        <v>6</v>
      </c>
      <c r="E172" s="12" t="n">
        <f aca="false">cap_27</f>
        <v>7.76</v>
      </c>
      <c r="F172" s="12" t="n">
        <f aca="false">cap_28</f>
        <v>10.3</v>
      </c>
      <c r="G172" s="12" t="n">
        <f aca="false">cap_29</f>
        <v>11.8</v>
      </c>
    </row>
    <row r="173" customFormat="false" ht="17.15" hidden="false" customHeight="false" outlineLevel="0" collapsed="false">
      <c r="A173" s="3" t="s">
        <v>432</v>
      </c>
      <c r="B173" s="0" t="s">
        <v>392</v>
      </c>
      <c r="D173" s="15" t="n">
        <f aca="false">a26_rev/(D172*12)*1000</f>
        <v>2857.84861111111</v>
      </c>
      <c r="H173" s="7" t="s">
        <v>433</v>
      </c>
    </row>
    <row r="174" customFormat="false" ht="17.15" hidden="false" customHeight="false" outlineLevel="0" collapsed="false">
      <c r="A174" s="3" t="s">
        <v>434</v>
      </c>
      <c r="B174" s="0" t="s">
        <v>60</v>
      </c>
      <c r="D174" s="12" t="n">
        <f aca="false">1</f>
        <v>1</v>
      </c>
      <c r="E174" s="12" t="n">
        <f aca="false">mix_27</f>
        <v>1.25</v>
      </c>
      <c r="F174" s="12" t="n">
        <f aca="false">mix_28</f>
        <v>1.4</v>
      </c>
      <c r="G174" s="12" t="n">
        <f aca="false">mix_29</f>
        <v>1.5</v>
      </c>
    </row>
    <row r="175" customFormat="false" ht="17.15" hidden="false" customHeight="false" outlineLevel="0" collapsed="false">
      <c r="A175" s="3" t="s">
        <v>435</v>
      </c>
      <c r="B175" s="0" t="s">
        <v>193</v>
      </c>
      <c r="D175" s="16" t="n">
        <f aca="false">D172*12*$D$173*D174*D166/1000</f>
        <v>205.7651</v>
      </c>
      <c r="E175" s="16" t="n">
        <f aca="false">E172*12*$D$173*E174*E166/1000</f>
        <v>332.653578333333</v>
      </c>
      <c r="F175" s="16" t="n">
        <f aca="false">F172*12*$D$173*F174*F166/1000</f>
        <v>479.686459956667</v>
      </c>
      <c r="G175" s="16" t="n">
        <f aca="false">G172*12*$D$173*G174*G166/1000</f>
        <v>564.51655185</v>
      </c>
    </row>
    <row r="176" customFormat="false" ht="17.15" hidden="false" customHeight="false" outlineLevel="0" collapsed="false">
      <c r="A176" s="3" t="s">
        <v>436</v>
      </c>
      <c r="B176" s="0" t="s">
        <v>193</v>
      </c>
      <c r="C176" s="16" t="n">
        <f aca="false">a25_nai</f>
        <v>47.1305</v>
      </c>
      <c r="D176" s="16" t="n">
        <f aca="false">a26_nai</f>
        <v>85.3925165</v>
      </c>
      <c r="E176" s="16" t="n">
        <f aca="false">D176*(1+g_nai27)</f>
        <v>92.22391782</v>
      </c>
      <c r="F176" s="16" t="n">
        <f aca="false">E176*(1+g_nai28)</f>
        <v>97.7573528892</v>
      </c>
      <c r="G176" s="16" t="n">
        <f aca="false">F176*(1+g_nai29)</f>
        <v>102.64522053366</v>
      </c>
    </row>
    <row r="177" customFormat="false" ht="17.15" hidden="false" customHeight="false" outlineLevel="0" collapsed="false">
      <c r="A177" s="0" t="s">
        <v>437</v>
      </c>
      <c r="B177" s="0" t="s">
        <v>193</v>
      </c>
      <c r="C177" s="16" t="n">
        <f aca="false">a25_ai</f>
        <v>47.1305</v>
      </c>
      <c r="D177" s="16" t="n">
        <f aca="false">D170</f>
        <v>120.3725835</v>
      </c>
      <c r="E177" s="16" t="n">
        <f aca="false">MIN(E170,E175-E176)</f>
        <v>240.429660513333</v>
      </c>
      <c r="F177" s="16" t="n">
        <f aca="false">MIN(F170,F175-F176)</f>
        <v>247.516578307106</v>
      </c>
      <c r="G177" s="16" t="n">
        <f aca="false">MIN(G170,G175-G176)</f>
        <v>277.743890787095</v>
      </c>
      <c r="H177" s="3" t="s">
        <v>438</v>
      </c>
    </row>
    <row r="178" customFormat="false" ht="15" hidden="false" customHeight="false" outlineLevel="0" collapsed="false">
      <c r="A178" s="3" t="s">
        <v>439</v>
      </c>
      <c r="E178" s="0" t="str">
        <f aca="false">IF(E170&gt;E175-E176+0.0001,"受限","未受限")</f>
        <v>受限</v>
      </c>
      <c r="F178" s="0" t="str">
        <f aca="false">IF(F170&gt;F175-F176+0.0001,"受限","未受限")</f>
        <v>未受限</v>
      </c>
      <c r="G178" s="0" t="str">
        <f aca="false">IF(G170&gt;G175-G176+0.0001,"受限","未受限")</f>
        <v>未受限</v>
      </c>
    </row>
    <row r="179" customFormat="false" ht="15" hidden="false" customHeight="false" outlineLevel="0" collapsed="false">
      <c r="A179" s="3" t="s">
        <v>320</v>
      </c>
      <c r="B179" s="0" t="s">
        <v>193</v>
      </c>
      <c r="C179" s="16" t="n">
        <f aca="false">C177+C176</f>
        <v>94.261</v>
      </c>
      <c r="D179" s="16" t="n">
        <f aca="false">D177+D176</f>
        <v>205.7651</v>
      </c>
      <c r="E179" s="16" t="n">
        <f aca="false">E177+E176</f>
        <v>332.653578333333</v>
      </c>
      <c r="F179" s="16" t="n">
        <f aca="false">F177+F176</f>
        <v>345.273931196306</v>
      </c>
      <c r="G179" s="16" t="n">
        <f aca="false">G177+G176</f>
        <v>380.389111320755</v>
      </c>
    </row>
    <row r="180" customFormat="false" ht="15" hidden="false" customHeight="false" outlineLevel="0" collapsed="false">
      <c r="A180" s="3" t="s">
        <v>440</v>
      </c>
      <c r="B180" s="0" t="s">
        <v>47</v>
      </c>
      <c r="D180" s="11" t="n">
        <f aca="false">D179/C179-1</f>
        <v>1.1829293132897</v>
      </c>
      <c r="E180" s="11" t="n">
        <f aca="false">E179/D179-1</f>
        <v>0.616666666666667</v>
      </c>
      <c r="F180" s="11" t="n">
        <f aca="false">F179/E179-1</f>
        <v>0.037938425091363</v>
      </c>
      <c r="G180" s="11" t="n">
        <f aca="false">G179/F179-1</f>
        <v>0.101702378754113</v>
      </c>
    </row>
    <row r="181" customFormat="false" ht="17.15" hidden="false" customHeight="false" outlineLevel="0" collapsed="false">
      <c r="A181" s="0" t="s">
        <v>441</v>
      </c>
      <c r="B181" s="0" t="s">
        <v>47</v>
      </c>
      <c r="C181" s="11" t="n">
        <f aca="false">C177/C179</f>
        <v>0.5</v>
      </c>
      <c r="D181" s="11" t="n">
        <f aca="false">D177/D179</f>
        <v>0.585</v>
      </c>
      <c r="E181" s="11" t="n">
        <f aca="false">E177/E179</f>
        <v>0.722762886597938</v>
      </c>
      <c r="F181" s="11" t="n">
        <f aca="false">F177/F179</f>
        <v>0.716870160019061</v>
      </c>
      <c r="G181" s="11" t="n">
        <f aca="false">G177/G179</f>
        <v>0.730157311345575</v>
      </c>
    </row>
    <row r="182" customFormat="false" ht="17.15" hidden="false" customHeight="false" outlineLevel="0" collapsed="false">
      <c r="A182" s="3" t="s">
        <v>442</v>
      </c>
      <c r="B182" s="0" t="s">
        <v>47</v>
      </c>
      <c r="D182" s="11" t="n">
        <f aca="false">(D170+D176)/D175</f>
        <v>1</v>
      </c>
      <c r="E182" s="11" t="n">
        <f aca="false">(E170+E176)/E175</f>
        <v>1.19935703454662</v>
      </c>
      <c r="F182" s="11" t="n">
        <f aca="false">(F170+F176)/F175</f>
        <v>0.719790863447547</v>
      </c>
      <c r="G182" s="11" t="n">
        <f aca="false">(G170+G176)/G175</f>
        <v>0.673831635359789</v>
      </c>
      <c r="H182" s="3" t="s">
        <v>443</v>
      </c>
    </row>
    <row r="183" customFormat="false" ht="17.15" hidden="false" customHeight="false" outlineLevel="0" collapsed="false">
      <c r="A183" s="3" t="s">
        <v>388</v>
      </c>
      <c r="B183" s="0" t="s">
        <v>87</v>
      </c>
      <c r="D183" s="15" t="n">
        <f aca="false">D177/fx/D159*1000</f>
        <v>160.757158009399</v>
      </c>
      <c r="E183" s="15" t="n">
        <f aca="false">E177/fx/E159*1000</f>
        <v>180.408412082255</v>
      </c>
      <c r="F183" s="15" t="n">
        <f aca="false">F177/fx/F159*1000</f>
        <v>244.193338159437</v>
      </c>
      <c r="G183" s="15" t="n">
        <f aca="false">G177/fx/G159*1000</f>
        <v>240.54150966217</v>
      </c>
    </row>
    <row r="184" customFormat="false" ht="17.15" hidden="false" customHeight="false" outlineLevel="0" collapsed="false">
      <c r="A184" s="5" t="s">
        <v>444</v>
      </c>
    </row>
    <row r="185" customFormat="false" ht="17.15" hidden="false" customHeight="false" outlineLevel="0" collapsed="false">
      <c r="A185" s="3" t="s">
        <v>445</v>
      </c>
      <c r="B185" s="0" t="s">
        <v>47</v>
      </c>
      <c r="D185" s="11" t="n">
        <f aca="false">a26_gp/D179-d_ai*D181</f>
        <v>0.291564442755356</v>
      </c>
      <c r="H185" s="7" t="s">
        <v>446</v>
      </c>
    </row>
    <row r="186" customFormat="false" ht="17.15" hidden="false" customHeight="false" outlineLevel="0" collapsed="false">
      <c r="A186" s="0" t="s">
        <v>447</v>
      </c>
      <c r="B186" s="0" t="s">
        <v>47</v>
      </c>
      <c r="D186" s="11" t="n">
        <f aca="false">D185+d_ai</f>
        <v>0.371564442755356</v>
      </c>
      <c r="E186" s="11" t="n">
        <f aca="false">1-(1-$D$186)/E166</f>
        <v>0.371564442755356</v>
      </c>
      <c r="F186" s="11" t="n">
        <f aca="false">1-(1-$D$186)/F166</f>
        <v>0.352128291500367</v>
      </c>
      <c r="G186" s="11" t="n">
        <f aca="false">1-(1-$D$186)/G166</f>
        <v>0.324262841672425</v>
      </c>
      <c r="H186" s="7" t="s">
        <v>448</v>
      </c>
    </row>
    <row r="187" customFormat="false" ht="15" hidden="false" customHeight="false" outlineLevel="0" collapsed="false">
      <c r="A187" s="3" t="s">
        <v>324</v>
      </c>
      <c r="B187" s="0" t="s">
        <v>193</v>
      </c>
      <c r="C187" s="16" t="n">
        <f aca="false">a25_gp</f>
        <v>28.12</v>
      </c>
      <c r="D187" s="16" t="n">
        <f aca="false">a26_gp</f>
        <v>69.6235934</v>
      </c>
      <c r="E187" s="16" t="n">
        <f aca="false">E177*E186+E176*$D$185</f>
        <v>116.2243280384</v>
      </c>
      <c r="F187" s="16" t="n">
        <f aca="false">F177*F186+F176*$D$185</f>
        <v>115.660157957676</v>
      </c>
      <c r="G187" s="16" t="n">
        <f aca="false">G177*G186+G176*$D$185</f>
        <v>119.989719810176</v>
      </c>
    </row>
    <row r="188" customFormat="false" ht="15" hidden="false" customHeight="false" outlineLevel="0" collapsed="false">
      <c r="A188" s="3" t="s">
        <v>327</v>
      </c>
      <c r="B188" s="0" t="s">
        <v>47</v>
      </c>
      <c r="C188" s="11" t="n">
        <f aca="false">C187/C179</f>
        <v>0.298320620405046</v>
      </c>
      <c r="D188" s="11" t="n">
        <f aca="false">D187/D179</f>
        <v>0.338364442755356</v>
      </c>
      <c r="E188" s="11" t="n">
        <f aca="false">E187/E179</f>
        <v>0.349385473683191</v>
      </c>
      <c r="F188" s="11" t="n">
        <f aca="false">F187/F179</f>
        <v>0.334980858696562</v>
      </c>
      <c r="G188" s="11" t="n">
        <f aca="false">G187/G179</f>
        <v>0.315439417793948</v>
      </c>
    </row>
    <row r="189" customFormat="false" ht="15" hidden="false" customHeight="false" outlineLevel="0" collapsed="false">
      <c r="A189" s="3" t="s">
        <v>449</v>
      </c>
      <c r="B189" s="0" t="s">
        <v>193</v>
      </c>
      <c r="C189" s="16" t="n">
        <f aca="false">a25_opx</f>
        <v>9.012</v>
      </c>
      <c r="D189" s="16" t="n">
        <f aca="false">a26_opx</f>
        <v>14.0153081141857</v>
      </c>
      <c r="E189" s="16" t="n">
        <f aca="false">D189*(1+MAX(0,phi*E180))</f>
        <v>19.2009721164345</v>
      </c>
      <c r="F189" s="16" t="n">
        <f aca="false">E189*(1+MAX(0,phi*F180))</f>
        <v>19.6380449018269</v>
      </c>
      <c r="G189" s="16" t="n">
        <f aca="false">F189*(1+MAX(0,phi*G180))</f>
        <v>20.8363864301844</v>
      </c>
    </row>
    <row r="190" customFormat="false" ht="15" hidden="false" customHeight="false" outlineLevel="0" collapsed="false">
      <c r="A190" s="3" t="s">
        <v>329</v>
      </c>
      <c r="B190" s="0" t="s">
        <v>193</v>
      </c>
      <c r="C190" s="16" t="n">
        <f aca="false">C189</f>
        <v>9.012</v>
      </c>
      <c r="D190" s="16" t="n">
        <f aca="false">D189</f>
        <v>14.0153081141857</v>
      </c>
      <c r="E190" s="16" t="n">
        <f aca="false">E189+0*E179</f>
        <v>19.2009721164345</v>
      </c>
      <c r="F190" s="16" t="n">
        <f aca="false">F189+0*F179</f>
        <v>19.6380449018269</v>
      </c>
      <c r="G190" s="16" t="n">
        <f aca="false">G189+0*G179</f>
        <v>20.8363864301844</v>
      </c>
    </row>
    <row r="191" customFormat="false" ht="15" hidden="false" customHeight="false" outlineLevel="0" collapsed="false">
      <c r="A191" s="3" t="s">
        <v>332</v>
      </c>
      <c r="B191" s="0" t="s">
        <v>193</v>
      </c>
      <c r="C191" s="16" t="n">
        <f aca="false">C187-C190</f>
        <v>19.108</v>
      </c>
      <c r="D191" s="16" t="n">
        <f aca="false">D187-D190</f>
        <v>55.6082852858143</v>
      </c>
      <c r="E191" s="16" t="n">
        <f aca="false">E187-E190</f>
        <v>97.0233559219655</v>
      </c>
      <c r="F191" s="16" t="n">
        <f aca="false">F187-F190</f>
        <v>96.0221130558494</v>
      </c>
      <c r="G191" s="16" t="n">
        <f aca="false">G187-G190</f>
        <v>99.1533333799918</v>
      </c>
    </row>
    <row r="192" customFormat="false" ht="15" hidden="false" customHeight="false" outlineLevel="0" collapsed="false">
      <c r="A192" s="3" t="s">
        <v>335</v>
      </c>
      <c r="B192" s="0" t="s">
        <v>47</v>
      </c>
      <c r="C192" s="11" t="n">
        <f aca="false">C191/C179</f>
        <v>0.202713741632276</v>
      </c>
      <c r="D192" s="11" t="n">
        <f aca="false">D191/D179</f>
        <v>0.270251297648699</v>
      </c>
      <c r="E192" s="11" t="n">
        <f aca="false">E191/E179</f>
        <v>0.291664849685591</v>
      </c>
      <c r="F192" s="11" t="n">
        <f aca="false">F191/F179</f>
        <v>0.278104149720055</v>
      </c>
      <c r="G192" s="11" t="n">
        <f aca="false">G191/G179</f>
        <v>0.260662911816061</v>
      </c>
    </row>
    <row r="193" customFormat="false" ht="17.15" hidden="false" customHeight="false" outlineLevel="0" collapsed="false">
      <c r="A193" s="3" t="s">
        <v>337</v>
      </c>
      <c r="B193" s="0" t="s">
        <v>193</v>
      </c>
      <c r="E193" s="16" t="n">
        <f aca="false">nop_f</f>
        <v>0.5</v>
      </c>
      <c r="F193" s="16" t="n">
        <f aca="false">nop_f</f>
        <v>0.5</v>
      </c>
      <c r="G193" s="16" t="n">
        <f aca="false">nop_f</f>
        <v>0.5</v>
      </c>
      <c r="H193" s="7" t="s">
        <v>450</v>
      </c>
    </row>
    <row r="194" customFormat="false" ht="15" hidden="false" customHeight="false" outlineLevel="0" collapsed="false">
      <c r="A194" s="3" t="s">
        <v>340</v>
      </c>
      <c r="B194" s="0" t="s">
        <v>193</v>
      </c>
      <c r="C194" s="16" t="n">
        <f aca="false">a25_ni</f>
        <v>14.649</v>
      </c>
      <c r="D194" s="16" t="n">
        <f aca="false">a26_ni</f>
        <v>42.891099295</v>
      </c>
      <c r="E194" s="16" t="n">
        <f aca="false">(E191+E193)*nir_f</f>
        <v>75.0929840599135</v>
      </c>
      <c r="F194" s="16" t="n">
        <f aca="false">(F191+F193)*nir_f</f>
        <v>74.322027053004</v>
      </c>
      <c r="G194" s="16" t="n">
        <f aca="false">(G191+G193)*nir_f</f>
        <v>76.7330667025937</v>
      </c>
    </row>
    <row r="195" customFormat="false" ht="17.15" hidden="false" customHeight="false" outlineLevel="0" collapsed="false">
      <c r="A195" s="3" t="s">
        <v>343</v>
      </c>
      <c r="B195" s="0" t="s">
        <v>47</v>
      </c>
      <c r="C195" s="11" t="n">
        <f aca="false">C194/C191</f>
        <v>0.766642244086247</v>
      </c>
      <c r="D195" s="11" t="n">
        <f aca="false">D194/D191</f>
        <v>0.771307712053146</v>
      </c>
      <c r="E195" s="11" t="n">
        <f aca="false">E194/E191</f>
        <v>0.77396811671109</v>
      </c>
      <c r="F195" s="11" t="n">
        <f aca="false">F194/F191</f>
        <v>0.774009493102657</v>
      </c>
      <c r="G195" s="11" t="n">
        <f aca="false">G194/G191</f>
        <v>0.773882875006577</v>
      </c>
    </row>
    <row r="196" customFormat="false" ht="15" hidden="false" customHeight="false" outlineLevel="0" collapsed="false">
      <c r="A196" s="3" t="s">
        <v>451</v>
      </c>
      <c r="B196" s="3" t="s">
        <v>222</v>
      </c>
      <c r="C196" s="18" t="n">
        <f aca="false">a25_sh</f>
        <v>0.351547876169906</v>
      </c>
      <c r="D196" s="18" t="n">
        <f aca="false">a26_sh</f>
        <v>0.358290155440415</v>
      </c>
      <c r="E196" s="18" t="n">
        <f aca="false">D196*(1+sh_g)</f>
        <v>0.358290155440415</v>
      </c>
      <c r="F196" s="18" t="n">
        <f aca="false">E196*(1+sh_g)</f>
        <v>0.358290155440415</v>
      </c>
      <c r="G196" s="18" t="n">
        <f aca="false">F196*(1+sh_g)</f>
        <v>0.358290155440415</v>
      </c>
    </row>
    <row r="197" customFormat="false" ht="15" hidden="false" customHeight="false" outlineLevel="0" collapsed="false">
      <c r="A197" s="0" t="s">
        <v>346</v>
      </c>
      <c r="B197" s="0" t="s">
        <v>253</v>
      </c>
      <c r="C197" s="17" t="n">
        <f aca="false">C194/C196</f>
        <v>41.67</v>
      </c>
      <c r="D197" s="17" t="n">
        <f aca="false">D194/D196</f>
        <v>119.710515747433</v>
      </c>
      <c r="E197" s="17" t="n">
        <f aca="false">E194/E196</f>
        <v>209.587070478139</v>
      </c>
      <c r="F197" s="17" t="n">
        <f aca="false">F194/F196</f>
        <v>207.43530327158</v>
      </c>
      <c r="G197" s="17" t="n">
        <f aca="false">G194/G196</f>
        <v>214.16459687058</v>
      </c>
    </row>
    <row r="198" customFormat="false" ht="17.15" hidden="false" customHeight="false" outlineLevel="0" collapsed="false">
      <c r="A198" s="0" t="s">
        <v>452</v>
      </c>
      <c r="B198" s="0" t="s">
        <v>47</v>
      </c>
      <c r="D198" s="11" t="n">
        <f aca="false">D197/C197-1</f>
        <v>1.87282255213422</v>
      </c>
      <c r="E198" s="11" t="n">
        <f aca="false">E197/D197-1</f>
        <v>0.750782453567642</v>
      </c>
      <c r="F198" s="11" t="n">
        <f aca="false">F197/E197-1</f>
        <v>-0.0102666982350085</v>
      </c>
      <c r="G198" s="11" t="n">
        <f aca="false">G197/F197-1</f>
        <v>0.0324404452514486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455</v>
      </c>
    </row>
    <row r="2" customFormat="false" ht="17.15" hidden="false" customHeight="false" outlineLevel="0" collapsed="false">
      <c r="A2" s="3" t="s">
        <v>456</v>
      </c>
    </row>
    <row r="4" customFormat="false" ht="17.15" hidden="false" customHeight="false" outlineLevel="0" collapsed="false">
      <c r="A4" s="5" t="s">
        <v>457</v>
      </c>
    </row>
    <row r="5" customFormat="false" ht="15" hidden="false" customHeight="false" outlineLevel="0" collapsed="false">
      <c r="A5" s="4" t="s">
        <v>16</v>
      </c>
      <c r="B5" s="8" t="s">
        <v>458</v>
      </c>
      <c r="C5" s="8" t="s">
        <v>459</v>
      </c>
      <c r="D5" s="8" t="s">
        <v>460</v>
      </c>
      <c r="E5" s="4" t="s">
        <v>369</v>
      </c>
    </row>
    <row r="6" customFormat="false" ht="17.15" hidden="false" customHeight="false" outlineLevel="0" collapsed="false">
      <c r="A6" s="3" t="s">
        <v>461</v>
      </c>
      <c r="B6" s="15" t="n">
        <f aca="false">px</f>
        <v>5070</v>
      </c>
    </row>
    <row r="7" customFormat="false" ht="17.15" hidden="false" customHeight="false" outlineLevel="0" collapsed="false">
      <c r="A7" s="3" t="s">
        <v>462</v>
      </c>
      <c r="B7" s="14" t="n">
        <f aca="false">px/PL!D13</f>
        <v>42.3521690500169</v>
      </c>
      <c r="C7" s="14" t="n">
        <f aca="false">px/PL!D25</f>
        <v>42.3521690500169</v>
      </c>
      <c r="D7" s="14" t="n">
        <f aca="false">px/PL!D37</f>
        <v>42.3521690500169</v>
      </c>
    </row>
    <row r="8" customFormat="false" ht="17.15" hidden="false" customHeight="false" outlineLevel="0" collapsed="false">
      <c r="A8" s="3" t="s">
        <v>463</v>
      </c>
      <c r="B8" s="14" t="n">
        <f aca="false">px/PL!E13</f>
        <v>24.1904235239016</v>
      </c>
      <c r="C8" s="14" t="n">
        <f aca="false">px/PL!E25</f>
        <v>24.1904235239016</v>
      </c>
      <c r="D8" s="14" t="n">
        <f aca="false">px/PL!E37</f>
        <v>24.1904235239016</v>
      </c>
      <c r="E8" s="7" t="s">
        <v>464</v>
      </c>
    </row>
    <row r="9" customFormat="false" ht="17.15" hidden="false" customHeight="false" outlineLevel="0" collapsed="false">
      <c r="A9" s="3" t="s">
        <v>465</v>
      </c>
      <c r="B9" s="14" t="n">
        <f aca="false">px/PL!F13</f>
        <v>16.9480814594698</v>
      </c>
      <c r="C9" s="14" t="n">
        <f aca="false">px/PL!F25</f>
        <v>19.2241163523058</v>
      </c>
      <c r="D9" s="14" t="n">
        <f aca="false">px/PL!F37</f>
        <v>24.4413555457443</v>
      </c>
    </row>
    <row r="10" customFormat="false" ht="17.15" hidden="false" customHeight="false" outlineLevel="0" collapsed="false">
      <c r="A10" s="3" t="s">
        <v>466</v>
      </c>
      <c r="B10" s="14" t="n">
        <f aca="false">px/PL!G13</f>
        <v>15.3865077358329</v>
      </c>
      <c r="C10" s="14" t="n">
        <f aca="false">px/PL!G25</f>
        <v>17.689413670086</v>
      </c>
      <c r="D10" s="14" t="n">
        <f aca="false">px/PL!G37</f>
        <v>23.6733805404066</v>
      </c>
    </row>
    <row r="11" customFormat="false" ht="17.15" hidden="false" customHeight="false" outlineLevel="0" collapsed="false">
      <c r="A11" s="3" t="s">
        <v>467</v>
      </c>
      <c r="B11" s="12" t="n">
        <f aca="false">0.25*PL!D13+0.75*PL!E13</f>
        <v>187.117931795462</v>
      </c>
    </row>
    <row r="12" customFormat="false" ht="17.15" hidden="false" customHeight="false" outlineLevel="0" collapsed="false">
      <c r="A12" s="3" t="s">
        <v>468</v>
      </c>
      <c r="B12" s="14" t="n">
        <f aca="false">px/B11</f>
        <v>27.0952118343312</v>
      </c>
    </row>
    <row r="13" customFormat="false" ht="17.15" hidden="false" customHeight="false" outlineLevel="0" collapsed="false">
      <c r="A13" s="3" t="s">
        <v>469</v>
      </c>
      <c r="B13" s="14" t="n">
        <f aca="false">pe_ttm</f>
        <v>79.28</v>
      </c>
    </row>
    <row r="15" customFormat="false" ht="17.15" hidden="false" customHeight="false" outlineLevel="0" collapsed="false">
      <c r="A15" s="5" t="s">
        <v>470</v>
      </c>
    </row>
    <row r="16" customFormat="false" ht="17.15" hidden="false" customHeight="false" outlineLevel="0" collapsed="false">
      <c r="A16" s="4" t="s">
        <v>471</v>
      </c>
      <c r="B16" s="4" t="s">
        <v>472</v>
      </c>
      <c r="C16" s="8" t="s">
        <v>473</v>
      </c>
      <c r="D16" s="4" t="s">
        <v>474</v>
      </c>
      <c r="E16" s="4" t="s">
        <v>475</v>
      </c>
      <c r="F16" s="4" t="s">
        <v>369</v>
      </c>
    </row>
    <row r="17" customFormat="false" ht="17.15" hidden="false" customHeight="false" outlineLevel="0" collapsed="false">
      <c r="A17" s="0" t="s">
        <v>458</v>
      </c>
      <c r="B17" s="0" t="n">
        <f aca="false">INDEX({2026,2027,2028,2029},MATCH(MAX(PL!D85:G85),PL!D85:G85,0))</f>
        <v>2029</v>
      </c>
      <c r="C17" s="0" t="str">
        <f aca="false">IF(B17=2029,"中段",IF(2027&lt;B17,"中段",IF(2027=B17,"見頂","谷底")))</f>
        <v>中段</v>
      </c>
      <c r="D17" s="14" t="n">
        <f aca="false">IF(C17="見頂",pe_peak,IF(C17="谷底",pe_trough,pe_mid))</f>
        <v>13.86</v>
      </c>
      <c r="E17" s="0" t="str">
        <f aca="false">IF(B17=2029,"是：營收到觀測期末仍在增加","否")</f>
        <v>是：營收到觀測期末仍在增加</v>
      </c>
      <c r="F17" s="7" t="s">
        <v>476</v>
      </c>
    </row>
    <row r="18" customFormat="false" ht="15" hidden="false" customHeight="false" outlineLevel="0" collapsed="false">
      <c r="A18" s="0" t="s">
        <v>459</v>
      </c>
      <c r="B18" s="0" t="n">
        <f aca="false">INDEX({2026,2027,2028,2029},MATCH(MAX(PL!D132:G132),PL!D132:G132,0))</f>
        <v>2029</v>
      </c>
      <c r="C18" s="0" t="str">
        <f aca="false">IF(B18=2029,"中段",IF(2027&lt;B18,"中段",IF(2027=B18,"見頂","谷底")))</f>
        <v>中段</v>
      </c>
      <c r="D18" s="14" t="n">
        <f aca="false">IF(C18="見頂",pe_peak,IF(C18="谷底",pe_trough,pe_mid))</f>
        <v>13.86</v>
      </c>
      <c r="E18" s="0" t="str">
        <f aca="false">IF(B18=2029,"是：營收到觀測期末仍在增加","否")</f>
        <v>是：營收到觀測期末仍在增加</v>
      </c>
      <c r="F18" s="3" t="s">
        <v>33</v>
      </c>
    </row>
    <row r="19" customFormat="false" ht="15" hidden="false" customHeight="false" outlineLevel="0" collapsed="false">
      <c r="A19" s="0" t="s">
        <v>460</v>
      </c>
      <c r="B19" s="0" t="n">
        <f aca="false">INDEX({2026,2027,2028,2029},MATCH(MAX(PL!D179:G179),PL!D179:G179,0))</f>
        <v>2029</v>
      </c>
      <c r="C19" s="0" t="str">
        <f aca="false">IF(B19=2029,"中段",IF(2027&lt;B19,"中段",IF(2027=B19,"見頂","谷底")))</f>
        <v>中段</v>
      </c>
      <c r="D19" s="14" t="n">
        <f aca="false">IF(C19="見頂",pe_peak,IF(C19="谷底",pe_trough,pe_mid))</f>
        <v>13.86</v>
      </c>
      <c r="E19" s="0" t="str">
        <f aca="false">IF(B19=2029,"是：營收到觀測期末仍在增加","否")</f>
        <v>是：營收到觀測期末仍在增加</v>
      </c>
      <c r="F19" s="3" t="s">
        <v>33</v>
      </c>
    </row>
    <row r="21" customFormat="false" ht="17.15" hidden="false" customHeight="false" outlineLevel="0" collapsed="false">
      <c r="A21" s="5" t="s">
        <v>477</v>
      </c>
    </row>
    <row r="22" customFormat="false" ht="17.15" hidden="false" customHeight="false" outlineLevel="0" collapsed="false">
      <c r="A22" s="4" t="s">
        <v>471</v>
      </c>
      <c r="B22" s="8" t="s">
        <v>478</v>
      </c>
      <c r="C22" s="4" t="s">
        <v>479</v>
      </c>
      <c r="D22" s="4" t="s">
        <v>480</v>
      </c>
      <c r="E22" s="4" t="s">
        <v>481</v>
      </c>
      <c r="F22" s="4" t="s">
        <v>482</v>
      </c>
      <c r="G22" s="4" t="s">
        <v>483</v>
      </c>
    </row>
    <row r="23" customFormat="false" ht="15" hidden="false" customHeight="false" outlineLevel="0" collapsed="false">
      <c r="A23" s="19" t="s">
        <v>458</v>
      </c>
      <c r="B23" s="20" t="n">
        <f aca="false">PL!E13</f>
        <v>209.587070478139</v>
      </c>
      <c r="C23" s="20" t="n">
        <f aca="false">B23</f>
        <v>209.587070478139</v>
      </c>
      <c r="D23" s="21" t="n">
        <f aca="false">D17</f>
        <v>13.86</v>
      </c>
      <c r="E23" s="22" t="n">
        <f aca="false">C23*D23</f>
        <v>2904.876796827</v>
      </c>
      <c r="F23" s="23" t="n">
        <f aca="false">E23/px-1</f>
        <v>-0.427045996681064</v>
      </c>
      <c r="G23" s="21" t="n">
        <f aca="false">px/C23</f>
        <v>24.1904235239016</v>
      </c>
    </row>
    <row r="24" customFormat="false" ht="15" hidden="false" customHeight="false" outlineLevel="0" collapsed="false">
      <c r="A24" s="19" t="s">
        <v>459</v>
      </c>
      <c r="B24" s="20" t="n">
        <f aca="false">PL!E25</f>
        <v>209.587070478139</v>
      </c>
      <c r="C24" s="20" t="n">
        <f aca="false">B24</f>
        <v>209.587070478139</v>
      </c>
      <c r="D24" s="21" t="n">
        <f aca="false">D18</f>
        <v>13.86</v>
      </c>
      <c r="E24" s="22" t="n">
        <f aca="false">C24*D24</f>
        <v>2904.876796827</v>
      </c>
      <c r="F24" s="23" t="n">
        <f aca="false">E24/px-1</f>
        <v>-0.427045996681064</v>
      </c>
      <c r="G24" s="21" t="n">
        <f aca="false">px/C24</f>
        <v>24.1904235239016</v>
      </c>
    </row>
    <row r="25" customFormat="false" ht="15" hidden="false" customHeight="false" outlineLevel="0" collapsed="false">
      <c r="A25" s="19" t="s">
        <v>460</v>
      </c>
      <c r="B25" s="20" t="n">
        <f aca="false">PL!E37</f>
        <v>209.587070478139</v>
      </c>
      <c r="C25" s="20" t="n">
        <f aca="false">B25</f>
        <v>209.587070478139</v>
      </c>
      <c r="D25" s="21" t="n">
        <f aca="false">D19</f>
        <v>13.86</v>
      </c>
      <c r="E25" s="22" t="n">
        <f aca="false">C25*D25</f>
        <v>2904.876796827</v>
      </c>
      <c r="F25" s="23" t="n">
        <f aca="false">E25/px-1</f>
        <v>-0.427045996681064</v>
      </c>
      <c r="G25" s="21" t="n">
        <f aca="false">px/C25</f>
        <v>24.1904235239016</v>
      </c>
    </row>
    <row r="26" customFormat="false" ht="17.15" hidden="false" customHeight="false" outlineLevel="0" collapsed="false">
      <c r="A26" s="5" t="s">
        <v>484</v>
      </c>
    </row>
    <row r="27" customFormat="false" ht="17.15" hidden="false" customHeight="false" outlineLevel="0" collapsed="false">
      <c r="A27" s="8" t="s">
        <v>485</v>
      </c>
      <c r="B27" s="4" t="s">
        <v>486</v>
      </c>
      <c r="C27" s="4" t="s">
        <v>487</v>
      </c>
      <c r="D27" s="4" t="s">
        <v>488</v>
      </c>
      <c r="E27" s="4" t="s">
        <v>489</v>
      </c>
    </row>
    <row r="28" customFormat="false" ht="15" hidden="false" customHeight="false" outlineLevel="0" collapsed="false">
      <c r="A28" s="13" t="n">
        <v>0.5</v>
      </c>
      <c r="B28" s="14" t="n">
        <f aca="false">px*A28/PL!F13</f>
        <v>8.47404072973492</v>
      </c>
      <c r="C28" s="14" t="n">
        <f aca="false">px*A28/PL!F37</f>
        <v>12.2206777728722</v>
      </c>
      <c r="D28" s="14" t="n">
        <f aca="false">pe_mid</f>
        <v>13.86</v>
      </c>
      <c r="E28" s="14" t="n">
        <f aca="false">pe_trough</f>
        <v>22.22</v>
      </c>
    </row>
    <row r="29" customFormat="false" ht="15" hidden="false" customHeight="false" outlineLevel="0" collapsed="false">
      <c r="A29" s="13" t="n">
        <v>0.75</v>
      </c>
      <c r="B29" s="14" t="n">
        <f aca="false">px*A29/PL!F13</f>
        <v>12.7110610946024</v>
      </c>
      <c r="C29" s="14" t="n">
        <f aca="false">px*A29/PL!F37</f>
        <v>18.3310166593083</v>
      </c>
      <c r="D29" s="14" t="n">
        <f aca="false">pe_mid</f>
        <v>13.86</v>
      </c>
      <c r="E29" s="14" t="n">
        <f aca="false">pe_trough</f>
        <v>22.22</v>
      </c>
    </row>
    <row r="30" customFormat="false" ht="15" hidden="false" customHeight="false" outlineLevel="0" collapsed="false">
      <c r="A30" s="13" t="n">
        <v>1</v>
      </c>
      <c r="B30" s="14" t="n">
        <f aca="false">px*A30/PL!F13</f>
        <v>16.9480814594698</v>
      </c>
      <c r="C30" s="14" t="n">
        <f aca="false">px*A30/PL!F37</f>
        <v>24.4413555457443</v>
      </c>
      <c r="D30" s="14" t="n">
        <f aca="false">pe_mid</f>
        <v>13.86</v>
      </c>
      <c r="E30" s="14" t="n">
        <f aca="false">pe_trough</f>
        <v>22.22</v>
      </c>
    </row>
    <row r="31" customFormat="false" ht="15" hidden="false" customHeight="false" outlineLevel="0" collapsed="false">
      <c r="A31" s="13" t="n">
        <v>1.21</v>
      </c>
      <c r="B31" s="14" t="n">
        <f aca="false">px*A31/PL!F13</f>
        <v>20.5071785659585</v>
      </c>
      <c r="C31" s="14" t="n">
        <f aca="false">px*A31/PL!F37</f>
        <v>29.5740402103507</v>
      </c>
      <c r="D31" s="14" t="n">
        <f aca="false">pe_mid</f>
        <v>13.86</v>
      </c>
      <c r="E31" s="14" t="n">
        <f aca="false">pe_trough</f>
        <v>22.22</v>
      </c>
    </row>
    <row r="32" customFormat="false" ht="15" hidden="false" customHeight="false" outlineLevel="0" collapsed="false">
      <c r="A32" s="13" t="n">
        <v>1.5</v>
      </c>
      <c r="B32" s="14" t="n">
        <f aca="false">px*A32/PL!F13</f>
        <v>25.4221221892048</v>
      </c>
      <c r="C32" s="14" t="n">
        <f aca="false">px*A32/PL!F37</f>
        <v>36.6620333186165</v>
      </c>
      <c r="D32" s="14" t="n">
        <f aca="false">pe_mid</f>
        <v>13.86</v>
      </c>
      <c r="E32" s="14" t="n">
        <f aca="false">pe_trough</f>
        <v>22.22</v>
      </c>
    </row>
    <row r="33" customFormat="false" ht="17.15" hidden="false" customHeight="false" outlineLevel="0" collapsed="false">
      <c r="A33" s="3" t="s">
        <v>490</v>
      </c>
    </row>
    <row r="50" customFormat="false" ht="17.15" hidden="false" customHeight="false" outlineLevel="0" collapsed="false">
      <c r="A50" s="5" t="s">
        <v>491</v>
      </c>
    </row>
    <row r="51" customFormat="false" ht="17.15" hidden="false" customHeight="false" outlineLevel="0" collapsed="false">
      <c r="A51" s="3" t="s">
        <v>492</v>
      </c>
    </row>
    <row r="53" customFormat="false" ht="17.15" hidden="false" customHeight="false" outlineLevel="0" collapsed="false">
      <c r="A53" s="5" t="s">
        <v>493</v>
      </c>
    </row>
    <row r="54" customFormat="false" ht="17.15" hidden="false" customHeight="false" outlineLevel="0" collapsed="false">
      <c r="A54" s="4" t="s">
        <v>494</v>
      </c>
      <c r="B54" s="4" t="s">
        <v>495</v>
      </c>
      <c r="C54" s="8" t="s">
        <v>496</v>
      </c>
      <c r="D54" s="8" t="s">
        <v>497</v>
      </c>
      <c r="E54" s="4" t="s">
        <v>498</v>
      </c>
    </row>
    <row r="55" customFormat="false" ht="17.15" hidden="false" customHeight="false" outlineLevel="0" collapsed="false">
      <c r="A55" s="0" t="s">
        <v>499</v>
      </c>
      <c r="E55" s="3" t="s">
        <v>500</v>
      </c>
    </row>
    <row r="56" customFormat="false" ht="15" hidden="false" customHeight="false" outlineLevel="0" collapsed="false">
      <c r="A56" s="0" t="s">
        <v>501</v>
      </c>
      <c r="B56" s="12" t="n">
        <f aca="false">101.5/8.73</f>
        <v>11.6265750286369</v>
      </c>
    </row>
    <row r="57" customFormat="false" ht="15" hidden="false" customHeight="false" outlineLevel="0" collapsed="false">
      <c r="A57" s="0" t="s">
        <v>502</v>
      </c>
      <c r="B57" s="12" t="n">
        <f aca="false">65.7/5.48</f>
        <v>11.9890510948905</v>
      </c>
    </row>
    <row r="58" customFormat="false" ht="15" hidden="false" customHeight="false" outlineLevel="0" collapsed="false">
      <c r="A58" s="0" t="s">
        <v>503</v>
      </c>
      <c r="B58" s="12" t="n">
        <f aca="false">137/10.14</f>
        <v>13.5108481262327</v>
      </c>
    </row>
    <row r="59" customFormat="false" ht="15" hidden="false" customHeight="false" outlineLevel="0" collapsed="false">
      <c r="A59" s="0" t="s">
        <v>504</v>
      </c>
      <c r="B59" s="12" t="n">
        <f aca="false">157/11.33</f>
        <v>13.8570167696381</v>
      </c>
    </row>
    <row r="60" customFormat="false" ht="15" hidden="false" customHeight="false" outlineLevel="0" collapsed="false">
      <c r="A60" s="0" t="s">
        <v>505</v>
      </c>
      <c r="B60" s="12" t="n">
        <f aca="false">278/16.5</f>
        <v>16.8484848484848</v>
      </c>
      <c r="C60" s="13" t="n">
        <v>16.85</v>
      </c>
      <c r="D60" s="13" t="n">
        <v>18.6</v>
      </c>
    </row>
    <row r="61" customFormat="false" ht="15" hidden="false" customHeight="false" outlineLevel="0" collapsed="false">
      <c r="A61" s="0" t="s">
        <v>506</v>
      </c>
      <c r="B61" s="12" t="n">
        <f aca="false">171/15.24</f>
        <v>11.2204724409449</v>
      </c>
      <c r="C61" s="13" t="n">
        <v>11.22</v>
      </c>
      <c r="D61" s="13" t="n">
        <v>10.94</v>
      </c>
    </row>
    <row r="62" customFormat="false" ht="15" hidden="false" customHeight="false" outlineLevel="0" collapsed="false">
      <c r="A62" s="0" t="s">
        <v>507</v>
      </c>
      <c r="B62" s="12" t="n">
        <f aca="false">382/16.35</f>
        <v>23.3639143730887</v>
      </c>
      <c r="C62" s="13" t="n">
        <v>23.78</v>
      </c>
      <c r="D62" s="13" t="n">
        <v>26.84</v>
      </c>
    </row>
    <row r="63" customFormat="false" ht="15" hidden="false" customHeight="false" outlineLevel="0" collapsed="false">
      <c r="A63" s="0" t="s">
        <v>508</v>
      </c>
      <c r="B63" s="12" t="n">
        <f aca="false">618/27.81</f>
        <v>22.2222222222222</v>
      </c>
      <c r="C63" s="13" t="n">
        <v>22.27</v>
      </c>
      <c r="D63" s="13" t="n">
        <v>23.93</v>
      </c>
    </row>
    <row r="64" customFormat="false" ht="15" hidden="false" customHeight="false" outlineLevel="0" collapsed="false">
      <c r="A64" s="0" t="s">
        <v>509</v>
      </c>
      <c r="B64" s="12" t="n">
        <f aca="false">1645/41.67</f>
        <v>39.4768418526518</v>
      </c>
      <c r="C64" s="13" t="n">
        <v>40.15</v>
      </c>
      <c r="D64" s="13" t="n">
        <v>43.37</v>
      </c>
    </row>
    <row r="65" customFormat="false" ht="17.15" hidden="false" customHeight="false" outlineLevel="0" collapsed="false">
      <c r="A65" s="0" t="s">
        <v>510</v>
      </c>
      <c r="B65" s="12" t="n">
        <f aca="false">PERCENTILE(B55:B64,0.25)</f>
        <v>11.9890510948905</v>
      </c>
      <c r="C65" s="12" t="n">
        <f aca="false">PERCENTILE(C55:C64,0.25)</f>
        <v>16.85</v>
      </c>
      <c r="D65" s="12" t="n">
        <f aca="false">PERCENTILE(D55:D64,0.25)</f>
        <v>18.6</v>
      </c>
    </row>
    <row r="66" customFormat="false" ht="15" hidden="false" customHeight="false" outlineLevel="0" collapsed="false">
      <c r="A66" s="3" t="s">
        <v>511</v>
      </c>
      <c r="B66" s="12" t="n">
        <f aca="false">MEDIAN(B55:B64)</f>
        <v>13.8570167696381</v>
      </c>
      <c r="C66" s="12" t="n">
        <f aca="false">MEDIAN(C55:C64)</f>
        <v>22.27</v>
      </c>
      <c r="D66" s="12" t="n">
        <f aca="false">MEDIAN(D55:D64)</f>
        <v>23.93</v>
      </c>
    </row>
    <row r="67" customFormat="false" ht="17.15" hidden="false" customHeight="false" outlineLevel="0" collapsed="false">
      <c r="A67" s="0" t="s">
        <v>512</v>
      </c>
      <c r="B67" s="12" t="n">
        <f aca="false">PERCENTILE(B55:B64,0.75)</f>
        <v>22.2222222222222</v>
      </c>
      <c r="C67" s="12" t="n">
        <f aca="false">PERCENTILE(C55:C64,0.75)</f>
        <v>23.78</v>
      </c>
      <c r="D67" s="12" t="n">
        <f aca="false">PERCENTILE(D55:D64,0.75)</f>
        <v>26.84</v>
      </c>
    </row>
    <row r="68" customFormat="false" ht="15" hidden="false" customHeight="false" outlineLevel="0" collapsed="false">
      <c r="A68" s="3" t="s">
        <v>513</v>
      </c>
      <c r="B68" s="12" t="n">
        <f aca="false">MIN(B55:B64)</f>
        <v>11.2204724409449</v>
      </c>
      <c r="C68" s="12" t="n">
        <f aca="false">MIN(C55:C64)</f>
        <v>11.22</v>
      </c>
      <c r="D68" s="12" t="n">
        <f aca="false">MIN(D55:D64)</f>
        <v>10.94</v>
      </c>
    </row>
    <row r="69" customFormat="false" ht="15" hidden="false" customHeight="false" outlineLevel="0" collapsed="false">
      <c r="A69" s="3" t="s">
        <v>514</v>
      </c>
      <c r="B69" s="12" t="n">
        <f aca="false">MAX(B55:B64)</f>
        <v>39.4768418526518</v>
      </c>
      <c r="C69" s="12" t="n">
        <f aca="false">MAX(C55:C64)</f>
        <v>40.15</v>
      </c>
      <c r="D69" s="12" t="n">
        <f aca="false">MAX(D55:D64)</f>
        <v>43.37</v>
      </c>
    </row>
    <row r="70" customFormat="false" ht="17.15" hidden="false" customHeight="false" outlineLevel="0" collapsed="false">
      <c r="A70" s="1" t="s">
        <v>515</v>
      </c>
      <c r="B70" s="12" t="n">
        <f aca="false">ROUND(AVERAGE(B65),2)</f>
        <v>11.99</v>
      </c>
    </row>
    <row r="71" customFormat="false" ht="17.15" hidden="false" customHeight="false" outlineLevel="0" collapsed="false">
      <c r="A71" s="1" t="s">
        <v>516</v>
      </c>
      <c r="B71" s="12" t="n">
        <f aca="false">ROUND(AVERAGE(B66),2)</f>
        <v>13.86</v>
      </c>
    </row>
    <row r="72" customFormat="false" ht="17.15" hidden="false" customHeight="false" outlineLevel="0" collapsed="false">
      <c r="A72" s="1" t="s">
        <v>517</v>
      </c>
      <c r="B72" s="12" t="n">
        <f aca="false">ROUND(AVERAGE(B67),2)</f>
        <v>22.22</v>
      </c>
    </row>
    <row r="73" customFormat="false" ht="17.15" hidden="false" customHeight="false" outlineLevel="0" collapsed="false">
      <c r="A73" s="1" t="s">
        <v>518</v>
      </c>
      <c r="B73" s="12" t="n">
        <f aca="false">ROUND(MIN(B68),2)</f>
        <v>11.22</v>
      </c>
    </row>
    <row r="74" customFormat="false" ht="17.15" hidden="false" customHeight="false" outlineLevel="0" collapsed="false">
      <c r="A74" s="1" t="s">
        <v>519</v>
      </c>
      <c r="B74" s="12" t="n">
        <f aca="false">ROUND(MAX(B69),2)</f>
        <v>39.48</v>
      </c>
    </row>
    <row r="76" customFormat="false" ht="17.15" hidden="false" customHeight="false" outlineLevel="0" collapsed="false">
      <c r="A76" s="5" t="s">
        <v>520</v>
      </c>
    </row>
    <row r="77" customFormat="false" ht="17.15" hidden="false" customHeight="false" outlineLevel="0" collapsed="false">
      <c r="A77" s="4" t="s">
        <v>521</v>
      </c>
      <c r="B77" s="4" t="s">
        <v>522</v>
      </c>
      <c r="C77" s="4" t="s">
        <v>523</v>
      </c>
      <c r="D77" s="4" t="s">
        <v>19</v>
      </c>
      <c r="E77" s="4" t="s">
        <v>524</v>
      </c>
      <c r="F77" s="4" t="s">
        <v>481</v>
      </c>
      <c r="G77" s="4" t="s">
        <v>525</v>
      </c>
      <c r="H77" s="4" t="s">
        <v>526</v>
      </c>
    </row>
    <row r="78" customFormat="false" ht="17.15" hidden="false" customHeight="false" outlineLevel="0" collapsed="false">
      <c r="A78" s="3" t="s">
        <v>527</v>
      </c>
      <c r="B78" s="0" t="s">
        <v>528</v>
      </c>
      <c r="C78" s="12" t="n">
        <f aca="false">B70</f>
        <v>11.99</v>
      </c>
      <c r="D78" s="7" t="s">
        <v>529</v>
      </c>
      <c r="E78" s="17" t="n">
        <f aca="false">C23</f>
        <v>209.587070478139</v>
      </c>
      <c r="F78" s="16" t="n">
        <f aca="false">C78*E78</f>
        <v>2512.94897503288</v>
      </c>
      <c r="G78" s="11" t="n">
        <f aca="false">F78/px-1</f>
        <v>-0.504349314589175</v>
      </c>
      <c r="H78" s="12" t="n">
        <f aca="false">px/E78</f>
        <v>24.1904235239016</v>
      </c>
    </row>
    <row r="79" customFormat="false" ht="17.15" hidden="false" customHeight="false" outlineLevel="0" collapsed="false">
      <c r="A79" s="3" t="s">
        <v>530</v>
      </c>
      <c r="B79" s="3" t="s">
        <v>531</v>
      </c>
      <c r="C79" s="12" t="n">
        <f aca="false">B71</f>
        <v>13.86</v>
      </c>
      <c r="D79" s="7" t="s">
        <v>529</v>
      </c>
      <c r="E79" s="17" t="n">
        <f aca="false">C23</f>
        <v>209.587070478139</v>
      </c>
      <c r="F79" s="16" t="n">
        <f aca="false">C79*E79</f>
        <v>2904.876796827</v>
      </c>
      <c r="G79" s="11" t="n">
        <f aca="false">F79/px-1</f>
        <v>-0.427045996681064</v>
      </c>
      <c r="H79" s="12" t="n">
        <f aca="false">px/E79</f>
        <v>24.1904235239016</v>
      </c>
    </row>
    <row r="80" customFormat="false" ht="17.15" hidden="false" customHeight="false" outlineLevel="0" collapsed="false">
      <c r="A80" s="3" t="s">
        <v>532</v>
      </c>
      <c r="B80" s="0" t="s">
        <v>533</v>
      </c>
      <c r="C80" s="12" t="n">
        <f aca="false">B72</f>
        <v>22.22</v>
      </c>
      <c r="D80" s="7" t="s">
        <v>529</v>
      </c>
      <c r="E80" s="17" t="n">
        <f aca="false">C23</f>
        <v>209.587070478139</v>
      </c>
      <c r="F80" s="16" t="n">
        <f aca="false">C80*E80</f>
        <v>4657.02470602425</v>
      </c>
      <c r="G80" s="11" t="n">
        <f aca="false">F80/px-1</f>
        <v>-0.0814546930918649</v>
      </c>
      <c r="H80" s="12" t="n">
        <f aca="false">px/E80</f>
        <v>24.1904235239016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534</v>
      </c>
    </row>
    <row r="3" customFormat="false" ht="17.15" hidden="false" customHeight="false" outlineLevel="0" collapsed="false">
      <c r="A3" s="4" t="s">
        <v>16</v>
      </c>
      <c r="B3" s="4" t="s">
        <v>535</v>
      </c>
      <c r="C3" s="4" t="s">
        <v>536</v>
      </c>
      <c r="D3" s="4" t="s">
        <v>537</v>
      </c>
      <c r="E3" s="4" t="s">
        <v>538</v>
      </c>
      <c r="F3" s="4" t="s">
        <v>539</v>
      </c>
      <c r="G3" s="4" t="s">
        <v>540</v>
      </c>
      <c r="H3" s="4" t="s">
        <v>541</v>
      </c>
      <c r="I3" s="4" t="s">
        <v>542</v>
      </c>
      <c r="J3" s="4" t="s">
        <v>369</v>
      </c>
    </row>
    <row r="4" customFormat="false" ht="17.15" hidden="false" customHeight="false" outlineLevel="0" collapsed="false">
      <c r="A4" s="5" t="s">
        <v>543</v>
      </c>
    </row>
    <row r="5" customFormat="false" ht="17.15" hidden="false" customHeight="false" outlineLevel="0" collapsed="false">
      <c r="A5" s="0" t="s">
        <v>544</v>
      </c>
      <c r="B5" s="16" t="n">
        <f aca="false">b_rev26k</f>
        <v>191.123</v>
      </c>
      <c r="C5" s="16" t="n">
        <f aca="false">PL!D85</f>
        <v>205.7651</v>
      </c>
      <c r="D5" s="11" t="n">
        <f aca="false">C5/B5-1</f>
        <v>0.076610873625885</v>
      </c>
      <c r="E5" s="16" t="n">
        <f aca="false">PL!D132</f>
        <v>205.7651</v>
      </c>
      <c r="F5" s="11" t="n">
        <f aca="false">E5/B5-1</f>
        <v>0.076610873625885</v>
      </c>
      <c r="G5" s="16" t="n">
        <f aca="false">PL!D179</f>
        <v>205.7651</v>
      </c>
      <c r="H5" s="11" t="n">
        <f aca="false">G5/B5-1</f>
        <v>0.076610873625885</v>
      </c>
      <c r="I5" s="3" t="s">
        <v>545</v>
      </c>
      <c r="J5" s="7" t="s">
        <v>546</v>
      </c>
    </row>
    <row r="6" customFormat="false" ht="17.15" hidden="false" customHeight="false" outlineLevel="0" collapsed="false">
      <c r="A6" s="0" t="s">
        <v>547</v>
      </c>
      <c r="B6" s="17" t="n">
        <f aca="false">b_eps26k</f>
        <v>108.84</v>
      </c>
      <c r="C6" s="17" t="n">
        <f aca="false">PL!D103</f>
        <v>119.710515747433</v>
      </c>
      <c r="D6" s="11" t="n">
        <f aca="false">C6/B6-1</f>
        <v>0.0998761094030976</v>
      </c>
      <c r="E6" s="17" t="n">
        <f aca="false">PL!D150</f>
        <v>119.710515747433</v>
      </c>
      <c r="F6" s="11" t="n">
        <f aca="false">E6/B6-1</f>
        <v>0.0998761094030976</v>
      </c>
      <c r="G6" s="17" t="n">
        <f aca="false">PL!D197</f>
        <v>119.710515747433</v>
      </c>
      <c r="H6" s="11" t="n">
        <f aca="false">G6/B6-1</f>
        <v>0.0998761094030976</v>
      </c>
      <c r="I6" s="3" t="s">
        <v>545</v>
      </c>
    </row>
    <row r="7" customFormat="false" ht="17.15" hidden="false" customHeight="false" outlineLevel="0" collapsed="false">
      <c r="A7" s="0" t="s">
        <v>548</v>
      </c>
      <c r="B7" s="17" t="n">
        <f aca="false">b_eps26c</f>
        <v>98.72</v>
      </c>
      <c r="C7" s="17" t="n">
        <f aca="false">PL!D103</f>
        <v>119.710515747433</v>
      </c>
      <c r="D7" s="11" t="n">
        <f aca="false">C7/B7-1</f>
        <v>0.212626780261681</v>
      </c>
      <c r="E7" s="17" t="n">
        <f aca="false">PL!D150</f>
        <v>119.710515747433</v>
      </c>
      <c r="F7" s="11" t="n">
        <f aca="false">E7/B7-1</f>
        <v>0.212626780261681</v>
      </c>
      <c r="G7" s="17" t="n">
        <f aca="false">PL!D197</f>
        <v>119.710515747433</v>
      </c>
      <c r="H7" s="11" t="n">
        <f aca="false">G7/B7-1</f>
        <v>0.212626780261681</v>
      </c>
      <c r="I7" s="3" t="s">
        <v>549</v>
      </c>
    </row>
    <row r="8" customFormat="false" ht="17.15" hidden="false" customHeight="false" outlineLevel="0" collapsed="false">
      <c r="A8" s="0" t="s">
        <v>550</v>
      </c>
      <c r="B8" s="17" t="n">
        <f aca="false">b_eps26l</f>
        <v>120.77</v>
      </c>
      <c r="C8" s="17" t="n">
        <f aca="false">PL!D103</f>
        <v>119.710515747433</v>
      </c>
      <c r="D8" s="11" t="n">
        <f aca="false">C8/B8-1</f>
        <v>-0.00877274366619907</v>
      </c>
      <c r="E8" s="17" t="n">
        <f aca="false">PL!D150</f>
        <v>119.710515747433</v>
      </c>
      <c r="F8" s="11" t="n">
        <f aca="false">E8/B8-1</f>
        <v>-0.00877274366619907</v>
      </c>
      <c r="G8" s="17" t="n">
        <f aca="false">PL!D197</f>
        <v>119.710515747433</v>
      </c>
      <c r="H8" s="11" t="n">
        <f aca="false">G8/B8-1</f>
        <v>-0.00877274366619907</v>
      </c>
      <c r="I8" s="3" t="s">
        <v>551</v>
      </c>
      <c r="J8" s="7" t="s">
        <v>552</v>
      </c>
    </row>
    <row r="9" customFormat="false" ht="17.15" hidden="false" customHeight="false" outlineLevel="0" collapsed="false">
      <c r="A9" s="0" t="s">
        <v>553</v>
      </c>
      <c r="B9" s="16" t="n">
        <f aca="false">b_rev27k</f>
        <v>306.405</v>
      </c>
      <c r="C9" s="16" t="n">
        <f aca="false">PL!E85</f>
        <v>332.653578333333</v>
      </c>
      <c r="D9" s="11" t="n">
        <f aca="false">C9/B9-1</f>
        <v>0.085666285906997</v>
      </c>
      <c r="E9" s="16" t="n">
        <f aca="false">PL!E132</f>
        <v>332.653578333333</v>
      </c>
      <c r="F9" s="11" t="n">
        <f aca="false">E9/B9-1</f>
        <v>0.085666285906997</v>
      </c>
      <c r="G9" s="16" t="n">
        <f aca="false">PL!E179</f>
        <v>332.653578333333</v>
      </c>
      <c r="H9" s="11" t="n">
        <f aca="false">G9/B9-1</f>
        <v>0.085666285906997</v>
      </c>
      <c r="I9" s="3" t="s">
        <v>545</v>
      </c>
    </row>
    <row r="10" customFormat="false" ht="17.15" hidden="false" customHeight="false" outlineLevel="0" collapsed="false">
      <c r="A10" s="0" t="s">
        <v>554</v>
      </c>
      <c r="B10" s="16" t="n">
        <f aca="false">b_rev27l</f>
        <v>353.014</v>
      </c>
      <c r="C10" s="16" t="n">
        <f aca="false">PL!E85</f>
        <v>332.653578333333</v>
      </c>
      <c r="D10" s="11" t="n">
        <f aca="false">C10/B10-1</f>
        <v>-0.0576759609156199</v>
      </c>
      <c r="E10" s="16" t="n">
        <f aca="false">PL!E132</f>
        <v>332.653578333333</v>
      </c>
      <c r="F10" s="11" t="n">
        <f aca="false">E10/B10-1</f>
        <v>-0.0576759609156199</v>
      </c>
      <c r="G10" s="16" t="n">
        <f aca="false">PL!E179</f>
        <v>332.653578333333</v>
      </c>
      <c r="H10" s="11" t="n">
        <f aca="false">G10/B10-1</f>
        <v>-0.0576759609156199</v>
      </c>
      <c r="I10" s="3" t="s">
        <v>551</v>
      </c>
    </row>
    <row r="11" customFormat="false" ht="17.15" hidden="false" customHeight="false" outlineLevel="0" collapsed="false">
      <c r="A11" s="0" t="s">
        <v>555</v>
      </c>
      <c r="B11" s="17" t="n">
        <f aca="false">b_eps27k</f>
        <v>190.64</v>
      </c>
      <c r="C11" s="17" t="n">
        <f aca="false">PL!E103</f>
        <v>209.587070478139</v>
      </c>
      <c r="D11" s="11" t="n">
        <f aca="false">C11/B11-1</f>
        <v>0.0993866474933847</v>
      </c>
      <c r="E11" s="17" t="n">
        <f aca="false">PL!E150</f>
        <v>209.587070478139</v>
      </c>
      <c r="F11" s="11" t="n">
        <f aca="false">E11/B11-1</f>
        <v>0.0993866474933847</v>
      </c>
      <c r="G11" s="17" t="n">
        <f aca="false">PL!E197</f>
        <v>209.587070478139</v>
      </c>
      <c r="H11" s="11" t="n">
        <f aca="false">G11/B11-1</f>
        <v>0.0993866474933847</v>
      </c>
      <c r="I11" s="3" t="s">
        <v>545</v>
      </c>
    </row>
    <row r="12" customFormat="false" ht="17.15" hidden="false" customHeight="false" outlineLevel="0" collapsed="false">
      <c r="A12" s="0" t="s">
        <v>556</v>
      </c>
      <c r="B12" s="17" t="n">
        <f aca="false">b_eps27c</f>
        <v>193.33</v>
      </c>
      <c r="C12" s="17" t="n">
        <f aca="false">PL!E103</f>
        <v>209.587070478139</v>
      </c>
      <c r="D12" s="11" t="n">
        <f aca="false">C12/B12-1</f>
        <v>0.0840897453997767</v>
      </c>
      <c r="E12" s="17" t="n">
        <f aca="false">PL!E150</f>
        <v>209.587070478139</v>
      </c>
      <c r="F12" s="11" t="n">
        <f aca="false">E12/B12-1</f>
        <v>0.0840897453997767</v>
      </c>
      <c r="G12" s="17" t="n">
        <f aca="false">PL!E197</f>
        <v>209.587070478139</v>
      </c>
      <c r="H12" s="11" t="n">
        <f aca="false">G12/B12-1</f>
        <v>0.0840897453997767</v>
      </c>
      <c r="I12" s="3" t="s">
        <v>549</v>
      </c>
    </row>
    <row r="13" customFormat="false" ht="17.15" hidden="false" customHeight="false" outlineLevel="0" collapsed="false">
      <c r="A13" s="0" t="s">
        <v>557</v>
      </c>
      <c r="B13" s="17" t="n">
        <f aca="false">b_eps27l</f>
        <v>204.85</v>
      </c>
      <c r="C13" s="17" t="n">
        <f aca="false">PL!E103</f>
        <v>209.587070478139</v>
      </c>
      <c r="D13" s="11" t="n">
        <f aca="false">C13/B13-1</f>
        <v>0.0231245812943073</v>
      </c>
      <c r="E13" s="17" t="n">
        <f aca="false">PL!E150</f>
        <v>209.587070478139</v>
      </c>
      <c r="F13" s="11" t="n">
        <f aca="false">E13/B13-1</f>
        <v>0.0231245812943073</v>
      </c>
      <c r="G13" s="17" t="n">
        <f aca="false">PL!E197</f>
        <v>209.587070478139</v>
      </c>
      <c r="H13" s="11" t="n">
        <f aca="false">G13/B13-1</f>
        <v>0.0231245812943073</v>
      </c>
      <c r="I13" s="3" t="s">
        <v>551</v>
      </c>
      <c r="J13" s="3" t="s">
        <v>558</v>
      </c>
    </row>
    <row r="14" customFormat="false" ht="17.15" hidden="false" customHeight="false" outlineLevel="0" collapsed="false">
      <c r="A14" s="0" t="s">
        <v>559</v>
      </c>
      <c r="B14" s="16" t="n">
        <f aca="false">ms_rev28</f>
        <v>513.889857536</v>
      </c>
      <c r="C14" s="16" t="n">
        <f aca="false">PL!F85</f>
        <v>479.686459956667</v>
      </c>
      <c r="D14" s="11" t="n">
        <f aca="false">C14/B14-1</f>
        <v>-0.0665578373998891</v>
      </c>
      <c r="E14" s="16" t="n">
        <f aca="false">PL!F132</f>
        <v>427.779457298675</v>
      </c>
      <c r="F14" s="11" t="n">
        <f aca="false">E14/B14-1</f>
        <v>-0.167565868394848</v>
      </c>
      <c r="G14" s="16" t="n">
        <f aca="false">PL!F179</f>
        <v>345.273931196306</v>
      </c>
      <c r="H14" s="11" t="n">
        <f aca="false">G14/B14-1</f>
        <v>-0.32811685980372</v>
      </c>
      <c r="I14" s="7" t="s">
        <v>560</v>
      </c>
      <c r="J14" s="3" t="s">
        <v>561</v>
      </c>
    </row>
    <row r="15" customFormat="false" ht="17.15" hidden="false" customHeight="false" outlineLevel="0" collapsed="false">
      <c r="A15" s="0" t="s">
        <v>562</v>
      </c>
      <c r="B15" s="17" t="n">
        <f aca="false">ms_eps28</f>
        <v>420</v>
      </c>
      <c r="C15" s="17" t="n">
        <f aca="false">PL!F103</f>
        <v>299.14890438334</v>
      </c>
      <c r="D15" s="11" t="n">
        <f aca="false">C15/B15-1</f>
        <v>-0.287740703849191</v>
      </c>
      <c r="E15" s="17" t="n">
        <f aca="false">PL!F150</f>
        <v>263.731237737327</v>
      </c>
      <c r="F15" s="11" t="n">
        <f aca="false">E15/B15-1</f>
        <v>-0.372068481577793</v>
      </c>
      <c r="G15" s="17" t="n">
        <f aca="false">PL!F197</f>
        <v>207.43530327158</v>
      </c>
      <c r="H15" s="11" t="n">
        <f aca="false">G15/B15-1</f>
        <v>-0.506106420781952</v>
      </c>
      <c r="I15" s="3" t="s">
        <v>33</v>
      </c>
      <c r="J15" s="3" t="s">
        <v>563</v>
      </c>
    </row>
    <row r="16" customFormat="false" ht="17.15" hidden="false" customHeight="false" outlineLevel="0" collapsed="false">
      <c r="A16" s="5" t="s">
        <v>564</v>
      </c>
    </row>
    <row r="17" customFormat="false" ht="17.15" hidden="false" customHeight="false" outlineLevel="0" collapsed="false">
      <c r="A17" s="0" t="s">
        <v>565</v>
      </c>
      <c r="B17" s="11" t="n">
        <f aca="false">hs_sh25</f>
        <v>0.386</v>
      </c>
      <c r="C17" s="11" t="n">
        <f aca="false">PL!D73</f>
        <v>0.459306165741139</v>
      </c>
      <c r="D17" s="11" t="n">
        <f aca="false">C17-B17</f>
        <v>0.0733061657411386</v>
      </c>
      <c r="E17" s="11" t="n">
        <f aca="false">PL!D120</f>
        <v>0.459306165741139</v>
      </c>
      <c r="F17" s="11" t="n">
        <f aca="false">E17-B17</f>
        <v>0.0733061657411386</v>
      </c>
      <c r="G17" s="11" t="n">
        <f aca="false">PL!D167</f>
        <v>0.459306165741139</v>
      </c>
      <c r="H17" s="11" t="n">
        <f aca="false">G17-B17</f>
        <v>0.0733061657411386</v>
      </c>
      <c r="I17" s="7" t="s">
        <v>566</v>
      </c>
      <c r="J17" s="3" t="s">
        <v>567</v>
      </c>
    </row>
    <row r="18" customFormat="false" ht="17.15" hidden="false" customHeight="false" outlineLevel="0" collapsed="false">
      <c r="A18" s="0" t="s">
        <v>568</v>
      </c>
      <c r="B18" s="11" t="n">
        <f aca="false">hs_sh25c</f>
        <v>0.5</v>
      </c>
      <c r="C18" s="11" t="n">
        <f aca="false">PL!D73</f>
        <v>0.459306165741139</v>
      </c>
      <c r="D18" s="11" t="n">
        <f aca="false">C18-B18</f>
        <v>-0.0406938342588614</v>
      </c>
      <c r="E18" s="11" t="n">
        <f aca="false">PL!D120</f>
        <v>0.459306165741139</v>
      </c>
      <c r="F18" s="11" t="n">
        <f aca="false">E18-B18</f>
        <v>-0.0406938342588614</v>
      </c>
      <c r="G18" s="11" t="n">
        <f aca="false">PL!D167</f>
        <v>0.459306165741139</v>
      </c>
      <c r="H18" s="11" t="n">
        <f aca="false">G18-B18</f>
        <v>-0.0406938342588614</v>
      </c>
      <c r="I18" s="3" t="s">
        <v>569</v>
      </c>
    </row>
    <row r="19" customFormat="false" ht="17.15" hidden="false" customHeight="false" outlineLevel="0" collapsed="false">
      <c r="A19" s="0" t="s">
        <v>570</v>
      </c>
      <c r="B19" s="12" t="n">
        <f aca="false">(ms_rk_vr*racks_vr)/(ms_rk_gb*racks_gb*(1-vr26)+ms_rk_vr*racks_vr*vr26)</f>
        <v>1.46002488193717</v>
      </c>
      <c r="C19" s="12" t="n">
        <f aca="false">PL!E69/PL!D69</f>
        <v>1.50714285714286</v>
      </c>
      <c r="D19" s="11" t="n">
        <f aca="false">C19/B19-1</f>
        <v>0.0322720357636441</v>
      </c>
      <c r="E19" s="12" t="n">
        <f aca="false">PL!E116/PL!D116</f>
        <v>1.50714285714286</v>
      </c>
      <c r="F19" s="11" t="n">
        <f aca="false">E19/B19-1</f>
        <v>0.0322720357636441</v>
      </c>
      <c r="G19" s="12" t="n">
        <f aca="false">PL!E163/PL!D163</f>
        <v>1.50714285714286</v>
      </c>
      <c r="H19" s="11" t="n">
        <f aca="false">G19/B19-1</f>
        <v>0.0322720357636441</v>
      </c>
      <c r="I19" s="7" t="s">
        <v>571</v>
      </c>
      <c r="J19" s="3" t="s">
        <v>572</v>
      </c>
    </row>
    <row r="20" customFormat="false" ht="17.15" hidden="false" customHeight="false" outlineLevel="0" collapsed="false">
      <c r="A20" s="0" t="s">
        <v>573</v>
      </c>
      <c r="B20" s="12" t="n">
        <f aca="false">(sht_vr*racks_vr)/(sht_gb*racks_gb*(1-vr26)+sht_vr*racks_vr*vr26)</f>
        <v>1.6965234126223</v>
      </c>
      <c r="C20" s="12" t="n">
        <f aca="false">PL!E69/PL!D69</f>
        <v>1.50714285714286</v>
      </c>
      <c r="D20" s="11" t="n">
        <f aca="false">C20/B20-1</f>
        <v>-0.111628613003764</v>
      </c>
      <c r="E20" s="12" t="n">
        <f aca="false">PL!E116/PL!D116</f>
        <v>1.50714285714286</v>
      </c>
      <c r="F20" s="11" t="n">
        <f aca="false">E20/B20-1</f>
        <v>-0.111628613003764</v>
      </c>
      <c r="G20" s="12" t="n">
        <f aca="false">PL!E163/PL!D163</f>
        <v>1.50714285714286</v>
      </c>
      <c r="H20" s="11" t="n">
        <f aca="false">G20/B20-1</f>
        <v>-0.111628613003764</v>
      </c>
      <c r="I20" s="3" t="s">
        <v>574</v>
      </c>
      <c r="J20" s="3" t="s">
        <v>575</v>
      </c>
    </row>
    <row r="21" customFormat="false" ht="17.15" hidden="false" customHeight="false" outlineLevel="0" collapsed="false">
      <c r="A21" s="0" t="s">
        <v>576</v>
      </c>
      <c r="B21" s="16" t="n">
        <f aca="false">ms_rk_vr/1000</f>
        <v>18.75</v>
      </c>
      <c r="C21" s="16" t="n">
        <f aca="false">PL!E69*1000/racks_vr</f>
        <v>130.182625863771</v>
      </c>
      <c r="E21" s="16" t="n">
        <f aca="false">PL!E116*1000/racks_vr</f>
        <v>130.182625863771</v>
      </c>
      <c r="G21" s="16" t="n">
        <f aca="false">PL!E163*1000/racks_vr</f>
        <v>130.182625863771</v>
      </c>
      <c r="I21" s="7" t="s">
        <v>577</v>
      </c>
      <c r="J21" s="3" t="s">
        <v>578</v>
      </c>
    </row>
    <row r="22" customFormat="false" ht="17.15" hidden="false" customHeight="false" outlineLevel="0" collapsed="false">
      <c r="A22" s="0" t="s">
        <v>579</v>
      </c>
      <c r="C22" s="15" t="n">
        <f aca="false">PL!E89</f>
        <v>180.408412082255</v>
      </c>
      <c r="E22" s="15" t="n">
        <f aca="false">PL!E136</f>
        <v>180.408412082255</v>
      </c>
      <c r="G22" s="15" t="n">
        <f aca="false">PL!E183</f>
        <v>180.408412082255</v>
      </c>
      <c r="I22" s="7" t="s">
        <v>105</v>
      </c>
    </row>
    <row r="23" customFormat="false" ht="17.15" hidden="false" customHeight="false" outlineLevel="0" collapsed="false">
      <c r="A23" s="5" t="s">
        <v>580</v>
      </c>
    </row>
    <row r="24" customFormat="false" ht="17.15" hidden="false" customHeight="false" outlineLevel="0" collapsed="false">
      <c r="A24" s="0" t="s">
        <v>581</v>
      </c>
      <c r="C24" s="11" t="n">
        <f aca="false">PL!E88</f>
        <v>1.19935703454662</v>
      </c>
      <c r="E24" s="11" t="n">
        <f aca="false">PL!E135</f>
        <v>1.19935703454662</v>
      </c>
      <c r="G24" s="11" t="n">
        <f aca="false">PL!E182</f>
        <v>1.19935703454662</v>
      </c>
      <c r="I24" s="7" t="s">
        <v>105</v>
      </c>
      <c r="J24" s="3" t="s">
        <v>395</v>
      </c>
    </row>
    <row r="25" customFormat="false" ht="17.15" hidden="false" customHeight="false" outlineLevel="0" collapsed="false">
      <c r="A25" s="0" t="s">
        <v>582</v>
      </c>
      <c r="C25" s="11" t="n">
        <f aca="false">PL!F88</f>
        <v>1.06378859108748</v>
      </c>
      <c r="E25" s="11" t="n">
        <f aca="false">PL!F135</f>
        <v>0.891789727267514</v>
      </c>
      <c r="G25" s="11" t="n">
        <f aca="false">PL!F182</f>
        <v>0.719790863447547</v>
      </c>
      <c r="I25" s="7" t="s">
        <v>105</v>
      </c>
    </row>
    <row r="26" customFormat="false" ht="17.15" hidden="false" customHeight="false" outlineLevel="0" collapsed="false">
      <c r="A26" s="3" t="s">
        <v>583</v>
      </c>
      <c r="C26" s="15" t="n">
        <f aca="false">PL!D79</f>
        <v>2857.84861111111</v>
      </c>
      <c r="E26" s="15" t="n">
        <f aca="false">PL!D126</f>
        <v>2857.84861111111</v>
      </c>
      <c r="G26" s="15" t="n">
        <f aca="false">PL!D173</f>
        <v>2857.84861111111</v>
      </c>
      <c r="I26" s="7" t="s">
        <v>105</v>
      </c>
      <c r="J26" s="7" t="s">
        <v>584</v>
      </c>
    </row>
    <row r="27" customFormat="false" ht="17.15" hidden="false" customHeight="false" outlineLevel="0" collapsed="false">
      <c r="A27" s="3" t="s">
        <v>585</v>
      </c>
      <c r="C27" s="11" t="n">
        <f aca="false">PL!D91</f>
        <v>0.291564442755356</v>
      </c>
      <c r="E27" s="11" t="n">
        <f aca="false">PL!D138</f>
        <v>0.291564442755356</v>
      </c>
      <c r="G27" s="11" t="n">
        <f aca="false">PL!D185</f>
        <v>0.291564442755356</v>
      </c>
      <c r="I27" s="7" t="s">
        <v>586</v>
      </c>
      <c r="J27" s="7" t="s">
        <v>587</v>
      </c>
    </row>
    <row r="28" customFormat="false" ht="17.15" hidden="false" customHeight="false" outlineLevel="0" collapsed="false">
      <c r="A28" s="0" t="s">
        <v>588</v>
      </c>
      <c r="B28" s="11" t="n">
        <f aca="false">a26_gp/a26_rev</f>
        <v>0.338364442755356</v>
      </c>
      <c r="C28" s="11" t="n">
        <f aca="false">PL!E94</f>
        <v>0.349385473683191</v>
      </c>
      <c r="D28" s="11" t="n">
        <f aca="false">C28-B28</f>
        <v>0.011021030927835</v>
      </c>
      <c r="E28" s="11" t="n">
        <f aca="false">PL!E141</f>
        <v>0.349385473683191</v>
      </c>
      <c r="F28" s="11" t="n">
        <f aca="false">E28-B28</f>
        <v>0.011021030927835</v>
      </c>
      <c r="G28" s="11" t="n">
        <f aca="false">PL!E188</f>
        <v>0.349385473683191</v>
      </c>
      <c r="H28" s="11" t="n">
        <f aca="false">G28-B28</f>
        <v>0.011021030927835</v>
      </c>
      <c r="I28" s="3" t="s">
        <v>589</v>
      </c>
      <c r="J28" s="7" t="s">
        <v>590</v>
      </c>
    </row>
    <row r="29" customFormat="false" ht="17.15" hidden="false" customHeight="false" outlineLevel="0" collapsed="false">
      <c r="A29" s="0" t="s">
        <v>591</v>
      </c>
      <c r="C29" s="12" t="n">
        <f aca="false">Q!E15</f>
        <v>39.7440058812003</v>
      </c>
      <c r="E29" s="12" t="n">
        <f aca="false">Q!E15</f>
        <v>39.7440058812003</v>
      </c>
      <c r="G29" s="12" t="n">
        <f aca="false">Q!E15</f>
        <v>39.7440058812003</v>
      </c>
      <c r="I29" s="7" t="s">
        <v>105</v>
      </c>
      <c r="J29" s="3" t="s">
        <v>592</v>
      </c>
    </row>
    <row r="30" customFormat="false" ht="17.15" hidden="false" customHeight="false" outlineLevel="0" collapsed="false">
      <c r="A30" s="5" t="s">
        <v>593</v>
      </c>
    </row>
    <row r="31" customFormat="false" ht="17.15" hidden="false" customHeight="false" outlineLevel="0" collapsed="false">
      <c r="A31" s="0" t="s">
        <v>594</v>
      </c>
      <c r="J31" s="3" t="s">
        <v>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596</v>
      </c>
    </row>
    <row r="3" customFormat="false" ht="17.15" hidden="false" customHeight="false" outlineLevel="0" collapsed="false">
      <c r="A3" s="4" t="s">
        <v>597</v>
      </c>
      <c r="B3" s="4" t="s">
        <v>598</v>
      </c>
      <c r="C3" s="8" t="s">
        <v>599</v>
      </c>
      <c r="D3" s="8" t="s">
        <v>600</v>
      </c>
      <c r="E3" s="8" t="s">
        <v>601</v>
      </c>
      <c r="F3" s="8" t="s">
        <v>478</v>
      </c>
      <c r="G3" s="8" t="s">
        <v>602</v>
      </c>
      <c r="H3" s="8" t="s">
        <v>603</v>
      </c>
      <c r="I3" s="8" t="s">
        <v>604</v>
      </c>
      <c r="J3" s="8" t="s">
        <v>605</v>
      </c>
      <c r="K3" s="8" t="s">
        <v>606</v>
      </c>
      <c r="L3" s="8" t="s">
        <v>607</v>
      </c>
    </row>
    <row r="4" customFormat="false" ht="17.15" hidden="false" customHeight="false" outlineLevel="0" collapsed="false">
      <c r="A4" s="3" t="s">
        <v>608</v>
      </c>
      <c r="B4" s="0" t="s">
        <v>609</v>
      </c>
      <c r="C4" s="16" t="n">
        <f aca="false">PL!E85</f>
        <v>332.653578333333</v>
      </c>
      <c r="D4" s="16" t="n">
        <f aca="false">PL!E83</f>
        <v>240.429660513333</v>
      </c>
      <c r="E4" s="11" t="n">
        <f aca="false">PL!E94</f>
        <v>0.349385473683191</v>
      </c>
      <c r="F4" s="12" t="n">
        <f aca="false">PL!E103</f>
        <v>209.587070478139</v>
      </c>
      <c r="G4" s="11" t="n">
        <f aca="false">F4/F$4-1</f>
        <v>0</v>
      </c>
      <c r="H4" s="16" t="n">
        <f aca="false">PL!F85</f>
        <v>479.686459956667</v>
      </c>
      <c r="I4" s="16" t="n">
        <f aca="false">PL!F83</f>
        <v>381.929107067467</v>
      </c>
      <c r="J4" s="11" t="n">
        <f aca="false">PL!F94</f>
        <v>0.339785726036607</v>
      </c>
      <c r="K4" s="12" t="n">
        <f aca="false">PL!F103</f>
        <v>299.14890438334</v>
      </c>
      <c r="L4" s="11" t="n">
        <f aca="false">K4/K$4-1</f>
        <v>0</v>
      </c>
    </row>
    <row r="5" customFormat="false" ht="17.15" hidden="false" customHeight="false" outlineLevel="0" collapsed="false">
      <c r="A5" s="3" t="s">
        <v>610</v>
      </c>
      <c r="B5" s="3" t="s">
        <v>611</v>
      </c>
      <c r="C5" s="16" t="n">
        <f aca="false">E65</f>
        <v>332.653578333333</v>
      </c>
      <c r="D5" s="16" t="n">
        <f aca="false">E63</f>
        <v>240.429660513333</v>
      </c>
      <c r="E5" s="11" t="n">
        <f aca="false">E74</f>
        <v>0.349385473683191</v>
      </c>
      <c r="F5" s="12" t="n">
        <f aca="false">E83</f>
        <v>209.587070478139</v>
      </c>
      <c r="G5" s="11" t="n">
        <f aca="false">F5/F$4-1</f>
        <v>0</v>
      </c>
      <c r="H5" s="16" t="n">
        <f aca="false">F65</f>
        <v>412.40281162935</v>
      </c>
      <c r="I5" s="16" t="n">
        <f aca="false">F63</f>
        <v>314.64545874015</v>
      </c>
      <c r="J5" s="11" t="n">
        <f aca="false">F74</f>
        <v>0.337772032602172</v>
      </c>
      <c r="K5" s="12" t="n">
        <f aca="false">F83</f>
        <v>253.239302496174</v>
      </c>
      <c r="L5" s="11" t="n">
        <f aca="false">K5/K$4-1</f>
        <v>-0.153467391036592</v>
      </c>
    </row>
    <row r="6" customFormat="false" ht="17.15" hidden="false" customHeight="false" outlineLevel="0" collapsed="false">
      <c r="A6" s="3" t="s">
        <v>612</v>
      </c>
      <c r="B6" s="3" t="s">
        <v>613</v>
      </c>
      <c r="C6" s="16" t="n">
        <f aca="false">E112</f>
        <v>332.653578333333</v>
      </c>
      <c r="D6" s="16" t="n">
        <f aca="false">E110</f>
        <v>240.429660513333</v>
      </c>
      <c r="E6" s="11" t="n">
        <f aca="false">E121</f>
        <v>0.349385473683191</v>
      </c>
      <c r="F6" s="12" t="n">
        <f aca="false">E130</f>
        <v>209.587070478139</v>
      </c>
      <c r="G6" s="11" t="n">
        <f aca="false">F6/F$4-1</f>
        <v>0</v>
      </c>
      <c r="H6" s="16" t="n">
        <f aca="false">F112</f>
        <v>479.686459956667</v>
      </c>
      <c r="I6" s="16" t="n">
        <f aca="false">F110</f>
        <v>381.929107067467</v>
      </c>
      <c r="J6" s="11" t="n">
        <f aca="false">F121</f>
        <v>0.339785726036607</v>
      </c>
      <c r="K6" s="12" t="n">
        <f aca="false">F130</f>
        <v>299.14890438334</v>
      </c>
      <c r="L6" s="11" t="n">
        <f aca="false">K6/K$4-1</f>
        <v>0</v>
      </c>
    </row>
    <row r="7" customFormat="false" ht="17.15" hidden="false" customHeight="false" outlineLevel="0" collapsed="false">
      <c r="A7" s="3" t="s">
        <v>614</v>
      </c>
      <c r="B7" s="3" t="s">
        <v>615</v>
      </c>
      <c r="C7" s="16" t="n">
        <f aca="false">E159</f>
        <v>332.653578333333</v>
      </c>
      <c r="D7" s="16" t="n">
        <f aca="false">E157</f>
        <v>240.429660513333</v>
      </c>
      <c r="E7" s="11" t="n">
        <f aca="false">E168</f>
        <v>0.349385473683191</v>
      </c>
      <c r="F7" s="12" t="n">
        <f aca="false">E177</f>
        <v>209.587070478139</v>
      </c>
      <c r="G7" s="11" t="n">
        <f aca="false">F7/F$4-1</f>
        <v>0</v>
      </c>
      <c r="H7" s="16" t="n">
        <f aca="false">F159</f>
        <v>472.351408181564</v>
      </c>
      <c r="I7" s="16" t="n">
        <f aca="false">F157</f>
        <v>374.594055292364</v>
      </c>
      <c r="J7" s="11" t="n">
        <f aca="false">F168</f>
        <v>0.339594060773953</v>
      </c>
      <c r="K7" s="12" t="n">
        <f aca="false">F177</f>
        <v>294.14398394296</v>
      </c>
      <c r="L7" s="11" t="n">
        <f aca="false">K7/K$4-1</f>
        <v>-0.0167305324105962</v>
      </c>
    </row>
    <row r="8" customFormat="false" ht="17.15" hidden="false" customHeight="false" outlineLevel="0" collapsed="false">
      <c r="A8" s="3" t="s">
        <v>616</v>
      </c>
      <c r="B8" s="3" t="s">
        <v>617</v>
      </c>
      <c r="C8" s="16" t="n">
        <f aca="false">E206</f>
        <v>332.653578333333</v>
      </c>
      <c r="D8" s="16" t="n">
        <f aca="false">E204</f>
        <v>240.429660513333</v>
      </c>
      <c r="E8" s="11" t="n">
        <f aca="false">E215</f>
        <v>0.349385473683191</v>
      </c>
      <c r="F8" s="12" t="n">
        <f aca="false">E224</f>
        <v>209.587070478139</v>
      </c>
      <c r="G8" s="11" t="n">
        <f aca="false">F8/F$4-1</f>
        <v>0</v>
      </c>
      <c r="H8" s="16" t="n">
        <f aca="false">F206</f>
        <v>479.686459956667</v>
      </c>
      <c r="I8" s="16" t="n">
        <f aca="false">F204</f>
        <v>381.929107067467</v>
      </c>
      <c r="J8" s="11" t="n">
        <f aca="false">F215</f>
        <v>0.339785726036607</v>
      </c>
      <c r="K8" s="12" t="n">
        <f aca="false">F224</f>
        <v>299.14890438334</v>
      </c>
      <c r="L8" s="11" t="n">
        <f aca="false">K8/K$4-1</f>
        <v>0</v>
      </c>
    </row>
    <row r="9" customFormat="false" ht="17.15" hidden="false" customHeight="false" outlineLevel="0" collapsed="false">
      <c r="A9" s="3" t="s">
        <v>618</v>
      </c>
      <c r="B9" s="3" t="s">
        <v>619</v>
      </c>
      <c r="C9" s="16" t="n">
        <f aca="false">E253</f>
        <v>332.653578333333</v>
      </c>
      <c r="D9" s="16" t="n">
        <f aca="false">E251</f>
        <v>240.429660513333</v>
      </c>
      <c r="E9" s="11" t="n">
        <f aca="false">E262</f>
        <v>0.349385473683191</v>
      </c>
      <c r="F9" s="12" t="n">
        <f aca="false">E271</f>
        <v>209.587070478139</v>
      </c>
      <c r="G9" s="11" t="n">
        <f aca="false">F9/F$4-1</f>
        <v>0</v>
      </c>
      <c r="H9" s="16" t="n">
        <f aca="false">F253</f>
        <v>441.530378315737</v>
      </c>
      <c r="I9" s="16" t="n">
        <f aca="false">F251</f>
        <v>343.773025426537</v>
      </c>
      <c r="J9" s="11" t="n">
        <f aca="false">F262</f>
        <v>0.338719108746784</v>
      </c>
      <c r="K9" s="12" t="n">
        <f aca="false">F271</f>
        <v>273.113893481618</v>
      </c>
      <c r="L9" s="11" t="n">
        <f aca="false">K9/K$4-1</f>
        <v>-0.0870302732861082</v>
      </c>
    </row>
    <row r="10" customFormat="false" ht="17.15" hidden="false" customHeight="false" outlineLevel="0" collapsed="false">
      <c r="A10" s="3" t="s">
        <v>620</v>
      </c>
      <c r="B10" s="3" t="s">
        <v>621</v>
      </c>
      <c r="C10" s="16" t="n">
        <f aca="false">E300</f>
        <v>332.653578333333</v>
      </c>
      <c r="D10" s="16" t="n">
        <f aca="false">E298</f>
        <v>240.429660513333</v>
      </c>
      <c r="E10" s="11" t="n">
        <f aca="false">E309</f>
        <v>0.349385473683191</v>
      </c>
      <c r="F10" s="12" t="n">
        <f aca="false">E318</f>
        <v>209.587070478139</v>
      </c>
      <c r="G10" s="11" t="n">
        <f aca="false">F10/F$4-1</f>
        <v>0</v>
      </c>
      <c r="H10" s="16" t="n">
        <f aca="false">F300</f>
        <v>479.686459956667</v>
      </c>
      <c r="I10" s="16" t="n">
        <f aca="false">F298</f>
        <v>381.929107067467</v>
      </c>
      <c r="J10" s="11" t="n">
        <f aca="false">F309</f>
        <v>0.339785726036607</v>
      </c>
      <c r="K10" s="12" t="n">
        <f aca="false">F318</f>
        <v>299.14890438334</v>
      </c>
      <c r="L10" s="11" t="n">
        <f aca="false">K10/K$4-1</f>
        <v>0</v>
      </c>
    </row>
    <row r="11" customFormat="false" ht="17.15" hidden="false" customHeight="false" outlineLevel="0" collapsed="false">
      <c r="A11" s="3" t="s">
        <v>622</v>
      </c>
      <c r="B11" s="3" t="s">
        <v>623</v>
      </c>
      <c r="C11" s="16" t="n">
        <f aca="false">E347</f>
        <v>316.020899416667</v>
      </c>
      <c r="D11" s="16" t="n">
        <f aca="false">E345</f>
        <v>223.796981596667</v>
      </c>
      <c r="E11" s="11" t="n">
        <f aca="false">E356</f>
        <v>0.324794995004451</v>
      </c>
      <c r="F11" s="12" t="n">
        <f aca="false">E365</f>
        <v>181.858187078088</v>
      </c>
      <c r="G11" s="11" t="n">
        <f aca="false">F11/F$4-1</f>
        <v>-0.132302452325859</v>
      </c>
      <c r="H11" s="16" t="n">
        <f aca="false">F347</f>
        <v>435.179468826667</v>
      </c>
      <c r="I11" s="16" t="n">
        <f aca="false">F345</f>
        <v>337.422115937467</v>
      </c>
      <c r="J11" s="11" t="n">
        <f aca="false">F356</f>
        <v>0.287148162143636</v>
      </c>
      <c r="K11" s="12" t="n">
        <f aca="false">F365</f>
        <v>220.818762171984</v>
      </c>
      <c r="L11" s="11" t="n">
        <f aca="false">K11/K$4-1</f>
        <v>-0.261843319710044</v>
      </c>
    </row>
    <row r="12" customFormat="false" ht="17.15" hidden="false" customHeight="false" outlineLevel="0" collapsed="false">
      <c r="A12" s="3" t="s">
        <v>624</v>
      </c>
      <c r="B12" s="3" t="s">
        <v>625</v>
      </c>
      <c r="C12" s="16" t="n">
        <f aca="false">E394</f>
        <v>359.2658646</v>
      </c>
      <c r="D12" s="16" t="n">
        <f aca="false">E392</f>
        <v>267.04194678</v>
      </c>
      <c r="E12" s="11" t="n">
        <f aca="false">E403</f>
        <v>0.385629508564702</v>
      </c>
      <c r="F12" s="12" t="n">
        <f aca="false">E412</f>
        <v>255.215826823456</v>
      </c>
      <c r="G12" s="11" t="n">
        <f aca="false">F12/F$4-1</f>
        <v>0.21770787788208</v>
      </c>
      <c r="H12" s="16" t="n">
        <f aca="false">F394</f>
        <v>519.24822985</v>
      </c>
      <c r="I12" s="16" t="n">
        <f aca="false">F392</f>
        <v>421.4908769608</v>
      </c>
      <c r="J12" s="11" t="n">
        <f aca="false">F403</f>
        <v>0.380794591036643</v>
      </c>
      <c r="K12" s="12" t="n">
        <f aca="false">F412</f>
        <v>370.756948730171</v>
      </c>
      <c r="L12" s="11" t="n">
        <f aca="false">K12/K$4-1</f>
        <v>0.239372577661423</v>
      </c>
    </row>
    <row r="13" customFormat="false" ht="17.15" hidden="false" customHeight="false" outlineLevel="0" collapsed="false">
      <c r="A13" s="3" t="s">
        <v>626</v>
      </c>
      <c r="B13" s="3" t="s">
        <v>627</v>
      </c>
      <c r="C13" s="16" t="n">
        <f aca="false">E441</f>
        <v>300.074104166667</v>
      </c>
      <c r="D13" s="16" t="n">
        <f aca="false">E439</f>
        <v>207.850186346667</v>
      </c>
      <c r="E13" s="11" t="n">
        <f aca="false">E450</f>
        <v>0.346977471326784</v>
      </c>
      <c r="F13" s="12" t="n">
        <f aca="false">E459</f>
        <v>186.432880524106</v>
      </c>
      <c r="G13" s="11" t="n">
        <f aca="false">F13/F$4-1</f>
        <v>-0.110475278370991</v>
      </c>
      <c r="H13" s="16" t="n">
        <f aca="false">F441</f>
        <v>442.429259183333</v>
      </c>
      <c r="I13" s="16" t="n">
        <f aca="false">F439</f>
        <v>344.671906294133</v>
      </c>
      <c r="J13" s="11" t="n">
        <f aca="false">F450</f>
        <v>0.338746352102817</v>
      </c>
      <c r="K13" s="12" t="n">
        <f aca="false">F459</f>
        <v>273.827948296823</v>
      </c>
      <c r="L13" s="11" t="n">
        <f aca="false">K13/K$4-1</f>
        <v>-0.0846433188137974</v>
      </c>
    </row>
    <row r="14" customFormat="false" ht="17.15" hidden="false" customHeight="false" outlineLevel="0" collapsed="false">
      <c r="A14" s="3" t="s">
        <v>628</v>
      </c>
      <c r="B14" s="3" t="s">
        <v>629</v>
      </c>
      <c r="C14" s="16" t="n">
        <f aca="false">E488</f>
        <v>351.515379166667</v>
      </c>
      <c r="D14" s="16" t="n">
        <f aca="false">E486</f>
        <v>259.291461346667</v>
      </c>
      <c r="E14" s="11" t="n">
        <f aca="false">E497</f>
        <v>0.350575564706575</v>
      </c>
      <c r="F14" s="12" t="n">
        <f aca="false">E506</f>
        <v>222.992127819947</v>
      </c>
      <c r="G14" s="11" t="n">
        <f aca="false">F14/F$4-1</f>
        <v>0.0639593716884679</v>
      </c>
      <c r="H14" s="16" t="n">
        <f aca="false">F488</f>
        <v>502.97221044</v>
      </c>
      <c r="I14" s="16" t="n">
        <f aca="false">F486</f>
        <v>405.2148575508</v>
      </c>
      <c r="J14" s="11" t="n">
        <f aca="false">F497</f>
        <v>0.340357141104374</v>
      </c>
      <c r="K14" s="12" t="n">
        <f aca="false">F506</f>
        <v>314.96129751588</v>
      </c>
      <c r="L14" s="11" t="n">
        <f aca="false">K14/K$4-1</f>
        <v>0.052857934295748</v>
      </c>
    </row>
    <row r="15" customFormat="false" ht="17.15" hidden="false" customHeight="false" outlineLevel="0" collapsed="false">
      <c r="A15" s="3" t="s">
        <v>630</v>
      </c>
      <c r="B15" s="3" t="s">
        <v>631</v>
      </c>
      <c r="C15" s="16" t="n">
        <f aca="false">E535</f>
        <v>292.735148933333</v>
      </c>
      <c r="D15" s="16" t="n">
        <f aca="false">E533</f>
        <v>200.511231113333</v>
      </c>
      <c r="E15" s="11" t="n">
        <f aca="false">E544</f>
        <v>0.346361068809713</v>
      </c>
      <c r="F15" s="12" t="n">
        <f aca="false">E553</f>
        <v>181.217094576566</v>
      </c>
      <c r="G15" s="11" t="n">
        <f aca="false">F15/F$4-1</f>
        <v>-0.13536128844614</v>
      </c>
      <c r="H15" s="16" t="n">
        <f aca="false">F535</f>
        <v>394.028163535833</v>
      </c>
      <c r="I15" s="16" t="n">
        <f aca="false">F533</f>
        <v>296.270810646633</v>
      </c>
      <c r="J15" s="11" t="n">
        <f aca="false">F544</f>
        <v>0.337102559631442</v>
      </c>
      <c r="K15" s="12" t="n">
        <f aca="false">F553</f>
        <v>240.936516101708</v>
      </c>
      <c r="L15" s="11" t="n">
        <f aca="false">K15/K$4-1</f>
        <v>-0.194593352770688</v>
      </c>
    </row>
    <row r="16" customFormat="false" ht="17.15" hidden="false" customHeight="false" outlineLevel="0" collapsed="false">
      <c r="A16" s="3" t="s">
        <v>632</v>
      </c>
      <c r="B16" s="3" t="s">
        <v>633</v>
      </c>
      <c r="C16" s="16" t="n">
        <f aca="false">E582</f>
        <v>385.878150866667</v>
      </c>
      <c r="D16" s="16" t="n">
        <f aca="false">E580</f>
        <v>293.654233046667</v>
      </c>
      <c r="E16" s="11" t="n">
        <f aca="false">E591</f>
        <v>0.352444641831075</v>
      </c>
      <c r="F16" s="12" t="n">
        <f aca="false">E600</f>
        <v>247.413705013569</v>
      </c>
      <c r="G16" s="11" t="n">
        <f aca="false">F16/F$4-1</f>
        <v>0.180481717928187</v>
      </c>
      <c r="H16" s="16" t="n">
        <f aca="false">F582</f>
        <v>510.284983401044</v>
      </c>
      <c r="I16" s="16" t="n">
        <f aca="false">F580</f>
        <v>412.527630511844</v>
      </c>
      <c r="J16" s="11" t="n">
        <f aca="false">F591</f>
        <v>0.340525830666356</v>
      </c>
      <c r="K16" s="12" t="n">
        <f aca="false">F600</f>
        <v>319.686817405118</v>
      </c>
      <c r="L16" s="11" t="n">
        <f aca="false">K16/K$4-1</f>
        <v>0.0686544818344392</v>
      </c>
    </row>
    <row r="17" customFormat="false" ht="17.15" hidden="false" customHeight="false" outlineLevel="0" collapsed="false">
      <c r="A17" s="0" t="s">
        <v>634</v>
      </c>
      <c r="B17" s="0" t="s">
        <v>635</v>
      </c>
      <c r="C17" s="16" t="n">
        <f aca="false">E629</f>
        <v>332.653578333333</v>
      </c>
      <c r="D17" s="16" t="n">
        <f aca="false">E627</f>
        <v>240.429660513333</v>
      </c>
      <c r="E17" s="11" t="n">
        <f aca="false">E638</f>
        <v>0.349385473683191</v>
      </c>
      <c r="F17" s="12" t="n">
        <f aca="false">E647</f>
        <v>209.587070478139</v>
      </c>
      <c r="G17" s="11" t="n">
        <f aca="false">F17/F$4-1</f>
        <v>0</v>
      </c>
      <c r="H17" s="16" t="n">
        <f aca="false">F629</f>
        <v>427.779457298675</v>
      </c>
      <c r="I17" s="16" t="n">
        <f aca="false">F627</f>
        <v>330.022104409475</v>
      </c>
      <c r="J17" s="11" t="n">
        <f aca="false">F638</f>
        <v>0.338288072123118</v>
      </c>
      <c r="K17" s="12" t="n">
        <f aca="false">F647</f>
        <v>263.731237737327</v>
      </c>
      <c r="L17" s="11" t="n">
        <f aca="false">K17/K$4-1</f>
        <v>-0.118394773061336</v>
      </c>
    </row>
    <row r="18" customFormat="false" ht="17.15" hidden="false" customHeight="false" outlineLevel="0" collapsed="false">
      <c r="A18" s="0" t="s">
        <v>636</v>
      </c>
      <c r="B18" s="0" t="s">
        <v>637</v>
      </c>
      <c r="C18" s="16" t="n">
        <f aca="false">E676</f>
        <v>332.653578333333</v>
      </c>
      <c r="D18" s="16" t="n">
        <f aca="false">E674</f>
        <v>240.429660513333</v>
      </c>
      <c r="E18" s="11" t="n">
        <f aca="false">E685</f>
        <v>0.349385473683191</v>
      </c>
      <c r="F18" s="12" t="n">
        <f aca="false">E694</f>
        <v>209.587070478139</v>
      </c>
      <c r="G18" s="11" t="n">
        <f aca="false">F18/F$4-1</f>
        <v>0</v>
      </c>
      <c r="H18" s="16" t="n">
        <f aca="false">F676</f>
        <v>479.686459956667</v>
      </c>
      <c r="I18" s="16" t="n">
        <f aca="false">F674</f>
        <v>381.929107067467</v>
      </c>
      <c r="J18" s="11" t="n">
        <f aca="false">F685</f>
        <v>0.339785726036607</v>
      </c>
      <c r="K18" s="12" t="n">
        <f aca="false">F694</f>
        <v>299.14890438334</v>
      </c>
      <c r="L18" s="11" t="n">
        <f aca="false">K18/K$4-1</f>
        <v>0</v>
      </c>
    </row>
    <row r="19" customFormat="false" ht="17.15" hidden="false" customHeight="false" outlineLevel="0" collapsed="false">
      <c r="A19" s="0" t="s">
        <v>638</v>
      </c>
      <c r="B19" s="0" t="s">
        <v>639</v>
      </c>
      <c r="C19" s="16" t="n">
        <f aca="false">E723</f>
        <v>332.653578333333</v>
      </c>
      <c r="D19" s="16" t="n">
        <f aca="false">E721</f>
        <v>240.429660513333</v>
      </c>
      <c r="E19" s="11" t="n">
        <f aca="false">E732</f>
        <v>0.343874958219273</v>
      </c>
      <c r="F19" s="12" t="n">
        <f aca="false">E741</f>
        <v>205.647578008228</v>
      </c>
      <c r="G19" s="11" t="n">
        <f aca="false">F19/F$4-1</f>
        <v>-0.0187964479913928</v>
      </c>
      <c r="H19" s="16" t="n">
        <f aca="false">F723</f>
        <v>479.686459956667</v>
      </c>
      <c r="I19" s="16" t="n">
        <f aca="false">F721</f>
        <v>381.929107067467</v>
      </c>
      <c r="J19" s="11" t="n">
        <f aca="false">F732</f>
        <v>0.33092872325369</v>
      </c>
      <c r="K19" s="12" t="n">
        <f aca="false">F741</f>
        <v>290.018288122709</v>
      </c>
      <c r="L19" s="11" t="n">
        <f aca="false">K19/K$4-1</f>
        <v>-0.0305219779408931</v>
      </c>
    </row>
    <row r="20" customFormat="false" ht="17.15" hidden="false" customHeight="false" outlineLevel="0" collapsed="false">
      <c r="A20" s="0" t="s">
        <v>640</v>
      </c>
      <c r="B20" s="3" t="s">
        <v>641</v>
      </c>
      <c r="C20" s="16" t="n">
        <f aca="false">E770</f>
        <v>332.653578333333</v>
      </c>
      <c r="D20" s="16" t="n">
        <f aca="false">E768</f>
        <v>240.429660513333</v>
      </c>
      <c r="E20" s="11" t="n">
        <f aca="false">E779</f>
        <v>0.354895989147108</v>
      </c>
      <c r="F20" s="12" t="n">
        <f aca="false">E788</f>
        <v>213.52656294805</v>
      </c>
      <c r="G20" s="11" t="n">
        <f aca="false">F20/F$4-1</f>
        <v>0.0187964479913929</v>
      </c>
      <c r="H20" s="16" t="n">
        <f aca="false">F770</f>
        <v>479.686459956667</v>
      </c>
      <c r="I20" s="16" t="n">
        <f aca="false">F768</f>
        <v>381.929107067467</v>
      </c>
      <c r="J20" s="11" t="n">
        <f aca="false">F779</f>
        <v>0.348642728819524</v>
      </c>
      <c r="K20" s="12" t="n">
        <f aca="false">F788</f>
        <v>308.279520643971</v>
      </c>
      <c r="L20" s="11" t="n">
        <f aca="false">K20/K$4-1</f>
        <v>0.030521977940893</v>
      </c>
    </row>
    <row r="21" customFormat="false" ht="17.15" hidden="false" customHeight="false" outlineLevel="0" collapsed="false">
      <c r="A21" s="3" t="s">
        <v>642</v>
      </c>
      <c r="B21" s="0" t="s">
        <v>643</v>
      </c>
      <c r="C21" s="16" t="n">
        <f aca="false">E817</f>
        <v>332.653578333333</v>
      </c>
      <c r="D21" s="16" t="n">
        <f aca="false">E815</f>
        <v>247.261061833333</v>
      </c>
      <c r="E21" s="11" t="n">
        <f aca="false">E826</f>
        <v>0.351028360281129</v>
      </c>
      <c r="F21" s="12" t="n">
        <f aca="false">E835</f>
        <v>210.761577549913</v>
      </c>
      <c r="G21" s="11" t="n">
        <f aca="false">F21/F$4-1</f>
        <v>0.00560390996016702</v>
      </c>
      <c r="H21" s="16" t="n">
        <f aca="false">F817</f>
        <v>479.686459956667</v>
      </c>
      <c r="I21" s="16" t="n">
        <f aca="false">F815</f>
        <v>394.293943456667</v>
      </c>
      <c r="J21" s="11" t="n">
        <f aca="false">F826</f>
        <v>0.341346875127411</v>
      </c>
      <c r="K21" s="12" t="n">
        <f aca="false">F835</f>
        <v>300.758281011431</v>
      </c>
      <c r="L21" s="11" t="n">
        <f aca="false">K21/K$4-1</f>
        <v>0.00537985131989216</v>
      </c>
    </row>
    <row r="22" customFormat="false" ht="17.15" hidden="false" customHeight="false" outlineLevel="0" collapsed="false">
      <c r="A22" s="3" t="s">
        <v>644</v>
      </c>
      <c r="B22" s="0" t="s">
        <v>645</v>
      </c>
      <c r="C22" s="16" t="n">
        <f aca="false">E864</f>
        <v>332.653578333333</v>
      </c>
      <c r="D22" s="16" t="n">
        <f aca="false">E862</f>
        <v>234.452184358333</v>
      </c>
      <c r="E22" s="11" t="n">
        <f aca="false">E873</f>
        <v>0.347947947909995</v>
      </c>
      <c r="F22" s="12" t="n">
        <f aca="false">E882</f>
        <v>208.559376790336</v>
      </c>
      <c r="G22" s="11" t="n">
        <f aca="false">F22/F$4-1</f>
        <v>-0.00490342121514586</v>
      </c>
      <c r="H22" s="16" t="n">
        <f aca="false">F864</f>
        <v>479.686459956667</v>
      </c>
      <c r="I22" s="16" t="n">
        <f aca="false">F862</f>
        <v>369.700898704667</v>
      </c>
      <c r="J22" s="11" t="n">
        <f aca="false">F873</f>
        <v>0.338241827212</v>
      </c>
      <c r="K22" s="12" t="n">
        <f aca="false">F882</f>
        <v>297.55731092241</v>
      </c>
      <c r="L22" s="11" t="n">
        <f aca="false">K22/K$4-1</f>
        <v>-0.00532040544895396</v>
      </c>
    </row>
    <row r="23" customFormat="false" ht="17.15" hidden="false" customHeight="false" outlineLevel="0" collapsed="false">
      <c r="A23" s="3" t="s">
        <v>646</v>
      </c>
      <c r="B23" s="0" t="s">
        <v>647</v>
      </c>
      <c r="C23" s="16" t="n">
        <f aca="false">PL!E132</f>
        <v>332.653578333333</v>
      </c>
      <c r="D23" s="16" t="n">
        <f aca="false">PL!E130</f>
        <v>240.429660513333</v>
      </c>
      <c r="E23" s="11" t="n">
        <f aca="false">PL!E141</f>
        <v>0.349385473683191</v>
      </c>
      <c r="F23" s="12" t="n">
        <f aca="false">PL!E150</f>
        <v>209.587070478139</v>
      </c>
      <c r="G23" s="11" t="n">
        <f aca="false">F23/F$4-1</f>
        <v>0</v>
      </c>
      <c r="H23" s="16" t="n">
        <f aca="false">PL!F132</f>
        <v>427.779457298675</v>
      </c>
      <c r="I23" s="16" t="n">
        <f aca="false">PL!F130</f>
        <v>330.022104409475</v>
      </c>
      <c r="J23" s="11" t="n">
        <f aca="false">PL!F141</f>
        <v>0.338288072123118</v>
      </c>
      <c r="K23" s="12" t="n">
        <f aca="false">PL!F150</f>
        <v>263.731237737327</v>
      </c>
      <c r="L23" s="11" t="n">
        <f aca="false">K23/K$4-1</f>
        <v>-0.118394773061336</v>
      </c>
    </row>
    <row r="24" customFormat="false" ht="17.15" hidden="false" customHeight="false" outlineLevel="0" collapsed="false">
      <c r="A24" s="3" t="s">
        <v>648</v>
      </c>
      <c r="B24" s="0" t="s">
        <v>649</v>
      </c>
      <c r="C24" s="16" t="n">
        <f aca="false">PL!E179</f>
        <v>332.653578333333</v>
      </c>
      <c r="D24" s="16" t="n">
        <f aca="false">PL!E177</f>
        <v>240.429660513333</v>
      </c>
      <c r="E24" s="11" t="n">
        <f aca="false">PL!E188</f>
        <v>0.349385473683191</v>
      </c>
      <c r="F24" s="12" t="n">
        <f aca="false">PL!E197</f>
        <v>209.587070478139</v>
      </c>
      <c r="G24" s="11" t="n">
        <f aca="false">F24/F$4-1</f>
        <v>0</v>
      </c>
      <c r="H24" s="16" t="n">
        <f aca="false">PL!F179</f>
        <v>345.273931196306</v>
      </c>
      <c r="I24" s="16" t="n">
        <f aca="false">PL!F177</f>
        <v>247.516578307106</v>
      </c>
      <c r="J24" s="11" t="n">
        <f aca="false">PL!F188</f>
        <v>0.334980858696562</v>
      </c>
      <c r="K24" s="12" t="n">
        <f aca="false">PL!F197</f>
        <v>207.43530327158</v>
      </c>
      <c r="L24" s="11" t="n">
        <f aca="false">K24/K$4-1</f>
        <v>-0.306581771712707</v>
      </c>
    </row>
    <row r="26" customFormat="false" ht="17.15" hidden="false" customHeight="false" outlineLevel="0" collapsed="false">
      <c r="A26" s="3" t="s">
        <v>650</v>
      </c>
    </row>
    <row r="40" customFormat="false" ht="17.15" hidden="false" customHeight="false" outlineLevel="0" collapsed="false">
      <c r="A40" s="1" t="s">
        <v>651</v>
      </c>
    </row>
    <row r="41" customFormat="false" ht="17.15" hidden="false" customHeight="false" outlineLevel="0" collapsed="false">
      <c r="A41" s="4" t="s">
        <v>16</v>
      </c>
      <c r="B41" s="4" t="s">
        <v>17</v>
      </c>
      <c r="C41" s="8" t="s">
        <v>315</v>
      </c>
      <c r="D41" s="8" t="s">
        <v>401</v>
      </c>
      <c r="E41" s="8" t="s">
        <v>402</v>
      </c>
      <c r="F41" s="8" t="s">
        <v>403</v>
      </c>
      <c r="G41" s="8" t="s">
        <v>404</v>
      </c>
      <c r="H41" s="4" t="s">
        <v>369</v>
      </c>
    </row>
    <row r="42" customFormat="false" ht="17.15" hidden="false" customHeight="false" outlineLevel="0" collapsed="false">
      <c r="A42" s="5" t="s">
        <v>419</v>
      </c>
    </row>
    <row r="43" customFormat="false" ht="17.15" hidden="false" customHeight="false" outlineLevel="0" collapsed="false">
      <c r="A43" s="0" t="s">
        <v>420</v>
      </c>
      <c r="B43" s="0" t="s">
        <v>27</v>
      </c>
      <c r="D43" s="17" t="n">
        <f aca="false">itc_26*1</f>
        <v>781.872916666667</v>
      </c>
      <c r="E43" s="17" t="n">
        <f aca="false">itc_27*1*1</f>
        <v>1565.35</v>
      </c>
      <c r="F43" s="17" t="n">
        <f aca="false">itc_28*um28_A*1</f>
        <v>1984.26388888889</v>
      </c>
      <c r="G43" s="17" t="n">
        <f aca="false">itc_29*um29_A*1</f>
        <v>2260.39027777778</v>
      </c>
    </row>
    <row r="44" customFormat="false" ht="17.15" hidden="false" customHeight="false" outlineLevel="0" collapsed="false">
      <c r="A44" s="3" t="s">
        <v>421</v>
      </c>
      <c r="B44" s="0" t="s">
        <v>27</v>
      </c>
      <c r="D44" s="17" t="n">
        <f aca="false">itpg_gb*(1-vr26)+itpg_vr*vr26</f>
        <v>33.41403216</v>
      </c>
      <c r="E44" s="17" t="n">
        <f aca="false">itpg_vr</f>
        <v>37.586352</v>
      </c>
      <c r="F44" s="17" t="n">
        <f aca="false">itpg_vr</f>
        <v>37.586352</v>
      </c>
      <c r="G44" s="17" t="n">
        <f aca="false">itpg_vr</f>
        <v>37.586352</v>
      </c>
    </row>
    <row r="45" customFormat="false" ht="17.15" hidden="false" customHeight="false" outlineLevel="0" collapsed="false">
      <c r="A45" s="3" t="s">
        <v>422</v>
      </c>
      <c r="B45" s="0" t="s">
        <v>371</v>
      </c>
      <c r="D45" s="14" t="n">
        <f aca="false">D43/D44</f>
        <v>23.3995380420639</v>
      </c>
      <c r="E45" s="14" t="n">
        <f aca="false">E43/E44</f>
        <v>41.6467658260637</v>
      </c>
      <c r="F45" s="14" t="n">
        <f aca="false">F43/F44</f>
        <v>52.792138191248</v>
      </c>
      <c r="G45" s="14" t="n">
        <f aca="false">G43/G44</f>
        <v>60.1385917361116</v>
      </c>
    </row>
    <row r="46" customFormat="false" ht="17.15" hidden="false" customHeight="false" outlineLevel="0" collapsed="false">
      <c r="A46" s="3" t="s">
        <v>373</v>
      </c>
      <c r="B46" s="0" t="s">
        <v>87</v>
      </c>
      <c r="D46" s="15" t="n">
        <f aca="false">cmp_26</f>
        <v>190</v>
      </c>
      <c r="E46" s="15" t="n">
        <f aca="false">cmp_26*CXLO_27</f>
        <v>228</v>
      </c>
      <c r="F46" s="15" t="n">
        <f aca="false">cmp_26*CXLO_28</f>
        <v>247</v>
      </c>
      <c r="G46" s="15" t="n">
        <f aca="false">cmp_26*CXLO_29</f>
        <v>247</v>
      </c>
    </row>
    <row r="47" customFormat="false" ht="17.15" hidden="false" customHeight="false" outlineLevel="0" collapsed="false">
      <c r="A47" s="3" t="s">
        <v>375</v>
      </c>
      <c r="B47" s="0" t="s">
        <v>87</v>
      </c>
      <c r="D47" s="15" t="n">
        <f aca="false">sw_26</f>
        <v>90</v>
      </c>
      <c r="E47" s="15" t="n">
        <f aca="false">sw_26*SXLO_27</f>
        <v>103.5</v>
      </c>
      <c r="F47" s="15" t="n">
        <f aca="false">sw_26*SXLO_28</f>
        <v>112.5</v>
      </c>
      <c r="G47" s="15" t="n">
        <f aca="false">sw_26*SXLO_29</f>
        <v>117</v>
      </c>
    </row>
    <row r="48" customFormat="false" ht="17.15" hidden="false" customHeight="false" outlineLevel="0" collapsed="false">
      <c r="A48" s="3" t="s">
        <v>376</v>
      </c>
      <c r="B48" s="0" t="s">
        <v>87</v>
      </c>
      <c r="D48" s="15" t="n">
        <f aca="false">ubb_26</f>
        <v>70</v>
      </c>
      <c r="E48" s="15" t="n">
        <f aca="false">ubb_26*UXLO_27</f>
        <v>91</v>
      </c>
      <c r="F48" s="15" t="n">
        <f aca="false">ubb_26*UXLO_28</f>
        <v>105</v>
      </c>
      <c r="G48" s="15" t="n">
        <f aca="false">ubb_26*UXLO_29</f>
        <v>105</v>
      </c>
    </row>
    <row r="49" customFormat="false" ht="17.15" hidden="false" customHeight="false" outlineLevel="0" collapsed="false">
      <c r="A49" s="3" t="s">
        <v>423</v>
      </c>
      <c r="B49" s="0" t="s">
        <v>87</v>
      </c>
      <c r="D49" s="15" t="n">
        <f aca="false">D46+D47+D48</f>
        <v>350</v>
      </c>
      <c r="E49" s="15" t="n">
        <f aca="false">E46+E47+E48</f>
        <v>422.5</v>
      </c>
      <c r="F49" s="15" t="n">
        <f aca="false">F46+F47+F48</f>
        <v>464.5</v>
      </c>
      <c r="G49" s="15" t="n">
        <f aca="false">G46+G47+G48</f>
        <v>469</v>
      </c>
    </row>
    <row r="50" customFormat="false" ht="17.15" hidden="false" customHeight="false" outlineLevel="0" collapsed="false">
      <c r="A50" s="0" t="s">
        <v>424</v>
      </c>
      <c r="B50" s="0" t="s">
        <v>27</v>
      </c>
      <c r="D50" s="17" t="n">
        <f aca="false">D45*D49/1000</f>
        <v>8.18983831472237</v>
      </c>
      <c r="E50" s="17" t="n">
        <f aca="false">E45*E49/1000</f>
        <v>17.5957585615119</v>
      </c>
      <c r="F50" s="17" t="n">
        <f aca="false">F45*F49/1000</f>
        <v>24.5219481898347</v>
      </c>
      <c r="G50" s="17" t="n">
        <f aca="false">G45*G49/1000</f>
        <v>28.2049995242363</v>
      </c>
    </row>
    <row r="51" customFormat="false" ht="17.15" hidden="false" customHeight="false" outlineLevel="0" collapsed="false">
      <c r="A51" s="0" t="s">
        <v>425</v>
      </c>
      <c r="B51" s="0" t="s">
        <v>193</v>
      </c>
      <c r="D51" s="16" t="n">
        <f aca="false">D50*fx</f>
        <v>262.074826071116</v>
      </c>
      <c r="E51" s="16" t="n">
        <f aca="false">E50*fx</f>
        <v>563.064273968381</v>
      </c>
      <c r="F51" s="16" t="n">
        <f aca="false">F50*fx</f>
        <v>784.70234207471</v>
      </c>
      <c r="G51" s="16" t="n">
        <f aca="false">G50*fx</f>
        <v>902.559984775562</v>
      </c>
    </row>
    <row r="52" customFormat="false" ht="17.15" hidden="false" customHeight="false" outlineLevel="0" collapsed="false">
      <c r="A52" s="0" t="s">
        <v>426</v>
      </c>
      <c r="B52" s="0" t="s">
        <v>60</v>
      </c>
      <c r="D52" s="12" t="n">
        <f aca="false">1</f>
        <v>1</v>
      </c>
      <c r="E52" s="12" t="n">
        <f aca="false">pp_27</f>
        <v>1</v>
      </c>
      <c r="F52" s="12" t="n">
        <f aca="false">pp_28</f>
        <v>0.97</v>
      </c>
      <c r="G52" s="12" t="n">
        <f aca="false">pp_29</f>
        <v>0.93</v>
      </c>
    </row>
    <row r="53" customFormat="false" ht="17.15" hidden="false" customHeight="false" outlineLevel="0" collapsed="false">
      <c r="A53" s="3" t="s">
        <v>427</v>
      </c>
      <c r="B53" s="0" t="s">
        <v>47</v>
      </c>
      <c r="D53" s="11" t="n">
        <f aca="false">a26_ai/D51</f>
        <v>0.459306165741139</v>
      </c>
      <c r="H53" s="7" t="s">
        <v>428</v>
      </c>
    </row>
    <row r="54" customFormat="false" ht="17.15" hidden="false" customHeight="false" outlineLevel="0" collapsed="false">
      <c r="A54" s="3" t="s">
        <v>429</v>
      </c>
      <c r="B54" s="0" t="s">
        <v>60</v>
      </c>
      <c r="D54" s="12" t="n">
        <f aca="false">1</f>
        <v>1</v>
      </c>
      <c r="E54" s="12" t="n">
        <f aca="false">rel_27</f>
        <v>0.95</v>
      </c>
      <c r="F54" s="12" t="n">
        <f aca="false">rel_28</f>
        <v>0.9</v>
      </c>
      <c r="G54" s="12" t="n">
        <f aca="false">rel_29</f>
        <v>0.85</v>
      </c>
    </row>
    <row r="55" customFormat="false" ht="15" hidden="false" customHeight="false" outlineLevel="0" collapsed="false">
      <c r="A55" s="3" t="s">
        <v>384</v>
      </c>
      <c r="B55" s="0" t="s">
        <v>47</v>
      </c>
      <c r="D55" s="11" t="n">
        <f aca="false">$D$53*D54</f>
        <v>0.459306165741139</v>
      </c>
      <c r="E55" s="11" t="n">
        <f aca="false">$D$53*E54</f>
        <v>0.436340857454082</v>
      </c>
      <c r="F55" s="11" t="n">
        <f aca="false">$D$53*F54</f>
        <v>0.413375549167025</v>
      </c>
      <c r="G55" s="11" t="n">
        <f aca="false">$D$53*G54</f>
        <v>0.390410240879968</v>
      </c>
    </row>
    <row r="56" customFormat="false" ht="17.15" hidden="false" customHeight="false" outlineLevel="0" collapsed="false">
      <c r="A56" s="0" t="s">
        <v>430</v>
      </c>
      <c r="B56" s="0" t="s">
        <v>193</v>
      </c>
      <c r="D56" s="16" t="n">
        <f aca="false">D51*D55*D52</f>
        <v>120.3725835</v>
      </c>
      <c r="E56" s="16" t="n">
        <f aca="false">E51*E55*E52</f>
        <v>245.687948105123</v>
      </c>
      <c r="F56" s="16" t="n">
        <f aca="false">F51*F55*F52</f>
        <v>314.64545874015</v>
      </c>
      <c r="G56" s="16" t="n">
        <f aca="false">G51*G55*G52</f>
        <v>327.702854790308</v>
      </c>
    </row>
    <row r="57" customFormat="false" ht="17.15" hidden="false" customHeight="false" outlineLevel="0" collapsed="false">
      <c r="A57" s="5" t="s">
        <v>431</v>
      </c>
    </row>
    <row r="58" customFormat="false" ht="15" hidden="false" customHeight="false" outlineLevel="0" collapsed="false">
      <c r="A58" s="3" t="s">
        <v>389</v>
      </c>
      <c r="B58" s="3" t="s">
        <v>144</v>
      </c>
      <c r="D58" s="12" t="n">
        <f aca="false">cap_26</f>
        <v>6</v>
      </c>
      <c r="E58" s="12" t="n">
        <f aca="false">cap_27</f>
        <v>7.76</v>
      </c>
      <c r="F58" s="12" t="n">
        <f aca="false">cap_28</f>
        <v>10.3</v>
      </c>
      <c r="G58" s="12" t="n">
        <f aca="false">cap_29</f>
        <v>11.8</v>
      </c>
    </row>
    <row r="59" customFormat="false" ht="17.15" hidden="false" customHeight="false" outlineLevel="0" collapsed="false">
      <c r="A59" s="3" t="s">
        <v>432</v>
      </c>
      <c r="B59" s="0" t="s">
        <v>392</v>
      </c>
      <c r="D59" s="15" t="n">
        <f aca="false">a26_rev/(D58*12)*1000</f>
        <v>2857.84861111111</v>
      </c>
      <c r="H59" s="7" t="s">
        <v>433</v>
      </c>
    </row>
    <row r="60" customFormat="false" ht="17.15" hidden="false" customHeight="false" outlineLevel="0" collapsed="false">
      <c r="A60" s="3" t="s">
        <v>434</v>
      </c>
      <c r="B60" s="0" t="s">
        <v>60</v>
      </c>
      <c r="D60" s="12" t="n">
        <f aca="false">1</f>
        <v>1</v>
      </c>
      <c r="E60" s="12" t="n">
        <f aca="false">mix_27</f>
        <v>1.25</v>
      </c>
      <c r="F60" s="12" t="n">
        <f aca="false">mix_28</f>
        <v>1.4</v>
      </c>
      <c r="G60" s="12" t="n">
        <f aca="false">mix_29</f>
        <v>1.5</v>
      </c>
    </row>
    <row r="61" customFormat="false" ht="17.15" hidden="false" customHeight="false" outlineLevel="0" collapsed="false">
      <c r="A61" s="3" t="s">
        <v>435</v>
      </c>
      <c r="B61" s="0" t="s">
        <v>193</v>
      </c>
      <c r="D61" s="16" t="n">
        <f aca="false">D58*12*$D$59*D60*D52/1000</f>
        <v>205.7651</v>
      </c>
      <c r="E61" s="16" t="n">
        <f aca="false">E58*12*$D$59*E60*E52/1000</f>
        <v>332.653578333333</v>
      </c>
      <c r="F61" s="16" t="n">
        <f aca="false">F58*12*$D$59*F60*F52/1000</f>
        <v>479.686459956667</v>
      </c>
      <c r="G61" s="16" t="n">
        <f aca="false">G58*12*$D$59*G60*G52/1000</f>
        <v>564.51655185</v>
      </c>
    </row>
    <row r="62" customFormat="false" ht="17.15" hidden="false" customHeight="false" outlineLevel="0" collapsed="false">
      <c r="A62" s="3" t="s">
        <v>436</v>
      </c>
      <c r="B62" s="0" t="s">
        <v>193</v>
      </c>
      <c r="C62" s="16" t="n">
        <f aca="false">a25_nai</f>
        <v>47.1305</v>
      </c>
      <c r="D62" s="16" t="n">
        <f aca="false">a26_nai</f>
        <v>85.3925165</v>
      </c>
      <c r="E62" s="16" t="n">
        <f aca="false">D62*(1+g_nai27)</f>
        <v>92.22391782</v>
      </c>
      <c r="F62" s="16" t="n">
        <f aca="false">E62*(1+g_nai28)</f>
        <v>97.7573528892</v>
      </c>
      <c r="G62" s="16" t="n">
        <f aca="false">F62*(1+g_nai29)</f>
        <v>102.64522053366</v>
      </c>
    </row>
    <row r="63" customFormat="false" ht="17.15" hidden="false" customHeight="false" outlineLevel="0" collapsed="false">
      <c r="A63" s="0" t="s">
        <v>437</v>
      </c>
      <c r="B63" s="0" t="s">
        <v>193</v>
      </c>
      <c r="C63" s="16" t="n">
        <f aca="false">a25_ai</f>
        <v>47.1305</v>
      </c>
      <c r="D63" s="16" t="n">
        <f aca="false">D56</f>
        <v>120.3725835</v>
      </c>
      <c r="E63" s="16" t="n">
        <f aca="false">MIN(E56,E61-E62)</f>
        <v>240.429660513333</v>
      </c>
      <c r="F63" s="16" t="n">
        <f aca="false">MIN(F56,F61-F62)</f>
        <v>314.64545874015</v>
      </c>
      <c r="G63" s="16" t="n">
        <f aca="false">MIN(G56,G61-G62)</f>
        <v>327.702854790308</v>
      </c>
      <c r="H63" s="3" t="s">
        <v>438</v>
      </c>
    </row>
    <row r="64" customFormat="false" ht="15" hidden="false" customHeight="false" outlineLevel="0" collapsed="false">
      <c r="A64" s="3" t="s">
        <v>439</v>
      </c>
      <c r="E64" s="0" t="str">
        <f aca="false">IF(E56&gt;E61-E62+0.0001,"受限","未受限")</f>
        <v>受限</v>
      </c>
      <c r="F64" s="0" t="str">
        <f aca="false">IF(F56&gt;F61-F62+0.0001,"受限","未受限")</f>
        <v>未受限</v>
      </c>
      <c r="G64" s="0" t="str">
        <f aca="false">IF(G56&gt;G61-G62+0.0001,"受限","未受限")</f>
        <v>未受限</v>
      </c>
    </row>
    <row r="65" customFormat="false" ht="15" hidden="false" customHeight="false" outlineLevel="0" collapsed="false">
      <c r="A65" s="3" t="s">
        <v>320</v>
      </c>
      <c r="B65" s="0" t="s">
        <v>193</v>
      </c>
      <c r="C65" s="16" t="n">
        <f aca="false">C63+C62</f>
        <v>94.261</v>
      </c>
      <c r="D65" s="16" t="n">
        <f aca="false">D63+D62</f>
        <v>205.7651</v>
      </c>
      <c r="E65" s="16" t="n">
        <f aca="false">E63+E62</f>
        <v>332.653578333333</v>
      </c>
      <c r="F65" s="16" t="n">
        <f aca="false">F63+F62</f>
        <v>412.40281162935</v>
      </c>
      <c r="G65" s="16" t="n">
        <f aca="false">G63+G62</f>
        <v>430.348075323968</v>
      </c>
    </row>
    <row r="66" customFormat="false" ht="15" hidden="false" customHeight="false" outlineLevel="0" collapsed="false">
      <c r="A66" s="3" t="s">
        <v>440</v>
      </c>
      <c r="B66" s="0" t="s">
        <v>47</v>
      </c>
      <c r="D66" s="11" t="n">
        <f aca="false">D65/C65-1</f>
        <v>1.1829293132897</v>
      </c>
      <c r="E66" s="11" t="n">
        <f aca="false">E65/D65-1</f>
        <v>0.616666666666667</v>
      </c>
      <c r="F66" s="11" t="n">
        <f aca="false">F65/E65-1</f>
        <v>0.239736586317748</v>
      </c>
      <c r="G66" s="11" t="n">
        <f aca="false">G65/F65-1</f>
        <v>0.0435139217982494</v>
      </c>
    </row>
    <row r="67" customFormat="false" ht="17.15" hidden="false" customHeight="false" outlineLevel="0" collapsed="false">
      <c r="A67" s="0" t="s">
        <v>441</v>
      </c>
      <c r="B67" s="0" t="s">
        <v>47</v>
      </c>
      <c r="C67" s="11" t="n">
        <f aca="false">C63/C65</f>
        <v>0.5</v>
      </c>
      <c r="D67" s="11" t="n">
        <f aca="false">D63/D65</f>
        <v>0.585</v>
      </c>
      <c r="E67" s="11" t="n">
        <f aca="false">E63/E65</f>
        <v>0.722762886597938</v>
      </c>
      <c r="F67" s="11" t="n">
        <f aca="false">F63/F65</f>
        <v>0.76295662848909</v>
      </c>
      <c r="G67" s="11" t="n">
        <f aca="false">G63/G65</f>
        <v>0.761483258740292</v>
      </c>
    </row>
    <row r="68" customFormat="false" ht="17.15" hidden="false" customHeight="false" outlineLevel="0" collapsed="false">
      <c r="A68" s="3" t="s">
        <v>442</v>
      </c>
      <c r="B68" s="0" t="s">
        <v>47</v>
      </c>
      <c r="D68" s="11" t="n">
        <f aca="false">(D56+D62)/D61</f>
        <v>1</v>
      </c>
      <c r="E68" s="11" t="n">
        <f aca="false">(E56+E62)/E61</f>
        <v>1.01580709763633</v>
      </c>
      <c r="F68" s="11" t="n">
        <f aca="false">(F56+F62)/F61</f>
        <v>0.859734109790394</v>
      </c>
      <c r="G68" s="11" t="n">
        <f aca="false">(G56+G62)/G61</f>
        <v>0.762330305309307</v>
      </c>
      <c r="H68" s="3" t="s">
        <v>443</v>
      </c>
    </row>
    <row r="69" customFormat="false" ht="17.15" hidden="false" customHeight="false" outlineLevel="0" collapsed="false">
      <c r="A69" s="3" t="s">
        <v>388</v>
      </c>
      <c r="B69" s="0" t="s">
        <v>87</v>
      </c>
      <c r="D69" s="15" t="n">
        <f aca="false">D63/fx/D45*1000</f>
        <v>160.757158009399</v>
      </c>
      <c r="E69" s="15" t="n">
        <f aca="false">E63/fx/E45*1000</f>
        <v>180.408412082255</v>
      </c>
      <c r="F69" s="15" t="n">
        <f aca="false">F63/fx/F45*1000</f>
        <v>186.25255431044</v>
      </c>
      <c r="G69" s="15" t="n">
        <f aca="false">G63/fx/G45*1000</f>
        <v>170.285234764616</v>
      </c>
    </row>
    <row r="70" customFormat="false" ht="17.15" hidden="false" customHeight="false" outlineLevel="0" collapsed="false">
      <c r="A70" s="5" t="s">
        <v>444</v>
      </c>
    </row>
    <row r="71" customFormat="false" ht="17.15" hidden="false" customHeight="false" outlineLevel="0" collapsed="false">
      <c r="A71" s="3" t="s">
        <v>445</v>
      </c>
      <c r="B71" s="0" t="s">
        <v>47</v>
      </c>
      <c r="D71" s="11" t="n">
        <f aca="false">a26_gp/D65-d_ai*D67</f>
        <v>0.291564442755356</v>
      </c>
      <c r="H71" s="7" t="s">
        <v>446</v>
      </c>
    </row>
    <row r="72" customFormat="false" ht="17.15" hidden="false" customHeight="false" outlineLevel="0" collapsed="false">
      <c r="A72" s="0" t="s">
        <v>447</v>
      </c>
      <c r="B72" s="0" t="s">
        <v>47</v>
      </c>
      <c r="D72" s="11" t="n">
        <f aca="false">D71+d_ai</f>
        <v>0.371564442755356</v>
      </c>
      <c r="E72" s="11" t="n">
        <f aca="false">1-(1-$D$72)/E52</f>
        <v>0.371564442755356</v>
      </c>
      <c r="F72" s="11" t="n">
        <f aca="false">1-(1-$D$72)/F52</f>
        <v>0.352128291500367</v>
      </c>
      <c r="G72" s="11" t="n">
        <f aca="false">1-(1-$D$72)/G52</f>
        <v>0.324262841672425</v>
      </c>
      <c r="H72" s="7" t="s">
        <v>448</v>
      </c>
    </row>
    <row r="73" customFormat="false" ht="15" hidden="false" customHeight="false" outlineLevel="0" collapsed="false">
      <c r="A73" s="3" t="s">
        <v>324</v>
      </c>
      <c r="B73" s="0" t="s">
        <v>193</v>
      </c>
      <c r="C73" s="16" t="n">
        <f aca="false">a25_gp</f>
        <v>28.12</v>
      </c>
      <c r="D73" s="16" t="n">
        <f aca="false">a26_gp</f>
        <v>69.6235934</v>
      </c>
      <c r="E73" s="16" t="n">
        <f aca="false">E63*E72+E62*$D$71</f>
        <v>116.2243280384</v>
      </c>
      <c r="F73" s="16" t="n">
        <f aca="false">F63*F72+F62*$D$71</f>
        <v>139.298135934896</v>
      </c>
      <c r="G73" s="16" t="n">
        <f aca="false">G63*G72+G62*$D$71</f>
        <v>136.189555444869</v>
      </c>
    </row>
    <row r="74" customFormat="false" ht="15" hidden="false" customHeight="false" outlineLevel="0" collapsed="false">
      <c r="A74" s="3" t="s">
        <v>327</v>
      </c>
      <c r="B74" s="0" t="s">
        <v>47</v>
      </c>
      <c r="C74" s="11" t="n">
        <f aca="false">C73/C65</f>
        <v>0.298320620405046</v>
      </c>
      <c r="D74" s="11" t="n">
        <f aca="false">D73/D65</f>
        <v>0.338364442755356</v>
      </c>
      <c r="E74" s="11" t="n">
        <f aca="false">E73/E65</f>
        <v>0.349385473683191</v>
      </c>
      <c r="F74" s="11" t="n">
        <f aca="false">F73/F65</f>
        <v>0.337772032602172</v>
      </c>
      <c r="G74" s="11" t="n">
        <f aca="false">G73/G65</f>
        <v>0.316463726118316</v>
      </c>
    </row>
    <row r="75" customFormat="false" ht="15" hidden="false" customHeight="false" outlineLevel="0" collapsed="false">
      <c r="A75" s="3" t="s">
        <v>449</v>
      </c>
      <c r="B75" s="0" t="s">
        <v>193</v>
      </c>
      <c r="C75" s="16" t="n">
        <f aca="false">a25_opx</f>
        <v>9.012</v>
      </c>
      <c r="D75" s="16" t="n">
        <f aca="false">a26_opx</f>
        <v>14.0153081141857</v>
      </c>
      <c r="E75" s="16" t="n">
        <f aca="false">D75*(1+MAX(0,phi*E66))</f>
        <v>19.2009721164345</v>
      </c>
      <c r="F75" s="16" t="n">
        <f aca="false">E75*(1+MAX(0,phi*F66))</f>
        <v>21.9628774219402</v>
      </c>
      <c r="G75" s="16" t="n">
        <f aca="false">F75*(1+MAX(0,phi*G66))</f>
        <v>22.5362919803019</v>
      </c>
    </row>
    <row r="76" customFormat="false" ht="15" hidden="false" customHeight="false" outlineLevel="0" collapsed="false">
      <c r="A76" s="3" t="s">
        <v>329</v>
      </c>
      <c r="B76" s="0" t="s">
        <v>193</v>
      </c>
      <c r="C76" s="16" t="n">
        <f aca="false">C75</f>
        <v>9.012</v>
      </c>
      <c r="D76" s="16" t="n">
        <f aca="false">D75</f>
        <v>14.0153081141857</v>
      </c>
      <c r="E76" s="16" t="n">
        <f aca="false">E75+0*E65</f>
        <v>19.2009721164345</v>
      </c>
      <c r="F76" s="16" t="n">
        <f aca="false">F75+0*F65</f>
        <v>21.9628774219402</v>
      </c>
      <c r="G76" s="16" t="n">
        <f aca="false">G75+0*G65</f>
        <v>22.5362919803019</v>
      </c>
    </row>
    <row r="77" customFormat="false" ht="15" hidden="false" customHeight="false" outlineLevel="0" collapsed="false">
      <c r="A77" s="3" t="s">
        <v>332</v>
      </c>
      <c r="B77" s="0" t="s">
        <v>193</v>
      </c>
      <c r="C77" s="16" t="n">
        <f aca="false">C73-C76</f>
        <v>19.108</v>
      </c>
      <c r="D77" s="16" t="n">
        <f aca="false">D73-D76</f>
        <v>55.6082852858143</v>
      </c>
      <c r="E77" s="16" t="n">
        <f aca="false">E73-E76</f>
        <v>97.0233559219655</v>
      </c>
      <c r="F77" s="16" t="n">
        <f aca="false">F73-F76</f>
        <v>117.335258512956</v>
      </c>
      <c r="G77" s="16" t="n">
        <f aca="false">G73-G76</f>
        <v>113.653263464567</v>
      </c>
    </row>
    <row r="78" customFormat="false" ht="15" hidden="false" customHeight="false" outlineLevel="0" collapsed="false">
      <c r="A78" s="3" t="s">
        <v>335</v>
      </c>
      <c r="B78" s="0" t="s">
        <v>47</v>
      </c>
      <c r="C78" s="11" t="n">
        <f aca="false">C77/C65</f>
        <v>0.202713741632276</v>
      </c>
      <c r="D78" s="11" t="n">
        <f aca="false">D77/D65</f>
        <v>0.270251297648699</v>
      </c>
      <c r="E78" s="11" t="n">
        <f aca="false">E77/E65</f>
        <v>0.291664849685591</v>
      </c>
      <c r="F78" s="11" t="n">
        <f aca="false">F77/F65</f>
        <v>0.284516145875388</v>
      </c>
      <c r="G78" s="11" t="n">
        <f aca="false">G77/G65</f>
        <v>0.264096135155265</v>
      </c>
    </row>
    <row r="79" customFormat="false" ht="17.15" hidden="false" customHeight="false" outlineLevel="0" collapsed="false">
      <c r="A79" s="3" t="s">
        <v>337</v>
      </c>
      <c r="B79" s="0" t="s">
        <v>193</v>
      </c>
      <c r="E79" s="16" t="n">
        <f aca="false">nop_f</f>
        <v>0.5</v>
      </c>
      <c r="F79" s="16" t="n">
        <f aca="false">nop_f</f>
        <v>0.5</v>
      </c>
      <c r="G79" s="16" t="n">
        <f aca="false">nop_f</f>
        <v>0.5</v>
      </c>
      <c r="H79" s="7" t="s">
        <v>450</v>
      </c>
    </row>
    <row r="80" customFormat="false" ht="15" hidden="false" customHeight="false" outlineLevel="0" collapsed="false">
      <c r="A80" s="3" t="s">
        <v>340</v>
      </c>
      <c r="B80" s="0" t="s">
        <v>193</v>
      </c>
      <c r="C80" s="16" t="n">
        <f aca="false">a25_ni</f>
        <v>14.649</v>
      </c>
      <c r="D80" s="16" t="n">
        <f aca="false">a26_ni</f>
        <v>42.891099295</v>
      </c>
      <c r="E80" s="16" t="n">
        <f aca="false">(E77+E79)*nir_f</f>
        <v>75.0929840599135</v>
      </c>
      <c r="F80" s="16" t="n">
        <f aca="false">(F77+F79)*nir_f</f>
        <v>90.7331490549763</v>
      </c>
      <c r="G80" s="16" t="n">
        <f aca="false">(G77+G79)*nir_f</f>
        <v>87.8980128677163</v>
      </c>
    </row>
    <row r="81" customFormat="false" ht="17.15" hidden="false" customHeight="false" outlineLevel="0" collapsed="false">
      <c r="A81" s="3" t="s">
        <v>343</v>
      </c>
      <c r="B81" s="0" t="s">
        <v>47</v>
      </c>
      <c r="C81" s="11" t="n">
        <f aca="false">C80/C77</f>
        <v>0.766642244086247</v>
      </c>
      <c r="D81" s="11" t="n">
        <f aca="false">D80/D77</f>
        <v>0.771307712053146</v>
      </c>
      <c r="E81" s="11" t="n">
        <f aca="false">E80/E77</f>
        <v>0.77396811671109</v>
      </c>
      <c r="F81" s="11" t="n">
        <f aca="false">F80/F77</f>
        <v>0.773281196162852</v>
      </c>
      <c r="G81" s="11" t="n">
        <f aca="false">G80/G77</f>
        <v>0.773387496216684</v>
      </c>
    </row>
    <row r="82" customFormat="false" ht="15" hidden="false" customHeight="false" outlineLevel="0" collapsed="false">
      <c r="A82" s="3" t="s">
        <v>451</v>
      </c>
      <c r="B82" s="3" t="s">
        <v>222</v>
      </c>
      <c r="C82" s="18" t="n">
        <f aca="false">a25_sh</f>
        <v>0.351547876169906</v>
      </c>
      <c r="D82" s="18" t="n">
        <f aca="false">a26_sh</f>
        <v>0.358290155440415</v>
      </c>
      <c r="E82" s="18" t="n">
        <f aca="false">D82*(1+sh_g)</f>
        <v>0.358290155440415</v>
      </c>
      <c r="F82" s="18" t="n">
        <f aca="false">E82*(1+sh_g)</f>
        <v>0.358290155440415</v>
      </c>
      <c r="G82" s="18" t="n">
        <f aca="false">F82*(1+sh_g)</f>
        <v>0.358290155440415</v>
      </c>
    </row>
    <row r="83" customFormat="false" ht="15" hidden="false" customHeight="false" outlineLevel="0" collapsed="false">
      <c r="A83" s="0" t="s">
        <v>346</v>
      </c>
      <c r="B83" s="0" t="s">
        <v>253</v>
      </c>
      <c r="C83" s="17" t="n">
        <f aca="false">C80/C82</f>
        <v>41.67</v>
      </c>
      <c r="D83" s="17" t="n">
        <f aca="false">D80/D82</f>
        <v>119.710515747433</v>
      </c>
      <c r="E83" s="17" t="n">
        <f aca="false">E80/E82</f>
        <v>209.587070478139</v>
      </c>
      <c r="F83" s="17" t="n">
        <f aca="false">F80/F82</f>
        <v>253.239302496174</v>
      </c>
      <c r="G83" s="17" t="n">
        <f aca="false">G80/G82</f>
        <v>245.326341048001</v>
      </c>
    </row>
    <row r="84" customFormat="false" ht="17.15" hidden="false" customHeight="false" outlineLevel="0" collapsed="false">
      <c r="A84" s="0" t="s">
        <v>452</v>
      </c>
      <c r="B84" s="0" t="s">
        <v>47</v>
      </c>
      <c r="D84" s="11" t="n">
        <f aca="false">D83/C83-1</f>
        <v>1.87282255213422</v>
      </c>
      <c r="E84" s="11" t="n">
        <f aca="false">E83/D83-1</f>
        <v>0.750782453567642</v>
      </c>
      <c r="F84" s="11" t="n">
        <f aca="false">F83/E83-1</f>
        <v>0.208277313664672</v>
      </c>
      <c r="G84" s="11" t="n">
        <f aca="false">G83/F83-1</f>
        <v>-0.0312469722123508</v>
      </c>
    </row>
    <row r="87" customFormat="false" ht="17.15" hidden="false" customHeight="false" outlineLevel="0" collapsed="false">
      <c r="A87" s="1" t="s">
        <v>652</v>
      </c>
    </row>
    <row r="88" customFormat="false" ht="17.15" hidden="false" customHeight="false" outlineLevel="0" collapsed="false">
      <c r="A88" s="4" t="s">
        <v>16</v>
      </c>
      <c r="B88" s="4" t="s">
        <v>17</v>
      </c>
      <c r="C88" s="8" t="s">
        <v>315</v>
      </c>
      <c r="D88" s="8" t="s">
        <v>401</v>
      </c>
      <c r="E88" s="8" t="s">
        <v>402</v>
      </c>
      <c r="F88" s="8" t="s">
        <v>403</v>
      </c>
      <c r="G88" s="8" t="s">
        <v>404</v>
      </c>
      <c r="H88" s="4" t="s">
        <v>369</v>
      </c>
    </row>
    <row r="89" customFormat="false" ht="17.15" hidden="false" customHeight="false" outlineLevel="0" collapsed="false">
      <c r="A89" s="5" t="s">
        <v>419</v>
      </c>
    </row>
    <row r="90" customFormat="false" ht="17.15" hidden="false" customHeight="false" outlineLevel="0" collapsed="false">
      <c r="A90" s="0" t="s">
        <v>420</v>
      </c>
      <c r="B90" s="0" t="s">
        <v>27</v>
      </c>
      <c r="D90" s="17" t="n">
        <f aca="false">itc_26*1</f>
        <v>781.872916666667</v>
      </c>
      <c r="E90" s="17" t="n">
        <f aca="false">itc_27*1*1</f>
        <v>1565.35</v>
      </c>
      <c r="F90" s="17" t="n">
        <f aca="false">itc_28*um28_A*1</f>
        <v>1984.26388888889</v>
      </c>
      <c r="G90" s="17" t="n">
        <f aca="false">itc_29*um29_A*1</f>
        <v>2260.39027777778</v>
      </c>
    </row>
    <row r="91" customFormat="false" ht="17.15" hidden="false" customHeight="false" outlineLevel="0" collapsed="false">
      <c r="A91" s="3" t="s">
        <v>421</v>
      </c>
      <c r="B91" s="0" t="s">
        <v>27</v>
      </c>
      <c r="D91" s="17" t="n">
        <f aca="false">itpg_gb*(1-vr26)+itpg_vr*vr26</f>
        <v>33.41403216</v>
      </c>
      <c r="E91" s="17" t="n">
        <f aca="false">itpg_vr</f>
        <v>37.586352</v>
      </c>
      <c r="F91" s="17" t="n">
        <f aca="false">itpg_vr</f>
        <v>37.586352</v>
      </c>
      <c r="G91" s="17" t="n">
        <f aca="false">itpg_vr</f>
        <v>37.586352</v>
      </c>
    </row>
    <row r="92" customFormat="false" ht="17.15" hidden="false" customHeight="false" outlineLevel="0" collapsed="false">
      <c r="A92" s="3" t="s">
        <v>422</v>
      </c>
      <c r="B92" s="0" t="s">
        <v>371</v>
      </c>
      <c r="D92" s="14" t="n">
        <f aca="false">D90/D91</f>
        <v>23.3995380420639</v>
      </c>
      <c r="E92" s="14" t="n">
        <f aca="false">E90/E91</f>
        <v>41.6467658260637</v>
      </c>
      <c r="F92" s="14" t="n">
        <f aca="false">F90/F91</f>
        <v>52.792138191248</v>
      </c>
      <c r="G92" s="14" t="n">
        <f aca="false">G90/G91</f>
        <v>60.1385917361116</v>
      </c>
    </row>
    <row r="93" customFormat="false" ht="17.15" hidden="false" customHeight="false" outlineLevel="0" collapsed="false">
      <c r="A93" s="3" t="s">
        <v>373</v>
      </c>
      <c r="B93" s="0" t="s">
        <v>87</v>
      </c>
      <c r="D93" s="15" t="n">
        <f aca="false">cmp_26</f>
        <v>190</v>
      </c>
      <c r="E93" s="15" t="n">
        <f aca="false">cmp_26*CXHI_27</f>
        <v>342</v>
      </c>
      <c r="F93" s="15" t="n">
        <f aca="false">cmp_26*CXHI_28</f>
        <v>380</v>
      </c>
      <c r="G93" s="15" t="n">
        <f aca="false">cmp_26*CXHI_29</f>
        <v>418</v>
      </c>
    </row>
    <row r="94" customFormat="false" ht="17.15" hidden="false" customHeight="false" outlineLevel="0" collapsed="false">
      <c r="A94" s="3" t="s">
        <v>375</v>
      </c>
      <c r="B94" s="0" t="s">
        <v>87</v>
      </c>
      <c r="D94" s="15" t="n">
        <f aca="false">sw_26</f>
        <v>90</v>
      </c>
      <c r="E94" s="15" t="n">
        <f aca="false">sw_26*SXHI_27</f>
        <v>153</v>
      </c>
      <c r="F94" s="15" t="n">
        <f aca="false">sw_26*SXHI_28</f>
        <v>180</v>
      </c>
      <c r="G94" s="15" t="n">
        <f aca="false">sw_26*SXHI_29</f>
        <v>198</v>
      </c>
    </row>
    <row r="95" customFormat="false" ht="17.15" hidden="false" customHeight="false" outlineLevel="0" collapsed="false">
      <c r="A95" s="3" t="s">
        <v>376</v>
      </c>
      <c r="B95" s="0" t="s">
        <v>87</v>
      </c>
      <c r="D95" s="15" t="n">
        <f aca="false">ubb_26</f>
        <v>70</v>
      </c>
      <c r="E95" s="15" t="n">
        <f aca="false">ubb_26*UXHI_27</f>
        <v>175</v>
      </c>
      <c r="F95" s="15" t="n">
        <f aca="false">ubb_26*UXHI_28</f>
        <v>210</v>
      </c>
      <c r="G95" s="15" t="n">
        <f aca="false">ubb_26*UXHI_29</f>
        <v>245</v>
      </c>
    </row>
    <row r="96" customFormat="false" ht="17.15" hidden="false" customHeight="false" outlineLevel="0" collapsed="false">
      <c r="A96" s="3" t="s">
        <v>423</v>
      </c>
      <c r="B96" s="0" t="s">
        <v>87</v>
      </c>
      <c r="D96" s="15" t="n">
        <f aca="false">D93+D94+D95</f>
        <v>350</v>
      </c>
      <c r="E96" s="15" t="n">
        <f aca="false">E93+E94+E95</f>
        <v>670</v>
      </c>
      <c r="F96" s="15" t="n">
        <f aca="false">F93+F94+F95</f>
        <v>770</v>
      </c>
      <c r="G96" s="15" t="n">
        <f aca="false">G93+G94+G95</f>
        <v>861</v>
      </c>
    </row>
    <row r="97" customFormat="false" ht="17.15" hidden="false" customHeight="false" outlineLevel="0" collapsed="false">
      <c r="A97" s="0" t="s">
        <v>424</v>
      </c>
      <c r="B97" s="0" t="s">
        <v>27</v>
      </c>
      <c r="D97" s="17" t="n">
        <f aca="false">D92*D96/1000</f>
        <v>8.18983831472237</v>
      </c>
      <c r="E97" s="17" t="n">
        <f aca="false">E92*E96/1000</f>
        <v>27.9033331034627</v>
      </c>
      <c r="F97" s="17" t="n">
        <f aca="false">F92*F96/1000</f>
        <v>40.649946407261</v>
      </c>
      <c r="G97" s="17" t="n">
        <f aca="false">G92*G96/1000</f>
        <v>51.7793274847921</v>
      </c>
    </row>
    <row r="98" customFormat="false" ht="17.15" hidden="false" customHeight="false" outlineLevel="0" collapsed="false">
      <c r="A98" s="0" t="s">
        <v>425</v>
      </c>
      <c r="B98" s="0" t="s">
        <v>193</v>
      </c>
      <c r="D98" s="16" t="n">
        <f aca="false">D97*fx</f>
        <v>262.074826071116</v>
      </c>
      <c r="E98" s="16" t="n">
        <f aca="false">E97*fx</f>
        <v>892.906659310805</v>
      </c>
      <c r="F98" s="16" t="n">
        <f aca="false">F97*fx</f>
        <v>1300.79828503235</v>
      </c>
      <c r="G98" s="16" t="n">
        <f aca="false">G97*fx</f>
        <v>1656.93847951335</v>
      </c>
    </row>
    <row r="99" customFormat="false" ht="17.15" hidden="false" customHeight="false" outlineLevel="0" collapsed="false">
      <c r="A99" s="0" t="s">
        <v>426</v>
      </c>
      <c r="B99" s="0" t="s">
        <v>60</v>
      </c>
      <c r="D99" s="12" t="n">
        <f aca="false">1</f>
        <v>1</v>
      </c>
      <c r="E99" s="12" t="n">
        <f aca="false">pp_27</f>
        <v>1</v>
      </c>
      <c r="F99" s="12" t="n">
        <f aca="false">pp_28</f>
        <v>0.97</v>
      </c>
      <c r="G99" s="12" t="n">
        <f aca="false">pp_29</f>
        <v>0.93</v>
      </c>
    </row>
    <row r="100" customFormat="false" ht="17.15" hidden="false" customHeight="false" outlineLevel="0" collapsed="false">
      <c r="A100" s="3" t="s">
        <v>427</v>
      </c>
      <c r="B100" s="0" t="s">
        <v>47</v>
      </c>
      <c r="D100" s="11" t="n">
        <f aca="false">a26_ai/D98</f>
        <v>0.459306165741139</v>
      </c>
      <c r="H100" s="7" t="s">
        <v>428</v>
      </c>
    </row>
    <row r="101" customFormat="false" ht="17.15" hidden="false" customHeight="false" outlineLevel="0" collapsed="false">
      <c r="A101" s="3" t="s">
        <v>429</v>
      </c>
      <c r="B101" s="0" t="s">
        <v>60</v>
      </c>
      <c r="D101" s="12" t="n">
        <f aca="false">1</f>
        <v>1</v>
      </c>
      <c r="E101" s="12" t="n">
        <f aca="false">rel_27</f>
        <v>0.95</v>
      </c>
      <c r="F101" s="12" t="n">
        <f aca="false">rel_28</f>
        <v>0.9</v>
      </c>
      <c r="G101" s="12" t="n">
        <f aca="false">rel_29</f>
        <v>0.85</v>
      </c>
    </row>
    <row r="102" customFormat="false" ht="15" hidden="false" customHeight="false" outlineLevel="0" collapsed="false">
      <c r="A102" s="3" t="s">
        <v>384</v>
      </c>
      <c r="B102" s="0" t="s">
        <v>47</v>
      </c>
      <c r="D102" s="11" t="n">
        <f aca="false">$D$100*D101</f>
        <v>0.459306165741139</v>
      </c>
      <c r="E102" s="11" t="n">
        <f aca="false">$D$100*E101</f>
        <v>0.436340857454082</v>
      </c>
      <c r="F102" s="11" t="n">
        <f aca="false">$D$100*F101</f>
        <v>0.413375549167025</v>
      </c>
      <c r="G102" s="11" t="n">
        <f aca="false">$D$100*G101</f>
        <v>0.390410240879968</v>
      </c>
    </row>
    <row r="103" customFormat="false" ht="17.15" hidden="false" customHeight="false" outlineLevel="0" collapsed="false">
      <c r="A103" s="0" t="s">
        <v>430</v>
      </c>
      <c r="B103" s="0" t="s">
        <v>193</v>
      </c>
      <c r="D103" s="16" t="n">
        <f aca="false">D98*D102*D99</f>
        <v>120.3725835</v>
      </c>
      <c r="E103" s="16" t="n">
        <f aca="false">E98*E102*E99</f>
        <v>389.611657350136</v>
      </c>
      <c r="F103" s="16" t="n">
        <f aca="false">F98*F102*F99</f>
        <v>521.586659267849</v>
      </c>
      <c r="G103" s="16" t="n">
        <f aca="false">G98*G102*G99</f>
        <v>601.603748346386</v>
      </c>
    </row>
    <row r="104" customFormat="false" ht="17.15" hidden="false" customHeight="false" outlineLevel="0" collapsed="false">
      <c r="A104" s="5" t="s">
        <v>431</v>
      </c>
    </row>
    <row r="105" customFormat="false" ht="15" hidden="false" customHeight="false" outlineLevel="0" collapsed="false">
      <c r="A105" s="3" t="s">
        <v>389</v>
      </c>
      <c r="B105" s="3" t="s">
        <v>144</v>
      </c>
      <c r="D105" s="12" t="n">
        <f aca="false">cap_26</f>
        <v>6</v>
      </c>
      <c r="E105" s="12" t="n">
        <f aca="false">cap_27</f>
        <v>7.76</v>
      </c>
      <c r="F105" s="12" t="n">
        <f aca="false">cap_28</f>
        <v>10.3</v>
      </c>
      <c r="G105" s="12" t="n">
        <f aca="false">cap_29</f>
        <v>11.8</v>
      </c>
    </row>
    <row r="106" customFormat="false" ht="17.15" hidden="false" customHeight="false" outlineLevel="0" collapsed="false">
      <c r="A106" s="3" t="s">
        <v>432</v>
      </c>
      <c r="B106" s="0" t="s">
        <v>392</v>
      </c>
      <c r="D106" s="15" t="n">
        <f aca="false">a26_rev/(D105*12)*1000</f>
        <v>2857.84861111111</v>
      </c>
      <c r="H106" s="7" t="s">
        <v>433</v>
      </c>
    </row>
    <row r="107" customFormat="false" ht="17.15" hidden="false" customHeight="false" outlineLevel="0" collapsed="false">
      <c r="A107" s="3" t="s">
        <v>434</v>
      </c>
      <c r="B107" s="0" t="s">
        <v>60</v>
      </c>
      <c r="D107" s="12" t="n">
        <f aca="false">1</f>
        <v>1</v>
      </c>
      <c r="E107" s="12" t="n">
        <f aca="false">mix_27</f>
        <v>1.25</v>
      </c>
      <c r="F107" s="12" t="n">
        <f aca="false">mix_28</f>
        <v>1.4</v>
      </c>
      <c r="G107" s="12" t="n">
        <f aca="false">mix_29</f>
        <v>1.5</v>
      </c>
    </row>
    <row r="108" customFormat="false" ht="17.15" hidden="false" customHeight="false" outlineLevel="0" collapsed="false">
      <c r="A108" s="3" t="s">
        <v>435</v>
      </c>
      <c r="B108" s="0" t="s">
        <v>193</v>
      </c>
      <c r="D108" s="16" t="n">
        <f aca="false">D105*12*$D$106*D107*D99/1000</f>
        <v>205.7651</v>
      </c>
      <c r="E108" s="16" t="n">
        <f aca="false">E105*12*$D$106*E107*E99/1000</f>
        <v>332.653578333333</v>
      </c>
      <c r="F108" s="16" t="n">
        <f aca="false">F105*12*$D$106*F107*F99/1000</f>
        <v>479.686459956667</v>
      </c>
      <c r="G108" s="16" t="n">
        <f aca="false">G105*12*$D$106*G107*G99/1000</f>
        <v>564.51655185</v>
      </c>
    </row>
    <row r="109" customFormat="false" ht="17.15" hidden="false" customHeight="false" outlineLevel="0" collapsed="false">
      <c r="A109" s="3" t="s">
        <v>436</v>
      </c>
      <c r="B109" s="0" t="s">
        <v>193</v>
      </c>
      <c r="C109" s="16" t="n">
        <f aca="false">a25_nai</f>
        <v>47.1305</v>
      </c>
      <c r="D109" s="16" t="n">
        <f aca="false">a26_nai</f>
        <v>85.3925165</v>
      </c>
      <c r="E109" s="16" t="n">
        <f aca="false">D109*(1+g_nai27)</f>
        <v>92.22391782</v>
      </c>
      <c r="F109" s="16" t="n">
        <f aca="false">E109*(1+g_nai28)</f>
        <v>97.7573528892</v>
      </c>
      <c r="G109" s="16" t="n">
        <f aca="false">F109*(1+g_nai29)</f>
        <v>102.64522053366</v>
      </c>
    </row>
    <row r="110" customFormat="false" ht="17.15" hidden="false" customHeight="false" outlineLevel="0" collapsed="false">
      <c r="A110" s="0" t="s">
        <v>437</v>
      </c>
      <c r="B110" s="0" t="s">
        <v>193</v>
      </c>
      <c r="C110" s="16" t="n">
        <f aca="false">a25_ai</f>
        <v>47.1305</v>
      </c>
      <c r="D110" s="16" t="n">
        <f aca="false">D103</f>
        <v>120.3725835</v>
      </c>
      <c r="E110" s="16" t="n">
        <f aca="false">MIN(E103,E108-E109)</f>
        <v>240.429660513333</v>
      </c>
      <c r="F110" s="16" t="n">
        <f aca="false">MIN(F103,F108-F109)</f>
        <v>381.929107067467</v>
      </c>
      <c r="G110" s="16" t="n">
        <f aca="false">MIN(G103,G108-G109)</f>
        <v>461.87133131634</v>
      </c>
      <c r="H110" s="3" t="s">
        <v>438</v>
      </c>
    </row>
    <row r="111" customFormat="false" ht="15" hidden="false" customHeight="false" outlineLevel="0" collapsed="false">
      <c r="A111" s="3" t="s">
        <v>439</v>
      </c>
      <c r="E111" s="0" t="str">
        <f aca="false">IF(E103&gt;E108-E109+0.0001,"受限","未受限")</f>
        <v>受限</v>
      </c>
      <c r="F111" s="0" t="str">
        <f aca="false">IF(F103&gt;F108-F109+0.0001,"受限","未受限")</f>
        <v>受限</v>
      </c>
      <c r="G111" s="0" t="str">
        <f aca="false">IF(G103&gt;G108-G109+0.0001,"受限","未受限")</f>
        <v>受限</v>
      </c>
    </row>
    <row r="112" customFormat="false" ht="15" hidden="false" customHeight="false" outlineLevel="0" collapsed="false">
      <c r="A112" s="3" t="s">
        <v>320</v>
      </c>
      <c r="B112" s="0" t="s">
        <v>193</v>
      </c>
      <c r="C112" s="16" t="n">
        <f aca="false">C110+C109</f>
        <v>94.261</v>
      </c>
      <c r="D112" s="16" t="n">
        <f aca="false">D110+D109</f>
        <v>205.7651</v>
      </c>
      <c r="E112" s="16" t="n">
        <f aca="false">E110+E109</f>
        <v>332.653578333333</v>
      </c>
      <c r="F112" s="16" t="n">
        <f aca="false">F110+F109</f>
        <v>479.686459956667</v>
      </c>
      <c r="G112" s="16" t="n">
        <f aca="false">G110+G109</f>
        <v>564.51655185</v>
      </c>
    </row>
    <row r="113" customFormat="false" ht="15" hidden="false" customHeight="false" outlineLevel="0" collapsed="false">
      <c r="A113" s="3" t="s">
        <v>440</v>
      </c>
      <c r="B113" s="0" t="s">
        <v>47</v>
      </c>
      <c r="D113" s="11" t="n">
        <f aca="false">D112/C112-1</f>
        <v>1.1829293132897</v>
      </c>
      <c r="E113" s="11" t="n">
        <f aca="false">E112/D112-1</f>
        <v>0.616666666666667</v>
      </c>
      <c r="F113" s="11" t="n">
        <f aca="false">F112/E112-1</f>
        <v>0.442</v>
      </c>
      <c r="G113" s="11" t="n">
        <f aca="false">G112/F112-1</f>
        <v>0.17684487467292</v>
      </c>
    </row>
    <row r="114" customFormat="false" ht="17.15" hidden="false" customHeight="false" outlineLevel="0" collapsed="false">
      <c r="A114" s="0" t="s">
        <v>441</v>
      </c>
      <c r="B114" s="0" t="s">
        <v>47</v>
      </c>
      <c r="C114" s="11" t="n">
        <f aca="false">C110/C112</f>
        <v>0.5</v>
      </c>
      <c r="D114" s="11" t="n">
        <f aca="false">D110/D112</f>
        <v>0.585</v>
      </c>
      <c r="E114" s="11" t="n">
        <f aca="false">E110/E112</f>
        <v>0.722762886597938</v>
      </c>
      <c r="F114" s="11" t="n">
        <f aca="false">F110/F112</f>
        <v>0.796205728012354</v>
      </c>
      <c r="G114" s="11" t="n">
        <f aca="false">G110/G112</f>
        <v>0.818171459814106</v>
      </c>
    </row>
    <row r="115" customFormat="false" ht="17.15" hidden="false" customHeight="false" outlineLevel="0" collapsed="false">
      <c r="A115" s="3" t="s">
        <v>442</v>
      </c>
      <c r="B115" s="0" t="s">
        <v>47</v>
      </c>
      <c r="D115" s="11" t="n">
        <f aca="false">(D103+D109)/D108</f>
        <v>1</v>
      </c>
      <c r="E115" s="11" t="n">
        <f aca="false">(E103+E109)/E108</f>
        <v>1.44846052035345</v>
      </c>
      <c r="F115" s="11" t="n">
        <f aca="false">(F103+F109)/F108</f>
        <v>1.29114341107939</v>
      </c>
      <c r="G115" s="11" t="n">
        <f aca="false">(G103+G109)/G108</f>
        <v>1.24752581048709</v>
      </c>
      <c r="H115" s="3" t="s">
        <v>443</v>
      </c>
    </row>
    <row r="116" customFormat="false" ht="17.15" hidden="false" customHeight="false" outlineLevel="0" collapsed="false">
      <c r="A116" s="3" t="s">
        <v>388</v>
      </c>
      <c r="B116" s="0" t="s">
        <v>87</v>
      </c>
      <c r="D116" s="15" t="n">
        <f aca="false">D110/fx/D92*1000</f>
        <v>160.757158009399</v>
      </c>
      <c r="E116" s="15" t="n">
        <f aca="false">E110/fx/E92*1000</f>
        <v>180.408412082255</v>
      </c>
      <c r="F116" s="15" t="n">
        <f aca="false">F110/fx/F92*1000</f>
        <v>226.080719682557</v>
      </c>
      <c r="G116" s="15" t="n">
        <f aca="false">G110/fx/G92*1000</f>
        <v>240.003609778057</v>
      </c>
    </row>
    <row r="117" customFormat="false" ht="17.15" hidden="false" customHeight="false" outlineLevel="0" collapsed="false">
      <c r="A117" s="5" t="s">
        <v>444</v>
      </c>
    </row>
    <row r="118" customFormat="false" ht="17.15" hidden="false" customHeight="false" outlineLevel="0" collapsed="false">
      <c r="A118" s="3" t="s">
        <v>445</v>
      </c>
      <c r="B118" s="0" t="s">
        <v>47</v>
      </c>
      <c r="D118" s="11" t="n">
        <f aca="false">a26_gp/D112-d_ai*D114</f>
        <v>0.291564442755356</v>
      </c>
      <c r="H118" s="7" t="s">
        <v>446</v>
      </c>
    </row>
    <row r="119" customFormat="false" ht="17.15" hidden="false" customHeight="false" outlineLevel="0" collapsed="false">
      <c r="A119" s="0" t="s">
        <v>447</v>
      </c>
      <c r="B119" s="0" t="s">
        <v>47</v>
      </c>
      <c r="D119" s="11" t="n">
        <f aca="false">D118+d_ai</f>
        <v>0.371564442755356</v>
      </c>
      <c r="E119" s="11" t="n">
        <f aca="false">1-(1-$D$119)/E99</f>
        <v>0.371564442755356</v>
      </c>
      <c r="F119" s="11" t="n">
        <f aca="false">1-(1-$D$119)/F99</f>
        <v>0.352128291500367</v>
      </c>
      <c r="G119" s="11" t="n">
        <f aca="false">1-(1-$D$119)/G99</f>
        <v>0.324262841672425</v>
      </c>
      <c r="H119" s="7" t="s">
        <v>448</v>
      </c>
    </row>
    <row r="120" customFormat="false" ht="15" hidden="false" customHeight="false" outlineLevel="0" collapsed="false">
      <c r="A120" s="3" t="s">
        <v>324</v>
      </c>
      <c r="B120" s="0" t="s">
        <v>193</v>
      </c>
      <c r="C120" s="16" t="n">
        <f aca="false">a25_gp</f>
        <v>28.12</v>
      </c>
      <c r="D120" s="16" t="n">
        <f aca="false">a26_gp</f>
        <v>69.6235934</v>
      </c>
      <c r="E120" s="16" t="n">
        <f aca="false">E110*E119+E109*$D$118</f>
        <v>116.2243280384</v>
      </c>
      <c r="F120" s="16" t="n">
        <f aca="false">F110*F119+F109*$D$118</f>
        <v>162.990612066306</v>
      </c>
      <c r="G120" s="16" t="n">
        <f aca="false">G110*G119+G109*$D$118</f>
        <v>179.69540690606</v>
      </c>
    </row>
    <row r="121" customFormat="false" ht="15" hidden="false" customHeight="false" outlineLevel="0" collapsed="false">
      <c r="A121" s="3" t="s">
        <v>327</v>
      </c>
      <c r="B121" s="0" t="s">
        <v>47</v>
      </c>
      <c r="C121" s="11" t="n">
        <f aca="false">C120/C112</f>
        <v>0.298320620405046</v>
      </c>
      <c r="D121" s="11" t="n">
        <f aca="false">D120/D112</f>
        <v>0.338364442755356</v>
      </c>
      <c r="E121" s="11" t="n">
        <f aca="false">E120/E112</f>
        <v>0.349385473683191</v>
      </c>
      <c r="F121" s="11" t="n">
        <f aca="false">F120/F112</f>
        <v>0.339785726036607</v>
      </c>
      <c r="G121" s="11" t="n">
        <f aca="false">G120/G112</f>
        <v>0.318317339530918</v>
      </c>
    </row>
    <row r="122" customFormat="false" ht="15" hidden="false" customHeight="false" outlineLevel="0" collapsed="false">
      <c r="A122" s="3" t="s">
        <v>449</v>
      </c>
      <c r="B122" s="0" t="s">
        <v>193</v>
      </c>
      <c r="C122" s="16" t="n">
        <f aca="false">a25_opx</f>
        <v>9.012</v>
      </c>
      <c r="D122" s="16" t="n">
        <f aca="false">a26_opx</f>
        <v>14.0153081141857</v>
      </c>
      <c r="E122" s="16" t="n">
        <f aca="false">D122*(1+MAX(0,phi*E113))</f>
        <v>19.2009721164345</v>
      </c>
      <c r="F122" s="16" t="n">
        <f aca="false">E122*(1+MAX(0,phi*F113))</f>
        <v>24.2930699217129</v>
      </c>
      <c r="G122" s="16" t="n">
        <f aca="false">F122*(1+MAX(0,phi*G113))</f>
        <v>26.8707328651484</v>
      </c>
    </row>
    <row r="123" customFormat="false" ht="15" hidden="false" customHeight="false" outlineLevel="0" collapsed="false">
      <c r="A123" s="3" t="s">
        <v>329</v>
      </c>
      <c r="B123" s="0" t="s">
        <v>193</v>
      </c>
      <c r="C123" s="16" t="n">
        <f aca="false">C122</f>
        <v>9.012</v>
      </c>
      <c r="D123" s="16" t="n">
        <f aca="false">D122</f>
        <v>14.0153081141857</v>
      </c>
      <c r="E123" s="16" t="n">
        <f aca="false">E122+0*E112</f>
        <v>19.2009721164345</v>
      </c>
      <c r="F123" s="16" t="n">
        <f aca="false">F122+0*F112</f>
        <v>24.2930699217129</v>
      </c>
      <c r="G123" s="16" t="n">
        <f aca="false">G122+0*G112</f>
        <v>26.8707328651484</v>
      </c>
    </row>
    <row r="124" customFormat="false" ht="15" hidden="false" customHeight="false" outlineLevel="0" collapsed="false">
      <c r="A124" s="3" t="s">
        <v>332</v>
      </c>
      <c r="B124" s="0" t="s">
        <v>193</v>
      </c>
      <c r="C124" s="16" t="n">
        <f aca="false">C120-C123</f>
        <v>19.108</v>
      </c>
      <c r="D124" s="16" t="n">
        <f aca="false">D120-D123</f>
        <v>55.6082852858143</v>
      </c>
      <c r="E124" s="16" t="n">
        <f aca="false">E120-E123</f>
        <v>97.0233559219655</v>
      </c>
      <c r="F124" s="16" t="n">
        <f aca="false">F120-F123</f>
        <v>138.697542144593</v>
      </c>
      <c r="G124" s="16" t="n">
        <f aca="false">G120-G123</f>
        <v>152.824674040911</v>
      </c>
    </row>
    <row r="125" customFormat="false" ht="15" hidden="false" customHeight="false" outlineLevel="0" collapsed="false">
      <c r="A125" s="3" t="s">
        <v>335</v>
      </c>
      <c r="B125" s="0" t="s">
        <v>47</v>
      </c>
      <c r="C125" s="11" t="n">
        <f aca="false">C124/C112</f>
        <v>0.202713741632276</v>
      </c>
      <c r="D125" s="11" t="n">
        <f aca="false">D124/D112</f>
        <v>0.270251297648699</v>
      </c>
      <c r="E125" s="11" t="n">
        <f aca="false">E124/E112</f>
        <v>0.291664849685591</v>
      </c>
      <c r="F125" s="11" t="n">
        <f aca="false">F124/F112</f>
        <v>0.28914208284537</v>
      </c>
      <c r="G125" s="11" t="n">
        <f aca="false">G124/G112</f>
        <v>0.270717791250024</v>
      </c>
    </row>
    <row r="126" customFormat="false" ht="17.15" hidden="false" customHeight="false" outlineLevel="0" collapsed="false">
      <c r="A126" s="3" t="s">
        <v>337</v>
      </c>
      <c r="B126" s="0" t="s">
        <v>193</v>
      </c>
      <c r="E126" s="16" t="n">
        <f aca="false">nop_f</f>
        <v>0.5</v>
      </c>
      <c r="F126" s="16" t="n">
        <f aca="false">nop_f</f>
        <v>0.5</v>
      </c>
      <c r="G126" s="16" t="n">
        <f aca="false">nop_f</f>
        <v>0.5</v>
      </c>
      <c r="H126" s="7" t="s">
        <v>450</v>
      </c>
    </row>
    <row r="127" customFormat="false" ht="15" hidden="false" customHeight="false" outlineLevel="0" collapsed="false">
      <c r="A127" s="3" t="s">
        <v>340</v>
      </c>
      <c r="B127" s="0" t="s">
        <v>193</v>
      </c>
      <c r="C127" s="16" t="n">
        <f aca="false">a25_ni</f>
        <v>14.649</v>
      </c>
      <c r="D127" s="16" t="n">
        <f aca="false">a26_ni</f>
        <v>42.891099295</v>
      </c>
      <c r="E127" s="16" t="n">
        <f aca="false">(E124+E126)*nir_f</f>
        <v>75.0929840599135</v>
      </c>
      <c r="F127" s="16" t="n">
        <f aca="false">(F124+F126)*nir_f</f>
        <v>107.182107451337</v>
      </c>
      <c r="G127" s="16" t="n">
        <f aca="false">(G124+G126)*nir_f</f>
        <v>118.059999011502</v>
      </c>
    </row>
    <row r="128" customFormat="false" ht="17.15" hidden="false" customHeight="false" outlineLevel="0" collapsed="false">
      <c r="A128" s="3" t="s">
        <v>343</v>
      </c>
      <c r="B128" s="0" t="s">
        <v>47</v>
      </c>
      <c r="C128" s="11" t="n">
        <f aca="false">C127/C124</f>
        <v>0.766642244086247</v>
      </c>
      <c r="D128" s="11" t="n">
        <f aca="false">D127/D124</f>
        <v>0.771307712053146</v>
      </c>
      <c r="E128" s="11" t="n">
        <f aca="false">E127/E124</f>
        <v>0.77396811671109</v>
      </c>
      <c r="F128" s="11" t="n">
        <f aca="false">F127/F124</f>
        <v>0.772775824243508</v>
      </c>
      <c r="G128" s="11" t="n">
        <f aca="false">G127/G124</f>
        <v>0.772519226704825</v>
      </c>
    </row>
    <row r="129" customFormat="false" ht="15" hidden="false" customHeight="false" outlineLevel="0" collapsed="false">
      <c r="A129" s="3" t="s">
        <v>451</v>
      </c>
      <c r="B129" s="3" t="s">
        <v>222</v>
      </c>
      <c r="C129" s="18" t="n">
        <f aca="false">a25_sh</f>
        <v>0.351547876169906</v>
      </c>
      <c r="D129" s="18" t="n">
        <f aca="false">a26_sh</f>
        <v>0.358290155440415</v>
      </c>
      <c r="E129" s="18" t="n">
        <f aca="false">D129*(1+sh_g)</f>
        <v>0.358290155440415</v>
      </c>
      <c r="F129" s="18" t="n">
        <f aca="false">E129*(1+sh_g)</f>
        <v>0.358290155440415</v>
      </c>
      <c r="G129" s="18" t="n">
        <f aca="false">F129*(1+sh_g)</f>
        <v>0.358290155440415</v>
      </c>
    </row>
    <row r="130" customFormat="false" ht="15" hidden="false" customHeight="false" outlineLevel="0" collapsed="false">
      <c r="A130" s="0" t="s">
        <v>346</v>
      </c>
      <c r="B130" s="0" t="s">
        <v>253</v>
      </c>
      <c r="C130" s="17" t="n">
        <f aca="false">C127/C129</f>
        <v>41.67</v>
      </c>
      <c r="D130" s="17" t="n">
        <f aca="false">D127/D129</f>
        <v>119.710515747433</v>
      </c>
      <c r="E130" s="17" t="n">
        <f aca="false">E127/E129</f>
        <v>209.587070478139</v>
      </c>
      <c r="F130" s="17" t="n">
        <f aca="false">F127/F129</f>
        <v>299.14890438334</v>
      </c>
      <c r="G130" s="17" t="n">
        <f aca="false">G127/G129</f>
        <v>329.509469403035</v>
      </c>
    </row>
    <row r="131" customFormat="false" ht="17.15" hidden="false" customHeight="false" outlineLevel="0" collapsed="false">
      <c r="A131" s="0" t="s">
        <v>452</v>
      </c>
      <c r="B131" s="0" t="s">
        <v>47</v>
      </c>
      <c r="D131" s="11" t="n">
        <f aca="false">D130/C130-1</f>
        <v>1.87282255213422</v>
      </c>
      <c r="E131" s="11" t="n">
        <f aca="false">E130/D130-1</f>
        <v>0.750782453567642</v>
      </c>
      <c r="F131" s="11" t="n">
        <f aca="false">F130/E130-1</f>
        <v>0.42732518614283</v>
      </c>
      <c r="G131" s="11" t="n">
        <f aca="false">G130/F130-1</f>
        <v>0.101489808502824</v>
      </c>
    </row>
    <row r="134" customFormat="false" ht="17.15" hidden="false" customHeight="false" outlineLevel="0" collapsed="false">
      <c r="A134" s="1" t="s">
        <v>653</v>
      </c>
    </row>
    <row r="135" customFormat="false" ht="17.15" hidden="false" customHeight="false" outlineLevel="0" collapsed="false">
      <c r="A135" s="4" t="s">
        <v>16</v>
      </c>
      <c r="B135" s="4" t="s">
        <v>17</v>
      </c>
      <c r="C135" s="8" t="s">
        <v>315</v>
      </c>
      <c r="D135" s="8" t="s">
        <v>401</v>
      </c>
      <c r="E135" s="8" t="s">
        <v>402</v>
      </c>
      <c r="F135" s="8" t="s">
        <v>403</v>
      </c>
      <c r="G135" s="8" t="s">
        <v>404</v>
      </c>
      <c r="H135" s="4" t="s">
        <v>369</v>
      </c>
    </row>
    <row r="136" customFormat="false" ht="17.15" hidden="false" customHeight="false" outlineLevel="0" collapsed="false">
      <c r="A136" s="5" t="s">
        <v>419</v>
      </c>
    </row>
    <row r="137" customFormat="false" ht="17.15" hidden="false" customHeight="false" outlineLevel="0" collapsed="false">
      <c r="A137" s="0" t="s">
        <v>420</v>
      </c>
      <c r="B137" s="0" t="s">
        <v>27</v>
      </c>
      <c r="D137" s="17" t="n">
        <f aca="false">itc_26*1</f>
        <v>781.872916666667</v>
      </c>
      <c r="E137" s="17" t="n">
        <f aca="false">itc_27*1*1</f>
        <v>1565.35</v>
      </c>
      <c r="F137" s="17" t="n">
        <f aca="false">itc_28*um28_A*1</f>
        <v>1984.26388888889</v>
      </c>
      <c r="G137" s="17" t="n">
        <f aca="false">itc_29*um29_A*1</f>
        <v>2260.39027777778</v>
      </c>
    </row>
    <row r="138" customFormat="false" ht="17.15" hidden="false" customHeight="false" outlineLevel="0" collapsed="false">
      <c r="A138" s="3" t="s">
        <v>421</v>
      </c>
      <c r="B138" s="0" t="s">
        <v>27</v>
      </c>
      <c r="D138" s="17" t="n">
        <f aca="false">itpg_gb*(1-vr26)+itpg_vr*vr26</f>
        <v>33.41403216</v>
      </c>
      <c r="E138" s="17" t="n">
        <f aca="false">itpg_vr</f>
        <v>37.586352</v>
      </c>
      <c r="F138" s="17" t="n">
        <f aca="false">itpg_vr</f>
        <v>37.586352</v>
      </c>
      <c r="G138" s="17" t="n">
        <f aca="false">itpg_vr</f>
        <v>37.586352</v>
      </c>
    </row>
    <row r="139" customFormat="false" ht="17.15" hidden="false" customHeight="false" outlineLevel="0" collapsed="false">
      <c r="A139" s="3" t="s">
        <v>422</v>
      </c>
      <c r="B139" s="0" t="s">
        <v>371</v>
      </c>
      <c r="D139" s="14" t="n">
        <f aca="false">D137/D138</f>
        <v>23.3995380420639</v>
      </c>
      <c r="E139" s="14" t="n">
        <f aca="false">E137/E138</f>
        <v>41.6467658260637</v>
      </c>
      <c r="F139" s="14" t="n">
        <f aca="false">F137/F138</f>
        <v>52.792138191248</v>
      </c>
      <c r="G139" s="14" t="n">
        <f aca="false">G137/G138</f>
        <v>60.1385917361116</v>
      </c>
    </row>
    <row r="140" customFormat="false" ht="17.15" hidden="false" customHeight="false" outlineLevel="0" collapsed="false">
      <c r="A140" s="3" t="s">
        <v>373</v>
      </c>
      <c r="B140" s="0" t="s">
        <v>87</v>
      </c>
      <c r="D140" s="15" t="n">
        <f aca="false">cmp_26</f>
        <v>190</v>
      </c>
      <c r="E140" s="15" t="n">
        <f aca="false">cmp_26*cmpx_27</f>
        <v>275.5</v>
      </c>
      <c r="F140" s="15" t="n">
        <f aca="false">cmp_26*cmpx_28</f>
        <v>304</v>
      </c>
      <c r="G140" s="15" t="n">
        <f aca="false">cmp_26*cmpx_29</f>
        <v>323</v>
      </c>
    </row>
    <row r="141" customFormat="false" ht="17.15" hidden="false" customHeight="false" outlineLevel="0" collapsed="false">
      <c r="A141" s="3" t="s">
        <v>375</v>
      </c>
      <c r="B141" s="0" t="s">
        <v>87</v>
      </c>
      <c r="D141" s="15" t="n">
        <f aca="false">sw_26</f>
        <v>90</v>
      </c>
      <c r="E141" s="15" t="n">
        <f aca="false">sw_26*swx_27</f>
        <v>126</v>
      </c>
      <c r="F141" s="15" t="n">
        <f aca="false">sw_26*swx_28</f>
        <v>144</v>
      </c>
      <c r="G141" s="15" t="n">
        <f aca="false">sw_26*swx_29</f>
        <v>157.5</v>
      </c>
    </row>
    <row r="142" customFormat="false" ht="17.15" hidden="false" customHeight="false" outlineLevel="0" collapsed="false">
      <c r="A142" s="3" t="s">
        <v>376</v>
      </c>
      <c r="B142" s="0" t="s">
        <v>87</v>
      </c>
      <c r="D142" s="15" t="n">
        <f aca="false">ubb_26</f>
        <v>70</v>
      </c>
      <c r="E142" s="15" t="n">
        <f aca="false">ubb_26*UXLO_27</f>
        <v>91</v>
      </c>
      <c r="F142" s="15" t="n">
        <f aca="false">ubb_26*UXLO_28</f>
        <v>105</v>
      </c>
      <c r="G142" s="15" t="n">
        <f aca="false">ubb_26*UXLO_29</f>
        <v>105</v>
      </c>
    </row>
    <row r="143" customFormat="false" ht="17.15" hidden="false" customHeight="false" outlineLevel="0" collapsed="false">
      <c r="A143" s="3" t="s">
        <v>423</v>
      </c>
      <c r="B143" s="0" t="s">
        <v>87</v>
      </c>
      <c r="D143" s="15" t="n">
        <f aca="false">D140+D141+D142</f>
        <v>350</v>
      </c>
      <c r="E143" s="15" t="n">
        <f aca="false">E140+E141+E142</f>
        <v>492.5</v>
      </c>
      <c r="F143" s="15" t="n">
        <f aca="false">F140+F141+F142</f>
        <v>553</v>
      </c>
      <c r="G143" s="15" t="n">
        <f aca="false">G140+G141+G142</f>
        <v>585.5</v>
      </c>
    </row>
    <row r="144" customFormat="false" ht="17.15" hidden="false" customHeight="false" outlineLevel="0" collapsed="false">
      <c r="A144" s="0" t="s">
        <v>424</v>
      </c>
      <c r="B144" s="0" t="s">
        <v>27</v>
      </c>
      <c r="D144" s="17" t="n">
        <f aca="false">D139*D143/1000</f>
        <v>8.18983831472237</v>
      </c>
      <c r="E144" s="17" t="n">
        <f aca="false">E139*E143/1000</f>
        <v>20.5110321693364</v>
      </c>
      <c r="F144" s="17" t="n">
        <f aca="false">F139*F143/1000</f>
        <v>29.1940524197601</v>
      </c>
      <c r="G144" s="17" t="n">
        <f aca="false">G139*G143/1000</f>
        <v>35.2111454614933</v>
      </c>
    </row>
    <row r="145" customFormat="false" ht="17.15" hidden="false" customHeight="false" outlineLevel="0" collapsed="false">
      <c r="A145" s="0" t="s">
        <v>425</v>
      </c>
      <c r="B145" s="0" t="s">
        <v>193</v>
      </c>
      <c r="D145" s="16" t="n">
        <f aca="false">D144*fx</f>
        <v>262.074826071116</v>
      </c>
      <c r="E145" s="16" t="n">
        <f aca="false">E144*fx</f>
        <v>656.353029418764</v>
      </c>
      <c r="F145" s="16" t="n">
        <f aca="false">F144*fx</f>
        <v>934.209677432324</v>
      </c>
      <c r="G145" s="16" t="n">
        <f aca="false">G144*fx</f>
        <v>1126.75665476779</v>
      </c>
    </row>
    <row r="146" customFormat="false" ht="17.15" hidden="false" customHeight="false" outlineLevel="0" collapsed="false">
      <c r="A146" s="0" t="s">
        <v>426</v>
      </c>
      <c r="B146" s="0" t="s">
        <v>60</v>
      </c>
      <c r="D146" s="12" t="n">
        <f aca="false">1</f>
        <v>1</v>
      </c>
      <c r="E146" s="12" t="n">
        <f aca="false">pp_27</f>
        <v>1</v>
      </c>
      <c r="F146" s="12" t="n">
        <f aca="false">pp_28</f>
        <v>0.97</v>
      </c>
      <c r="G146" s="12" t="n">
        <f aca="false">pp_29</f>
        <v>0.93</v>
      </c>
    </row>
    <row r="147" customFormat="false" ht="17.15" hidden="false" customHeight="false" outlineLevel="0" collapsed="false">
      <c r="A147" s="3" t="s">
        <v>427</v>
      </c>
      <c r="B147" s="0" t="s">
        <v>47</v>
      </c>
      <c r="D147" s="11" t="n">
        <f aca="false">a26_ai/D145</f>
        <v>0.459306165741139</v>
      </c>
      <c r="H147" s="7" t="s">
        <v>428</v>
      </c>
    </row>
    <row r="148" customFormat="false" ht="17.15" hidden="false" customHeight="false" outlineLevel="0" collapsed="false">
      <c r="A148" s="3" t="s">
        <v>429</v>
      </c>
      <c r="B148" s="0" t="s">
        <v>60</v>
      </c>
      <c r="D148" s="12" t="n">
        <f aca="false">1</f>
        <v>1</v>
      </c>
      <c r="E148" s="12" t="n">
        <f aca="false">rel_27</f>
        <v>0.95</v>
      </c>
      <c r="F148" s="12" t="n">
        <f aca="false">rel_28</f>
        <v>0.9</v>
      </c>
      <c r="G148" s="12" t="n">
        <f aca="false">rel_29</f>
        <v>0.85</v>
      </c>
    </row>
    <row r="149" customFormat="false" ht="15" hidden="false" customHeight="false" outlineLevel="0" collapsed="false">
      <c r="A149" s="3" t="s">
        <v>384</v>
      </c>
      <c r="B149" s="0" t="s">
        <v>47</v>
      </c>
      <c r="D149" s="11" t="n">
        <f aca="false">$D$147*D148</f>
        <v>0.459306165741139</v>
      </c>
      <c r="E149" s="11" t="n">
        <f aca="false">$D$147*E148</f>
        <v>0.436340857454082</v>
      </c>
      <c r="F149" s="11" t="n">
        <f aca="false">$D$147*F148</f>
        <v>0.413375549167025</v>
      </c>
      <c r="G149" s="11" t="n">
        <f aca="false">$D$147*G148</f>
        <v>0.390410240879968</v>
      </c>
    </row>
    <row r="150" customFormat="false" ht="17.15" hidden="false" customHeight="false" outlineLevel="0" collapsed="false">
      <c r="A150" s="0" t="s">
        <v>430</v>
      </c>
      <c r="B150" s="0" t="s">
        <v>193</v>
      </c>
      <c r="D150" s="16" t="n">
        <f aca="false">D145*D149*D146</f>
        <v>120.3725835</v>
      </c>
      <c r="E150" s="16" t="n">
        <f aca="false">E145*E149*E146</f>
        <v>286.393643649167</v>
      </c>
      <c r="F150" s="16" t="n">
        <f aca="false">F145*F149*F146</f>
        <v>374.594055292364</v>
      </c>
      <c r="G150" s="16" t="n">
        <f aca="false">G145*G149*G146</f>
        <v>409.104523410928</v>
      </c>
    </row>
    <row r="151" customFormat="false" ht="17.15" hidden="false" customHeight="false" outlineLevel="0" collapsed="false">
      <c r="A151" s="5" t="s">
        <v>431</v>
      </c>
    </row>
    <row r="152" customFormat="false" ht="15" hidden="false" customHeight="false" outlineLevel="0" collapsed="false">
      <c r="A152" s="3" t="s">
        <v>389</v>
      </c>
      <c r="B152" s="3" t="s">
        <v>144</v>
      </c>
      <c r="D152" s="12" t="n">
        <f aca="false">cap_26</f>
        <v>6</v>
      </c>
      <c r="E152" s="12" t="n">
        <f aca="false">cap_27</f>
        <v>7.76</v>
      </c>
      <c r="F152" s="12" t="n">
        <f aca="false">cap_28</f>
        <v>10.3</v>
      </c>
      <c r="G152" s="12" t="n">
        <f aca="false">cap_29</f>
        <v>11.8</v>
      </c>
    </row>
    <row r="153" customFormat="false" ht="17.15" hidden="false" customHeight="false" outlineLevel="0" collapsed="false">
      <c r="A153" s="3" t="s">
        <v>432</v>
      </c>
      <c r="B153" s="0" t="s">
        <v>392</v>
      </c>
      <c r="D153" s="15" t="n">
        <f aca="false">a26_rev/(D152*12)*1000</f>
        <v>2857.84861111111</v>
      </c>
      <c r="H153" s="7" t="s">
        <v>433</v>
      </c>
    </row>
    <row r="154" customFormat="false" ht="17.15" hidden="false" customHeight="false" outlineLevel="0" collapsed="false">
      <c r="A154" s="3" t="s">
        <v>434</v>
      </c>
      <c r="B154" s="0" t="s">
        <v>60</v>
      </c>
      <c r="D154" s="12" t="n">
        <f aca="false">1</f>
        <v>1</v>
      </c>
      <c r="E154" s="12" t="n">
        <f aca="false">mix_27</f>
        <v>1.25</v>
      </c>
      <c r="F154" s="12" t="n">
        <f aca="false">mix_28</f>
        <v>1.4</v>
      </c>
      <c r="G154" s="12" t="n">
        <f aca="false">mix_29</f>
        <v>1.5</v>
      </c>
    </row>
    <row r="155" customFormat="false" ht="17.15" hidden="false" customHeight="false" outlineLevel="0" collapsed="false">
      <c r="A155" s="3" t="s">
        <v>435</v>
      </c>
      <c r="B155" s="0" t="s">
        <v>193</v>
      </c>
      <c r="D155" s="16" t="n">
        <f aca="false">D152*12*$D$153*D154*D146/1000</f>
        <v>205.7651</v>
      </c>
      <c r="E155" s="16" t="n">
        <f aca="false">E152*12*$D$153*E154*E146/1000</f>
        <v>332.653578333333</v>
      </c>
      <c r="F155" s="16" t="n">
        <f aca="false">F152*12*$D$153*F154*F146/1000</f>
        <v>479.686459956667</v>
      </c>
      <c r="G155" s="16" t="n">
        <f aca="false">G152*12*$D$153*G154*G146/1000</f>
        <v>564.51655185</v>
      </c>
    </row>
    <row r="156" customFormat="false" ht="17.15" hidden="false" customHeight="false" outlineLevel="0" collapsed="false">
      <c r="A156" s="3" t="s">
        <v>436</v>
      </c>
      <c r="B156" s="0" t="s">
        <v>193</v>
      </c>
      <c r="C156" s="16" t="n">
        <f aca="false">a25_nai</f>
        <v>47.1305</v>
      </c>
      <c r="D156" s="16" t="n">
        <f aca="false">a26_nai</f>
        <v>85.3925165</v>
      </c>
      <c r="E156" s="16" t="n">
        <f aca="false">D156*(1+g_nai27)</f>
        <v>92.22391782</v>
      </c>
      <c r="F156" s="16" t="n">
        <f aca="false">E156*(1+g_nai28)</f>
        <v>97.7573528892</v>
      </c>
      <c r="G156" s="16" t="n">
        <f aca="false">F156*(1+g_nai29)</f>
        <v>102.64522053366</v>
      </c>
    </row>
    <row r="157" customFormat="false" ht="17.15" hidden="false" customHeight="false" outlineLevel="0" collapsed="false">
      <c r="A157" s="0" t="s">
        <v>437</v>
      </c>
      <c r="B157" s="0" t="s">
        <v>193</v>
      </c>
      <c r="C157" s="16" t="n">
        <f aca="false">a25_ai</f>
        <v>47.1305</v>
      </c>
      <c r="D157" s="16" t="n">
        <f aca="false">D150</f>
        <v>120.3725835</v>
      </c>
      <c r="E157" s="16" t="n">
        <f aca="false">MIN(E150,E155-E156)</f>
        <v>240.429660513333</v>
      </c>
      <c r="F157" s="16" t="n">
        <f aca="false">MIN(F150,F155-F156)</f>
        <v>374.594055292364</v>
      </c>
      <c r="G157" s="16" t="n">
        <f aca="false">MIN(G150,G155-G156)</f>
        <v>409.104523410928</v>
      </c>
      <c r="H157" s="3" t="s">
        <v>438</v>
      </c>
    </row>
    <row r="158" customFormat="false" ht="15" hidden="false" customHeight="false" outlineLevel="0" collapsed="false">
      <c r="A158" s="3" t="s">
        <v>439</v>
      </c>
      <c r="E158" s="0" t="str">
        <f aca="false">IF(E150&gt;E155-E156+0.0001,"受限","未受限")</f>
        <v>受限</v>
      </c>
      <c r="F158" s="0" t="str">
        <f aca="false">IF(F150&gt;F155-F156+0.0001,"受限","未受限")</f>
        <v>未受限</v>
      </c>
      <c r="G158" s="0" t="str">
        <f aca="false">IF(G150&gt;G155-G156+0.0001,"受限","未受限")</f>
        <v>未受限</v>
      </c>
    </row>
    <row r="159" customFormat="false" ht="15" hidden="false" customHeight="false" outlineLevel="0" collapsed="false">
      <c r="A159" s="3" t="s">
        <v>320</v>
      </c>
      <c r="B159" s="0" t="s">
        <v>193</v>
      </c>
      <c r="C159" s="16" t="n">
        <f aca="false">C157+C156</f>
        <v>94.261</v>
      </c>
      <c r="D159" s="16" t="n">
        <f aca="false">D157+D156</f>
        <v>205.7651</v>
      </c>
      <c r="E159" s="16" t="n">
        <f aca="false">E157+E156</f>
        <v>332.653578333333</v>
      </c>
      <c r="F159" s="16" t="n">
        <f aca="false">F157+F156</f>
        <v>472.351408181564</v>
      </c>
      <c r="G159" s="16" t="n">
        <f aca="false">G157+G156</f>
        <v>511.749743944588</v>
      </c>
    </row>
    <row r="160" customFormat="false" ht="15" hidden="false" customHeight="false" outlineLevel="0" collapsed="false">
      <c r="A160" s="3" t="s">
        <v>440</v>
      </c>
      <c r="B160" s="0" t="s">
        <v>47</v>
      </c>
      <c r="D160" s="11" t="n">
        <f aca="false">D159/C159-1</f>
        <v>1.1829293132897</v>
      </c>
      <c r="E160" s="11" t="n">
        <f aca="false">E159/D159-1</f>
        <v>0.616666666666667</v>
      </c>
      <c r="F160" s="11" t="n">
        <f aca="false">F159/E159-1</f>
        <v>0.419949878633944</v>
      </c>
      <c r="G160" s="11" t="n">
        <f aca="false">G159/F159-1</f>
        <v>0.0834089516419523</v>
      </c>
    </row>
    <row r="161" customFormat="false" ht="17.15" hidden="false" customHeight="false" outlineLevel="0" collapsed="false">
      <c r="A161" s="0" t="s">
        <v>441</v>
      </c>
      <c r="B161" s="0" t="s">
        <v>47</v>
      </c>
      <c r="C161" s="11" t="n">
        <f aca="false">C157/C159</f>
        <v>0.5</v>
      </c>
      <c r="D161" s="11" t="n">
        <f aca="false">D157/D159</f>
        <v>0.585</v>
      </c>
      <c r="E161" s="11" t="n">
        <f aca="false">E157/E159</f>
        <v>0.722762886597938</v>
      </c>
      <c r="F161" s="11" t="n">
        <f aca="false">F157/F159</f>
        <v>0.793041046991811</v>
      </c>
      <c r="G161" s="11" t="n">
        <f aca="false">G157/G159</f>
        <v>0.799423015354211</v>
      </c>
    </row>
    <row r="162" customFormat="false" ht="17.15" hidden="false" customHeight="false" outlineLevel="0" collapsed="false">
      <c r="A162" s="3" t="s">
        <v>442</v>
      </c>
      <c r="B162" s="0" t="s">
        <v>47</v>
      </c>
      <c r="D162" s="11" t="n">
        <f aca="false">(D150+D156)/D155</f>
        <v>1</v>
      </c>
      <c r="E162" s="11" t="n">
        <f aca="false">(E150+E156)/E155</f>
        <v>1.13817372224319</v>
      </c>
      <c r="F162" s="11" t="n">
        <f aca="false">(F150+F156)/F155</f>
        <v>0.984708653698991</v>
      </c>
      <c r="G162" s="11" t="n">
        <f aca="false">(G150+G156)/G155</f>
        <v>0.906527438863417</v>
      </c>
      <c r="H162" s="3" t="s">
        <v>443</v>
      </c>
    </row>
    <row r="163" customFormat="false" ht="17.15" hidden="false" customHeight="false" outlineLevel="0" collapsed="false">
      <c r="A163" s="3" t="s">
        <v>388</v>
      </c>
      <c r="B163" s="0" t="s">
        <v>87</v>
      </c>
      <c r="D163" s="15" t="n">
        <f aca="false">D157/fx/D139*1000</f>
        <v>160.757158009399</v>
      </c>
      <c r="E163" s="15" t="n">
        <f aca="false">E157/fx/E139*1000</f>
        <v>180.408412082255</v>
      </c>
      <c r="F163" s="15" t="n">
        <f aca="false">F157/fx/F139*1000</f>
        <v>221.738778328684</v>
      </c>
      <c r="G163" s="15" t="n">
        <f aca="false">G157/fx/G139*1000</f>
        <v>212.584232312756</v>
      </c>
    </row>
    <row r="164" customFormat="false" ht="17.15" hidden="false" customHeight="false" outlineLevel="0" collapsed="false">
      <c r="A164" s="5" t="s">
        <v>444</v>
      </c>
    </row>
    <row r="165" customFormat="false" ht="17.15" hidden="false" customHeight="false" outlineLevel="0" collapsed="false">
      <c r="A165" s="3" t="s">
        <v>445</v>
      </c>
      <c r="B165" s="0" t="s">
        <v>47</v>
      </c>
      <c r="D165" s="11" t="n">
        <f aca="false">a26_gp/D159-d_ai*D161</f>
        <v>0.291564442755356</v>
      </c>
      <c r="H165" s="7" t="s">
        <v>446</v>
      </c>
    </row>
    <row r="166" customFormat="false" ht="17.15" hidden="false" customHeight="false" outlineLevel="0" collapsed="false">
      <c r="A166" s="0" t="s">
        <v>447</v>
      </c>
      <c r="B166" s="0" t="s">
        <v>47</v>
      </c>
      <c r="D166" s="11" t="n">
        <f aca="false">D165+d_ai</f>
        <v>0.371564442755356</v>
      </c>
      <c r="E166" s="11" t="n">
        <f aca="false">1-(1-$D$166)/E146</f>
        <v>0.371564442755356</v>
      </c>
      <c r="F166" s="11" t="n">
        <f aca="false">1-(1-$D$166)/F146</f>
        <v>0.352128291500367</v>
      </c>
      <c r="G166" s="11" t="n">
        <f aca="false">1-(1-$D$166)/G146</f>
        <v>0.324262841672425</v>
      </c>
      <c r="H166" s="7" t="s">
        <v>448</v>
      </c>
    </row>
    <row r="167" customFormat="false" ht="15" hidden="false" customHeight="false" outlineLevel="0" collapsed="false">
      <c r="A167" s="3" t="s">
        <v>324</v>
      </c>
      <c r="B167" s="0" t="s">
        <v>193</v>
      </c>
      <c r="C167" s="16" t="n">
        <f aca="false">a25_gp</f>
        <v>28.12</v>
      </c>
      <c r="D167" s="16" t="n">
        <f aca="false">a26_gp</f>
        <v>69.6235934</v>
      </c>
      <c r="E167" s="16" t="n">
        <f aca="false">E157*E166+E156*$D$165</f>
        <v>116.2243280384</v>
      </c>
      <c r="F167" s="16" t="n">
        <f aca="false">F157*F166+F156*$D$165</f>
        <v>160.407732816672</v>
      </c>
      <c r="G167" s="16" t="n">
        <f aca="false">G157*G166+G156*$D$165</f>
        <v>162.585091828668</v>
      </c>
    </row>
    <row r="168" customFormat="false" ht="15" hidden="false" customHeight="false" outlineLevel="0" collapsed="false">
      <c r="A168" s="3" t="s">
        <v>327</v>
      </c>
      <c r="B168" s="0" t="s">
        <v>47</v>
      </c>
      <c r="C168" s="11" t="n">
        <f aca="false">C167/C159</f>
        <v>0.298320620405046</v>
      </c>
      <c r="D168" s="11" t="n">
        <f aca="false">D167/D159</f>
        <v>0.338364442755356</v>
      </c>
      <c r="E168" s="11" t="n">
        <f aca="false">E167/E159</f>
        <v>0.349385473683191</v>
      </c>
      <c r="F168" s="11" t="n">
        <f aca="false">F167/F159</f>
        <v>0.339594060773953</v>
      </c>
      <c r="G168" s="11" t="n">
        <f aca="false">G167/G159</f>
        <v>0.317704295414894</v>
      </c>
    </row>
    <row r="169" customFormat="false" ht="15" hidden="false" customHeight="false" outlineLevel="0" collapsed="false">
      <c r="A169" s="3" t="s">
        <v>449</v>
      </c>
      <c r="B169" s="0" t="s">
        <v>193</v>
      </c>
      <c r="C169" s="16" t="n">
        <f aca="false">a25_opx</f>
        <v>9.012</v>
      </c>
      <c r="D169" s="16" t="n">
        <f aca="false">a26_opx</f>
        <v>14.0153081141857</v>
      </c>
      <c r="E169" s="16" t="n">
        <f aca="false">D169*(1+MAX(0,phi*E160))</f>
        <v>19.2009721164345</v>
      </c>
      <c r="F169" s="16" t="n">
        <f aca="false">E169*(1+MAX(0,phi*F160))</f>
        <v>24.0390396624047</v>
      </c>
      <c r="G169" s="16" t="n">
        <f aca="false">F169*(1+MAX(0,phi*G160))</f>
        <v>25.242082320437</v>
      </c>
    </row>
    <row r="170" customFormat="false" ht="15" hidden="false" customHeight="false" outlineLevel="0" collapsed="false">
      <c r="A170" s="3" t="s">
        <v>329</v>
      </c>
      <c r="B170" s="0" t="s">
        <v>193</v>
      </c>
      <c r="C170" s="16" t="n">
        <f aca="false">C169</f>
        <v>9.012</v>
      </c>
      <c r="D170" s="16" t="n">
        <f aca="false">D169</f>
        <v>14.0153081141857</v>
      </c>
      <c r="E170" s="16" t="n">
        <f aca="false">E169+0*E159</f>
        <v>19.2009721164345</v>
      </c>
      <c r="F170" s="16" t="n">
        <f aca="false">F169+0*F159</f>
        <v>24.0390396624047</v>
      </c>
      <c r="G170" s="16" t="n">
        <f aca="false">G169+0*G159</f>
        <v>25.242082320437</v>
      </c>
    </row>
    <row r="171" customFormat="false" ht="15" hidden="false" customHeight="false" outlineLevel="0" collapsed="false">
      <c r="A171" s="3" t="s">
        <v>332</v>
      </c>
      <c r="B171" s="0" t="s">
        <v>193</v>
      </c>
      <c r="C171" s="16" t="n">
        <f aca="false">C167-C170</f>
        <v>19.108</v>
      </c>
      <c r="D171" s="16" t="n">
        <f aca="false">D167-D170</f>
        <v>55.6082852858143</v>
      </c>
      <c r="E171" s="16" t="n">
        <f aca="false">E167-E170</f>
        <v>97.0233559219655</v>
      </c>
      <c r="F171" s="16" t="n">
        <f aca="false">F167-F170</f>
        <v>136.368693154268</v>
      </c>
      <c r="G171" s="16" t="n">
        <f aca="false">G167-G170</f>
        <v>137.343009508231</v>
      </c>
    </row>
    <row r="172" customFormat="false" ht="15" hidden="false" customHeight="false" outlineLevel="0" collapsed="false">
      <c r="A172" s="3" t="s">
        <v>335</v>
      </c>
      <c r="B172" s="0" t="s">
        <v>47</v>
      </c>
      <c r="C172" s="11" t="n">
        <f aca="false">C171/C159</f>
        <v>0.202713741632276</v>
      </c>
      <c r="D172" s="11" t="n">
        <f aca="false">D171/D159</f>
        <v>0.270251297648699</v>
      </c>
      <c r="E172" s="11" t="n">
        <f aca="false">E171/E159</f>
        <v>0.291664849685591</v>
      </c>
      <c r="F172" s="11" t="n">
        <f aca="false">F171/F159</f>
        <v>0.288701781750272</v>
      </c>
      <c r="G172" s="11" t="n">
        <f aca="false">G171/G159</f>
        <v>0.268379244217272</v>
      </c>
    </row>
    <row r="173" customFormat="false" ht="17.15" hidden="false" customHeight="false" outlineLevel="0" collapsed="false">
      <c r="A173" s="3" t="s">
        <v>337</v>
      </c>
      <c r="B173" s="0" t="s">
        <v>193</v>
      </c>
      <c r="E173" s="16" t="n">
        <f aca="false">nop_f</f>
        <v>0.5</v>
      </c>
      <c r="F173" s="16" t="n">
        <f aca="false">nop_f</f>
        <v>0.5</v>
      </c>
      <c r="G173" s="16" t="n">
        <f aca="false">nop_f</f>
        <v>0.5</v>
      </c>
      <c r="H173" s="7" t="s">
        <v>450</v>
      </c>
    </row>
    <row r="174" customFormat="false" ht="15" hidden="false" customHeight="false" outlineLevel="0" collapsed="false">
      <c r="A174" s="3" t="s">
        <v>340</v>
      </c>
      <c r="B174" s="0" t="s">
        <v>193</v>
      </c>
      <c r="C174" s="16" t="n">
        <f aca="false">a25_ni</f>
        <v>14.649</v>
      </c>
      <c r="D174" s="16" t="n">
        <f aca="false">a26_ni</f>
        <v>42.891099295</v>
      </c>
      <c r="E174" s="16" t="n">
        <f aca="false">(E171+E173)*nir_f</f>
        <v>75.0929840599135</v>
      </c>
      <c r="F174" s="16" t="n">
        <f aca="false">(F171+F173)*nir_f</f>
        <v>105.388893728786</v>
      </c>
      <c r="G174" s="16" t="n">
        <f aca="false">(G171+G173)*nir_f</f>
        <v>106.139117321338</v>
      </c>
    </row>
    <row r="175" customFormat="false" ht="17.15" hidden="false" customHeight="false" outlineLevel="0" collapsed="false">
      <c r="A175" s="3" t="s">
        <v>343</v>
      </c>
      <c r="B175" s="0" t="s">
        <v>47</v>
      </c>
      <c r="C175" s="11" t="n">
        <f aca="false">C174/C171</f>
        <v>0.766642244086247</v>
      </c>
      <c r="D175" s="11" t="n">
        <f aca="false">D174/D171</f>
        <v>0.771307712053146</v>
      </c>
      <c r="E175" s="11" t="n">
        <f aca="false">E174/E171</f>
        <v>0.77396811671109</v>
      </c>
      <c r="F175" s="11" t="n">
        <f aca="false">F174/F171</f>
        <v>0.772823228639175</v>
      </c>
      <c r="G175" s="11" t="n">
        <f aca="false">G174/G171</f>
        <v>0.772803200551514</v>
      </c>
    </row>
    <row r="176" customFormat="false" ht="15" hidden="false" customHeight="false" outlineLevel="0" collapsed="false">
      <c r="A176" s="3" t="s">
        <v>451</v>
      </c>
      <c r="B176" s="3" t="s">
        <v>222</v>
      </c>
      <c r="C176" s="18" t="n">
        <f aca="false">a25_sh</f>
        <v>0.351547876169906</v>
      </c>
      <c r="D176" s="18" t="n">
        <f aca="false">a26_sh</f>
        <v>0.358290155440415</v>
      </c>
      <c r="E176" s="18" t="n">
        <f aca="false">D176*(1+sh_g)</f>
        <v>0.358290155440415</v>
      </c>
      <c r="F176" s="18" t="n">
        <f aca="false">E176*(1+sh_g)</f>
        <v>0.358290155440415</v>
      </c>
      <c r="G176" s="18" t="n">
        <f aca="false">F176*(1+sh_g)</f>
        <v>0.358290155440415</v>
      </c>
    </row>
    <row r="177" customFormat="false" ht="15" hidden="false" customHeight="false" outlineLevel="0" collapsed="false">
      <c r="A177" s="0" t="s">
        <v>346</v>
      </c>
      <c r="B177" s="0" t="s">
        <v>253</v>
      </c>
      <c r="C177" s="17" t="n">
        <f aca="false">C174/C176</f>
        <v>41.67</v>
      </c>
      <c r="D177" s="17" t="n">
        <f aca="false">D174/D176</f>
        <v>119.710515747433</v>
      </c>
      <c r="E177" s="17" t="n">
        <f aca="false">E174/E176</f>
        <v>209.587070478139</v>
      </c>
      <c r="F177" s="17" t="n">
        <f aca="false">F174/F176</f>
        <v>294.14398394296</v>
      </c>
      <c r="G177" s="17" t="n">
        <f aca="false">G174/G176</f>
        <v>296.23788348544</v>
      </c>
    </row>
    <row r="178" customFormat="false" ht="17.15" hidden="false" customHeight="false" outlineLevel="0" collapsed="false">
      <c r="A178" s="0" t="s">
        <v>452</v>
      </c>
      <c r="B178" s="0" t="s">
        <v>47</v>
      </c>
      <c r="D178" s="11" t="n">
        <f aca="false">D177/C177-1</f>
        <v>1.87282255213422</v>
      </c>
      <c r="E178" s="11" t="n">
        <f aca="false">E177/D177-1</f>
        <v>0.750782453567642</v>
      </c>
      <c r="F178" s="11" t="n">
        <f aca="false">F177/E177-1</f>
        <v>0.403445275855607</v>
      </c>
      <c r="G178" s="11" t="n">
        <f aca="false">G177/F177-1</f>
        <v>0.0071186210046239</v>
      </c>
    </row>
    <row r="181" customFormat="false" ht="17.15" hidden="false" customHeight="false" outlineLevel="0" collapsed="false">
      <c r="A181" s="1" t="s">
        <v>654</v>
      </c>
    </row>
    <row r="182" customFormat="false" ht="17.15" hidden="false" customHeight="false" outlineLevel="0" collapsed="false">
      <c r="A182" s="4" t="s">
        <v>16</v>
      </c>
      <c r="B182" s="4" t="s">
        <v>17</v>
      </c>
      <c r="C182" s="8" t="s">
        <v>315</v>
      </c>
      <c r="D182" s="8" t="s">
        <v>401</v>
      </c>
      <c r="E182" s="8" t="s">
        <v>402</v>
      </c>
      <c r="F182" s="8" t="s">
        <v>403</v>
      </c>
      <c r="G182" s="8" t="s">
        <v>404</v>
      </c>
      <c r="H182" s="4" t="s">
        <v>369</v>
      </c>
    </row>
    <row r="183" customFormat="false" ht="17.15" hidden="false" customHeight="false" outlineLevel="0" collapsed="false">
      <c r="A183" s="5" t="s">
        <v>419</v>
      </c>
    </row>
    <row r="184" customFormat="false" ht="17.15" hidden="false" customHeight="false" outlineLevel="0" collapsed="false">
      <c r="A184" s="0" t="s">
        <v>420</v>
      </c>
      <c r="B184" s="0" t="s">
        <v>27</v>
      </c>
      <c r="D184" s="17" t="n">
        <f aca="false">itc_26*1</f>
        <v>781.872916666667</v>
      </c>
      <c r="E184" s="17" t="n">
        <f aca="false">itc_27*1*1</f>
        <v>1565.35</v>
      </c>
      <c r="F184" s="17" t="n">
        <f aca="false">itc_28*um28_A*1</f>
        <v>1984.26388888889</v>
      </c>
      <c r="G184" s="17" t="n">
        <f aca="false">itc_29*um29_A*1</f>
        <v>2260.39027777778</v>
      </c>
    </row>
    <row r="185" customFormat="false" ht="17.15" hidden="false" customHeight="false" outlineLevel="0" collapsed="false">
      <c r="A185" s="3" t="s">
        <v>421</v>
      </c>
      <c r="B185" s="0" t="s">
        <v>27</v>
      </c>
      <c r="D185" s="17" t="n">
        <f aca="false">itpg_gb*(1-vr26)+itpg_vr*vr26</f>
        <v>33.41403216</v>
      </c>
      <c r="E185" s="17" t="n">
        <f aca="false">itpg_vr</f>
        <v>37.586352</v>
      </c>
      <c r="F185" s="17" t="n">
        <f aca="false">itpg_vr</f>
        <v>37.586352</v>
      </c>
      <c r="G185" s="17" t="n">
        <f aca="false">itpg_vr</f>
        <v>37.586352</v>
      </c>
    </row>
    <row r="186" customFormat="false" ht="17.15" hidden="false" customHeight="false" outlineLevel="0" collapsed="false">
      <c r="A186" s="3" t="s">
        <v>422</v>
      </c>
      <c r="B186" s="0" t="s">
        <v>371</v>
      </c>
      <c r="D186" s="14" t="n">
        <f aca="false">D184/D185</f>
        <v>23.3995380420639</v>
      </c>
      <c r="E186" s="14" t="n">
        <f aca="false">E184/E185</f>
        <v>41.6467658260637</v>
      </c>
      <c r="F186" s="14" t="n">
        <f aca="false">F184/F185</f>
        <v>52.792138191248</v>
      </c>
      <c r="G186" s="14" t="n">
        <f aca="false">G184/G185</f>
        <v>60.1385917361116</v>
      </c>
    </row>
    <row r="187" customFormat="false" ht="17.15" hidden="false" customHeight="false" outlineLevel="0" collapsed="false">
      <c r="A187" s="3" t="s">
        <v>373</v>
      </c>
      <c r="B187" s="0" t="s">
        <v>87</v>
      </c>
      <c r="D187" s="15" t="n">
        <f aca="false">cmp_26</f>
        <v>190</v>
      </c>
      <c r="E187" s="15" t="n">
        <f aca="false">cmp_26*cmpx_27</f>
        <v>275.5</v>
      </c>
      <c r="F187" s="15" t="n">
        <f aca="false">cmp_26*cmpx_28</f>
        <v>304</v>
      </c>
      <c r="G187" s="15" t="n">
        <f aca="false">cmp_26*cmpx_29</f>
        <v>323</v>
      </c>
    </row>
    <row r="188" customFormat="false" ht="17.15" hidden="false" customHeight="false" outlineLevel="0" collapsed="false">
      <c r="A188" s="3" t="s">
        <v>375</v>
      </c>
      <c r="B188" s="0" t="s">
        <v>87</v>
      </c>
      <c r="D188" s="15" t="n">
        <f aca="false">sw_26</f>
        <v>90</v>
      </c>
      <c r="E188" s="15" t="n">
        <f aca="false">sw_26*swx_27</f>
        <v>126</v>
      </c>
      <c r="F188" s="15" t="n">
        <f aca="false">sw_26*swx_28</f>
        <v>144</v>
      </c>
      <c r="G188" s="15" t="n">
        <f aca="false">sw_26*swx_29</f>
        <v>157.5</v>
      </c>
    </row>
    <row r="189" customFormat="false" ht="17.15" hidden="false" customHeight="false" outlineLevel="0" collapsed="false">
      <c r="A189" s="3" t="s">
        <v>376</v>
      </c>
      <c r="B189" s="0" t="s">
        <v>87</v>
      </c>
      <c r="D189" s="15" t="n">
        <f aca="false">ubb_26</f>
        <v>70</v>
      </c>
      <c r="E189" s="15" t="n">
        <f aca="false">ubb_26*UXHI_27</f>
        <v>175</v>
      </c>
      <c r="F189" s="15" t="n">
        <f aca="false">ubb_26*UXHI_28</f>
        <v>210</v>
      </c>
      <c r="G189" s="15" t="n">
        <f aca="false">ubb_26*UXHI_29</f>
        <v>245</v>
      </c>
    </row>
    <row r="190" customFormat="false" ht="17.15" hidden="false" customHeight="false" outlineLevel="0" collapsed="false">
      <c r="A190" s="3" t="s">
        <v>423</v>
      </c>
      <c r="B190" s="0" t="s">
        <v>87</v>
      </c>
      <c r="D190" s="15" t="n">
        <f aca="false">D187+D188+D189</f>
        <v>350</v>
      </c>
      <c r="E190" s="15" t="n">
        <f aca="false">E187+E188+E189</f>
        <v>576.5</v>
      </c>
      <c r="F190" s="15" t="n">
        <f aca="false">F187+F188+F189</f>
        <v>658</v>
      </c>
      <c r="G190" s="15" t="n">
        <f aca="false">G187+G188+G189</f>
        <v>725.5</v>
      </c>
    </row>
    <row r="191" customFormat="false" ht="17.15" hidden="false" customHeight="false" outlineLevel="0" collapsed="false">
      <c r="A191" s="0" t="s">
        <v>424</v>
      </c>
      <c r="B191" s="0" t="s">
        <v>27</v>
      </c>
      <c r="D191" s="17" t="n">
        <f aca="false">D186*D190/1000</f>
        <v>8.18983831472237</v>
      </c>
      <c r="E191" s="17" t="n">
        <f aca="false">E186*E190/1000</f>
        <v>24.0093604987257</v>
      </c>
      <c r="F191" s="17" t="n">
        <f aca="false">F186*F190/1000</f>
        <v>34.7372269298412</v>
      </c>
      <c r="G191" s="17" t="n">
        <f aca="false">G186*G190/1000</f>
        <v>43.6305483045489</v>
      </c>
    </row>
    <row r="192" customFormat="false" ht="17.15" hidden="false" customHeight="false" outlineLevel="0" collapsed="false">
      <c r="A192" s="0" t="s">
        <v>425</v>
      </c>
      <c r="B192" s="0" t="s">
        <v>193</v>
      </c>
      <c r="D192" s="16" t="n">
        <f aca="false">D191*fx</f>
        <v>262.074826071116</v>
      </c>
      <c r="E192" s="16" t="n">
        <f aca="false">E191*fx</f>
        <v>768.299535959223</v>
      </c>
      <c r="F192" s="16" t="n">
        <f aca="false">F191*fx</f>
        <v>1111.59126175492</v>
      </c>
      <c r="G192" s="16" t="n">
        <f aca="false">G191*fx</f>
        <v>1396.17754574557</v>
      </c>
    </row>
    <row r="193" customFormat="false" ht="17.15" hidden="false" customHeight="false" outlineLevel="0" collapsed="false">
      <c r="A193" s="0" t="s">
        <v>426</v>
      </c>
      <c r="B193" s="0" t="s">
        <v>60</v>
      </c>
      <c r="D193" s="12" t="n">
        <f aca="false">1</f>
        <v>1</v>
      </c>
      <c r="E193" s="12" t="n">
        <f aca="false">pp_27</f>
        <v>1</v>
      </c>
      <c r="F193" s="12" t="n">
        <f aca="false">pp_28</f>
        <v>0.97</v>
      </c>
      <c r="G193" s="12" t="n">
        <f aca="false">pp_29</f>
        <v>0.93</v>
      </c>
    </row>
    <row r="194" customFormat="false" ht="17.15" hidden="false" customHeight="false" outlineLevel="0" collapsed="false">
      <c r="A194" s="3" t="s">
        <v>427</v>
      </c>
      <c r="B194" s="0" t="s">
        <v>47</v>
      </c>
      <c r="D194" s="11" t="n">
        <f aca="false">a26_ai/D192</f>
        <v>0.459306165741139</v>
      </c>
      <c r="H194" s="7" t="s">
        <v>428</v>
      </c>
    </row>
    <row r="195" customFormat="false" ht="17.15" hidden="false" customHeight="false" outlineLevel="0" collapsed="false">
      <c r="A195" s="3" t="s">
        <v>429</v>
      </c>
      <c r="B195" s="0" t="s">
        <v>60</v>
      </c>
      <c r="D195" s="12" t="n">
        <f aca="false">1</f>
        <v>1</v>
      </c>
      <c r="E195" s="12" t="n">
        <f aca="false">rel_27</f>
        <v>0.95</v>
      </c>
      <c r="F195" s="12" t="n">
        <f aca="false">rel_28</f>
        <v>0.9</v>
      </c>
      <c r="G195" s="12" t="n">
        <f aca="false">rel_29</f>
        <v>0.85</v>
      </c>
    </row>
    <row r="196" customFormat="false" ht="15" hidden="false" customHeight="false" outlineLevel="0" collapsed="false">
      <c r="A196" s="3" t="s">
        <v>384</v>
      </c>
      <c r="B196" s="0" t="s">
        <v>47</v>
      </c>
      <c r="D196" s="11" t="n">
        <f aca="false">$D$194*D195</f>
        <v>0.459306165741139</v>
      </c>
      <c r="E196" s="11" t="n">
        <f aca="false">$D$194*E195</f>
        <v>0.436340857454082</v>
      </c>
      <c r="F196" s="11" t="n">
        <f aca="false">$D$194*F195</f>
        <v>0.413375549167025</v>
      </c>
      <c r="G196" s="11" t="n">
        <f aca="false">$D$194*G195</f>
        <v>0.390410240879968</v>
      </c>
    </row>
    <row r="197" customFormat="false" ht="17.15" hidden="false" customHeight="false" outlineLevel="0" collapsed="false">
      <c r="A197" s="0" t="s">
        <v>430</v>
      </c>
      <c r="B197" s="0" t="s">
        <v>193</v>
      </c>
      <c r="D197" s="16" t="n">
        <f aca="false">D192*D196*D193</f>
        <v>120.3725835</v>
      </c>
      <c r="E197" s="16" t="n">
        <f aca="false">E192*E196*E193</f>
        <v>335.24047830202</v>
      </c>
      <c r="F197" s="16" t="n">
        <f aca="false">F192*F196*F193</f>
        <v>445.719508828889</v>
      </c>
      <c r="G197" s="16" t="n">
        <f aca="false">G192*G196*G193</f>
        <v>506.926271109528</v>
      </c>
    </row>
    <row r="198" customFormat="false" ht="17.15" hidden="false" customHeight="false" outlineLevel="0" collapsed="false">
      <c r="A198" s="5" t="s">
        <v>431</v>
      </c>
    </row>
    <row r="199" customFormat="false" ht="15" hidden="false" customHeight="false" outlineLevel="0" collapsed="false">
      <c r="A199" s="3" t="s">
        <v>389</v>
      </c>
      <c r="B199" s="3" t="s">
        <v>144</v>
      </c>
      <c r="D199" s="12" t="n">
        <f aca="false">cap_26</f>
        <v>6</v>
      </c>
      <c r="E199" s="12" t="n">
        <f aca="false">cap_27</f>
        <v>7.76</v>
      </c>
      <c r="F199" s="12" t="n">
        <f aca="false">cap_28</f>
        <v>10.3</v>
      </c>
      <c r="G199" s="12" t="n">
        <f aca="false">cap_29</f>
        <v>11.8</v>
      </c>
    </row>
    <row r="200" customFormat="false" ht="17.15" hidden="false" customHeight="false" outlineLevel="0" collapsed="false">
      <c r="A200" s="3" t="s">
        <v>432</v>
      </c>
      <c r="B200" s="0" t="s">
        <v>392</v>
      </c>
      <c r="D200" s="15" t="n">
        <f aca="false">a26_rev/(D199*12)*1000</f>
        <v>2857.84861111111</v>
      </c>
      <c r="H200" s="7" t="s">
        <v>433</v>
      </c>
    </row>
    <row r="201" customFormat="false" ht="17.15" hidden="false" customHeight="false" outlineLevel="0" collapsed="false">
      <c r="A201" s="3" t="s">
        <v>434</v>
      </c>
      <c r="B201" s="0" t="s">
        <v>60</v>
      </c>
      <c r="D201" s="12" t="n">
        <f aca="false">1</f>
        <v>1</v>
      </c>
      <c r="E201" s="12" t="n">
        <f aca="false">mix_27</f>
        <v>1.25</v>
      </c>
      <c r="F201" s="12" t="n">
        <f aca="false">mix_28</f>
        <v>1.4</v>
      </c>
      <c r="G201" s="12" t="n">
        <f aca="false">mix_29</f>
        <v>1.5</v>
      </c>
    </row>
    <row r="202" customFormat="false" ht="17.15" hidden="false" customHeight="false" outlineLevel="0" collapsed="false">
      <c r="A202" s="3" t="s">
        <v>435</v>
      </c>
      <c r="B202" s="0" t="s">
        <v>193</v>
      </c>
      <c r="D202" s="16" t="n">
        <f aca="false">D199*12*$D$200*D201*D193/1000</f>
        <v>205.7651</v>
      </c>
      <c r="E202" s="16" t="n">
        <f aca="false">E199*12*$D$200*E201*E193/1000</f>
        <v>332.653578333333</v>
      </c>
      <c r="F202" s="16" t="n">
        <f aca="false">F199*12*$D$200*F201*F193/1000</f>
        <v>479.686459956667</v>
      </c>
      <c r="G202" s="16" t="n">
        <f aca="false">G199*12*$D$200*G201*G193/1000</f>
        <v>564.51655185</v>
      </c>
    </row>
    <row r="203" customFormat="false" ht="17.15" hidden="false" customHeight="false" outlineLevel="0" collapsed="false">
      <c r="A203" s="3" t="s">
        <v>436</v>
      </c>
      <c r="B203" s="0" t="s">
        <v>193</v>
      </c>
      <c r="C203" s="16" t="n">
        <f aca="false">a25_nai</f>
        <v>47.1305</v>
      </c>
      <c r="D203" s="16" t="n">
        <f aca="false">a26_nai</f>
        <v>85.3925165</v>
      </c>
      <c r="E203" s="16" t="n">
        <f aca="false">D203*(1+g_nai27)</f>
        <v>92.22391782</v>
      </c>
      <c r="F203" s="16" t="n">
        <f aca="false">E203*(1+g_nai28)</f>
        <v>97.7573528892</v>
      </c>
      <c r="G203" s="16" t="n">
        <f aca="false">F203*(1+g_nai29)</f>
        <v>102.64522053366</v>
      </c>
    </row>
    <row r="204" customFormat="false" ht="17.15" hidden="false" customHeight="false" outlineLevel="0" collapsed="false">
      <c r="A204" s="0" t="s">
        <v>437</v>
      </c>
      <c r="B204" s="0" t="s">
        <v>193</v>
      </c>
      <c r="C204" s="16" t="n">
        <f aca="false">a25_ai</f>
        <v>47.1305</v>
      </c>
      <c r="D204" s="16" t="n">
        <f aca="false">D197</f>
        <v>120.3725835</v>
      </c>
      <c r="E204" s="16" t="n">
        <f aca="false">MIN(E197,E202-E203)</f>
        <v>240.429660513333</v>
      </c>
      <c r="F204" s="16" t="n">
        <f aca="false">MIN(F197,F202-F203)</f>
        <v>381.929107067467</v>
      </c>
      <c r="G204" s="16" t="n">
        <f aca="false">MIN(G197,G202-G203)</f>
        <v>461.87133131634</v>
      </c>
      <c r="H204" s="3" t="s">
        <v>438</v>
      </c>
    </row>
    <row r="205" customFormat="false" ht="15" hidden="false" customHeight="false" outlineLevel="0" collapsed="false">
      <c r="A205" s="3" t="s">
        <v>439</v>
      </c>
      <c r="E205" s="0" t="str">
        <f aca="false">IF(E197&gt;E202-E203+0.0001,"受限","未受限")</f>
        <v>受限</v>
      </c>
      <c r="F205" s="0" t="str">
        <f aca="false">IF(F197&gt;F202-F203+0.0001,"受限","未受限")</f>
        <v>受限</v>
      </c>
      <c r="G205" s="0" t="str">
        <f aca="false">IF(G197&gt;G202-G203+0.0001,"受限","未受限")</f>
        <v>受限</v>
      </c>
    </row>
    <row r="206" customFormat="false" ht="15" hidden="false" customHeight="false" outlineLevel="0" collapsed="false">
      <c r="A206" s="3" t="s">
        <v>320</v>
      </c>
      <c r="B206" s="0" t="s">
        <v>193</v>
      </c>
      <c r="C206" s="16" t="n">
        <f aca="false">C204+C203</f>
        <v>94.261</v>
      </c>
      <c r="D206" s="16" t="n">
        <f aca="false">D204+D203</f>
        <v>205.7651</v>
      </c>
      <c r="E206" s="16" t="n">
        <f aca="false">E204+E203</f>
        <v>332.653578333333</v>
      </c>
      <c r="F206" s="16" t="n">
        <f aca="false">F204+F203</f>
        <v>479.686459956667</v>
      </c>
      <c r="G206" s="16" t="n">
        <f aca="false">G204+G203</f>
        <v>564.51655185</v>
      </c>
    </row>
    <row r="207" customFormat="false" ht="15" hidden="false" customHeight="false" outlineLevel="0" collapsed="false">
      <c r="A207" s="3" t="s">
        <v>440</v>
      </c>
      <c r="B207" s="0" t="s">
        <v>47</v>
      </c>
      <c r="D207" s="11" t="n">
        <f aca="false">D206/C206-1</f>
        <v>1.1829293132897</v>
      </c>
      <c r="E207" s="11" t="n">
        <f aca="false">E206/D206-1</f>
        <v>0.616666666666667</v>
      </c>
      <c r="F207" s="11" t="n">
        <f aca="false">F206/E206-1</f>
        <v>0.442</v>
      </c>
      <c r="G207" s="11" t="n">
        <f aca="false">G206/F206-1</f>
        <v>0.17684487467292</v>
      </c>
    </row>
    <row r="208" customFormat="false" ht="17.15" hidden="false" customHeight="false" outlineLevel="0" collapsed="false">
      <c r="A208" s="0" t="s">
        <v>441</v>
      </c>
      <c r="B208" s="0" t="s">
        <v>47</v>
      </c>
      <c r="C208" s="11" t="n">
        <f aca="false">C204/C206</f>
        <v>0.5</v>
      </c>
      <c r="D208" s="11" t="n">
        <f aca="false">D204/D206</f>
        <v>0.585</v>
      </c>
      <c r="E208" s="11" t="n">
        <f aca="false">E204/E206</f>
        <v>0.722762886597938</v>
      </c>
      <c r="F208" s="11" t="n">
        <f aca="false">F204/F206</f>
        <v>0.796205728012354</v>
      </c>
      <c r="G208" s="11" t="n">
        <f aca="false">G204/G206</f>
        <v>0.818171459814106</v>
      </c>
    </row>
    <row r="209" customFormat="false" ht="17.15" hidden="false" customHeight="false" outlineLevel="0" collapsed="false">
      <c r="A209" s="3" t="s">
        <v>442</v>
      </c>
      <c r="B209" s="0" t="s">
        <v>47</v>
      </c>
      <c r="D209" s="11" t="n">
        <f aca="false">(D197+D203)/D202</f>
        <v>1</v>
      </c>
      <c r="E209" s="11" t="n">
        <f aca="false">(E197+E203)/E202</f>
        <v>1.28501367177143</v>
      </c>
      <c r="F209" s="11" t="n">
        <f aca="false">(F197+F203)/F202</f>
        <v>1.13298353630241</v>
      </c>
      <c r="G209" s="11" t="n">
        <f aca="false">(G197+G203)/G202</f>
        <v>1.07981154785548</v>
      </c>
      <c r="H209" s="3" t="s">
        <v>443</v>
      </c>
    </row>
    <row r="210" customFormat="false" ht="17.15" hidden="false" customHeight="false" outlineLevel="0" collapsed="false">
      <c r="A210" s="3" t="s">
        <v>388</v>
      </c>
      <c r="B210" s="0" t="s">
        <v>87</v>
      </c>
      <c r="D210" s="15" t="n">
        <f aca="false">D204/fx/D186*1000</f>
        <v>160.757158009399</v>
      </c>
      <c r="E210" s="15" t="n">
        <f aca="false">E204/fx/E186*1000</f>
        <v>180.408412082255</v>
      </c>
      <c r="F210" s="15" t="n">
        <f aca="false">F204/fx/F186*1000</f>
        <v>226.080719682557</v>
      </c>
      <c r="G210" s="15" t="n">
        <f aca="false">G204/fx/G186*1000</f>
        <v>240.003609778057</v>
      </c>
    </row>
    <row r="211" customFormat="false" ht="17.15" hidden="false" customHeight="false" outlineLevel="0" collapsed="false">
      <c r="A211" s="5" t="s">
        <v>444</v>
      </c>
    </row>
    <row r="212" customFormat="false" ht="17.15" hidden="false" customHeight="false" outlineLevel="0" collapsed="false">
      <c r="A212" s="3" t="s">
        <v>445</v>
      </c>
      <c r="B212" s="0" t="s">
        <v>47</v>
      </c>
      <c r="D212" s="11" t="n">
        <f aca="false">a26_gp/D206-d_ai*D208</f>
        <v>0.291564442755356</v>
      </c>
      <c r="H212" s="7" t="s">
        <v>446</v>
      </c>
    </row>
    <row r="213" customFormat="false" ht="17.15" hidden="false" customHeight="false" outlineLevel="0" collapsed="false">
      <c r="A213" s="0" t="s">
        <v>447</v>
      </c>
      <c r="B213" s="0" t="s">
        <v>47</v>
      </c>
      <c r="D213" s="11" t="n">
        <f aca="false">D212+d_ai</f>
        <v>0.371564442755356</v>
      </c>
      <c r="E213" s="11" t="n">
        <f aca="false">1-(1-$D$213)/E193</f>
        <v>0.371564442755356</v>
      </c>
      <c r="F213" s="11" t="n">
        <f aca="false">1-(1-$D$213)/F193</f>
        <v>0.352128291500367</v>
      </c>
      <c r="G213" s="11" t="n">
        <f aca="false">1-(1-$D$213)/G193</f>
        <v>0.324262841672425</v>
      </c>
      <c r="H213" s="7" t="s">
        <v>448</v>
      </c>
    </row>
    <row r="214" customFormat="false" ht="15" hidden="false" customHeight="false" outlineLevel="0" collapsed="false">
      <c r="A214" s="3" t="s">
        <v>324</v>
      </c>
      <c r="B214" s="0" t="s">
        <v>193</v>
      </c>
      <c r="C214" s="16" t="n">
        <f aca="false">a25_gp</f>
        <v>28.12</v>
      </c>
      <c r="D214" s="16" t="n">
        <f aca="false">a26_gp</f>
        <v>69.6235934</v>
      </c>
      <c r="E214" s="16" t="n">
        <f aca="false">E204*E213+E203*$D$212</f>
        <v>116.2243280384</v>
      </c>
      <c r="F214" s="16" t="n">
        <f aca="false">F204*F213+F203*$D$212</f>
        <v>162.990612066306</v>
      </c>
      <c r="G214" s="16" t="n">
        <f aca="false">G204*G213+G203*$D$212</f>
        <v>179.69540690606</v>
      </c>
    </row>
    <row r="215" customFormat="false" ht="15" hidden="false" customHeight="false" outlineLevel="0" collapsed="false">
      <c r="A215" s="3" t="s">
        <v>327</v>
      </c>
      <c r="B215" s="0" t="s">
        <v>47</v>
      </c>
      <c r="C215" s="11" t="n">
        <f aca="false">C214/C206</f>
        <v>0.298320620405046</v>
      </c>
      <c r="D215" s="11" t="n">
        <f aca="false">D214/D206</f>
        <v>0.338364442755356</v>
      </c>
      <c r="E215" s="11" t="n">
        <f aca="false">E214/E206</f>
        <v>0.349385473683191</v>
      </c>
      <c r="F215" s="11" t="n">
        <f aca="false">F214/F206</f>
        <v>0.339785726036607</v>
      </c>
      <c r="G215" s="11" t="n">
        <f aca="false">G214/G206</f>
        <v>0.318317339530918</v>
      </c>
    </row>
    <row r="216" customFormat="false" ht="15" hidden="false" customHeight="false" outlineLevel="0" collapsed="false">
      <c r="A216" s="3" t="s">
        <v>449</v>
      </c>
      <c r="B216" s="0" t="s">
        <v>193</v>
      </c>
      <c r="C216" s="16" t="n">
        <f aca="false">a25_opx</f>
        <v>9.012</v>
      </c>
      <c r="D216" s="16" t="n">
        <f aca="false">a26_opx</f>
        <v>14.0153081141857</v>
      </c>
      <c r="E216" s="16" t="n">
        <f aca="false">D216*(1+MAX(0,phi*E207))</f>
        <v>19.2009721164345</v>
      </c>
      <c r="F216" s="16" t="n">
        <f aca="false">E216*(1+MAX(0,phi*F207))</f>
        <v>24.2930699217129</v>
      </c>
      <c r="G216" s="16" t="n">
        <f aca="false">F216*(1+MAX(0,phi*G207))</f>
        <v>26.8707328651484</v>
      </c>
    </row>
    <row r="217" customFormat="false" ht="15" hidden="false" customHeight="false" outlineLevel="0" collapsed="false">
      <c r="A217" s="3" t="s">
        <v>329</v>
      </c>
      <c r="B217" s="0" t="s">
        <v>193</v>
      </c>
      <c r="C217" s="16" t="n">
        <f aca="false">C216</f>
        <v>9.012</v>
      </c>
      <c r="D217" s="16" t="n">
        <f aca="false">D216</f>
        <v>14.0153081141857</v>
      </c>
      <c r="E217" s="16" t="n">
        <f aca="false">E216+0*E206</f>
        <v>19.2009721164345</v>
      </c>
      <c r="F217" s="16" t="n">
        <f aca="false">F216+0*F206</f>
        <v>24.2930699217129</v>
      </c>
      <c r="G217" s="16" t="n">
        <f aca="false">G216+0*G206</f>
        <v>26.8707328651484</v>
      </c>
    </row>
    <row r="218" customFormat="false" ht="15" hidden="false" customHeight="false" outlineLevel="0" collapsed="false">
      <c r="A218" s="3" t="s">
        <v>332</v>
      </c>
      <c r="B218" s="0" t="s">
        <v>193</v>
      </c>
      <c r="C218" s="16" t="n">
        <f aca="false">C214-C217</f>
        <v>19.108</v>
      </c>
      <c r="D218" s="16" t="n">
        <f aca="false">D214-D217</f>
        <v>55.6082852858143</v>
      </c>
      <c r="E218" s="16" t="n">
        <f aca="false">E214-E217</f>
        <v>97.0233559219655</v>
      </c>
      <c r="F218" s="16" t="n">
        <f aca="false">F214-F217</f>
        <v>138.697542144593</v>
      </c>
      <c r="G218" s="16" t="n">
        <f aca="false">G214-G217</f>
        <v>152.824674040911</v>
      </c>
    </row>
    <row r="219" customFormat="false" ht="15" hidden="false" customHeight="false" outlineLevel="0" collapsed="false">
      <c r="A219" s="3" t="s">
        <v>335</v>
      </c>
      <c r="B219" s="0" t="s">
        <v>47</v>
      </c>
      <c r="C219" s="11" t="n">
        <f aca="false">C218/C206</f>
        <v>0.202713741632276</v>
      </c>
      <c r="D219" s="11" t="n">
        <f aca="false">D218/D206</f>
        <v>0.270251297648699</v>
      </c>
      <c r="E219" s="11" t="n">
        <f aca="false">E218/E206</f>
        <v>0.291664849685591</v>
      </c>
      <c r="F219" s="11" t="n">
        <f aca="false">F218/F206</f>
        <v>0.28914208284537</v>
      </c>
      <c r="G219" s="11" t="n">
        <f aca="false">G218/G206</f>
        <v>0.270717791250024</v>
      </c>
    </row>
    <row r="220" customFormat="false" ht="17.15" hidden="false" customHeight="false" outlineLevel="0" collapsed="false">
      <c r="A220" s="3" t="s">
        <v>337</v>
      </c>
      <c r="B220" s="0" t="s">
        <v>193</v>
      </c>
      <c r="E220" s="16" t="n">
        <f aca="false">nop_f</f>
        <v>0.5</v>
      </c>
      <c r="F220" s="16" t="n">
        <f aca="false">nop_f</f>
        <v>0.5</v>
      </c>
      <c r="G220" s="16" t="n">
        <f aca="false">nop_f</f>
        <v>0.5</v>
      </c>
      <c r="H220" s="7" t="s">
        <v>450</v>
      </c>
    </row>
    <row r="221" customFormat="false" ht="15" hidden="false" customHeight="false" outlineLevel="0" collapsed="false">
      <c r="A221" s="3" t="s">
        <v>340</v>
      </c>
      <c r="B221" s="0" t="s">
        <v>193</v>
      </c>
      <c r="C221" s="16" t="n">
        <f aca="false">a25_ni</f>
        <v>14.649</v>
      </c>
      <c r="D221" s="16" t="n">
        <f aca="false">a26_ni</f>
        <v>42.891099295</v>
      </c>
      <c r="E221" s="16" t="n">
        <f aca="false">(E218+E220)*nir_f</f>
        <v>75.0929840599135</v>
      </c>
      <c r="F221" s="16" t="n">
        <f aca="false">(F218+F220)*nir_f</f>
        <v>107.182107451337</v>
      </c>
      <c r="G221" s="16" t="n">
        <f aca="false">(G218+G220)*nir_f</f>
        <v>118.059999011502</v>
      </c>
    </row>
    <row r="222" customFormat="false" ht="17.15" hidden="false" customHeight="false" outlineLevel="0" collapsed="false">
      <c r="A222" s="3" t="s">
        <v>343</v>
      </c>
      <c r="B222" s="0" t="s">
        <v>47</v>
      </c>
      <c r="C222" s="11" t="n">
        <f aca="false">C221/C218</f>
        <v>0.766642244086247</v>
      </c>
      <c r="D222" s="11" t="n">
        <f aca="false">D221/D218</f>
        <v>0.771307712053146</v>
      </c>
      <c r="E222" s="11" t="n">
        <f aca="false">E221/E218</f>
        <v>0.77396811671109</v>
      </c>
      <c r="F222" s="11" t="n">
        <f aca="false">F221/F218</f>
        <v>0.772775824243508</v>
      </c>
      <c r="G222" s="11" t="n">
        <f aca="false">G221/G218</f>
        <v>0.772519226704825</v>
      </c>
    </row>
    <row r="223" customFormat="false" ht="15" hidden="false" customHeight="false" outlineLevel="0" collapsed="false">
      <c r="A223" s="3" t="s">
        <v>451</v>
      </c>
      <c r="B223" s="3" t="s">
        <v>222</v>
      </c>
      <c r="C223" s="18" t="n">
        <f aca="false">a25_sh</f>
        <v>0.351547876169906</v>
      </c>
      <c r="D223" s="18" t="n">
        <f aca="false">a26_sh</f>
        <v>0.358290155440415</v>
      </c>
      <c r="E223" s="18" t="n">
        <f aca="false">D223*(1+sh_g)</f>
        <v>0.358290155440415</v>
      </c>
      <c r="F223" s="18" t="n">
        <f aca="false">E223*(1+sh_g)</f>
        <v>0.358290155440415</v>
      </c>
      <c r="G223" s="18" t="n">
        <f aca="false">F223*(1+sh_g)</f>
        <v>0.358290155440415</v>
      </c>
    </row>
    <row r="224" customFormat="false" ht="15" hidden="false" customHeight="false" outlineLevel="0" collapsed="false">
      <c r="A224" s="0" t="s">
        <v>346</v>
      </c>
      <c r="B224" s="0" t="s">
        <v>253</v>
      </c>
      <c r="C224" s="17" t="n">
        <f aca="false">C221/C223</f>
        <v>41.67</v>
      </c>
      <c r="D224" s="17" t="n">
        <f aca="false">D221/D223</f>
        <v>119.710515747433</v>
      </c>
      <c r="E224" s="17" t="n">
        <f aca="false">E221/E223</f>
        <v>209.587070478139</v>
      </c>
      <c r="F224" s="17" t="n">
        <f aca="false">F221/F223</f>
        <v>299.14890438334</v>
      </c>
      <c r="G224" s="17" t="n">
        <f aca="false">G221/G223</f>
        <v>329.509469403035</v>
      </c>
    </row>
    <row r="225" customFormat="false" ht="17.15" hidden="false" customHeight="false" outlineLevel="0" collapsed="false">
      <c r="A225" s="0" t="s">
        <v>452</v>
      </c>
      <c r="B225" s="0" t="s">
        <v>47</v>
      </c>
      <c r="D225" s="11" t="n">
        <f aca="false">D224/C224-1</f>
        <v>1.87282255213422</v>
      </c>
      <c r="E225" s="11" t="n">
        <f aca="false">E224/D224-1</f>
        <v>0.750782453567642</v>
      </c>
      <c r="F225" s="11" t="n">
        <f aca="false">F224/E224-1</f>
        <v>0.42732518614283</v>
      </c>
      <c r="G225" s="11" t="n">
        <f aca="false">G224/F224-1</f>
        <v>0.101489808502824</v>
      </c>
    </row>
    <row r="228" customFormat="false" ht="17.15" hidden="false" customHeight="false" outlineLevel="0" collapsed="false">
      <c r="A228" s="1" t="s">
        <v>655</v>
      </c>
    </row>
    <row r="229" customFormat="false" ht="17.15" hidden="false" customHeight="false" outlineLevel="0" collapsed="false">
      <c r="A229" s="4" t="s">
        <v>16</v>
      </c>
      <c r="B229" s="4" t="s">
        <v>17</v>
      </c>
      <c r="C229" s="8" t="s">
        <v>315</v>
      </c>
      <c r="D229" s="8" t="s">
        <v>401</v>
      </c>
      <c r="E229" s="8" t="s">
        <v>402</v>
      </c>
      <c r="F229" s="8" t="s">
        <v>403</v>
      </c>
      <c r="G229" s="8" t="s">
        <v>404</v>
      </c>
      <c r="H229" s="4" t="s">
        <v>369</v>
      </c>
    </row>
    <row r="230" customFormat="false" ht="17.15" hidden="false" customHeight="false" outlineLevel="0" collapsed="false">
      <c r="A230" s="5" t="s">
        <v>419</v>
      </c>
    </row>
    <row r="231" customFormat="false" ht="17.15" hidden="false" customHeight="false" outlineLevel="0" collapsed="false">
      <c r="A231" s="0" t="s">
        <v>420</v>
      </c>
      <c r="B231" s="0" t="s">
        <v>27</v>
      </c>
      <c r="D231" s="17" t="n">
        <f aca="false">itc_26*1</f>
        <v>781.872916666667</v>
      </c>
      <c r="E231" s="17" t="n">
        <f aca="false">itc_27*1*1</f>
        <v>1565.35</v>
      </c>
      <c r="F231" s="17" t="n">
        <f aca="false">itc_28*um28_A*1</f>
        <v>1984.26388888889</v>
      </c>
      <c r="G231" s="17" t="n">
        <f aca="false">itc_29*um29_A*1</f>
        <v>2260.39027777778</v>
      </c>
    </row>
    <row r="232" customFormat="false" ht="17.15" hidden="false" customHeight="false" outlineLevel="0" collapsed="false">
      <c r="A232" s="3" t="s">
        <v>421</v>
      </c>
      <c r="B232" s="0" t="s">
        <v>27</v>
      </c>
      <c r="D232" s="17" t="n">
        <f aca="false">itpg_gb*(1-vr26)+itpg_vr*vr26</f>
        <v>33.41403216</v>
      </c>
      <c r="E232" s="17" t="n">
        <f aca="false">itpg_vr</f>
        <v>37.586352</v>
      </c>
      <c r="F232" s="17" t="n">
        <f aca="false">itpg_vr</f>
        <v>37.586352</v>
      </c>
      <c r="G232" s="17" t="n">
        <f aca="false">itpg_vr</f>
        <v>37.586352</v>
      </c>
    </row>
    <row r="233" customFormat="false" ht="17.15" hidden="false" customHeight="false" outlineLevel="0" collapsed="false">
      <c r="A233" s="3" t="s">
        <v>422</v>
      </c>
      <c r="B233" s="0" t="s">
        <v>371</v>
      </c>
      <c r="D233" s="14" t="n">
        <f aca="false">D231/D232</f>
        <v>23.3995380420639</v>
      </c>
      <c r="E233" s="14" t="n">
        <f aca="false">E231/E232</f>
        <v>41.6467658260637</v>
      </c>
      <c r="F233" s="14" t="n">
        <f aca="false">F231/F232</f>
        <v>52.792138191248</v>
      </c>
      <c r="G233" s="14" t="n">
        <f aca="false">G231/G232</f>
        <v>60.1385917361116</v>
      </c>
    </row>
    <row r="234" customFormat="false" ht="17.15" hidden="false" customHeight="false" outlineLevel="0" collapsed="false">
      <c r="A234" s="3" t="s">
        <v>373</v>
      </c>
      <c r="B234" s="0" t="s">
        <v>87</v>
      </c>
      <c r="D234" s="15" t="n">
        <f aca="false">cmp_26</f>
        <v>190</v>
      </c>
      <c r="E234" s="15" t="n">
        <f aca="false">cmp_26*cmpx_27</f>
        <v>275.5</v>
      </c>
      <c r="F234" s="15" t="n">
        <f aca="false">cmp_26*cmpx_28</f>
        <v>304</v>
      </c>
      <c r="G234" s="15" t="n">
        <f aca="false">cmp_26*cmpx_29</f>
        <v>323</v>
      </c>
    </row>
    <row r="235" customFormat="false" ht="17.15" hidden="false" customHeight="false" outlineLevel="0" collapsed="false">
      <c r="A235" s="3" t="s">
        <v>375</v>
      </c>
      <c r="B235" s="0" t="s">
        <v>87</v>
      </c>
      <c r="D235" s="15" t="n">
        <f aca="false">sw_26</f>
        <v>90</v>
      </c>
      <c r="E235" s="15" t="n">
        <f aca="false">sw_26*swx_27</f>
        <v>126</v>
      </c>
      <c r="F235" s="15" t="n">
        <f aca="false">sw_26*swx_28</f>
        <v>144</v>
      </c>
      <c r="G235" s="15" t="n">
        <f aca="false">sw_26*swx_29</f>
        <v>157.5</v>
      </c>
    </row>
    <row r="236" customFormat="false" ht="17.15" hidden="false" customHeight="false" outlineLevel="0" collapsed="false">
      <c r="A236" s="3" t="s">
        <v>376</v>
      </c>
      <c r="B236" s="0" t="s">
        <v>87</v>
      </c>
      <c r="D236" s="15" t="n">
        <f aca="false">ubb_26</f>
        <v>70</v>
      </c>
      <c r="E236" s="15" t="n">
        <f aca="false">ubb_26*ubbx_27</f>
        <v>126</v>
      </c>
      <c r="F236" s="15" t="n">
        <f aca="false">ubb_26*ubbx_28</f>
        <v>161</v>
      </c>
      <c r="G236" s="15" t="n">
        <f aca="false">ubb_26*ubbx_29</f>
        <v>182</v>
      </c>
    </row>
    <row r="237" customFormat="false" ht="17.15" hidden="false" customHeight="false" outlineLevel="0" collapsed="false">
      <c r="A237" s="3" t="s">
        <v>423</v>
      </c>
      <c r="B237" s="0" t="s">
        <v>87</v>
      </c>
      <c r="D237" s="15" t="n">
        <f aca="false">D234+D235+D236</f>
        <v>350</v>
      </c>
      <c r="E237" s="15" t="n">
        <f aca="false">E234+E235+E236</f>
        <v>527.5</v>
      </c>
      <c r="F237" s="15" t="n">
        <f aca="false">F234+F235+F236</f>
        <v>609</v>
      </c>
      <c r="G237" s="15" t="n">
        <f aca="false">G234+G235+G236</f>
        <v>662.5</v>
      </c>
    </row>
    <row r="238" customFormat="false" ht="17.15" hidden="false" customHeight="false" outlineLevel="0" collapsed="false">
      <c r="A238" s="0" t="s">
        <v>424</v>
      </c>
      <c r="B238" s="0" t="s">
        <v>27</v>
      </c>
      <c r="D238" s="17" t="n">
        <f aca="false">D233*D237/1000</f>
        <v>8.18983831472237</v>
      </c>
      <c r="E238" s="17" t="n">
        <f aca="false">E233*E237/1000</f>
        <v>21.9686689732486</v>
      </c>
      <c r="F238" s="17" t="n">
        <f aca="false">F233*F237/1000</f>
        <v>32.15041215847</v>
      </c>
      <c r="G238" s="17" t="n">
        <f aca="false">G233*G237/1000</f>
        <v>39.8418170251739</v>
      </c>
    </row>
    <row r="239" customFormat="false" ht="17.15" hidden="false" customHeight="false" outlineLevel="0" collapsed="false">
      <c r="A239" s="0" t="s">
        <v>425</v>
      </c>
      <c r="B239" s="0" t="s">
        <v>193</v>
      </c>
      <c r="D239" s="16" t="n">
        <f aca="false">D238*fx</f>
        <v>262.074826071116</v>
      </c>
      <c r="E239" s="16" t="n">
        <f aca="false">E238*fx</f>
        <v>702.997407143955</v>
      </c>
      <c r="F239" s="16" t="n">
        <f aca="false">F238*fx</f>
        <v>1028.81318907104</v>
      </c>
      <c r="G239" s="16" t="n">
        <f aca="false">G238*fx</f>
        <v>1274.93814480557</v>
      </c>
    </row>
    <row r="240" customFormat="false" ht="17.15" hidden="false" customHeight="false" outlineLevel="0" collapsed="false">
      <c r="A240" s="0" t="s">
        <v>426</v>
      </c>
      <c r="B240" s="0" t="s">
        <v>60</v>
      </c>
      <c r="D240" s="12" t="n">
        <f aca="false">1</f>
        <v>1</v>
      </c>
      <c r="E240" s="12" t="n">
        <f aca="false">pp_27</f>
        <v>1</v>
      </c>
      <c r="F240" s="12" t="n">
        <f aca="false">pp_28</f>
        <v>0.97</v>
      </c>
      <c r="G240" s="12" t="n">
        <f aca="false">pp_29</f>
        <v>0.93</v>
      </c>
    </row>
    <row r="241" customFormat="false" ht="17.15" hidden="false" customHeight="false" outlineLevel="0" collapsed="false">
      <c r="A241" s="3" t="s">
        <v>427</v>
      </c>
      <c r="B241" s="0" t="s">
        <v>47</v>
      </c>
      <c r="D241" s="11" t="n">
        <f aca="false">a26_ai/D239</f>
        <v>0.459306165741139</v>
      </c>
      <c r="H241" s="7" t="s">
        <v>428</v>
      </c>
    </row>
    <row r="242" customFormat="false" ht="17.15" hidden="false" customHeight="false" outlineLevel="0" collapsed="false">
      <c r="A242" s="3" t="s">
        <v>429</v>
      </c>
      <c r="B242" s="0" t="s">
        <v>60</v>
      </c>
      <c r="D242" s="12" t="n">
        <f aca="false">1</f>
        <v>1</v>
      </c>
      <c r="E242" s="12" t="n">
        <f aca="false">RLO_27</f>
        <v>0.85</v>
      </c>
      <c r="F242" s="12" t="n">
        <f aca="false">RLO_28</f>
        <v>0.75</v>
      </c>
      <c r="G242" s="12" t="n">
        <f aca="false">RLO_29</f>
        <v>0.7</v>
      </c>
    </row>
    <row r="243" customFormat="false" ht="15" hidden="false" customHeight="false" outlineLevel="0" collapsed="false">
      <c r="A243" s="3" t="s">
        <v>384</v>
      </c>
      <c r="B243" s="0" t="s">
        <v>47</v>
      </c>
      <c r="D243" s="11" t="n">
        <f aca="false">$D$241*D242</f>
        <v>0.459306165741139</v>
      </c>
      <c r="E243" s="11" t="n">
        <f aca="false">$D$241*E242</f>
        <v>0.390410240879968</v>
      </c>
      <c r="F243" s="11" t="n">
        <f aca="false">$D$241*F242</f>
        <v>0.344479624305854</v>
      </c>
      <c r="G243" s="11" t="n">
        <f aca="false">$D$241*G242</f>
        <v>0.321514316018797</v>
      </c>
    </row>
    <row r="244" customFormat="false" ht="17.15" hidden="false" customHeight="false" outlineLevel="0" collapsed="false">
      <c r="A244" s="0" t="s">
        <v>430</v>
      </c>
      <c r="B244" s="0" t="s">
        <v>193</v>
      </c>
      <c r="D244" s="16" t="n">
        <f aca="false">D239*D243*D240</f>
        <v>120.3725835</v>
      </c>
      <c r="E244" s="16" t="n">
        <f aca="false">E239*E243*E240</f>
        <v>274.457387061064</v>
      </c>
      <c r="F244" s="16" t="n">
        <f aca="false">F239*F243*F240</f>
        <v>343.773025426537</v>
      </c>
      <c r="G244" s="16" t="n">
        <f aca="false">G239*G243*G240</f>
        <v>381.217105001895</v>
      </c>
    </row>
    <row r="245" customFormat="false" ht="17.15" hidden="false" customHeight="false" outlineLevel="0" collapsed="false">
      <c r="A245" s="5" t="s">
        <v>431</v>
      </c>
    </row>
    <row r="246" customFormat="false" ht="15" hidden="false" customHeight="false" outlineLevel="0" collapsed="false">
      <c r="A246" s="3" t="s">
        <v>389</v>
      </c>
      <c r="B246" s="3" t="s">
        <v>144</v>
      </c>
      <c r="D246" s="12" t="n">
        <f aca="false">cap_26</f>
        <v>6</v>
      </c>
      <c r="E246" s="12" t="n">
        <f aca="false">cap_27</f>
        <v>7.76</v>
      </c>
      <c r="F246" s="12" t="n">
        <f aca="false">cap_28</f>
        <v>10.3</v>
      </c>
      <c r="G246" s="12" t="n">
        <f aca="false">cap_29</f>
        <v>11.8</v>
      </c>
    </row>
    <row r="247" customFormat="false" ht="17.15" hidden="false" customHeight="false" outlineLevel="0" collapsed="false">
      <c r="A247" s="3" t="s">
        <v>432</v>
      </c>
      <c r="B247" s="0" t="s">
        <v>392</v>
      </c>
      <c r="D247" s="15" t="n">
        <f aca="false">a26_rev/(D246*12)*1000</f>
        <v>2857.84861111111</v>
      </c>
      <c r="H247" s="7" t="s">
        <v>433</v>
      </c>
    </row>
    <row r="248" customFormat="false" ht="17.15" hidden="false" customHeight="false" outlineLevel="0" collapsed="false">
      <c r="A248" s="3" t="s">
        <v>434</v>
      </c>
      <c r="B248" s="0" t="s">
        <v>60</v>
      </c>
      <c r="D248" s="12" t="n">
        <f aca="false">1</f>
        <v>1</v>
      </c>
      <c r="E248" s="12" t="n">
        <f aca="false">mix_27</f>
        <v>1.25</v>
      </c>
      <c r="F248" s="12" t="n">
        <f aca="false">mix_28</f>
        <v>1.4</v>
      </c>
      <c r="G248" s="12" t="n">
        <f aca="false">mix_29</f>
        <v>1.5</v>
      </c>
    </row>
    <row r="249" customFormat="false" ht="17.15" hidden="false" customHeight="false" outlineLevel="0" collapsed="false">
      <c r="A249" s="3" t="s">
        <v>435</v>
      </c>
      <c r="B249" s="0" t="s">
        <v>193</v>
      </c>
      <c r="D249" s="16" t="n">
        <f aca="false">D246*12*$D$247*D248*D240/1000</f>
        <v>205.7651</v>
      </c>
      <c r="E249" s="16" t="n">
        <f aca="false">E246*12*$D$247*E248*E240/1000</f>
        <v>332.653578333333</v>
      </c>
      <c r="F249" s="16" t="n">
        <f aca="false">F246*12*$D$247*F248*F240/1000</f>
        <v>479.686459956667</v>
      </c>
      <c r="G249" s="16" t="n">
        <f aca="false">G246*12*$D$247*G248*G240/1000</f>
        <v>564.51655185</v>
      </c>
    </row>
    <row r="250" customFormat="false" ht="17.15" hidden="false" customHeight="false" outlineLevel="0" collapsed="false">
      <c r="A250" s="3" t="s">
        <v>436</v>
      </c>
      <c r="B250" s="0" t="s">
        <v>193</v>
      </c>
      <c r="C250" s="16" t="n">
        <f aca="false">a25_nai</f>
        <v>47.1305</v>
      </c>
      <c r="D250" s="16" t="n">
        <f aca="false">a26_nai</f>
        <v>85.3925165</v>
      </c>
      <c r="E250" s="16" t="n">
        <f aca="false">D250*(1+g_nai27)</f>
        <v>92.22391782</v>
      </c>
      <c r="F250" s="16" t="n">
        <f aca="false">E250*(1+g_nai28)</f>
        <v>97.7573528892</v>
      </c>
      <c r="G250" s="16" t="n">
        <f aca="false">F250*(1+g_nai29)</f>
        <v>102.64522053366</v>
      </c>
    </row>
    <row r="251" customFormat="false" ht="17.15" hidden="false" customHeight="false" outlineLevel="0" collapsed="false">
      <c r="A251" s="0" t="s">
        <v>437</v>
      </c>
      <c r="B251" s="0" t="s">
        <v>193</v>
      </c>
      <c r="C251" s="16" t="n">
        <f aca="false">a25_ai</f>
        <v>47.1305</v>
      </c>
      <c r="D251" s="16" t="n">
        <f aca="false">D244</f>
        <v>120.3725835</v>
      </c>
      <c r="E251" s="16" t="n">
        <f aca="false">MIN(E244,E249-E250)</f>
        <v>240.429660513333</v>
      </c>
      <c r="F251" s="16" t="n">
        <f aca="false">MIN(F244,F249-F250)</f>
        <v>343.773025426537</v>
      </c>
      <c r="G251" s="16" t="n">
        <f aca="false">MIN(G244,G249-G250)</f>
        <v>381.217105001895</v>
      </c>
      <c r="H251" s="3" t="s">
        <v>438</v>
      </c>
    </row>
    <row r="252" customFormat="false" ht="15" hidden="false" customHeight="false" outlineLevel="0" collapsed="false">
      <c r="A252" s="3" t="s">
        <v>439</v>
      </c>
      <c r="E252" s="0" t="str">
        <f aca="false">IF(E244&gt;E249-E250+0.0001,"受限","未受限")</f>
        <v>受限</v>
      </c>
      <c r="F252" s="0" t="str">
        <f aca="false">IF(F244&gt;F249-F250+0.0001,"受限","未受限")</f>
        <v>未受限</v>
      </c>
      <c r="G252" s="0" t="str">
        <f aca="false">IF(G244&gt;G249-G250+0.0001,"受限","未受限")</f>
        <v>未受限</v>
      </c>
    </row>
    <row r="253" customFormat="false" ht="15" hidden="false" customHeight="false" outlineLevel="0" collapsed="false">
      <c r="A253" s="3" t="s">
        <v>320</v>
      </c>
      <c r="B253" s="0" t="s">
        <v>193</v>
      </c>
      <c r="C253" s="16" t="n">
        <f aca="false">C251+C250</f>
        <v>94.261</v>
      </c>
      <c r="D253" s="16" t="n">
        <f aca="false">D251+D250</f>
        <v>205.7651</v>
      </c>
      <c r="E253" s="16" t="n">
        <f aca="false">E251+E250</f>
        <v>332.653578333333</v>
      </c>
      <c r="F253" s="16" t="n">
        <f aca="false">F251+F250</f>
        <v>441.530378315737</v>
      </c>
      <c r="G253" s="16" t="n">
        <f aca="false">G251+G250</f>
        <v>483.862325535555</v>
      </c>
    </row>
    <row r="254" customFormat="false" ht="15" hidden="false" customHeight="false" outlineLevel="0" collapsed="false">
      <c r="A254" s="3" t="s">
        <v>440</v>
      </c>
      <c r="B254" s="0" t="s">
        <v>47</v>
      </c>
      <c r="D254" s="11" t="n">
        <f aca="false">D253/C253-1</f>
        <v>1.1829293132897</v>
      </c>
      <c r="E254" s="11" t="n">
        <f aca="false">E253/D253-1</f>
        <v>0.616666666666667</v>
      </c>
      <c r="F254" s="11" t="n">
        <f aca="false">F253/E253-1</f>
        <v>0.327297846991154</v>
      </c>
      <c r="G254" s="11" t="n">
        <f aca="false">G253/F253-1</f>
        <v>0.0958755032469061</v>
      </c>
    </row>
    <row r="255" customFormat="false" ht="17.15" hidden="false" customHeight="false" outlineLevel="0" collapsed="false">
      <c r="A255" s="0" t="s">
        <v>441</v>
      </c>
      <c r="B255" s="0" t="s">
        <v>47</v>
      </c>
      <c r="C255" s="11" t="n">
        <f aca="false">C251/C253</f>
        <v>0.5</v>
      </c>
      <c r="D255" s="11" t="n">
        <f aca="false">D251/D253</f>
        <v>0.585</v>
      </c>
      <c r="E255" s="11" t="n">
        <f aca="false">E251/E253</f>
        <v>0.722762886597938</v>
      </c>
      <c r="F255" s="11" t="n">
        <f aca="false">F251/F253</f>
        <v>0.778594276429845</v>
      </c>
      <c r="G255" s="11" t="n">
        <f aca="false">G251/G253</f>
        <v>0.78786275534048</v>
      </c>
    </row>
    <row r="256" customFormat="false" ht="17.15" hidden="false" customHeight="false" outlineLevel="0" collapsed="false">
      <c r="A256" s="3" t="s">
        <v>442</v>
      </c>
      <c r="B256" s="0" t="s">
        <v>47</v>
      </c>
      <c r="D256" s="11" t="n">
        <f aca="false">(D244+D250)/D249</f>
        <v>1</v>
      </c>
      <c r="E256" s="11" t="n">
        <f aca="false">(E244+E250)/E249</f>
        <v>1.1022917796893</v>
      </c>
      <c r="F256" s="11" t="n">
        <f aca="false">(F244+F250)/F249</f>
        <v>0.920456204570842</v>
      </c>
      <c r="G256" s="11" t="n">
        <f aca="false">(G244+G250)/G249</f>
        <v>0.857126906110848</v>
      </c>
      <c r="H256" s="3" t="s">
        <v>443</v>
      </c>
    </row>
    <row r="257" customFormat="false" ht="17.15" hidden="false" customHeight="false" outlineLevel="0" collapsed="false">
      <c r="A257" s="3" t="s">
        <v>388</v>
      </c>
      <c r="B257" s="0" t="s">
        <v>87</v>
      </c>
      <c r="D257" s="15" t="n">
        <f aca="false">D251/fx/D233*1000</f>
        <v>160.757158009399</v>
      </c>
      <c r="E257" s="15" t="n">
        <f aca="false">E251/fx/E233*1000</f>
        <v>180.408412082255</v>
      </c>
      <c r="F257" s="15" t="n">
        <f aca="false">F251/fx/F233*1000</f>
        <v>203.494448466197</v>
      </c>
      <c r="G257" s="15" t="n">
        <f aca="false">G251/fx/G233*1000</f>
        <v>198.093007957081</v>
      </c>
    </row>
    <row r="258" customFormat="false" ht="17.15" hidden="false" customHeight="false" outlineLevel="0" collapsed="false">
      <c r="A258" s="5" t="s">
        <v>444</v>
      </c>
    </row>
    <row r="259" customFormat="false" ht="17.15" hidden="false" customHeight="false" outlineLevel="0" collapsed="false">
      <c r="A259" s="3" t="s">
        <v>445</v>
      </c>
      <c r="B259" s="0" t="s">
        <v>47</v>
      </c>
      <c r="D259" s="11" t="n">
        <f aca="false">a26_gp/D253-d_ai*D255</f>
        <v>0.291564442755356</v>
      </c>
      <c r="H259" s="7" t="s">
        <v>446</v>
      </c>
    </row>
    <row r="260" customFormat="false" ht="17.15" hidden="false" customHeight="false" outlineLevel="0" collapsed="false">
      <c r="A260" s="0" t="s">
        <v>447</v>
      </c>
      <c r="B260" s="0" t="s">
        <v>47</v>
      </c>
      <c r="D260" s="11" t="n">
        <f aca="false">D259+d_ai</f>
        <v>0.371564442755356</v>
      </c>
      <c r="E260" s="11" t="n">
        <f aca="false">1-(1-$D$260)/E240</f>
        <v>0.371564442755356</v>
      </c>
      <c r="F260" s="11" t="n">
        <f aca="false">1-(1-$D$260)/F240</f>
        <v>0.352128291500367</v>
      </c>
      <c r="G260" s="11" t="n">
        <f aca="false">1-(1-$D$260)/G240</f>
        <v>0.324262841672425</v>
      </c>
      <c r="H260" s="7" t="s">
        <v>448</v>
      </c>
    </row>
    <row r="261" customFormat="false" ht="15" hidden="false" customHeight="false" outlineLevel="0" collapsed="false">
      <c r="A261" s="3" t="s">
        <v>324</v>
      </c>
      <c r="B261" s="0" t="s">
        <v>193</v>
      </c>
      <c r="C261" s="16" t="n">
        <f aca="false">a25_gp</f>
        <v>28.12</v>
      </c>
      <c r="D261" s="16" t="n">
        <f aca="false">a26_gp</f>
        <v>69.6235934</v>
      </c>
      <c r="E261" s="16" t="n">
        <f aca="false">E251*E260+E250*$D$259</f>
        <v>116.2243280384</v>
      </c>
      <c r="F261" s="16" t="n">
        <f aca="false">F251*F260+F250*$D$259</f>
        <v>149.554776227737</v>
      </c>
      <c r="G261" s="16" t="n">
        <f aca="false">G251*G260+G250*$D$259</f>
        <v>153.542238288447</v>
      </c>
    </row>
    <row r="262" customFormat="false" ht="15" hidden="false" customHeight="false" outlineLevel="0" collapsed="false">
      <c r="A262" s="3" t="s">
        <v>327</v>
      </c>
      <c r="B262" s="0" t="s">
        <v>47</v>
      </c>
      <c r="C262" s="11" t="n">
        <f aca="false">C261/C253</f>
        <v>0.298320620405046</v>
      </c>
      <c r="D262" s="11" t="n">
        <f aca="false">D261/D253</f>
        <v>0.338364442755356</v>
      </c>
      <c r="E262" s="11" t="n">
        <f aca="false">E261/E253</f>
        <v>0.349385473683191</v>
      </c>
      <c r="F262" s="11" t="n">
        <f aca="false">F261/F253</f>
        <v>0.338719108746784</v>
      </c>
      <c r="G262" s="11" t="n">
        <f aca="false">G261/G253</f>
        <v>0.31732629342138</v>
      </c>
    </row>
    <row r="263" customFormat="false" ht="15" hidden="false" customHeight="false" outlineLevel="0" collapsed="false">
      <c r="A263" s="3" t="s">
        <v>449</v>
      </c>
      <c r="B263" s="0" t="s">
        <v>193</v>
      </c>
      <c r="C263" s="16" t="n">
        <f aca="false">a25_opx</f>
        <v>9.012</v>
      </c>
      <c r="D263" s="16" t="n">
        <f aca="false">a26_opx</f>
        <v>14.0153081141857</v>
      </c>
      <c r="E263" s="16" t="n">
        <f aca="false">D263*(1+MAX(0,phi*E254))</f>
        <v>19.2009721164345</v>
      </c>
      <c r="F263" s="16" t="n">
        <f aca="false">E263*(1+MAX(0,phi*F254))</f>
        <v>22.9716342167422</v>
      </c>
      <c r="G263" s="16" t="n">
        <f aca="false">F263*(1+MAX(0,phi*G254))</f>
        <v>24.2930844113026</v>
      </c>
    </row>
    <row r="264" customFormat="false" ht="15" hidden="false" customHeight="false" outlineLevel="0" collapsed="false">
      <c r="A264" s="3" t="s">
        <v>329</v>
      </c>
      <c r="B264" s="0" t="s">
        <v>193</v>
      </c>
      <c r="C264" s="16" t="n">
        <f aca="false">C263</f>
        <v>9.012</v>
      </c>
      <c r="D264" s="16" t="n">
        <f aca="false">D263</f>
        <v>14.0153081141857</v>
      </c>
      <c r="E264" s="16" t="n">
        <f aca="false">E263+0*E253</f>
        <v>19.2009721164345</v>
      </c>
      <c r="F264" s="16" t="n">
        <f aca="false">F263+0*F253</f>
        <v>22.9716342167422</v>
      </c>
      <c r="G264" s="16" t="n">
        <f aca="false">G263+0*G253</f>
        <v>24.2930844113026</v>
      </c>
    </row>
    <row r="265" customFormat="false" ht="15" hidden="false" customHeight="false" outlineLevel="0" collapsed="false">
      <c r="A265" s="3" t="s">
        <v>332</v>
      </c>
      <c r="B265" s="0" t="s">
        <v>193</v>
      </c>
      <c r="C265" s="16" t="n">
        <f aca="false">C261-C264</f>
        <v>19.108</v>
      </c>
      <c r="D265" s="16" t="n">
        <f aca="false">D261-D264</f>
        <v>55.6082852858143</v>
      </c>
      <c r="E265" s="16" t="n">
        <f aca="false">E261-E264</f>
        <v>97.0233559219655</v>
      </c>
      <c r="F265" s="16" t="n">
        <f aca="false">F261-F264</f>
        <v>126.583142010994</v>
      </c>
      <c r="G265" s="16" t="n">
        <f aca="false">G261-G264</f>
        <v>129.249153877144</v>
      </c>
    </row>
    <row r="266" customFormat="false" ht="15" hidden="false" customHeight="false" outlineLevel="0" collapsed="false">
      <c r="A266" s="3" t="s">
        <v>335</v>
      </c>
      <c r="B266" s="0" t="s">
        <v>47</v>
      </c>
      <c r="C266" s="11" t="n">
        <f aca="false">C265/C253</f>
        <v>0.202713741632276</v>
      </c>
      <c r="D266" s="11" t="n">
        <f aca="false">D265/D253</f>
        <v>0.270251297648699</v>
      </c>
      <c r="E266" s="11" t="n">
        <f aca="false">E265/E253</f>
        <v>0.291664849685591</v>
      </c>
      <c r="F266" s="11" t="n">
        <f aca="false">F265/F253</f>
        <v>0.286691807014183</v>
      </c>
      <c r="G266" s="11" t="n">
        <f aca="false">G265/G253</f>
        <v>0.267119688919957</v>
      </c>
    </row>
    <row r="267" customFormat="false" ht="17.15" hidden="false" customHeight="false" outlineLevel="0" collapsed="false">
      <c r="A267" s="3" t="s">
        <v>337</v>
      </c>
      <c r="B267" s="0" t="s">
        <v>193</v>
      </c>
      <c r="E267" s="16" t="n">
        <f aca="false">nop_f</f>
        <v>0.5</v>
      </c>
      <c r="F267" s="16" t="n">
        <f aca="false">nop_f</f>
        <v>0.5</v>
      </c>
      <c r="G267" s="16" t="n">
        <f aca="false">nop_f</f>
        <v>0.5</v>
      </c>
      <c r="H267" s="7" t="s">
        <v>450</v>
      </c>
    </row>
    <row r="268" customFormat="false" ht="15" hidden="false" customHeight="false" outlineLevel="0" collapsed="false">
      <c r="A268" s="3" t="s">
        <v>340</v>
      </c>
      <c r="B268" s="0" t="s">
        <v>193</v>
      </c>
      <c r="C268" s="16" t="n">
        <f aca="false">a25_ni</f>
        <v>14.649</v>
      </c>
      <c r="D268" s="16" t="n">
        <f aca="false">a26_ni</f>
        <v>42.891099295</v>
      </c>
      <c r="E268" s="16" t="n">
        <f aca="false">(E265+E267)*nir_f</f>
        <v>75.0929840599135</v>
      </c>
      <c r="F268" s="16" t="n">
        <f aca="false">(F265+F267)*nir_f</f>
        <v>97.8540193484657</v>
      </c>
      <c r="G268" s="16" t="n">
        <f aca="false">(G265+G267)*nir_f</f>
        <v>99.9068484854011</v>
      </c>
    </row>
    <row r="269" customFormat="false" ht="17.15" hidden="false" customHeight="false" outlineLevel="0" collapsed="false">
      <c r="A269" s="3" t="s">
        <v>343</v>
      </c>
      <c r="B269" s="0" t="s">
        <v>47</v>
      </c>
      <c r="C269" s="11" t="n">
        <f aca="false">C268/C265</f>
        <v>0.766642244086247</v>
      </c>
      <c r="D269" s="11" t="n">
        <f aca="false">D268/D265</f>
        <v>0.771307712053146</v>
      </c>
      <c r="E269" s="11" t="n">
        <f aca="false">E268/E265</f>
        <v>0.77396811671109</v>
      </c>
      <c r="F269" s="11" t="n">
        <f aca="false">F268/F265</f>
        <v>0.773041479251373</v>
      </c>
      <c r="G269" s="11" t="n">
        <f aca="false">G268/G265</f>
        <v>0.772978742904313</v>
      </c>
    </row>
    <row r="270" customFormat="false" ht="15" hidden="false" customHeight="false" outlineLevel="0" collapsed="false">
      <c r="A270" s="3" t="s">
        <v>451</v>
      </c>
      <c r="B270" s="3" t="s">
        <v>222</v>
      </c>
      <c r="C270" s="18" t="n">
        <f aca="false">a25_sh</f>
        <v>0.351547876169906</v>
      </c>
      <c r="D270" s="18" t="n">
        <f aca="false">a26_sh</f>
        <v>0.358290155440415</v>
      </c>
      <c r="E270" s="18" t="n">
        <f aca="false">D270*(1+sh_g)</f>
        <v>0.358290155440415</v>
      </c>
      <c r="F270" s="18" t="n">
        <f aca="false">E270*(1+sh_g)</f>
        <v>0.358290155440415</v>
      </c>
      <c r="G270" s="18" t="n">
        <f aca="false">F270*(1+sh_g)</f>
        <v>0.358290155440415</v>
      </c>
    </row>
    <row r="271" customFormat="false" ht="15" hidden="false" customHeight="false" outlineLevel="0" collapsed="false">
      <c r="A271" s="0" t="s">
        <v>346</v>
      </c>
      <c r="B271" s="0" t="s">
        <v>253</v>
      </c>
      <c r="C271" s="17" t="n">
        <f aca="false">C268/C270</f>
        <v>41.67</v>
      </c>
      <c r="D271" s="17" t="n">
        <f aca="false">D268/D270</f>
        <v>119.710515747433</v>
      </c>
      <c r="E271" s="17" t="n">
        <f aca="false">E268/E270</f>
        <v>209.587070478139</v>
      </c>
      <c r="F271" s="17" t="n">
        <f aca="false">F268/F270</f>
        <v>273.113893481618</v>
      </c>
      <c r="G271" s="17" t="n">
        <f aca="false">G268/G270</f>
        <v>278.84340936634</v>
      </c>
    </row>
    <row r="272" customFormat="false" ht="17.15" hidden="false" customHeight="false" outlineLevel="0" collapsed="false">
      <c r="A272" s="0" t="s">
        <v>452</v>
      </c>
      <c r="B272" s="0" t="s">
        <v>47</v>
      </c>
      <c r="D272" s="11" t="n">
        <f aca="false">D271/C271-1</f>
        <v>1.87282255213422</v>
      </c>
      <c r="E272" s="11" t="n">
        <f aca="false">E271/D271-1</f>
        <v>0.750782453567642</v>
      </c>
      <c r="F272" s="11" t="n">
        <f aca="false">F271/E271-1</f>
        <v>0.303104685124674</v>
      </c>
      <c r="G272" s="11" t="n">
        <f aca="false">G271/F271-1</f>
        <v>0.0209784856115625</v>
      </c>
    </row>
    <row r="275" customFormat="false" ht="17.15" hidden="false" customHeight="false" outlineLevel="0" collapsed="false">
      <c r="A275" s="1" t="s">
        <v>656</v>
      </c>
    </row>
    <row r="276" customFormat="false" ht="17.15" hidden="false" customHeight="false" outlineLevel="0" collapsed="false">
      <c r="A276" s="4" t="s">
        <v>16</v>
      </c>
      <c r="B276" s="4" t="s">
        <v>17</v>
      </c>
      <c r="C276" s="8" t="s">
        <v>315</v>
      </c>
      <c r="D276" s="8" t="s">
        <v>401</v>
      </c>
      <c r="E276" s="8" t="s">
        <v>402</v>
      </c>
      <c r="F276" s="8" t="s">
        <v>403</v>
      </c>
      <c r="G276" s="8" t="s">
        <v>404</v>
      </c>
      <c r="H276" s="4" t="s">
        <v>369</v>
      </c>
    </row>
    <row r="277" customFormat="false" ht="17.15" hidden="false" customHeight="false" outlineLevel="0" collapsed="false">
      <c r="A277" s="5" t="s">
        <v>419</v>
      </c>
    </row>
    <row r="278" customFormat="false" ht="17.15" hidden="false" customHeight="false" outlineLevel="0" collapsed="false">
      <c r="A278" s="0" t="s">
        <v>420</v>
      </c>
      <c r="B278" s="0" t="s">
        <v>27</v>
      </c>
      <c r="D278" s="17" t="n">
        <f aca="false">itc_26*1</f>
        <v>781.872916666667</v>
      </c>
      <c r="E278" s="17" t="n">
        <f aca="false">itc_27*1*1</f>
        <v>1565.35</v>
      </c>
      <c r="F278" s="17" t="n">
        <f aca="false">itc_28*um28_A*1</f>
        <v>1984.26388888889</v>
      </c>
      <c r="G278" s="17" t="n">
        <f aca="false">itc_29*um29_A*1</f>
        <v>2260.39027777778</v>
      </c>
    </row>
    <row r="279" customFormat="false" ht="17.15" hidden="false" customHeight="false" outlineLevel="0" collapsed="false">
      <c r="A279" s="3" t="s">
        <v>421</v>
      </c>
      <c r="B279" s="0" t="s">
        <v>27</v>
      </c>
      <c r="D279" s="17" t="n">
        <f aca="false">itpg_gb*(1-vr26)+itpg_vr*vr26</f>
        <v>33.41403216</v>
      </c>
      <c r="E279" s="17" t="n">
        <f aca="false">itpg_vr</f>
        <v>37.586352</v>
      </c>
      <c r="F279" s="17" t="n">
        <f aca="false">itpg_vr</f>
        <v>37.586352</v>
      </c>
      <c r="G279" s="17" t="n">
        <f aca="false">itpg_vr</f>
        <v>37.586352</v>
      </c>
    </row>
    <row r="280" customFormat="false" ht="17.15" hidden="false" customHeight="false" outlineLevel="0" collapsed="false">
      <c r="A280" s="3" t="s">
        <v>422</v>
      </c>
      <c r="B280" s="0" t="s">
        <v>371</v>
      </c>
      <c r="D280" s="14" t="n">
        <f aca="false">D278/D279</f>
        <v>23.3995380420639</v>
      </c>
      <c r="E280" s="14" t="n">
        <f aca="false">E278/E279</f>
        <v>41.6467658260637</v>
      </c>
      <c r="F280" s="14" t="n">
        <f aca="false">F278/F279</f>
        <v>52.792138191248</v>
      </c>
      <c r="G280" s="14" t="n">
        <f aca="false">G278/G279</f>
        <v>60.1385917361116</v>
      </c>
    </row>
    <row r="281" customFormat="false" ht="17.15" hidden="false" customHeight="false" outlineLevel="0" collapsed="false">
      <c r="A281" s="3" t="s">
        <v>373</v>
      </c>
      <c r="B281" s="0" t="s">
        <v>87</v>
      </c>
      <c r="D281" s="15" t="n">
        <f aca="false">cmp_26</f>
        <v>190</v>
      </c>
      <c r="E281" s="15" t="n">
        <f aca="false">cmp_26*cmpx_27</f>
        <v>275.5</v>
      </c>
      <c r="F281" s="15" t="n">
        <f aca="false">cmp_26*cmpx_28</f>
        <v>304</v>
      </c>
      <c r="G281" s="15" t="n">
        <f aca="false">cmp_26*cmpx_29</f>
        <v>323</v>
      </c>
    </row>
    <row r="282" customFormat="false" ht="17.15" hidden="false" customHeight="false" outlineLevel="0" collapsed="false">
      <c r="A282" s="3" t="s">
        <v>375</v>
      </c>
      <c r="B282" s="0" t="s">
        <v>87</v>
      </c>
      <c r="D282" s="15" t="n">
        <f aca="false">sw_26</f>
        <v>90</v>
      </c>
      <c r="E282" s="15" t="n">
        <f aca="false">sw_26*swx_27</f>
        <v>126</v>
      </c>
      <c r="F282" s="15" t="n">
        <f aca="false">sw_26*swx_28</f>
        <v>144</v>
      </c>
      <c r="G282" s="15" t="n">
        <f aca="false">sw_26*swx_29</f>
        <v>157.5</v>
      </c>
    </row>
    <row r="283" customFormat="false" ht="17.15" hidden="false" customHeight="false" outlineLevel="0" collapsed="false">
      <c r="A283" s="3" t="s">
        <v>376</v>
      </c>
      <c r="B283" s="0" t="s">
        <v>87</v>
      </c>
      <c r="D283" s="15" t="n">
        <f aca="false">ubb_26</f>
        <v>70</v>
      </c>
      <c r="E283" s="15" t="n">
        <f aca="false">ubb_26*ubbx_27</f>
        <v>126</v>
      </c>
      <c r="F283" s="15" t="n">
        <f aca="false">ubb_26*ubbx_28</f>
        <v>161</v>
      </c>
      <c r="G283" s="15" t="n">
        <f aca="false">ubb_26*ubbx_29</f>
        <v>182</v>
      </c>
    </row>
    <row r="284" customFormat="false" ht="17.15" hidden="false" customHeight="false" outlineLevel="0" collapsed="false">
      <c r="A284" s="3" t="s">
        <v>423</v>
      </c>
      <c r="B284" s="0" t="s">
        <v>87</v>
      </c>
      <c r="D284" s="15" t="n">
        <f aca="false">D281+D282+D283</f>
        <v>350</v>
      </c>
      <c r="E284" s="15" t="n">
        <f aca="false">E281+E282+E283</f>
        <v>527.5</v>
      </c>
      <c r="F284" s="15" t="n">
        <f aca="false">F281+F282+F283</f>
        <v>609</v>
      </c>
      <c r="G284" s="15" t="n">
        <f aca="false">G281+G282+G283</f>
        <v>662.5</v>
      </c>
    </row>
    <row r="285" customFormat="false" ht="17.15" hidden="false" customHeight="false" outlineLevel="0" collapsed="false">
      <c r="A285" s="0" t="s">
        <v>424</v>
      </c>
      <c r="B285" s="0" t="s">
        <v>27</v>
      </c>
      <c r="D285" s="17" t="n">
        <f aca="false">D280*D284/1000</f>
        <v>8.18983831472237</v>
      </c>
      <c r="E285" s="17" t="n">
        <f aca="false">E280*E284/1000</f>
        <v>21.9686689732486</v>
      </c>
      <c r="F285" s="17" t="n">
        <f aca="false">F280*F284/1000</f>
        <v>32.15041215847</v>
      </c>
      <c r="G285" s="17" t="n">
        <f aca="false">G280*G284/1000</f>
        <v>39.8418170251739</v>
      </c>
    </row>
    <row r="286" customFormat="false" ht="17.15" hidden="false" customHeight="false" outlineLevel="0" collapsed="false">
      <c r="A286" s="0" t="s">
        <v>425</v>
      </c>
      <c r="B286" s="0" t="s">
        <v>193</v>
      </c>
      <c r="D286" s="16" t="n">
        <f aca="false">D285*fx</f>
        <v>262.074826071116</v>
      </c>
      <c r="E286" s="16" t="n">
        <f aca="false">E285*fx</f>
        <v>702.997407143955</v>
      </c>
      <c r="F286" s="16" t="n">
        <f aca="false">F285*fx</f>
        <v>1028.81318907104</v>
      </c>
      <c r="G286" s="16" t="n">
        <f aca="false">G285*fx</f>
        <v>1274.93814480557</v>
      </c>
    </row>
    <row r="287" customFormat="false" ht="17.15" hidden="false" customHeight="false" outlineLevel="0" collapsed="false">
      <c r="A287" s="0" t="s">
        <v>426</v>
      </c>
      <c r="B287" s="0" t="s">
        <v>60</v>
      </c>
      <c r="D287" s="12" t="n">
        <f aca="false">1</f>
        <v>1</v>
      </c>
      <c r="E287" s="12" t="n">
        <f aca="false">pp_27</f>
        <v>1</v>
      </c>
      <c r="F287" s="12" t="n">
        <f aca="false">pp_28</f>
        <v>0.97</v>
      </c>
      <c r="G287" s="12" t="n">
        <f aca="false">pp_29</f>
        <v>0.93</v>
      </c>
    </row>
    <row r="288" customFormat="false" ht="17.15" hidden="false" customHeight="false" outlineLevel="0" collapsed="false">
      <c r="A288" s="3" t="s">
        <v>427</v>
      </c>
      <c r="B288" s="0" t="s">
        <v>47</v>
      </c>
      <c r="D288" s="11" t="n">
        <f aca="false">a26_ai/D286</f>
        <v>0.459306165741139</v>
      </c>
      <c r="H288" s="7" t="s">
        <v>428</v>
      </c>
    </row>
    <row r="289" customFormat="false" ht="17.15" hidden="false" customHeight="false" outlineLevel="0" collapsed="false">
      <c r="A289" s="3" t="s">
        <v>429</v>
      </c>
      <c r="B289" s="0" t="s">
        <v>60</v>
      </c>
      <c r="D289" s="12" t="n">
        <f aca="false">1</f>
        <v>1</v>
      </c>
      <c r="E289" s="12" t="n">
        <f aca="false">RHI_27</f>
        <v>1.05</v>
      </c>
      <c r="F289" s="12" t="n">
        <f aca="false">RHI_28</f>
        <v>1</v>
      </c>
      <c r="G289" s="12" t="n">
        <f aca="false">RHI_29</f>
        <v>1</v>
      </c>
    </row>
    <row r="290" customFormat="false" ht="15" hidden="false" customHeight="false" outlineLevel="0" collapsed="false">
      <c r="A290" s="3" t="s">
        <v>384</v>
      </c>
      <c r="B290" s="0" t="s">
        <v>47</v>
      </c>
      <c r="D290" s="11" t="n">
        <f aca="false">$D$288*D289</f>
        <v>0.459306165741139</v>
      </c>
      <c r="E290" s="11" t="n">
        <f aca="false">$D$288*E289</f>
        <v>0.482271474028196</v>
      </c>
      <c r="F290" s="11" t="n">
        <f aca="false">$D$288*F289</f>
        <v>0.459306165741139</v>
      </c>
      <c r="G290" s="11" t="n">
        <f aca="false">$D$288*G289</f>
        <v>0.459306165741139</v>
      </c>
    </row>
    <row r="291" customFormat="false" ht="17.15" hidden="false" customHeight="false" outlineLevel="0" collapsed="false">
      <c r="A291" s="0" t="s">
        <v>430</v>
      </c>
      <c r="B291" s="0" t="s">
        <v>193</v>
      </c>
      <c r="D291" s="16" t="n">
        <f aca="false">D286*D290*D287</f>
        <v>120.3725835</v>
      </c>
      <c r="E291" s="16" t="n">
        <f aca="false">E286*E290*E287</f>
        <v>339.035595781315</v>
      </c>
      <c r="F291" s="16" t="n">
        <f aca="false">F286*F290*F287</f>
        <v>458.364033902049</v>
      </c>
      <c r="G291" s="16" t="n">
        <f aca="false">G286*G290*G287</f>
        <v>544.595864288421</v>
      </c>
    </row>
    <row r="292" customFormat="false" ht="17.15" hidden="false" customHeight="false" outlineLevel="0" collapsed="false">
      <c r="A292" s="5" t="s">
        <v>431</v>
      </c>
    </row>
    <row r="293" customFormat="false" ht="15" hidden="false" customHeight="false" outlineLevel="0" collapsed="false">
      <c r="A293" s="3" t="s">
        <v>389</v>
      </c>
      <c r="B293" s="3" t="s">
        <v>144</v>
      </c>
      <c r="D293" s="12" t="n">
        <f aca="false">cap_26</f>
        <v>6</v>
      </c>
      <c r="E293" s="12" t="n">
        <f aca="false">cap_27</f>
        <v>7.76</v>
      </c>
      <c r="F293" s="12" t="n">
        <f aca="false">cap_28</f>
        <v>10.3</v>
      </c>
      <c r="G293" s="12" t="n">
        <f aca="false">cap_29</f>
        <v>11.8</v>
      </c>
    </row>
    <row r="294" customFormat="false" ht="17.15" hidden="false" customHeight="false" outlineLevel="0" collapsed="false">
      <c r="A294" s="3" t="s">
        <v>432</v>
      </c>
      <c r="B294" s="0" t="s">
        <v>392</v>
      </c>
      <c r="D294" s="15" t="n">
        <f aca="false">a26_rev/(D293*12)*1000</f>
        <v>2857.84861111111</v>
      </c>
      <c r="H294" s="7" t="s">
        <v>433</v>
      </c>
    </row>
    <row r="295" customFormat="false" ht="17.15" hidden="false" customHeight="false" outlineLevel="0" collapsed="false">
      <c r="A295" s="3" t="s">
        <v>434</v>
      </c>
      <c r="B295" s="0" t="s">
        <v>60</v>
      </c>
      <c r="D295" s="12" t="n">
        <f aca="false">1</f>
        <v>1</v>
      </c>
      <c r="E295" s="12" t="n">
        <f aca="false">mix_27</f>
        <v>1.25</v>
      </c>
      <c r="F295" s="12" t="n">
        <f aca="false">mix_28</f>
        <v>1.4</v>
      </c>
      <c r="G295" s="12" t="n">
        <f aca="false">mix_29</f>
        <v>1.5</v>
      </c>
    </row>
    <row r="296" customFormat="false" ht="17.15" hidden="false" customHeight="false" outlineLevel="0" collapsed="false">
      <c r="A296" s="3" t="s">
        <v>435</v>
      </c>
      <c r="B296" s="0" t="s">
        <v>193</v>
      </c>
      <c r="D296" s="16" t="n">
        <f aca="false">D293*12*$D$294*D295*D287/1000</f>
        <v>205.7651</v>
      </c>
      <c r="E296" s="16" t="n">
        <f aca="false">E293*12*$D$294*E295*E287/1000</f>
        <v>332.653578333333</v>
      </c>
      <c r="F296" s="16" t="n">
        <f aca="false">F293*12*$D$294*F295*F287/1000</f>
        <v>479.686459956667</v>
      </c>
      <c r="G296" s="16" t="n">
        <f aca="false">G293*12*$D$294*G295*G287/1000</f>
        <v>564.51655185</v>
      </c>
    </row>
    <row r="297" customFormat="false" ht="17.15" hidden="false" customHeight="false" outlineLevel="0" collapsed="false">
      <c r="A297" s="3" t="s">
        <v>436</v>
      </c>
      <c r="B297" s="0" t="s">
        <v>193</v>
      </c>
      <c r="C297" s="16" t="n">
        <f aca="false">a25_nai</f>
        <v>47.1305</v>
      </c>
      <c r="D297" s="16" t="n">
        <f aca="false">a26_nai</f>
        <v>85.3925165</v>
      </c>
      <c r="E297" s="16" t="n">
        <f aca="false">D297*(1+g_nai27)</f>
        <v>92.22391782</v>
      </c>
      <c r="F297" s="16" t="n">
        <f aca="false">E297*(1+g_nai28)</f>
        <v>97.7573528892</v>
      </c>
      <c r="G297" s="16" t="n">
        <f aca="false">F297*(1+g_nai29)</f>
        <v>102.64522053366</v>
      </c>
    </row>
    <row r="298" customFormat="false" ht="17.15" hidden="false" customHeight="false" outlineLevel="0" collapsed="false">
      <c r="A298" s="0" t="s">
        <v>437</v>
      </c>
      <c r="B298" s="0" t="s">
        <v>193</v>
      </c>
      <c r="C298" s="16" t="n">
        <f aca="false">a25_ai</f>
        <v>47.1305</v>
      </c>
      <c r="D298" s="16" t="n">
        <f aca="false">D291</f>
        <v>120.3725835</v>
      </c>
      <c r="E298" s="16" t="n">
        <f aca="false">MIN(E291,E296-E297)</f>
        <v>240.429660513333</v>
      </c>
      <c r="F298" s="16" t="n">
        <f aca="false">MIN(F291,F296-F297)</f>
        <v>381.929107067467</v>
      </c>
      <c r="G298" s="16" t="n">
        <f aca="false">MIN(G291,G296-G297)</f>
        <v>461.87133131634</v>
      </c>
      <c r="H298" s="3" t="s">
        <v>438</v>
      </c>
    </row>
    <row r="299" customFormat="false" ht="15" hidden="false" customHeight="false" outlineLevel="0" collapsed="false">
      <c r="A299" s="3" t="s">
        <v>439</v>
      </c>
      <c r="E299" s="0" t="str">
        <f aca="false">IF(E291&gt;E296-E297+0.0001,"受限","未受限")</f>
        <v>受限</v>
      </c>
      <c r="F299" s="0" t="str">
        <f aca="false">IF(F291&gt;F296-F297+0.0001,"受限","未受限")</f>
        <v>受限</v>
      </c>
      <c r="G299" s="0" t="str">
        <f aca="false">IF(G291&gt;G296-G297+0.0001,"受限","未受限")</f>
        <v>受限</v>
      </c>
    </row>
    <row r="300" customFormat="false" ht="15" hidden="false" customHeight="false" outlineLevel="0" collapsed="false">
      <c r="A300" s="3" t="s">
        <v>320</v>
      </c>
      <c r="B300" s="0" t="s">
        <v>193</v>
      </c>
      <c r="C300" s="16" t="n">
        <f aca="false">C298+C297</f>
        <v>94.261</v>
      </c>
      <c r="D300" s="16" t="n">
        <f aca="false">D298+D297</f>
        <v>205.7651</v>
      </c>
      <c r="E300" s="16" t="n">
        <f aca="false">E298+E297</f>
        <v>332.653578333333</v>
      </c>
      <c r="F300" s="16" t="n">
        <f aca="false">F298+F297</f>
        <v>479.686459956667</v>
      </c>
      <c r="G300" s="16" t="n">
        <f aca="false">G298+G297</f>
        <v>564.51655185</v>
      </c>
    </row>
    <row r="301" customFormat="false" ht="15" hidden="false" customHeight="false" outlineLevel="0" collapsed="false">
      <c r="A301" s="3" t="s">
        <v>440</v>
      </c>
      <c r="B301" s="0" t="s">
        <v>47</v>
      </c>
      <c r="D301" s="11" t="n">
        <f aca="false">D300/C300-1</f>
        <v>1.1829293132897</v>
      </c>
      <c r="E301" s="11" t="n">
        <f aca="false">E300/D300-1</f>
        <v>0.616666666666667</v>
      </c>
      <c r="F301" s="11" t="n">
        <f aca="false">F300/E300-1</f>
        <v>0.442</v>
      </c>
      <c r="G301" s="11" t="n">
        <f aca="false">G300/F300-1</f>
        <v>0.17684487467292</v>
      </c>
    </row>
    <row r="302" customFormat="false" ht="17.15" hidden="false" customHeight="false" outlineLevel="0" collapsed="false">
      <c r="A302" s="0" t="s">
        <v>441</v>
      </c>
      <c r="B302" s="0" t="s">
        <v>47</v>
      </c>
      <c r="C302" s="11" t="n">
        <f aca="false">C298/C300</f>
        <v>0.5</v>
      </c>
      <c r="D302" s="11" t="n">
        <f aca="false">D298/D300</f>
        <v>0.585</v>
      </c>
      <c r="E302" s="11" t="n">
        <f aca="false">E298/E300</f>
        <v>0.722762886597938</v>
      </c>
      <c r="F302" s="11" t="n">
        <f aca="false">F298/F300</f>
        <v>0.796205728012354</v>
      </c>
      <c r="G302" s="11" t="n">
        <f aca="false">G298/G300</f>
        <v>0.818171459814106</v>
      </c>
    </row>
    <row r="303" customFormat="false" ht="17.15" hidden="false" customHeight="false" outlineLevel="0" collapsed="false">
      <c r="A303" s="3" t="s">
        <v>442</v>
      </c>
      <c r="B303" s="0" t="s">
        <v>47</v>
      </c>
      <c r="D303" s="11" t="n">
        <f aca="false">(D291+D297)/D296</f>
        <v>1</v>
      </c>
      <c r="E303" s="11" t="n">
        <f aca="false">(E291+E297)/E296</f>
        <v>1.29642228940395</v>
      </c>
      <c r="F303" s="11" t="n">
        <f aca="false">(F291+F297)/F296</f>
        <v>1.15934351543191</v>
      </c>
      <c r="G303" s="11" t="n">
        <f aca="false">(G291+G297)/G296</f>
        <v>1.14654049150726</v>
      </c>
      <c r="H303" s="3" t="s">
        <v>443</v>
      </c>
    </row>
    <row r="304" customFormat="false" ht="17.15" hidden="false" customHeight="false" outlineLevel="0" collapsed="false">
      <c r="A304" s="3" t="s">
        <v>388</v>
      </c>
      <c r="B304" s="0" t="s">
        <v>87</v>
      </c>
      <c r="D304" s="15" t="n">
        <f aca="false">D298/fx/D280*1000</f>
        <v>160.757158009399</v>
      </c>
      <c r="E304" s="15" t="n">
        <f aca="false">E298/fx/E280*1000</f>
        <v>180.408412082255</v>
      </c>
      <c r="F304" s="15" t="n">
        <f aca="false">F298/fx/F280*1000</f>
        <v>226.080719682557</v>
      </c>
      <c r="G304" s="15" t="n">
        <f aca="false">G298/fx/G280*1000</f>
        <v>240.003609778057</v>
      </c>
    </row>
    <row r="305" customFormat="false" ht="17.15" hidden="false" customHeight="false" outlineLevel="0" collapsed="false">
      <c r="A305" s="5" t="s">
        <v>444</v>
      </c>
    </row>
    <row r="306" customFormat="false" ht="17.15" hidden="false" customHeight="false" outlineLevel="0" collapsed="false">
      <c r="A306" s="3" t="s">
        <v>445</v>
      </c>
      <c r="B306" s="0" t="s">
        <v>47</v>
      </c>
      <c r="D306" s="11" t="n">
        <f aca="false">a26_gp/D300-d_ai*D302</f>
        <v>0.291564442755356</v>
      </c>
      <c r="H306" s="7" t="s">
        <v>446</v>
      </c>
    </row>
    <row r="307" customFormat="false" ht="17.15" hidden="false" customHeight="false" outlineLevel="0" collapsed="false">
      <c r="A307" s="0" t="s">
        <v>447</v>
      </c>
      <c r="B307" s="0" t="s">
        <v>47</v>
      </c>
      <c r="D307" s="11" t="n">
        <f aca="false">D306+d_ai</f>
        <v>0.371564442755356</v>
      </c>
      <c r="E307" s="11" t="n">
        <f aca="false">1-(1-$D$307)/E287</f>
        <v>0.371564442755356</v>
      </c>
      <c r="F307" s="11" t="n">
        <f aca="false">1-(1-$D$307)/F287</f>
        <v>0.352128291500367</v>
      </c>
      <c r="G307" s="11" t="n">
        <f aca="false">1-(1-$D$307)/G287</f>
        <v>0.324262841672425</v>
      </c>
      <c r="H307" s="7" t="s">
        <v>448</v>
      </c>
    </row>
    <row r="308" customFormat="false" ht="15" hidden="false" customHeight="false" outlineLevel="0" collapsed="false">
      <c r="A308" s="3" t="s">
        <v>324</v>
      </c>
      <c r="B308" s="0" t="s">
        <v>193</v>
      </c>
      <c r="C308" s="16" t="n">
        <f aca="false">a25_gp</f>
        <v>28.12</v>
      </c>
      <c r="D308" s="16" t="n">
        <f aca="false">a26_gp</f>
        <v>69.6235934</v>
      </c>
      <c r="E308" s="16" t="n">
        <f aca="false">E298*E307+E297*$D$306</f>
        <v>116.2243280384</v>
      </c>
      <c r="F308" s="16" t="n">
        <f aca="false">F298*F307+F297*$D$306</f>
        <v>162.990612066306</v>
      </c>
      <c r="G308" s="16" t="n">
        <f aca="false">G298*G307+G297*$D$306</f>
        <v>179.69540690606</v>
      </c>
    </row>
    <row r="309" customFormat="false" ht="15" hidden="false" customHeight="false" outlineLevel="0" collapsed="false">
      <c r="A309" s="3" t="s">
        <v>327</v>
      </c>
      <c r="B309" s="0" t="s">
        <v>47</v>
      </c>
      <c r="C309" s="11" t="n">
        <f aca="false">C308/C300</f>
        <v>0.298320620405046</v>
      </c>
      <c r="D309" s="11" t="n">
        <f aca="false">D308/D300</f>
        <v>0.338364442755356</v>
      </c>
      <c r="E309" s="11" t="n">
        <f aca="false">E308/E300</f>
        <v>0.349385473683191</v>
      </c>
      <c r="F309" s="11" t="n">
        <f aca="false">F308/F300</f>
        <v>0.339785726036607</v>
      </c>
      <c r="G309" s="11" t="n">
        <f aca="false">G308/G300</f>
        <v>0.318317339530918</v>
      </c>
    </row>
    <row r="310" customFormat="false" ht="15" hidden="false" customHeight="false" outlineLevel="0" collapsed="false">
      <c r="A310" s="3" t="s">
        <v>449</v>
      </c>
      <c r="B310" s="0" t="s">
        <v>193</v>
      </c>
      <c r="C310" s="16" t="n">
        <f aca="false">a25_opx</f>
        <v>9.012</v>
      </c>
      <c r="D310" s="16" t="n">
        <f aca="false">a26_opx</f>
        <v>14.0153081141857</v>
      </c>
      <c r="E310" s="16" t="n">
        <f aca="false">D310*(1+MAX(0,phi*E301))</f>
        <v>19.2009721164345</v>
      </c>
      <c r="F310" s="16" t="n">
        <f aca="false">E310*(1+MAX(0,phi*F301))</f>
        <v>24.2930699217129</v>
      </c>
      <c r="G310" s="16" t="n">
        <f aca="false">F310*(1+MAX(0,phi*G301))</f>
        <v>26.8707328651484</v>
      </c>
    </row>
    <row r="311" customFormat="false" ht="15" hidden="false" customHeight="false" outlineLevel="0" collapsed="false">
      <c r="A311" s="3" t="s">
        <v>329</v>
      </c>
      <c r="B311" s="0" t="s">
        <v>193</v>
      </c>
      <c r="C311" s="16" t="n">
        <f aca="false">C310</f>
        <v>9.012</v>
      </c>
      <c r="D311" s="16" t="n">
        <f aca="false">D310</f>
        <v>14.0153081141857</v>
      </c>
      <c r="E311" s="16" t="n">
        <f aca="false">E310+0*E300</f>
        <v>19.2009721164345</v>
      </c>
      <c r="F311" s="16" t="n">
        <f aca="false">F310+0*F300</f>
        <v>24.2930699217129</v>
      </c>
      <c r="G311" s="16" t="n">
        <f aca="false">G310+0*G300</f>
        <v>26.8707328651484</v>
      </c>
    </row>
    <row r="312" customFormat="false" ht="15" hidden="false" customHeight="false" outlineLevel="0" collapsed="false">
      <c r="A312" s="3" t="s">
        <v>332</v>
      </c>
      <c r="B312" s="0" t="s">
        <v>193</v>
      </c>
      <c r="C312" s="16" t="n">
        <f aca="false">C308-C311</f>
        <v>19.108</v>
      </c>
      <c r="D312" s="16" t="n">
        <f aca="false">D308-D311</f>
        <v>55.6082852858143</v>
      </c>
      <c r="E312" s="16" t="n">
        <f aca="false">E308-E311</f>
        <v>97.0233559219655</v>
      </c>
      <c r="F312" s="16" t="n">
        <f aca="false">F308-F311</f>
        <v>138.697542144593</v>
      </c>
      <c r="G312" s="16" t="n">
        <f aca="false">G308-G311</f>
        <v>152.824674040911</v>
      </c>
    </row>
    <row r="313" customFormat="false" ht="15" hidden="false" customHeight="false" outlineLevel="0" collapsed="false">
      <c r="A313" s="3" t="s">
        <v>335</v>
      </c>
      <c r="B313" s="0" t="s">
        <v>47</v>
      </c>
      <c r="C313" s="11" t="n">
        <f aca="false">C312/C300</f>
        <v>0.202713741632276</v>
      </c>
      <c r="D313" s="11" t="n">
        <f aca="false">D312/D300</f>
        <v>0.270251297648699</v>
      </c>
      <c r="E313" s="11" t="n">
        <f aca="false">E312/E300</f>
        <v>0.291664849685591</v>
      </c>
      <c r="F313" s="11" t="n">
        <f aca="false">F312/F300</f>
        <v>0.28914208284537</v>
      </c>
      <c r="G313" s="11" t="n">
        <f aca="false">G312/G300</f>
        <v>0.270717791250024</v>
      </c>
    </row>
    <row r="314" customFormat="false" ht="17.15" hidden="false" customHeight="false" outlineLevel="0" collapsed="false">
      <c r="A314" s="3" t="s">
        <v>337</v>
      </c>
      <c r="B314" s="0" t="s">
        <v>193</v>
      </c>
      <c r="E314" s="16" t="n">
        <f aca="false">nop_f</f>
        <v>0.5</v>
      </c>
      <c r="F314" s="16" t="n">
        <f aca="false">nop_f</f>
        <v>0.5</v>
      </c>
      <c r="G314" s="16" t="n">
        <f aca="false">nop_f</f>
        <v>0.5</v>
      </c>
      <c r="H314" s="7" t="s">
        <v>450</v>
      </c>
    </row>
    <row r="315" customFormat="false" ht="15" hidden="false" customHeight="false" outlineLevel="0" collapsed="false">
      <c r="A315" s="3" t="s">
        <v>340</v>
      </c>
      <c r="B315" s="0" t="s">
        <v>193</v>
      </c>
      <c r="C315" s="16" t="n">
        <f aca="false">a25_ni</f>
        <v>14.649</v>
      </c>
      <c r="D315" s="16" t="n">
        <f aca="false">a26_ni</f>
        <v>42.891099295</v>
      </c>
      <c r="E315" s="16" t="n">
        <f aca="false">(E312+E314)*nir_f</f>
        <v>75.0929840599135</v>
      </c>
      <c r="F315" s="16" t="n">
        <f aca="false">(F312+F314)*nir_f</f>
        <v>107.182107451337</v>
      </c>
      <c r="G315" s="16" t="n">
        <f aca="false">(G312+G314)*nir_f</f>
        <v>118.059999011502</v>
      </c>
    </row>
    <row r="316" customFormat="false" ht="17.15" hidden="false" customHeight="false" outlineLevel="0" collapsed="false">
      <c r="A316" s="3" t="s">
        <v>343</v>
      </c>
      <c r="B316" s="0" t="s">
        <v>47</v>
      </c>
      <c r="C316" s="11" t="n">
        <f aca="false">C315/C312</f>
        <v>0.766642244086247</v>
      </c>
      <c r="D316" s="11" t="n">
        <f aca="false">D315/D312</f>
        <v>0.771307712053146</v>
      </c>
      <c r="E316" s="11" t="n">
        <f aca="false">E315/E312</f>
        <v>0.77396811671109</v>
      </c>
      <c r="F316" s="11" t="n">
        <f aca="false">F315/F312</f>
        <v>0.772775824243508</v>
      </c>
      <c r="G316" s="11" t="n">
        <f aca="false">G315/G312</f>
        <v>0.772519226704825</v>
      </c>
    </row>
    <row r="317" customFormat="false" ht="15" hidden="false" customHeight="false" outlineLevel="0" collapsed="false">
      <c r="A317" s="3" t="s">
        <v>451</v>
      </c>
      <c r="B317" s="3" t="s">
        <v>222</v>
      </c>
      <c r="C317" s="18" t="n">
        <f aca="false">a25_sh</f>
        <v>0.351547876169906</v>
      </c>
      <c r="D317" s="18" t="n">
        <f aca="false">a26_sh</f>
        <v>0.358290155440415</v>
      </c>
      <c r="E317" s="18" t="n">
        <f aca="false">D317*(1+sh_g)</f>
        <v>0.358290155440415</v>
      </c>
      <c r="F317" s="18" t="n">
        <f aca="false">E317*(1+sh_g)</f>
        <v>0.358290155440415</v>
      </c>
      <c r="G317" s="18" t="n">
        <f aca="false">F317*(1+sh_g)</f>
        <v>0.358290155440415</v>
      </c>
    </row>
    <row r="318" customFormat="false" ht="15" hidden="false" customHeight="false" outlineLevel="0" collapsed="false">
      <c r="A318" s="0" t="s">
        <v>346</v>
      </c>
      <c r="B318" s="0" t="s">
        <v>253</v>
      </c>
      <c r="C318" s="17" t="n">
        <f aca="false">C315/C317</f>
        <v>41.67</v>
      </c>
      <c r="D318" s="17" t="n">
        <f aca="false">D315/D317</f>
        <v>119.710515747433</v>
      </c>
      <c r="E318" s="17" t="n">
        <f aca="false">E315/E317</f>
        <v>209.587070478139</v>
      </c>
      <c r="F318" s="17" t="n">
        <f aca="false">F315/F317</f>
        <v>299.14890438334</v>
      </c>
      <c r="G318" s="17" t="n">
        <f aca="false">G315/G317</f>
        <v>329.509469403035</v>
      </c>
    </row>
    <row r="319" customFormat="false" ht="17.15" hidden="false" customHeight="false" outlineLevel="0" collapsed="false">
      <c r="A319" s="0" t="s">
        <v>452</v>
      </c>
      <c r="B319" s="0" t="s">
        <v>47</v>
      </c>
      <c r="D319" s="11" t="n">
        <f aca="false">D318/C318-1</f>
        <v>1.87282255213422</v>
      </c>
      <c r="E319" s="11" t="n">
        <f aca="false">E318/D318-1</f>
        <v>0.750782453567642</v>
      </c>
      <c r="F319" s="11" t="n">
        <f aca="false">F318/E318-1</f>
        <v>0.42732518614283</v>
      </c>
      <c r="G319" s="11" t="n">
        <f aca="false">G318/F318-1</f>
        <v>0.101489808502824</v>
      </c>
    </row>
    <row r="322" customFormat="false" ht="17.15" hidden="false" customHeight="false" outlineLevel="0" collapsed="false">
      <c r="A322" s="1" t="s">
        <v>657</v>
      </c>
    </row>
    <row r="323" customFormat="false" ht="17.15" hidden="false" customHeight="false" outlineLevel="0" collapsed="false">
      <c r="A323" s="4" t="s">
        <v>16</v>
      </c>
      <c r="B323" s="4" t="s">
        <v>17</v>
      </c>
      <c r="C323" s="8" t="s">
        <v>315</v>
      </c>
      <c r="D323" s="8" t="s">
        <v>401</v>
      </c>
      <c r="E323" s="8" t="s">
        <v>402</v>
      </c>
      <c r="F323" s="8" t="s">
        <v>403</v>
      </c>
      <c r="G323" s="8" t="s">
        <v>404</v>
      </c>
      <c r="H323" s="4" t="s">
        <v>369</v>
      </c>
    </row>
    <row r="324" customFormat="false" ht="17.15" hidden="false" customHeight="false" outlineLevel="0" collapsed="false">
      <c r="A324" s="5" t="s">
        <v>419</v>
      </c>
    </row>
    <row r="325" customFormat="false" ht="17.15" hidden="false" customHeight="false" outlineLevel="0" collapsed="false">
      <c r="A325" s="0" t="s">
        <v>420</v>
      </c>
      <c r="B325" s="0" t="s">
        <v>27</v>
      </c>
      <c r="D325" s="17" t="n">
        <f aca="false">itc_26*1</f>
        <v>781.872916666667</v>
      </c>
      <c r="E325" s="17" t="n">
        <f aca="false">itc_27*1*1</f>
        <v>1565.35</v>
      </c>
      <c r="F325" s="17" t="n">
        <f aca="false">itc_28*um28_A*1</f>
        <v>1984.26388888889</v>
      </c>
      <c r="G325" s="17" t="n">
        <f aca="false">itc_29*um29_A*1</f>
        <v>2260.39027777778</v>
      </c>
    </row>
    <row r="326" customFormat="false" ht="17.15" hidden="false" customHeight="false" outlineLevel="0" collapsed="false">
      <c r="A326" s="3" t="s">
        <v>421</v>
      </c>
      <c r="B326" s="0" t="s">
        <v>27</v>
      </c>
      <c r="D326" s="17" t="n">
        <f aca="false">itpg_gb*(1-vr26)+itpg_vr*vr26</f>
        <v>33.41403216</v>
      </c>
      <c r="E326" s="17" t="n">
        <f aca="false">itpg_vr</f>
        <v>37.586352</v>
      </c>
      <c r="F326" s="17" t="n">
        <f aca="false">itpg_vr</f>
        <v>37.586352</v>
      </c>
      <c r="G326" s="17" t="n">
        <f aca="false">itpg_vr</f>
        <v>37.586352</v>
      </c>
    </row>
    <row r="327" customFormat="false" ht="17.15" hidden="false" customHeight="false" outlineLevel="0" collapsed="false">
      <c r="A327" s="3" t="s">
        <v>422</v>
      </c>
      <c r="B327" s="0" t="s">
        <v>371</v>
      </c>
      <c r="D327" s="14" t="n">
        <f aca="false">D325/D326</f>
        <v>23.3995380420639</v>
      </c>
      <c r="E327" s="14" t="n">
        <f aca="false">E325/E326</f>
        <v>41.6467658260637</v>
      </c>
      <c r="F327" s="14" t="n">
        <f aca="false">F325/F326</f>
        <v>52.792138191248</v>
      </c>
      <c r="G327" s="14" t="n">
        <f aca="false">G325/G326</f>
        <v>60.1385917361116</v>
      </c>
    </row>
    <row r="328" customFormat="false" ht="17.15" hidden="false" customHeight="false" outlineLevel="0" collapsed="false">
      <c r="A328" s="3" t="s">
        <v>373</v>
      </c>
      <c r="B328" s="0" t="s">
        <v>87</v>
      </c>
      <c r="D328" s="15" t="n">
        <f aca="false">cmp_26</f>
        <v>190</v>
      </c>
      <c r="E328" s="15" t="n">
        <f aca="false">cmp_26*cmpx_27</f>
        <v>275.5</v>
      </c>
      <c r="F328" s="15" t="n">
        <f aca="false">cmp_26*cmpx_28</f>
        <v>304</v>
      </c>
      <c r="G328" s="15" t="n">
        <f aca="false">cmp_26*cmpx_29</f>
        <v>323</v>
      </c>
    </row>
    <row r="329" customFormat="false" ht="17.15" hidden="false" customHeight="false" outlineLevel="0" collapsed="false">
      <c r="A329" s="3" t="s">
        <v>375</v>
      </c>
      <c r="B329" s="0" t="s">
        <v>87</v>
      </c>
      <c r="D329" s="15" t="n">
        <f aca="false">sw_26</f>
        <v>90</v>
      </c>
      <c r="E329" s="15" t="n">
        <f aca="false">sw_26*swx_27</f>
        <v>126</v>
      </c>
      <c r="F329" s="15" t="n">
        <f aca="false">sw_26*swx_28</f>
        <v>144</v>
      </c>
      <c r="G329" s="15" t="n">
        <f aca="false">sw_26*swx_29</f>
        <v>157.5</v>
      </c>
    </row>
    <row r="330" customFormat="false" ht="17.15" hidden="false" customHeight="false" outlineLevel="0" collapsed="false">
      <c r="A330" s="3" t="s">
        <v>376</v>
      </c>
      <c r="B330" s="0" t="s">
        <v>87</v>
      </c>
      <c r="D330" s="15" t="n">
        <f aca="false">ubb_26</f>
        <v>70</v>
      </c>
      <c r="E330" s="15" t="n">
        <f aca="false">ubb_26*ubbx_27</f>
        <v>126</v>
      </c>
      <c r="F330" s="15" t="n">
        <f aca="false">ubb_26*ubbx_28</f>
        <v>161</v>
      </c>
      <c r="G330" s="15" t="n">
        <f aca="false">ubb_26*ubbx_29</f>
        <v>182</v>
      </c>
    </row>
    <row r="331" customFormat="false" ht="17.15" hidden="false" customHeight="false" outlineLevel="0" collapsed="false">
      <c r="A331" s="3" t="s">
        <v>423</v>
      </c>
      <c r="B331" s="0" t="s">
        <v>87</v>
      </c>
      <c r="D331" s="15" t="n">
        <f aca="false">D328+D329+D330</f>
        <v>350</v>
      </c>
      <c r="E331" s="15" t="n">
        <f aca="false">E328+E329+E330</f>
        <v>527.5</v>
      </c>
      <c r="F331" s="15" t="n">
        <f aca="false">F328+F329+F330</f>
        <v>609</v>
      </c>
      <c r="G331" s="15" t="n">
        <f aca="false">G328+G329+G330</f>
        <v>662.5</v>
      </c>
    </row>
    <row r="332" customFormat="false" ht="17.15" hidden="false" customHeight="false" outlineLevel="0" collapsed="false">
      <c r="A332" s="0" t="s">
        <v>424</v>
      </c>
      <c r="B332" s="0" t="s">
        <v>27</v>
      </c>
      <c r="D332" s="17" t="n">
        <f aca="false">D327*D331/1000</f>
        <v>8.18983831472237</v>
      </c>
      <c r="E332" s="17" t="n">
        <f aca="false">E327*E331/1000</f>
        <v>21.9686689732486</v>
      </c>
      <c r="F332" s="17" t="n">
        <f aca="false">F327*F331/1000</f>
        <v>32.15041215847</v>
      </c>
      <c r="G332" s="17" t="n">
        <f aca="false">G327*G331/1000</f>
        <v>39.8418170251739</v>
      </c>
    </row>
    <row r="333" customFormat="false" ht="17.15" hidden="false" customHeight="false" outlineLevel="0" collapsed="false">
      <c r="A333" s="0" t="s">
        <v>425</v>
      </c>
      <c r="B333" s="0" t="s">
        <v>193</v>
      </c>
      <c r="D333" s="16" t="n">
        <f aca="false">D332*fx</f>
        <v>262.074826071116</v>
      </c>
      <c r="E333" s="16" t="n">
        <f aca="false">E332*fx</f>
        <v>702.997407143955</v>
      </c>
      <c r="F333" s="16" t="n">
        <f aca="false">F332*fx</f>
        <v>1028.81318907104</v>
      </c>
      <c r="G333" s="16" t="n">
        <f aca="false">G332*fx</f>
        <v>1274.93814480557</v>
      </c>
    </row>
    <row r="334" customFormat="false" ht="17.15" hidden="false" customHeight="false" outlineLevel="0" collapsed="false">
      <c r="A334" s="0" t="s">
        <v>426</v>
      </c>
      <c r="B334" s="0" t="s">
        <v>60</v>
      </c>
      <c r="D334" s="12" t="n">
        <f aca="false">1</f>
        <v>1</v>
      </c>
      <c r="E334" s="12" t="n">
        <f aca="false">PPLO_27</f>
        <v>0.95</v>
      </c>
      <c r="F334" s="12" t="n">
        <f aca="false">PPLO_28</f>
        <v>0.88</v>
      </c>
      <c r="G334" s="12" t="n">
        <f aca="false">PPLO_29</f>
        <v>0.85</v>
      </c>
    </row>
    <row r="335" customFormat="false" ht="17.15" hidden="false" customHeight="false" outlineLevel="0" collapsed="false">
      <c r="A335" s="3" t="s">
        <v>427</v>
      </c>
      <c r="B335" s="0" t="s">
        <v>47</v>
      </c>
      <c r="D335" s="11" t="n">
        <f aca="false">a26_ai/D333</f>
        <v>0.459306165741139</v>
      </c>
      <c r="H335" s="7" t="s">
        <v>428</v>
      </c>
    </row>
    <row r="336" customFormat="false" ht="17.15" hidden="false" customHeight="false" outlineLevel="0" collapsed="false">
      <c r="A336" s="3" t="s">
        <v>429</v>
      </c>
      <c r="B336" s="0" t="s">
        <v>60</v>
      </c>
      <c r="D336" s="12" t="n">
        <f aca="false">1</f>
        <v>1</v>
      </c>
      <c r="E336" s="12" t="n">
        <f aca="false">rel_27</f>
        <v>0.95</v>
      </c>
      <c r="F336" s="12" t="n">
        <f aca="false">rel_28</f>
        <v>0.9</v>
      </c>
      <c r="G336" s="12" t="n">
        <f aca="false">rel_29</f>
        <v>0.85</v>
      </c>
    </row>
    <row r="337" customFormat="false" ht="15" hidden="false" customHeight="false" outlineLevel="0" collapsed="false">
      <c r="A337" s="3" t="s">
        <v>384</v>
      </c>
      <c r="B337" s="0" t="s">
        <v>47</v>
      </c>
      <c r="D337" s="11" t="n">
        <f aca="false">$D$335*D336</f>
        <v>0.459306165741139</v>
      </c>
      <c r="E337" s="11" t="n">
        <f aca="false">$D$335*E336</f>
        <v>0.436340857454082</v>
      </c>
      <c r="F337" s="11" t="n">
        <f aca="false">$D$335*F336</f>
        <v>0.413375549167025</v>
      </c>
      <c r="G337" s="11" t="n">
        <f aca="false">$D$335*G336</f>
        <v>0.390410240879968</v>
      </c>
    </row>
    <row r="338" customFormat="false" ht="17.15" hidden="false" customHeight="false" outlineLevel="0" collapsed="false">
      <c r="A338" s="0" t="s">
        <v>430</v>
      </c>
      <c r="B338" s="0" t="s">
        <v>193</v>
      </c>
      <c r="D338" s="16" t="n">
        <f aca="false">D333*D337*D334</f>
        <v>120.3725835</v>
      </c>
      <c r="E338" s="16" t="n">
        <f aca="false">E333*E337*E334</f>
        <v>291.40916685013</v>
      </c>
      <c r="F338" s="16" t="n">
        <f aca="false">F333*F337*F334</f>
        <v>374.251870979817</v>
      </c>
      <c r="G338" s="16" t="n">
        <f aca="false">G333*G337*G334</f>
        <v>423.08657198751</v>
      </c>
    </row>
    <row r="339" customFormat="false" ht="17.15" hidden="false" customHeight="false" outlineLevel="0" collapsed="false">
      <c r="A339" s="5" t="s">
        <v>431</v>
      </c>
    </row>
    <row r="340" customFormat="false" ht="15" hidden="false" customHeight="false" outlineLevel="0" collapsed="false">
      <c r="A340" s="3" t="s">
        <v>389</v>
      </c>
      <c r="B340" s="3" t="s">
        <v>144</v>
      </c>
      <c r="D340" s="12" t="n">
        <f aca="false">cap_26</f>
        <v>6</v>
      </c>
      <c r="E340" s="12" t="n">
        <f aca="false">cap_27</f>
        <v>7.76</v>
      </c>
      <c r="F340" s="12" t="n">
        <f aca="false">cap_28</f>
        <v>10.3</v>
      </c>
      <c r="G340" s="12" t="n">
        <f aca="false">cap_29</f>
        <v>11.8</v>
      </c>
    </row>
    <row r="341" customFormat="false" ht="17.15" hidden="false" customHeight="false" outlineLevel="0" collapsed="false">
      <c r="A341" s="3" t="s">
        <v>432</v>
      </c>
      <c r="B341" s="0" t="s">
        <v>392</v>
      </c>
      <c r="D341" s="15" t="n">
        <f aca="false">a26_rev/(D340*12)*1000</f>
        <v>2857.84861111111</v>
      </c>
      <c r="H341" s="7" t="s">
        <v>433</v>
      </c>
    </row>
    <row r="342" customFormat="false" ht="17.15" hidden="false" customHeight="false" outlineLevel="0" collapsed="false">
      <c r="A342" s="3" t="s">
        <v>434</v>
      </c>
      <c r="B342" s="0" t="s">
        <v>60</v>
      </c>
      <c r="D342" s="12" t="n">
        <f aca="false">1</f>
        <v>1</v>
      </c>
      <c r="E342" s="12" t="n">
        <f aca="false">mix_27</f>
        <v>1.25</v>
      </c>
      <c r="F342" s="12" t="n">
        <f aca="false">mix_28</f>
        <v>1.4</v>
      </c>
      <c r="G342" s="12" t="n">
        <f aca="false">mix_29</f>
        <v>1.5</v>
      </c>
    </row>
    <row r="343" customFormat="false" ht="17.15" hidden="false" customHeight="false" outlineLevel="0" collapsed="false">
      <c r="A343" s="3" t="s">
        <v>435</v>
      </c>
      <c r="B343" s="0" t="s">
        <v>193</v>
      </c>
      <c r="D343" s="16" t="n">
        <f aca="false">D340*12*$D$341*D342*D334/1000</f>
        <v>205.7651</v>
      </c>
      <c r="E343" s="16" t="n">
        <f aca="false">E340*12*$D$341*E342*E334/1000</f>
        <v>316.020899416667</v>
      </c>
      <c r="F343" s="16" t="n">
        <f aca="false">F340*12*$D$341*F342*F334/1000</f>
        <v>435.179468826667</v>
      </c>
      <c r="G343" s="16" t="n">
        <f aca="false">G340*12*$D$341*G342*G334/1000</f>
        <v>515.95598825</v>
      </c>
    </row>
    <row r="344" customFormat="false" ht="17.15" hidden="false" customHeight="false" outlineLevel="0" collapsed="false">
      <c r="A344" s="3" t="s">
        <v>436</v>
      </c>
      <c r="B344" s="0" t="s">
        <v>193</v>
      </c>
      <c r="C344" s="16" t="n">
        <f aca="false">a25_nai</f>
        <v>47.1305</v>
      </c>
      <c r="D344" s="16" t="n">
        <f aca="false">a26_nai</f>
        <v>85.3925165</v>
      </c>
      <c r="E344" s="16" t="n">
        <f aca="false">D344*(1+g_nai27)</f>
        <v>92.22391782</v>
      </c>
      <c r="F344" s="16" t="n">
        <f aca="false">E344*(1+g_nai28)</f>
        <v>97.7573528892</v>
      </c>
      <c r="G344" s="16" t="n">
        <f aca="false">F344*(1+g_nai29)</f>
        <v>102.64522053366</v>
      </c>
    </row>
    <row r="345" customFormat="false" ht="17.15" hidden="false" customHeight="false" outlineLevel="0" collapsed="false">
      <c r="A345" s="0" t="s">
        <v>437</v>
      </c>
      <c r="B345" s="0" t="s">
        <v>193</v>
      </c>
      <c r="C345" s="16" t="n">
        <f aca="false">a25_ai</f>
        <v>47.1305</v>
      </c>
      <c r="D345" s="16" t="n">
        <f aca="false">D338</f>
        <v>120.3725835</v>
      </c>
      <c r="E345" s="16" t="n">
        <f aca="false">MIN(E338,E343-E344)</f>
        <v>223.796981596667</v>
      </c>
      <c r="F345" s="16" t="n">
        <f aca="false">MIN(F338,F343-F344)</f>
        <v>337.422115937467</v>
      </c>
      <c r="G345" s="16" t="n">
        <f aca="false">MIN(G338,G343-G344)</f>
        <v>413.31076771634</v>
      </c>
      <c r="H345" s="3" t="s">
        <v>438</v>
      </c>
    </row>
    <row r="346" customFormat="false" ht="15" hidden="false" customHeight="false" outlineLevel="0" collapsed="false">
      <c r="A346" s="3" t="s">
        <v>439</v>
      </c>
      <c r="E346" s="0" t="str">
        <f aca="false">IF(E338&gt;E343-E344+0.0001,"受限","未受限")</f>
        <v>受限</v>
      </c>
      <c r="F346" s="0" t="str">
        <f aca="false">IF(F338&gt;F343-F344+0.0001,"受限","未受限")</f>
        <v>受限</v>
      </c>
      <c r="G346" s="0" t="str">
        <f aca="false">IF(G338&gt;G343-G344+0.0001,"受限","未受限")</f>
        <v>受限</v>
      </c>
    </row>
    <row r="347" customFormat="false" ht="15" hidden="false" customHeight="false" outlineLevel="0" collapsed="false">
      <c r="A347" s="3" t="s">
        <v>320</v>
      </c>
      <c r="B347" s="0" t="s">
        <v>193</v>
      </c>
      <c r="C347" s="16" t="n">
        <f aca="false">C345+C344</f>
        <v>94.261</v>
      </c>
      <c r="D347" s="16" t="n">
        <f aca="false">D345+D344</f>
        <v>205.7651</v>
      </c>
      <c r="E347" s="16" t="n">
        <f aca="false">E345+E344</f>
        <v>316.020899416667</v>
      </c>
      <c r="F347" s="16" t="n">
        <f aca="false">F345+F344</f>
        <v>435.179468826667</v>
      </c>
      <c r="G347" s="16" t="n">
        <f aca="false">G345+G344</f>
        <v>515.95598825</v>
      </c>
    </row>
    <row r="348" customFormat="false" ht="15" hidden="false" customHeight="false" outlineLevel="0" collapsed="false">
      <c r="A348" s="3" t="s">
        <v>440</v>
      </c>
      <c r="B348" s="0" t="s">
        <v>47</v>
      </c>
      <c r="D348" s="11" t="n">
        <f aca="false">D347/C347-1</f>
        <v>1.1829293132897</v>
      </c>
      <c r="E348" s="11" t="n">
        <f aca="false">E347/D347-1</f>
        <v>0.535833333333334</v>
      </c>
      <c r="F348" s="11" t="n">
        <f aca="false">F347/E347-1</f>
        <v>0.377059142702116</v>
      </c>
      <c r="G348" s="11" t="n">
        <f aca="false">G347/F347-1</f>
        <v>0.185616567898121</v>
      </c>
    </row>
    <row r="349" customFormat="false" ht="17.15" hidden="false" customHeight="false" outlineLevel="0" collapsed="false">
      <c r="A349" s="0" t="s">
        <v>441</v>
      </c>
      <c r="B349" s="0" t="s">
        <v>47</v>
      </c>
      <c r="C349" s="11" t="n">
        <f aca="false">C345/C347</f>
        <v>0.5</v>
      </c>
      <c r="D349" s="11" t="n">
        <f aca="false">D345/D347</f>
        <v>0.585</v>
      </c>
      <c r="E349" s="11" t="n">
        <f aca="false">E345/E347</f>
        <v>0.708171459576777</v>
      </c>
      <c r="F349" s="11" t="n">
        <f aca="false">F345/F347</f>
        <v>0.775363132013617</v>
      </c>
      <c r="G349" s="11" t="n">
        <f aca="false">G345/G347</f>
        <v>0.801058185443669</v>
      </c>
    </row>
    <row r="350" customFormat="false" ht="17.15" hidden="false" customHeight="false" outlineLevel="0" collapsed="false">
      <c r="A350" s="3" t="s">
        <v>442</v>
      </c>
      <c r="B350" s="0" t="s">
        <v>47</v>
      </c>
      <c r="D350" s="11" t="n">
        <f aca="false">(D338+D344)/D343</f>
        <v>1</v>
      </c>
      <c r="E350" s="11" t="n">
        <f aca="false">(E338+E344)/E343</f>
        <v>1.21394846156778</v>
      </c>
      <c r="F350" s="11" t="n">
        <f aca="false">(F338+F344)/F343</f>
        <v>1.08463118708622</v>
      </c>
      <c r="G350" s="11" t="n">
        <f aca="false">(G338+G344)/G343</f>
        <v>1.01894697317949</v>
      </c>
      <c r="H350" s="3" t="s">
        <v>443</v>
      </c>
    </row>
    <row r="351" customFormat="false" ht="17.15" hidden="false" customHeight="false" outlineLevel="0" collapsed="false">
      <c r="A351" s="3" t="s">
        <v>388</v>
      </c>
      <c r="B351" s="0" t="s">
        <v>87</v>
      </c>
      <c r="D351" s="15" t="n">
        <f aca="false">D345/fx/D327*1000</f>
        <v>160.757158009399</v>
      </c>
      <c r="E351" s="15" t="n">
        <f aca="false">E345/fx/E327*1000</f>
        <v>167.927941970443</v>
      </c>
      <c r="F351" s="15" t="n">
        <f aca="false">F345/fx/F327*1000</f>
        <v>199.735064430369</v>
      </c>
      <c r="G351" s="15" t="n">
        <f aca="false">G345/fx/G327*1000</f>
        <v>214.769935880955</v>
      </c>
    </row>
    <row r="352" customFormat="false" ht="17.15" hidden="false" customHeight="false" outlineLevel="0" collapsed="false">
      <c r="A352" s="5" t="s">
        <v>444</v>
      </c>
    </row>
    <row r="353" customFormat="false" ht="17.15" hidden="false" customHeight="false" outlineLevel="0" collapsed="false">
      <c r="A353" s="3" t="s">
        <v>445</v>
      </c>
      <c r="B353" s="0" t="s">
        <v>47</v>
      </c>
      <c r="D353" s="11" t="n">
        <f aca="false">a26_gp/D347-d_ai*D349</f>
        <v>0.291564442755356</v>
      </c>
      <c r="H353" s="7" t="s">
        <v>446</v>
      </c>
    </row>
    <row r="354" customFormat="false" ht="17.15" hidden="false" customHeight="false" outlineLevel="0" collapsed="false">
      <c r="A354" s="0" t="s">
        <v>447</v>
      </c>
      <c r="B354" s="0" t="s">
        <v>47</v>
      </c>
      <c r="D354" s="11" t="n">
        <f aca="false">D353+d_ai</f>
        <v>0.371564442755356</v>
      </c>
      <c r="E354" s="11" t="n">
        <f aca="false">1-(1-$D$354)/E334</f>
        <v>0.338488887110901</v>
      </c>
      <c r="F354" s="11" t="n">
        <f aca="false">1-(1-$D$354)/F334</f>
        <v>0.285868684949268</v>
      </c>
      <c r="G354" s="11" t="n">
        <f aca="false">1-(1-$D$354)/G334</f>
        <v>0.260664050300418</v>
      </c>
      <c r="H354" s="7" t="s">
        <v>448</v>
      </c>
    </row>
    <row r="355" customFormat="false" ht="15" hidden="false" customHeight="false" outlineLevel="0" collapsed="false">
      <c r="A355" s="3" t="s">
        <v>324</v>
      </c>
      <c r="B355" s="0" t="s">
        <v>193</v>
      </c>
      <c r="C355" s="16" t="n">
        <f aca="false">a25_gp</f>
        <v>28.12</v>
      </c>
      <c r="D355" s="16" t="n">
        <f aca="false">a26_gp</f>
        <v>69.6235934</v>
      </c>
      <c r="E355" s="16" t="n">
        <f aca="false">E345*E354+E344*$D$353</f>
        <v>102.642006447338</v>
      </c>
      <c r="F355" s="16" t="n">
        <f aca="false">F345*F354+F344*$D$353</f>
        <v>124.960984676221</v>
      </c>
      <c r="G355" s="16" t="n">
        <f aca="false">G345*G354+G344*$D$353</f>
        <v>137.662955272114</v>
      </c>
    </row>
    <row r="356" customFormat="false" ht="15" hidden="false" customHeight="false" outlineLevel="0" collapsed="false">
      <c r="A356" s="3" t="s">
        <v>327</v>
      </c>
      <c r="B356" s="0" t="s">
        <v>47</v>
      </c>
      <c r="C356" s="11" t="n">
        <f aca="false">C355/C347</f>
        <v>0.298320620405046</v>
      </c>
      <c r="D356" s="11" t="n">
        <f aca="false">D355/D347</f>
        <v>0.338364442755356</v>
      </c>
      <c r="E356" s="11" t="n">
        <f aca="false">E355/E347</f>
        <v>0.324794995004451</v>
      </c>
      <c r="F356" s="11" t="n">
        <f aca="false">F355/F347</f>
        <v>0.287148162143636</v>
      </c>
      <c r="G356" s="11" t="n">
        <f aca="false">G355/G347</f>
        <v>0.266811430445906</v>
      </c>
    </row>
    <row r="357" customFormat="false" ht="15" hidden="false" customHeight="false" outlineLevel="0" collapsed="false">
      <c r="A357" s="3" t="s">
        <v>449</v>
      </c>
      <c r="B357" s="0" t="s">
        <v>193</v>
      </c>
      <c r="C357" s="16" t="n">
        <f aca="false">a25_opx</f>
        <v>9.012</v>
      </c>
      <c r="D357" s="16" t="n">
        <f aca="false">a26_opx</f>
        <v>14.0153081141857</v>
      </c>
      <c r="E357" s="16" t="n">
        <f aca="false">D357*(1+MAX(0,phi*E348))</f>
        <v>18.5212296728965</v>
      </c>
      <c r="F357" s="16" t="n">
        <f aca="false">E357*(1+MAX(0,phi*F348))</f>
        <v>22.7113890622473</v>
      </c>
      <c r="G357" s="16" t="n">
        <f aca="false">F357*(1+MAX(0,phi*G348))</f>
        <v>25.2407551162072</v>
      </c>
    </row>
    <row r="358" customFormat="false" ht="15" hidden="false" customHeight="false" outlineLevel="0" collapsed="false">
      <c r="A358" s="3" t="s">
        <v>329</v>
      </c>
      <c r="B358" s="0" t="s">
        <v>193</v>
      </c>
      <c r="C358" s="16" t="n">
        <f aca="false">C357</f>
        <v>9.012</v>
      </c>
      <c r="D358" s="16" t="n">
        <f aca="false">D357</f>
        <v>14.0153081141857</v>
      </c>
      <c r="E358" s="16" t="n">
        <f aca="false">E357+0*E347</f>
        <v>18.5212296728965</v>
      </c>
      <c r="F358" s="16" t="n">
        <f aca="false">F357+0*F347</f>
        <v>22.7113890622473</v>
      </c>
      <c r="G358" s="16" t="n">
        <f aca="false">G357+0*G347</f>
        <v>25.2407551162072</v>
      </c>
    </row>
    <row r="359" customFormat="false" ht="15" hidden="false" customHeight="false" outlineLevel="0" collapsed="false">
      <c r="A359" s="3" t="s">
        <v>332</v>
      </c>
      <c r="B359" s="0" t="s">
        <v>193</v>
      </c>
      <c r="C359" s="16" t="n">
        <f aca="false">C355-C358</f>
        <v>19.108</v>
      </c>
      <c r="D359" s="16" t="n">
        <f aca="false">D355-D358</f>
        <v>55.6082852858143</v>
      </c>
      <c r="E359" s="16" t="n">
        <f aca="false">E355-E358</f>
        <v>84.1207767744419</v>
      </c>
      <c r="F359" s="16" t="n">
        <f aca="false">F355-F358</f>
        <v>102.249595613974</v>
      </c>
      <c r="G359" s="16" t="n">
        <f aca="false">G355-G358</f>
        <v>112.422200155906</v>
      </c>
    </row>
    <row r="360" customFormat="false" ht="15" hidden="false" customHeight="false" outlineLevel="0" collapsed="false">
      <c r="A360" s="3" t="s">
        <v>335</v>
      </c>
      <c r="B360" s="0" t="s">
        <v>47</v>
      </c>
      <c r="C360" s="11" t="n">
        <f aca="false">C359/C347</f>
        <v>0.202713741632276</v>
      </c>
      <c r="D360" s="11" t="n">
        <f aca="false">D359/D347</f>
        <v>0.270251297648699</v>
      </c>
      <c r="E360" s="11" t="n">
        <f aca="false">E359/E347</f>
        <v>0.266187384852451</v>
      </c>
      <c r="F360" s="11" t="n">
        <f aca="false">F359/F347</f>
        <v>0.234959603884025</v>
      </c>
      <c r="G360" s="11" t="n">
        <f aca="false">G359/G347</f>
        <v>0.217891065742285</v>
      </c>
    </row>
    <row r="361" customFormat="false" ht="17.15" hidden="false" customHeight="false" outlineLevel="0" collapsed="false">
      <c r="A361" s="3" t="s">
        <v>337</v>
      </c>
      <c r="B361" s="0" t="s">
        <v>193</v>
      </c>
      <c r="E361" s="16" t="n">
        <f aca="false">nop_f</f>
        <v>0.5</v>
      </c>
      <c r="F361" s="16" t="n">
        <f aca="false">nop_f</f>
        <v>0.5</v>
      </c>
      <c r="G361" s="16" t="n">
        <f aca="false">nop_f</f>
        <v>0.5</v>
      </c>
      <c r="H361" s="7" t="s">
        <v>450</v>
      </c>
    </row>
    <row r="362" customFormat="false" ht="15" hidden="false" customHeight="false" outlineLevel="0" collapsed="false">
      <c r="A362" s="3" t="s">
        <v>340</v>
      </c>
      <c r="B362" s="0" t="s">
        <v>193</v>
      </c>
      <c r="C362" s="16" t="n">
        <f aca="false">a25_ni</f>
        <v>14.649</v>
      </c>
      <c r="D362" s="16" t="n">
        <f aca="false">a26_ni</f>
        <v>42.891099295</v>
      </c>
      <c r="E362" s="16" t="n">
        <f aca="false">(E359+E361)*nir_f</f>
        <v>65.1579981163203</v>
      </c>
      <c r="F362" s="16" t="n">
        <f aca="false">(F359+F361)*nir_f</f>
        <v>79.1171886227599</v>
      </c>
      <c r="G362" s="16" t="n">
        <f aca="false">(G359+G361)*nir_f</f>
        <v>86.950094120048</v>
      </c>
    </row>
    <row r="363" customFormat="false" ht="17.15" hidden="false" customHeight="false" outlineLevel="0" collapsed="false">
      <c r="A363" s="3" t="s">
        <v>343</v>
      </c>
      <c r="B363" s="0" t="s">
        <v>47</v>
      </c>
      <c r="C363" s="11" t="n">
        <f aca="false">C362/C359</f>
        <v>0.766642244086247</v>
      </c>
      <c r="D363" s="11" t="n">
        <f aca="false">D362/D359</f>
        <v>0.771307712053146</v>
      </c>
      <c r="E363" s="11" t="n">
        <f aca="false">E362/E359</f>
        <v>0.774576752792385</v>
      </c>
      <c r="F363" s="11" t="n">
        <f aca="false">F362/F359</f>
        <v>0.773765296064872</v>
      </c>
      <c r="G363" s="11" t="n">
        <f aca="false">G362/G359</f>
        <v>0.773424590512071</v>
      </c>
    </row>
    <row r="364" customFormat="false" ht="15" hidden="false" customHeight="false" outlineLevel="0" collapsed="false">
      <c r="A364" s="3" t="s">
        <v>451</v>
      </c>
      <c r="B364" s="3" t="s">
        <v>222</v>
      </c>
      <c r="C364" s="18" t="n">
        <f aca="false">a25_sh</f>
        <v>0.351547876169906</v>
      </c>
      <c r="D364" s="18" t="n">
        <f aca="false">a26_sh</f>
        <v>0.358290155440415</v>
      </c>
      <c r="E364" s="18" t="n">
        <f aca="false">D364*(1+sh_g)</f>
        <v>0.358290155440415</v>
      </c>
      <c r="F364" s="18" t="n">
        <f aca="false">E364*(1+sh_g)</f>
        <v>0.358290155440415</v>
      </c>
      <c r="G364" s="18" t="n">
        <f aca="false">F364*(1+sh_g)</f>
        <v>0.358290155440415</v>
      </c>
    </row>
    <row r="365" customFormat="false" ht="15" hidden="false" customHeight="false" outlineLevel="0" collapsed="false">
      <c r="A365" s="0" t="s">
        <v>346</v>
      </c>
      <c r="B365" s="0" t="s">
        <v>253</v>
      </c>
      <c r="C365" s="17" t="n">
        <f aca="false">C362/C364</f>
        <v>41.67</v>
      </c>
      <c r="D365" s="17" t="n">
        <f aca="false">D362/D364</f>
        <v>119.710515747433</v>
      </c>
      <c r="E365" s="17" t="n">
        <f aca="false">E362/E364</f>
        <v>181.858187078088</v>
      </c>
      <c r="F365" s="17" t="n">
        <f aca="false">F362/F364</f>
        <v>220.818762171984</v>
      </c>
      <c r="G365" s="17" t="n">
        <f aca="false">G362/G364</f>
        <v>242.6806676091</v>
      </c>
    </row>
    <row r="366" customFormat="false" ht="17.15" hidden="false" customHeight="false" outlineLevel="0" collapsed="false">
      <c r="A366" s="0" t="s">
        <v>452</v>
      </c>
      <c r="B366" s="0" t="s">
        <v>47</v>
      </c>
      <c r="D366" s="11" t="n">
        <f aca="false">D365/C365-1</f>
        <v>1.87282255213422</v>
      </c>
      <c r="E366" s="11" t="n">
        <f aca="false">E365/D365-1</f>
        <v>0.519149641471559</v>
      </c>
      <c r="F366" s="11" t="n">
        <f aca="false">F365/E365-1</f>
        <v>0.214236024893209</v>
      </c>
      <c r="G366" s="11" t="n">
        <f aca="false">G365/F365-1</f>
        <v>0.0990038401722824</v>
      </c>
    </row>
    <row r="369" customFormat="false" ht="17.15" hidden="false" customHeight="false" outlineLevel="0" collapsed="false">
      <c r="A369" s="1" t="s">
        <v>658</v>
      </c>
    </row>
    <row r="370" customFormat="false" ht="17.15" hidden="false" customHeight="false" outlineLevel="0" collapsed="false">
      <c r="A370" s="4" t="s">
        <v>16</v>
      </c>
      <c r="B370" s="4" t="s">
        <v>17</v>
      </c>
      <c r="C370" s="8" t="s">
        <v>315</v>
      </c>
      <c r="D370" s="8" t="s">
        <v>401</v>
      </c>
      <c r="E370" s="8" t="s">
        <v>402</v>
      </c>
      <c r="F370" s="8" t="s">
        <v>403</v>
      </c>
      <c r="G370" s="8" t="s">
        <v>404</v>
      </c>
      <c r="H370" s="4" t="s">
        <v>369</v>
      </c>
    </row>
    <row r="371" customFormat="false" ht="17.15" hidden="false" customHeight="false" outlineLevel="0" collapsed="false">
      <c r="A371" s="5" t="s">
        <v>419</v>
      </c>
    </row>
    <row r="372" customFormat="false" ht="17.15" hidden="false" customHeight="false" outlineLevel="0" collapsed="false">
      <c r="A372" s="0" t="s">
        <v>420</v>
      </c>
      <c r="B372" s="0" t="s">
        <v>27</v>
      </c>
      <c r="D372" s="17" t="n">
        <f aca="false">itc_26*1</f>
        <v>781.872916666667</v>
      </c>
      <c r="E372" s="17" t="n">
        <f aca="false">itc_27*1*1</f>
        <v>1565.35</v>
      </c>
      <c r="F372" s="17" t="n">
        <f aca="false">itc_28*um28_A*1</f>
        <v>1984.26388888889</v>
      </c>
      <c r="G372" s="17" t="n">
        <f aca="false">itc_29*um29_A*1</f>
        <v>2260.39027777778</v>
      </c>
    </row>
    <row r="373" customFormat="false" ht="17.15" hidden="false" customHeight="false" outlineLevel="0" collapsed="false">
      <c r="A373" s="3" t="s">
        <v>421</v>
      </c>
      <c r="B373" s="0" t="s">
        <v>27</v>
      </c>
      <c r="D373" s="17" t="n">
        <f aca="false">itpg_gb*(1-vr26)+itpg_vr*vr26</f>
        <v>33.41403216</v>
      </c>
      <c r="E373" s="17" t="n">
        <f aca="false">itpg_vr</f>
        <v>37.586352</v>
      </c>
      <c r="F373" s="17" t="n">
        <f aca="false">itpg_vr</f>
        <v>37.586352</v>
      </c>
      <c r="G373" s="17" t="n">
        <f aca="false">itpg_vr</f>
        <v>37.586352</v>
      </c>
    </row>
    <row r="374" customFormat="false" ht="17.15" hidden="false" customHeight="false" outlineLevel="0" collapsed="false">
      <c r="A374" s="3" t="s">
        <v>422</v>
      </c>
      <c r="B374" s="0" t="s">
        <v>371</v>
      </c>
      <c r="D374" s="14" t="n">
        <f aca="false">D372/D373</f>
        <v>23.3995380420639</v>
      </c>
      <c r="E374" s="14" t="n">
        <f aca="false">E372/E373</f>
        <v>41.6467658260637</v>
      </c>
      <c r="F374" s="14" t="n">
        <f aca="false">F372/F373</f>
        <v>52.792138191248</v>
      </c>
      <c r="G374" s="14" t="n">
        <f aca="false">G372/G373</f>
        <v>60.1385917361116</v>
      </c>
    </row>
    <row r="375" customFormat="false" ht="17.15" hidden="false" customHeight="false" outlineLevel="0" collapsed="false">
      <c r="A375" s="3" t="s">
        <v>373</v>
      </c>
      <c r="B375" s="0" t="s">
        <v>87</v>
      </c>
      <c r="D375" s="15" t="n">
        <f aca="false">cmp_26</f>
        <v>190</v>
      </c>
      <c r="E375" s="15" t="n">
        <f aca="false">cmp_26*cmpx_27</f>
        <v>275.5</v>
      </c>
      <c r="F375" s="15" t="n">
        <f aca="false">cmp_26*cmpx_28</f>
        <v>304</v>
      </c>
      <c r="G375" s="15" t="n">
        <f aca="false">cmp_26*cmpx_29</f>
        <v>323</v>
      </c>
    </row>
    <row r="376" customFormat="false" ht="17.15" hidden="false" customHeight="false" outlineLevel="0" collapsed="false">
      <c r="A376" s="3" t="s">
        <v>375</v>
      </c>
      <c r="B376" s="0" t="s">
        <v>87</v>
      </c>
      <c r="D376" s="15" t="n">
        <f aca="false">sw_26</f>
        <v>90</v>
      </c>
      <c r="E376" s="15" t="n">
        <f aca="false">sw_26*swx_27</f>
        <v>126</v>
      </c>
      <c r="F376" s="15" t="n">
        <f aca="false">sw_26*swx_28</f>
        <v>144</v>
      </c>
      <c r="G376" s="15" t="n">
        <f aca="false">sw_26*swx_29</f>
        <v>157.5</v>
      </c>
    </row>
    <row r="377" customFormat="false" ht="17.15" hidden="false" customHeight="false" outlineLevel="0" collapsed="false">
      <c r="A377" s="3" t="s">
        <v>376</v>
      </c>
      <c r="B377" s="0" t="s">
        <v>87</v>
      </c>
      <c r="D377" s="15" t="n">
        <f aca="false">ubb_26</f>
        <v>70</v>
      </c>
      <c r="E377" s="15" t="n">
        <f aca="false">ubb_26*ubbx_27</f>
        <v>126</v>
      </c>
      <c r="F377" s="15" t="n">
        <f aca="false">ubb_26*ubbx_28</f>
        <v>161</v>
      </c>
      <c r="G377" s="15" t="n">
        <f aca="false">ubb_26*ubbx_29</f>
        <v>182</v>
      </c>
    </row>
    <row r="378" customFormat="false" ht="17.15" hidden="false" customHeight="false" outlineLevel="0" collapsed="false">
      <c r="A378" s="3" t="s">
        <v>423</v>
      </c>
      <c r="B378" s="0" t="s">
        <v>87</v>
      </c>
      <c r="D378" s="15" t="n">
        <f aca="false">D375+D376+D377</f>
        <v>350</v>
      </c>
      <c r="E378" s="15" t="n">
        <f aca="false">E375+E376+E377</f>
        <v>527.5</v>
      </c>
      <c r="F378" s="15" t="n">
        <f aca="false">F375+F376+F377</f>
        <v>609</v>
      </c>
      <c r="G378" s="15" t="n">
        <f aca="false">G375+G376+G377</f>
        <v>662.5</v>
      </c>
    </row>
    <row r="379" customFormat="false" ht="17.15" hidden="false" customHeight="false" outlineLevel="0" collapsed="false">
      <c r="A379" s="0" t="s">
        <v>424</v>
      </c>
      <c r="B379" s="0" t="s">
        <v>27</v>
      </c>
      <c r="D379" s="17" t="n">
        <f aca="false">D374*D378/1000</f>
        <v>8.18983831472237</v>
      </c>
      <c r="E379" s="17" t="n">
        <f aca="false">E374*E378/1000</f>
        <v>21.9686689732486</v>
      </c>
      <c r="F379" s="17" t="n">
        <f aca="false">F374*F378/1000</f>
        <v>32.15041215847</v>
      </c>
      <c r="G379" s="17" t="n">
        <f aca="false">G374*G378/1000</f>
        <v>39.8418170251739</v>
      </c>
    </row>
    <row r="380" customFormat="false" ht="17.15" hidden="false" customHeight="false" outlineLevel="0" collapsed="false">
      <c r="A380" s="0" t="s">
        <v>425</v>
      </c>
      <c r="B380" s="0" t="s">
        <v>193</v>
      </c>
      <c r="D380" s="16" t="n">
        <f aca="false">D379*fx</f>
        <v>262.074826071116</v>
      </c>
      <c r="E380" s="16" t="n">
        <f aca="false">E379*fx</f>
        <v>702.997407143955</v>
      </c>
      <c r="F380" s="16" t="n">
        <f aca="false">F379*fx</f>
        <v>1028.81318907104</v>
      </c>
      <c r="G380" s="16" t="n">
        <f aca="false">G379*fx</f>
        <v>1274.93814480557</v>
      </c>
    </row>
    <row r="381" customFormat="false" ht="17.15" hidden="false" customHeight="false" outlineLevel="0" collapsed="false">
      <c r="A381" s="0" t="s">
        <v>426</v>
      </c>
      <c r="B381" s="0" t="s">
        <v>60</v>
      </c>
      <c r="D381" s="12" t="n">
        <f aca="false">1</f>
        <v>1</v>
      </c>
      <c r="E381" s="12" t="n">
        <f aca="false">PPHI_27</f>
        <v>1.08</v>
      </c>
      <c r="F381" s="12" t="n">
        <f aca="false">PPHI_28</f>
        <v>1.05</v>
      </c>
      <c r="G381" s="12" t="n">
        <f aca="false">PPHI_29</f>
        <v>1</v>
      </c>
    </row>
    <row r="382" customFormat="false" ht="17.15" hidden="false" customHeight="false" outlineLevel="0" collapsed="false">
      <c r="A382" s="3" t="s">
        <v>427</v>
      </c>
      <c r="B382" s="0" t="s">
        <v>47</v>
      </c>
      <c r="D382" s="11" t="n">
        <f aca="false">a26_ai/D380</f>
        <v>0.459306165741139</v>
      </c>
      <c r="H382" s="7" t="s">
        <v>428</v>
      </c>
    </row>
    <row r="383" customFormat="false" ht="17.15" hidden="false" customHeight="false" outlineLevel="0" collapsed="false">
      <c r="A383" s="3" t="s">
        <v>429</v>
      </c>
      <c r="B383" s="0" t="s">
        <v>60</v>
      </c>
      <c r="D383" s="12" t="n">
        <f aca="false">1</f>
        <v>1</v>
      </c>
      <c r="E383" s="12" t="n">
        <f aca="false">rel_27</f>
        <v>0.95</v>
      </c>
      <c r="F383" s="12" t="n">
        <f aca="false">rel_28</f>
        <v>0.9</v>
      </c>
      <c r="G383" s="12" t="n">
        <f aca="false">rel_29</f>
        <v>0.85</v>
      </c>
    </row>
    <row r="384" customFormat="false" ht="15" hidden="false" customHeight="false" outlineLevel="0" collapsed="false">
      <c r="A384" s="3" t="s">
        <v>384</v>
      </c>
      <c r="B384" s="0" t="s">
        <v>47</v>
      </c>
      <c r="D384" s="11" t="n">
        <f aca="false">$D$382*D383</f>
        <v>0.459306165741139</v>
      </c>
      <c r="E384" s="11" t="n">
        <f aca="false">$D$382*E383</f>
        <v>0.436340857454082</v>
      </c>
      <c r="F384" s="11" t="n">
        <f aca="false">$D$382*F383</f>
        <v>0.413375549167025</v>
      </c>
      <c r="G384" s="11" t="n">
        <f aca="false">$D$382*G383</f>
        <v>0.390410240879968</v>
      </c>
    </row>
    <row r="385" customFormat="false" ht="17.15" hidden="false" customHeight="false" outlineLevel="0" collapsed="false">
      <c r="A385" s="0" t="s">
        <v>430</v>
      </c>
      <c r="B385" s="0" t="s">
        <v>193</v>
      </c>
      <c r="D385" s="16" t="n">
        <f aca="false">D380*D384*D381</f>
        <v>120.3725835</v>
      </c>
      <c r="E385" s="16" t="n">
        <f aca="false">E380*E384*E381</f>
        <v>331.286210734885</v>
      </c>
      <c r="F385" s="16" t="n">
        <f aca="false">F380*F384*F381</f>
        <v>446.550527873646</v>
      </c>
      <c r="G385" s="16" t="n">
        <f aca="false">G380*G384*G381</f>
        <v>497.7489082206</v>
      </c>
    </row>
    <row r="386" customFormat="false" ht="17.15" hidden="false" customHeight="false" outlineLevel="0" collapsed="false">
      <c r="A386" s="5" t="s">
        <v>431</v>
      </c>
    </row>
    <row r="387" customFormat="false" ht="15" hidden="false" customHeight="false" outlineLevel="0" collapsed="false">
      <c r="A387" s="3" t="s">
        <v>389</v>
      </c>
      <c r="B387" s="3" t="s">
        <v>144</v>
      </c>
      <c r="D387" s="12" t="n">
        <f aca="false">cap_26</f>
        <v>6</v>
      </c>
      <c r="E387" s="12" t="n">
        <f aca="false">cap_27</f>
        <v>7.76</v>
      </c>
      <c r="F387" s="12" t="n">
        <f aca="false">cap_28</f>
        <v>10.3</v>
      </c>
      <c r="G387" s="12" t="n">
        <f aca="false">cap_29</f>
        <v>11.8</v>
      </c>
    </row>
    <row r="388" customFormat="false" ht="17.15" hidden="false" customHeight="false" outlineLevel="0" collapsed="false">
      <c r="A388" s="3" t="s">
        <v>432</v>
      </c>
      <c r="B388" s="0" t="s">
        <v>392</v>
      </c>
      <c r="D388" s="15" t="n">
        <f aca="false">a26_rev/(D387*12)*1000</f>
        <v>2857.84861111111</v>
      </c>
      <c r="H388" s="7" t="s">
        <v>433</v>
      </c>
    </row>
    <row r="389" customFormat="false" ht="17.15" hidden="false" customHeight="false" outlineLevel="0" collapsed="false">
      <c r="A389" s="3" t="s">
        <v>434</v>
      </c>
      <c r="B389" s="0" t="s">
        <v>60</v>
      </c>
      <c r="D389" s="12" t="n">
        <f aca="false">1</f>
        <v>1</v>
      </c>
      <c r="E389" s="12" t="n">
        <f aca="false">mix_27</f>
        <v>1.25</v>
      </c>
      <c r="F389" s="12" t="n">
        <f aca="false">mix_28</f>
        <v>1.4</v>
      </c>
      <c r="G389" s="12" t="n">
        <f aca="false">mix_29</f>
        <v>1.5</v>
      </c>
    </row>
    <row r="390" customFormat="false" ht="17.15" hidden="false" customHeight="false" outlineLevel="0" collapsed="false">
      <c r="A390" s="3" t="s">
        <v>435</v>
      </c>
      <c r="B390" s="0" t="s">
        <v>193</v>
      </c>
      <c r="D390" s="16" t="n">
        <f aca="false">D387*12*$D$388*D389*D381/1000</f>
        <v>205.7651</v>
      </c>
      <c r="E390" s="16" t="n">
        <f aca="false">E387*12*$D$388*E389*E381/1000</f>
        <v>359.2658646</v>
      </c>
      <c r="F390" s="16" t="n">
        <f aca="false">F387*12*$D$388*F389*F381/1000</f>
        <v>519.24822985</v>
      </c>
      <c r="G390" s="16" t="n">
        <f aca="false">G387*12*$D$388*G389*G381/1000</f>
        <v>607.007045</v>
      </c>
    </row>
    <row r="391" customFormat="false" ht="17.15" hidden="false" customHeight="false" outlineLevel="0" collapsed="false">
      <c r="A391" s="3" t="s">
        <v>436</v>
      </c>
      <c r="B391" s="0" t="s">
        <v>193</v>
      </c>
      <c r="C391" s="16" t="n">
        <f aca="false">a25_nai</f>
        <v>47.1305</v>
      </c>
      <c r="D391" s="16" t="n">
        <f aca="false">a26_nai</f>
        <v>85.3925165</v>
      </c>
      <c r="E391" s="16" t="n">
        <f aca="false">D391*(1+g_nai27)</f>
        <v>92.22391782</v>
      </c>
      <c r="F391" s="16" t="n">
        <f aca="false">E391*(1+g_nai28)</f>
        <v>97.7573528892</v>
      </c>
      <c r="G391" s="16" t="n">
        <f aca="false">F391*(1+g_nai29)</f>
        <v>102.64522053366</v>
      </c>
    </row>
    <row r="392" customFormat="false" ht="17.15" hidden="false" customHeight="false" outlineLevel="0" collapsed="false">
      <c r="A392" s="0" t="s">
        <v>437</v>
      </c>
      <c r="B392" s="0" t="s">
        <v>193</v>
      </c>
      <c r="C392" s="16" t="n">
        <f aca="false">a25_ai</f>
        <v>47.1305</v>
      </c>
      <c r="D392" s="16" t="n">
        <f aca="false">D385</f>
        <v>120.3725835</v>
      </c>
      <c r="E392" s="16" t="n">
        <f aca="false">MIN(E385,E390-E391)</f>
        <v>267.04194678</v>
      </c>
      <c r="F392" s="16" t="n">
        <f aca="false">MIN(F385,F390-F391)</f>
        <v>421.4908769608</v>
      </c>
      <c r="G392" s="16" t="n">
        <f aca="false">MIN(G385,G390-G391)</f>
        <v>497.7489082206</v>
      </c>
      <c r="H392" s="3" t="s">
        <v>438</v>
      </c>
    </row>
    <row r="393" customFormat="false" ht="15" hidden="false" customHeight="false" outlineLevel="0" collapsed="false">
      <c r="A393" s="3" t="s">
        <v>439</v>
      </c>
      <c r="E393" s="0" t="str">
        <f aca="false">IF(E385&gt;E390-E391+0.0001,"受限","未受限")</f>
        <v>受限</v>
      </c>
      <c r="F393" s="0" t="str">
        <f aca="false">IF(F385&gt;F390-F391+0.0001,"受限","未受限")</f>
        <v>受限</v>
      </c>
      <c r="G393" s="0" t="str">
        <f aca="false">IF(G385&gt;G390-G391+0.0001,"受限","未受限")</f>
        <v>未受限</v>
      </c>
    </row>
    <row r="394" customFormat="false" ht="15" hidden="false" customHeight="false" outlineLevel="0" collapsed="false">
      <c r="A394" s="3" t="s">
        <v>320</v>
      </c>
      <c r="B394" s="0" t="s">
        <v>193</v>
      </c>
      <c r="C394" s="16" t="n">
        <f aca="false">C392+C391</f>
        <v>94.261</v>
      </c>
      <c r="D394" s="16" t="n">
        <f aca="false">D392+D391</f>
        <v>205.7651</v>
      </c>
      <c r="E394" s="16" t="n">
        <f aca="false">E392+E391</f>
        <v>359.2658646</v>
      </c>
      <c r="F394" s="16" t="n">
        <f aca="false">F392+F391</f>
        <v>519.24822985</v>
      </c>
      <c r="G394" s="16" t="n">
        <f aca="false">G392+G391</f>
        <v>600.39412875426</v>
      </c>
    </row>
    <row r="395" customFormat="false" ht="15" hidden="false" customHeight="false" outlineLevel="0" collapsed="false">
      <c r="A395" s="3" t="s">
        <v>440</v>
      </c>
      <c r="B395" s="0" t="s">
        <v>47</v>
      </c>
      <c r="D395" s="11" t="n">
        <f aca="false">D394/C394-1</f>
        <v>1.1829293132897</v>
      </c>
      <c r="E395" s="11" t="n">
        <f aca="false">E394/D394-1</f>
        <v>0.746</v>
      </c>
      <c r="F395" s="11" t="n">
        <f aca="false">F394/E394-1</f>
        <v>0.445303550973654</v>
      </c>
      <c r="G395" s="11" t="n">
        <f aca="false">G394/F394-1</f>
        <v>0.156275735263847</v>
      </c>
    </row>
    <row r="396" customFormat="false" ht="17.15" hidden="false" customHeight="false" outlineLevel="0" collapsed="false">
      <c r="A396" s="0" t="s">
        <v>441</v>
      </c>
      <c r="B396" s="0" t="s">
        <v>47</v>
      </c>
      <c r="C396" s="11" t="n">
        <f aca="false">C392/C394</f>
        <v>0.5</v>
      </c>
      <c r="D396" s="11" t="n">
        <f aca="false">D392/D394</f>
        <v>0.585</v>
      </c>
      <c r="E396" s="11" t="n">
        <f aca="false">E392/E394</f>
        <v>0.743298969072165</v>
      </c>
      <c r="F396" s="11" t="n">
        <f aca="false">F392/F394</f>
        <v>0.811732910639984</v>
      </c>
      <c r="G396" s="11" t="n">
        <f aca="false">G392/G394</f>
        <v>0.829036934877036</v>
      </c>
    </row>
    <row r="397" customFormat="false" ht="17.15" hidden="false" customHeight="false" outlineLevel="0" collapsed="false">
      <c r="A397" s="3" t="s">
        <v>442</v>
      </c>
      <c r="B397" s="0" t="s">
        <v>47</v>
      </c>
      <c r="D397" s="11" t="n">
        <f aca="false">(D385+D391)/D390</f>
        <v>1</v>
      </c>
      <c r="E397" s="11" t="n">
        <f aca="false">(E385+E391)/E390</f>
        <v>1.1788209520724</v>
      </c>
      <c r="F397" s="11" t="n">
        <f aca="false">(F385+F391)/F390</f>
        <v>1.04826140845985</v>
      </c>
      <c r="G397" s="11" t="n">
        <f aca="false">(G385+G391)/G390</f>
        <v>0.98910570099604</v>
      </c>
      <c r="H397" s="3" t="s">
        <v>443</v>
      </c>
    </row>
    <row r="398" customFormat="false" ht="17.15" hidden="false" customHeight="false" outlineLevel="0" collapsed="false">
      <c r="A398" s="3" t="s">
        <v>388</v>
      </c>
      <c r="B398" s="0" t="s">
        <v>87</v>
      </c>
      <c r="D398" s="15" t="n">
        <f aca="false">D392/fx/D374*1000</f>
        <v>160.757158009399</v>
      </c>
      <c r="E398" s="15" t="n">
        <f aca="false">E392/fx/E374*1000</f>
        <v>200.377164261155</v>
      </c>
      <c r="F398" s="15" t="n">
        <f aca="false">F392/fx/F374*1000</f>
        <v>249.499079906724</v>
      </c>
      <c r="G398" s="15" t="n">
        <f aca="false">G392/fx/G374*1000</f>
        <v>258.646784582979</v>
      </c>
    </row>
    <row r="399" customFormat="false" ht="17.15" hidden="false" customHeight="false" outlineLevel="0" collapsed="false">
      <c r="A399" s="5" t="s">
        <v>444</v>
      </c>
    </row>
    <row r="400" customFormat="false" ht="17.15" hidden="false" customHeight="false" outlineLevel="0" collapsed="false">
      <c r="A400" s="3" t="s">
        <v>445</v>
      </c>
      <c r="B400" s="0" t="s">
        <v>47</v>
      </c>
      <c r="D400" s="11" t="n">
        <f aca="false">a26_gp/D394-d_ai*D396</f>
        <v>0.291564442755356</v>
      </c>
      <c r="H400" s="7" t="s">
        <v>446</v>
      </c>
    </row>
    <row r="401" customFormat="false" ht="17.15" hidden="false" customHeight="false" outlineLevel="0" collapsed="false">
      <c r="A401" s="0" t="s">
        <v>447</v>
      </c>
      <c r="B401" s="0" t="s">
        <v>47</v>
      </c>
      <c r="D401" s="11" t="n">
        <f aca="false">D400+d_ai</f>
        <v>0.371564442755356</v>
      </c>
      <c r="E401" s="11" t="n">
        <f aca="false">1-(1-$D$401)/E381</f>
        <v>0.418115224773477</v>
      </c>
      <c r="F401" s="11" t="n">
        <f aca="false">1-(1-$D$401)/F381</f>
        <v>0.401489945481291</v>
      </c>
      <c r="G401" s="11" t="n">
        <f aca="false">1-(1-$D$401)/G381</f>
        <v>0.371564442755356</v>
      </c>
      <c r="H401" s="7" t="s">
        <v>448</v>
      </c>
    </row>
    <row r="402" customFormat="false" ht="15" hidden="false" customHeight="false" outlineLevel="0" collapsed="false">
      <c r="A402" s="3" t="s">
        <v>324</v>
      </c>
      <c r="B402" s="0" t="s">
        <v>193</v>
      </c>
      <c r="C402" s="16" t="n">
        <f aca="false">a25_gp</f>
        <v>28.12</v>
      </c>
      <c r="D402" s="16" t="n">
        <f aca="false">a26_gp</f>
        <v>69.6235934</v>
      </c>
      <c r="E402" s="16" t="n">
        <f aca="false">E392*E401+E391*$D$400</f>
        <v>138.543518809771</v>
      </c>
      <c r="F402" s="16" t="n">
        <f aca="false">F392*F401+F391*$D$400</f>
        <v>197.726917332231</v>
      </c>
      <c r="G402" s="16" t="n">
        <f aca="false">G392*G401+G391*$D$400</f>
        <v>214.873492241471</v>
      </c>
    </row>
    <row r="403" customFormat="false" ht="15" hidden="false" customHeight="false" outlineLevel="0" collapsed="false">
      <c r="A403" s="3" t="s">
        <v>327</v>
      </c>
      <c r="B403" s="0" t="s">
        <v>47</v>
      </c>
      <c r="C403" s="11" t="n">
        <f aca="false">C402/C394</f>
        <v>0.298320620405046</v>
      </c>
      <c r="D403" s="11" t="n">
        <f aca="false">D402/D394</f>
        <v>0.338364442755356</v>
      </c>
      <c r="E403" s="11" t="n">
        <f aca="false">E402/E394</f>
        <v>0.385629508564702</v>
      </c>
      <c r="F403" s="11" t="n">
        <f aca="false">F402/F394</f>
        <v>0.380794591036643</v>
      </c>
      <c r="G403" s="11" t="n">
        <f aca="false">G402/G394</f>
        <v>0.357887397545518</v>
      </c>
    </row>
    <row r="404" customFormat="false" ht="15" hidden="false" customHeight="false" outlineLevel="0" collapsed="false">
      <c r="A404" s="3" t="s">
        <v>449</v>
      </c>
      <c r="B404" s="0" t="s">
        <v>193</v>
      </c>
      <c r="C404" s="16" t="n">
        <f aca="false">a25_opx</f>
        <v>9.012</v>
      </c>
      <c r="D404" s="16" t="n">
        <f aca="false">a26_opx</f>
        <v>14.0153081141857</v>
      </c>
      <c r="E404" s="16" t="n">
        <f aca="false">D404*(1+MAX(0,phi*E395))</f>
        <v>20.2885600260953</v>
      </c>
      <c r="F404" s="16" t="n">
        <f aca="false">E404*(1+MAX(0,phi*F395))</f>
        <v>25.7093007203527</v>
      </c>
      <c r="G404" s="16" t="n">
        <f aca="false">F404*(1+MAX(0,phi*G395))</f>
        <v>28.1199446442682</v>
      </c>
    </row>
    <row r="405" customFormat="false" ht="15" hidden="false" customHeight="false" outlineLevel="0" collapsed="false">
      <c r="A405" s="3" t="s">
        <v>329</v>
      </c>
      <c r="B405" s="0" t="s">
        <v>193</v>
      </c>
      <c r="C405" s="16" t="n">
        <f aca="false">C404</f>
        <v>9.012</v>
      </c>
      <c r="D405" s="16" t="n">
        <f aca="false">D404</f>
        <v>14.0153081141857</v>
      </c>
      <c r="E405" s="16" t="n">
        <f aca="false">E404+0*E394</f>
        <v>20.2885600260953</v>
      </c>
      <c r="F405" s="16" t="n">
        <f aca="false">F404+0*F394</f>
        <v>25.7093007203527</v>
      </c>
      <c r="G405" s="16" t="n">
        <f aca="false">G404+0*G394</f>
        <v>28.1199446442682</v>
      </c>
    </row>
    <row r="406" customFormat="false" ht="15" hidden="false" customHeight="false" outlineLevel="0" collapsed="false">
      <c r="A406" s="3" t="s">
        <v>332</v>
      </c>
      <c r="B406" s="0" t="s">
        <v>193</v>
      </c>
      <c r="C406" s="16" t="n">
        <f aca="false">C402-C405</f>
        <v>19.108</v>
      </c>
      <c r="D406" s="16" t="n">
        <f aca="false">D402-D405</f>
        <v>55.6082852858143</v>
      </c>
      <c r="E406" s="16" t="n">
        <f aca="false">E402-E405</f>
        <v>118.254958783675</v>
      </c>
      <c r="F406" s="16" t="n">
        <f aca="false">F402-F405</f>
        <v>172.017616611879</v>
      </c>
      <c r="G406" s="16" t="n">
        <f aca="false">G402-G405</f>
        <v>186.753547597203</v>
      </c>
    </row>
    <row r="407" customFormat="false" ht="15" hidden="false" customHeight="false" outlineLevel="0" collapsed="false">
      <c r="A407" s="3" t="s">
        <v>335</v>
      </c>
      <c r="B407" s="0" t="s">
        <v>47</v>
      </c>
      <c r="C407" s="11" t="n">
        <f aca="false">C406/C394</f>
        <v>0.202713741632276</v>
      </c>
      <c r="D407" s="11" t="n">
        <f aca="false">D406/D394</f>
        <v>0.270251297648699</v>
      </c>
      <c r="E407" s="11" t="n">
        <f aca="false">E406/E394</f>
        <v>0.329157235451073</v>
      </c>
      <c r="F407" s="11" t="n">
        <f aca="false">F406/F394</f>
        <v>0.331282047242744</v>
      </c>
      <c r="G407" s="11" t="n">
        <f aca="false">G406/G394</f>
        <v>0.311051588703394</v>
      </c>
    </row>
    <row r="408" customFormat="false" ht="17.15" hidden="false" customHeight="false" outlineLevel="0" collapsed="false">
      <c r="A408" s="3" t="s">
        <v>337</v>
      </c>
      <c r="B408" s="0" t="s">
        <v>193</v>
      </c>
      <c r="E408" s="16" t="n">
        <f aca="false">nop_f</f>
        <v>0.5</v>
      </c>
      <c r="F408" s="16" t="n">
        <f aca="false">nop_f</f>
        <v>0.5</v>
      </c>
      <c r="G408" s="16" t="n">
        <f aca="false">nop_f</f>
        <v>0.5</v>
      </c>
      <c r="H408" s="7" t="s">
        <v>450</v>
      </c>
    </row>
    <row r="409" customFormat="false" ht="15" hidden="false" customHeight="false" outlineLevel="0" collapsed="false">
      <c r="A409" s="3" t="s">
        <v>340</v>
      </c>
      <c r="B409" s="0" t="s">
        <v>193</v>
      </c>
      <c r="C409" s="16" t="n">
        <f aca="false">a25_ni</f>
        <v>14.649</v>
      </c>
      <c r="D409" s="16" t="n">
        <f aca="false">a26_ni</f>
        <v>42.891099295</v>
      </c>
      <c r="E409" s="16" t="n">
        <f aca="false">(E406+E408)*nir_f</f>
        <v>91.4413182634301</v>
      </c>
      <c r="F409" s="16" t="n">
        <f aca="false">(F406+F408)*nir_f</f>
        <v>132.838564791147</v>
      </c>
      <c r="G409" s="16" t="n">
        <f aca="false">(G406+G408)*nir_f</f>
        <v>144.185231649846</v>
      </c>
    </row>
    <row r="410" customFormat="false" ht="17.15" hidden="false" customHeight="false" outlineLevel="0" collapsed="false">
      <c r="A410" s="3" t="s">
        <v>343</v>
      </c>
      <c r="B410" s="0" t="s">
        <v>47</v>
      </c>
      <c r="C410" s="11" t="n">
        <f aca="false">C409/C406</f>
        <v>0.766642244086247</v>
      </c>
      <c r="D410" s="11" t="n">
        <f aca="false">D409/D406</f>
        <v>0.771307712053146</v>
      </c>
      <c r="E410" s="11" t="n">
        <f aca="false">E409/E406</f>
        <v>0.773255677427484</v>
      </c>
      <c r="F410" s="11" t="n">
        <f aca="false">F409/F406</f>
        <v>0.772238142857593</v>
      </c>
      <c r="G410" s="11" t="n">
        <f aca="false">G409/G406</f>
        <v>0.772061540489878</v>
      </c>
    </row>
    <row r="411" customFormat="false" ht="15" hidden="false" customHeight="false" outlineLevel="0" collapsed="false">
      <c r="A411" s="3" t="s">
        <v>451</v>
      </c>
      <c r="B411" s="3" t="s">
        <v>222</v>
      </c>
      <c r="C411" s="18" t="n">
        <f aca="false">a25_sh</f>
        <v>0.351547876169906</v>
      </c>
      <c r="D411" s="18" t="n">
        <f aca="false">a26_sh</f>
        <v>0.358290155440415</v>
      </c>
      <c r="E411" s="18" t="n">
        <f aca="false">D411*(1+sh_g)</f>
        <v>0.358290155440415</v>
      </c>
      <c r="F411" s="18" t="n">
        <f aca="false">E411*(1+sh_g)</f>
        <v>0.358290155440415</v>
      </c>
      <c r="G411" s="18" t="n">
        <f aca="false">F411*(1+sh_g)</f>
        <v>0.358290155440415</v>
      </c>
    </row>
    <row r="412" customFormat="false" ht="15" hidden="false" customHeight="false" outlineLevel="0" collapsed="false">
      <c r="A412" s="0" t="s">
        <v>346</v>
      </c>
      <c r="B412" s="0" t="s">
        <v>253</v>
      </c>
      <c r="C412" s="17" t="n">
        <f aca="false">C409/C411</f>
        <v>41.67</v>
      </c>
      <c r="D412" s="17" t="n">
        <f aca="false">D409/D411</f>
        <v>119.710515747433</v>
      </c>
      <c r="E412" s="17" t="n">
        <f aca="false">E409/E411</f>
        <v>255.215826823456</v>
      </c>
      <c r="F412" s="17" t="n">
        <f aca="false">F409/F411</f>
        <v>370.756948730171</v>
      </c>
      <c r="G412" s="17" t="n">
        <f aca="false">G409/G411</f>
        <v>402.425881538978</v>
      </c>
    </row>
    <row r="413" customFormat="false" ht="17.15" hidden="false" customHeight="false" outlineLevel="0" collapsed="false">
      <c r="A413" s="0" t="s">
        <v>452</v>
      </c>
      <c r="B413" s="0" t="s">
        <v>47</v>
      </c>
      <c r="D413" s="11" t="n">
        <f aca="false">D412/C412-1</f>
        <v>1.87282255213422</v>
      </c>
      <c r="E413" s="11" t="n">
        <f aca="false">E412/D412-1</f>
        <v>1.13194158616703</v>
      </c>
      <c r="F413" s="11" t="n">
        <f aca="false">F412/E412-1</f>
        <v>0.452719266453012</v>
      </c>
      <c r="G413" s="11" t="n">
        <f aca="false">G412/F412-1</f>
        <v>0.0854169636395812</v>
      </c>
    </row>
    <row r="416" customFormat="false" ht="17.15" hidden="false" customHeight="false" outlineLevel="0" collapsed="false">
      <c r="A416" s="1" t="s">
        <v>659</v>
      </c>
    </row>
    <row r="417" customFormat="false" ht="17.15" hidden="false" customHeight="false" outlineLevel="0" collapsed="false">
      <c r="A417" s="4" t="s">
        <v>16</v>
      </c>
      <c r="B417" s="4" t="s">
        <v>17</v>
      </c>
      <c r="C417" s="8" t="s">
        <v>315</v>
      </c>
      <c r="D417" s="8" t="s">
        <v>401</v>
      </c>
      <c r="E417" s="8" t="s">
        <v>402</v>
      </c>
      <c r="F417" s="8" t="s">
        <v>403</v>
      </c>
      <c r="G417" s="8" t="s">
        <v>404</v>
      </c>
      <c r="H417" s="4" t="s">
        <v>369</v>
      </c>
    </row>
    <row r="418" customFormat="false" ht="17.15" hidden="false" customHeight="false" outlineLevel="0" collapsed="false">
      <c r="A418" s="5" t="s">
        <v>419</v>
      </c>
    </row>
    <row r="419" customFormat="false" ht="17.15" hidden="false" customHeight="false" outlineLevel="0" collapsed="false">
      <c r="A419" s="0" t="s">
        <v>420</v>
      </c>
      <c r="B419" s="0" t="s">
        <v>27</v>
      </c>
      <c r="D419" s="17" t="n">
        <f aca="false">itc_26*1</f>
        <v>781.872916666667</v>
      </c>
      <c r="E419" s="17" t="n">
        <f aca="false">itc_27*1*1</f>
        <v>1565.35</v>
      </c>
      <c r="F419" s="17" t="n">
        <f aca="false">itc_28*um28_A*1</f>
        <v>1984.26388888889</v>
      </c>
      <c r="G419" s="17" t="n">
        <f aca="false">itc_29*um29_A*1</f>
        <v>2260.39027777778</v>
      </c>
    </row>
    <row r="420" customFormat="false" ht="17.15" hidden="false" customHeight="false" outlineLevel="0" collapsed="false">
      <c r="A420" s="3" t="s">
        <v>421</v>
      </c>
      <c r="B420" s="0" t="s">
        <v>27</v>
      </c>
      <c r="D420" s="17" t="n">
        <f aca="false">itpg_gb*(1-vr26)+itpg_vr*vr26</f>
        <v>33.41403216</v>
      </c>
      <c r="E420" s="17" t="n">
        <f aca="false">itpg_vr</f>
        <v>37.586352</v>
      </c>
      <c r="F420" s="17" t="n">
        <f aca="false">itpg_vr</f>
        <v>37.586352</v>
      </c>
      <c r="G420" s="17" t="n">
        <f aca="false">itpg_vr</f>
        <v>37.586352</v>
      </c>
    </row>
    <row r="421" customFormat="false" ht="17.15" hidden="false" customHeight="false" outlineLevel="0" collapsed="false">
      <c r="A421" s="3" t="s">
        <v>422</v>
      </c>
      <c r="B421" s="0" t="s">
        <v>371</v>
      </c>
      <c r="D421" s="14" t="n">
        <f aca="false">D419/D420</f>
        <v>23.3995380420639</v>
      </c>
      <c r="E421" s="14" t="n">
        <f aca="false">E419/E420</f>
        <v>41.6467658260637</v>
      </c>
      <c r="F421" s="14" t="n">
        <f aca="false">F419/F420</f>
        <v>52.792138191248</v>
      </c>
      <c r="G421" s="14" t="n">
        <f aca="false">G419/G420</f>
        <v>60.1385917361116</v>
      </c>
    </row>
    <row r="422" customFormat="false" ht="17.15" hidden="false" customHeight="false" outlineLevel="0" collapsed="false">
      <c r="A422" s="3" t="s">
        <v>373</v>
      </c>
      <c r="B422" s="0" t="s">
        <v>87</v>
      </c>
      <c r="D422" s="15" t="n">
        <f aca="false">cmp_26</f>
        <v>190</v>
      </c>
      <c r="E422" s="15" t="n">
        <f aca="false">cmp_26*cmpx_27</f>
        <v>275.5</v>
      </c>
      <c r="F422" s="15" t="n">
        <f aca="false">cmp_26*cmpx_28</f>
        <v>304</v>
      </c>
      <c r="G422" s="15" t="n">
        <f aca="false">cmp_26*cmpx_29</f>
        <v>323</v>
      </c>
    </row>
    <row r="423" customFormat="false" ht="17.15" hidden="false" customHeight="false" outlineLevel="0" collapsed="false">
      <c r="A423" s="3" t="s">
        <v>375</v>
      </c>
      <c r="B423" s="0" t="s">
        <v>87</v>
      </c>
      <c r="D423" s="15" t="n">
        <f aca="false">sw_26</f>
        <v>90</v>
      </c>
      <c r="E423" s="15" t="n">
        <f aca="false">sw_26*swx_27</f>
        <v>126</v>
      </c>
      <c r="F423" s="15" t="n">
        <f aca="false">sw_26*swx_28</f>
        <v>144</v>
      </c>
      <c r="G423" s="15" t="n">
        <f aca="false">sw_26*swx_29</f>
        <v>157.5</v>
      </c>
    </row>
    <row r="424" customFormat="false" ht="17.15" hidden="false" customHeight="false" outlineLevel="0" collapsed="false">
      <c r="A424" s="3" t="s">
        <v>376</v>
      </c>
      <c r="B424" s="0" t="s">
        <v>87</v>
      </c>
      <c r="D424" s="15" t="n">
        <f aca="false">ubb_26</f>
        <v>70</v>
      </c>
      <c r="E424" s="15" t="n">
        <f aca="false">ubb_26*ubbx_27</f>
        <v>126</v>
      </c>
      <c r="F424" s="15" t="n">
        <f aca="false">ubb_26*ubbx_28</f>
        <v>161</v>
      </c>
      <c r="G424" s="15" t="n">
        <f aca="false">ubb_26*ubbx_29</f>
        <v>182</v>
      </c>
    </row>
    <row r="425" customFormat="false" ht="17.15" hidden="false" customHeight="false" outlineLevel="0" collapsed="false">
      <c r="A425" s="3" t="s">
        <v>423</v>
      </c>
      <c r="B425" s="0" t="s">
        <v>87</v>
      </c>
      <c r="D425" s="15" t="n">
        <f aca="false">D422+D423+D424</f>
        <v>350</v>
      </c>
      <c r="E425" s="15" t="n">
        <f aca="false">E422+E423+E424</f>
        <v>527.5</v>
      </c>
      <c r="F425" s="15" t="n">
        <f aca="false">F422+F423+F424</f>
        <v>609</v>
      </c>
      <c r="G425" s="15" t="n">
        <f aca="false">G422+G423+G424</f>
        <v>662.5</v>
      </c>
    </row>
    <row r="426" customFormat="false" ht="17.15" hidden="false" customHeight="false" outlineLevel="0" collapsed="false">
      <c r="A426" s="0" t="s">
        <v>424</v>
      </c>
      <c r="B426" s="0" t="s">
        <v>27</v>
      </c>
      <c r="D426" s="17" t="n">
        <f aca="false">D421*D425/1000</f>
        <v>8.18983831472237</v>
      </c>
      <c r="E426" s="17" t="n">
        <f aca="false">E421*E425/1000</f>
        <v>21.9686689732486</v>
      </c>
      <c r="F426" s="17" t="n">
        <f aca="false">F421*F425/1000</f>
        <v>32.15041215847</v>
      </c>
      <c r="G426" s="17" t="n">
        <f aca="false">G421*G425/1000</f>
        <v>39.8418170251739</v>
      </c>
    </row>
    <row r="427" customFormat="false" ht="17.15" hidden="false" customHeight="false" outlineLevel="0" collapsed="false">
      <c r="A427" s="0" t="s">
        <v>425</v>
      </c>
      <c r="B427" s="0" t="s">
        <v>193</v>
      </c>
      <c r="D427" s="16" t="n">
        <f aca="false">D426*fx</f>
        <v>262.074826071116</v>
      </c>
      <c r="E427" s="16" t="n">
        <f aca="false">E426*fx</f>
        <v>702.997407143955</v>
      </c>
      <c r="F427" s="16" t="n">
        <f aca="false">F426*fx</f>
        <v>1028.81318907104</v>
      </c>
      <c r="G427" s="16" t="n">
        <f aca="false">G426*fx</f>
        <v>1274.93814480557</v>
      </c>
    </row>
    <row r="428" customFormat="false" ht="17.15" hidden="false" customHeight="false" outlineLevel="0" collapsed="false">
      <c r="A428" s="0" t="s">
        <v>426</v>
      </c>
      <c r="B428" s="0" t="s">
        <v>60</v>
      </c>
      <c r="D428" s="12" t="n">
        <f aca="false">1</f>
        <v>1</v>
      </c>
      <c r="E428" s="12" t="n">
        <f aca="false">pp_27</f>
        <v>1</v>
      </c>
      <c r="F428" s="12" t="n">
        <f aca="false">pp_28</f>
        <v>0.97</v>
      </c>
      <c r="G428" s="12" t="n">
        <f aca="false">pp_29</f>
        <v>0.93</v>
      </c>
    </row>
    <row r="429" customFormat="false" ht="17.15" hidden="false" customHeight="false" outlineLevel="0" collapsed="false">
      <c r="A429" s="3" t="s">
        <v>427</v>
      </c>
      <c r="B429" s="0" t="s">
        <v>47</v>
      </c>
      <c r="D429" s="11" t="n">
        <f aca="false">a26_ai/D427</f>
        <v>0.459306165741139</v>
      </c>
      <c r="H429" s="7" t="s">
        <v>428</v>
      </c>
    </row>
    <row r="430" customFormat="false" ht="17.15" hidden="false" customHeight="false" outlineLevel="0" collapsed="false">
      <c r="A430" s="3" t="s">
        <v>429</v>
      </c>
      <c r="B430" s="0" t="s">
        <v>60</v>
      </c>
      <c r="D430" s="12" t="n">
        <f aca="false">1</f>
        <v>1</v>
      </c>
      <c r="E430" s="12" t="n">
        <f aca="false">rel_27</f>
        <v>0.95</v>
      </c>
      <c r="F430" s="12" t="n">
        <f aca="false">rel_28</f>
        <v>0.9</v>
      </c>
      <c r="G430" s="12" t="n">
        <f aca="false">rel_29</f>
        <v>0.85</v>
      </c>
    </row>
    <row r="431" customFormat="false" ht="15" hidden="false" customHeight="false" outlineLevel="0" collapsed="false">
      <c r="A431" s="3" t="s">
        <v>384</v>
      </c>
      <c r="B431" s="0" t="s">
        <v>47</v>
      </c>
      <c r="D431" s="11" t="n">
        <f aca="false">$D$429*D430</f>
        <v>0.459306165741139</v>
      </c>
      <c r="E431" s="11" t="n">
        <f aca="false">$D$429*E430</f>
        <v>0.436340857454082</v>
      </c>
      <c r="F431" s="11" t="n">
        <f aca="false">$D$429*F430</f>
        <v>0.413375549167025</v>
      </c>
      <c r="G431" s="11" t="n">
        <f aca="false">$D$429*G430</f>
        <v>0.390410240879968</v>
      </c>
    </row>
    <row r="432" customFormat="false" ht="17.15" hidden="false" customHeight="false" outlineLevel="0" collapsed="false">
      <c r="A432" s="0" t="s">
        <v>430</v>
      </c>
      <c r="B432" s="0" t="s">
        <v>193</v>
      </c>
      <c r="D432" s="16" t="n">
        <f aca="false">D427*D431*D428</f>
        <v>120.3725835</v>
      </c>
      <c r="E432" s="16" t="n">
        <f aca="false">E427*E431*E428</f>
        <v>306.746491421189</v>
      </c>
      <c r="F432" s="16" t="n">
        <f aca="false">F427*F431*F428</f>
        <v>412.527630511844</v>
      </c>
      <c r="G432" s="16" t="n">
        <f aca="false">G427*G431*G428</f>
        <v>462.906484645158</v>
      </c>
    </row>
    <row r="433" customFormat="false" ht="17.15" hidden="false" customHeight="false" outlineLevel="0" collapsed="false">
      <c r="A433" s="5" t="s">
        <v>431</v>
      </c>
    </row>
    <row r="434" customFormat="false" ht="15" hidden="false" customHeight="false" outlineLevel="0" collapsed="false">
      <c r="A434" s="3" t="s">
        <v>389</v>
      </c>
      <c r="B434" s="3" t="s">
        <v>144</v>
      </c>
      <c r="D434" s="12" t="n">
        <f aca="false">cap_26</f>
        <v>6</v>
      </c>
      <c r="E434" s="12" t="n">
        <f aca="false">CAPLO_27</f>
        <v>7</v>
      </c>
      <c r="F434" s="12" t="n">
        <f aca="false">CAPLO_28</f>
        <v>9.5</v>
      </c>
      <c r="G434" s="12" t="n">
        <f aca="false">CAPLO_29</f>
        <v>11.1</v>
      </c>
    </row>
    <row r="435" customFormat="false" ht="17.15" hidden="false" customHeight="false" outlineLevel="0" collapsed="false">
      <c r="A435" s="3" t="s">
        <v>432</v>
      </c>
      <c r="B435" s="0" t="s">
        <v>392</v>
      </c>
      <c r="D435" s="15" t="n">
        <f aca="false">a26_rev/(D434*12)*1000</f>
        <v>2857.84861111111</v>
      </c>
      <c r="H435" s="7" t="s">
        <v>433</v>
      </c>
    </row>
    <row r="436" customFormat="false" ht="17.15" hidden="false" customHeight="false" outlineLevel="0" collapsed="false">
      <c r="A436" s="3" t="s">
        <v>434</v>
      </c>
      <c r="B436" s="0" t="s">
        <v>60</v>
      </c>
      <c r="D436" s="12" t="n">
        <f aca="false">1</f>
        <v>1</v>
      </c>
      <c r="E436" s="12" t="n">
        <f aca="false">mix_27</f>
        <v>1.25</v>
      </c>
      <c r="F436" s="12" t="n">
        <f aca="false">mix_28</f>
        <v>1.4</v>
      </c>
      <c r="G436" s="12" t="n">
        <f aca="false">mix_29</f>
        <v>1.5</v>
      </c>
    </row>
    <row r="437" customFormat="false" ht="17.15" hidden="false" customHeight="false" outlineLevel="0" collapsed="false">
      <c r="A437" s="3" t="s">
        <v>435</v>
      </c>
      <c r="B437" s="0" t="s">
        <v>193</v>
      </c>
      <c r="D437" s="16" t="n">
        <f aca="false">D434*12*$D$435*D436*D428/1000</f>
        <v>205.7651</v>
      </c>
      <c r="E437" s="16" t="n">
        <f aca="false">E434*12*$D$435*E436*E428/1000</f>
        <v>300.074104166667</v>
      </c>
      <c r="F437" s="16" t="n">
        <f aca="false">F434*12*$D$435*F436*F428/1000</f>
        <v>442.429259183333</v>
      </c>
      <c r="G437" s="16" t="n">
        <f aca="false">G434*12*$D$435*G436*G428/1000</f>
        <v>531.028281825</v>
      </c>
    </row>
    <row r="438" customFormat="false" ht="17.15" hidden="false" customHeight="false" outlineLevel="0" collapsed="false">
      <c r="A438" s="3" t="s">
        <v>436</v>
      </c>
      <c r="B438" s="0" t="s">
        <v>193</v>
      </c>
      <c r="C438" s="16" t="n">
        <f aca="false">a25_nai</f>
        <v>47.1305</v>
      </c>
      <c r="D438" s="16" t="n">
        <f aca="false">a26_nai</f>
        <v>85.3925165</v>
      </c>
      <c r="E438" s="16" t="n">
        <f aca="false">D438*(1+g_nai27)</f>
        <v>92.22391782</v>
      </c>
      <c r="F438" s="16" t="n">
        <f aca="false">E438*(1+g_nai28)</f>
        <v>97.7573528892</v>
      </c>
      <c r="G438" s="16" t="n">
        <f aca="false">F438*(1+g_nai29)</f>
        <v>102.64522053366</v>
      </c>
    </row>
    <row r="439" customFormat="false" ht="17.15" hidden="false" customHeight="false" outlineLevel="0" collapsed="false">
      <c r="A439" s="0" t="s">
        <v>437</v>
      </c>
      <c r="B439" s="0" t="s">
        <v>193</v>
      </c>
      <c r="C439" s="16" t="n">
        <f aca="false">a25_ai</f>
        <v>47.1305</v>
      </c>
      <c r="D439" s="16" t="n">
        <f aca="false">D432</f>
        <v>120.3725835</v>
      </c>
      <c r="E439" s="16" t="n">
        <f aca="false">MIN(E432,E437-E438)</f>
        <v>207.850186346667</v>
      </c>
      <c r="F439" s="16" t="n">
        <f aca="false">MIN(F432,F437-F438)</f>
        <v>344.671906294133</v>
      </c>
      <c r="G439" s="16" t="n">
        <f aca="false">MIN(G432,G437-G438)</f>
        <v>428.38306129134</v>
      </c>
      <c r="H439" s="3" t="s">
        <v>438</v>
      </c>
    </row>
    <row r="440" customFormat="false" ht="15" hidden="false" customHeight="false" outlineLevel="0" collapsed="false">
      <c r="A440" s="3" t="s">
        <v>439</v>
      </c>
      <c r="E440" s="0" t="str">
        <f aca="false">IF(E432&gt;E437-E438+0.0001,"受限","未受限")</f>
        <v>受限</v>
      </c>
      <c r="F440" s="0" t="str">
        <f aca="false">IF(F432&gt;F437-F438+0.0001,"受限","未受限")</f>
        <v>受限</v>
      </c>
      <c r="G440" s="0" t="str">
        <f aca="false">IF(G432&gt;G437-G438+0.0001,"受限","未受限")</f>
        <v>受限</v>
      </c>
    </row>
    <row r="441" customFormat="false" ht="15" hidden="false" customHeight="false" outlineLevel="0" collapsed="false">
      <c r="A441" s="3" t="s">
        <v>320</v>
      </c>
      <c r="B441" s="0" t="s">
        <v>193</v>
      </c>
      <c r="C441" s="16" t="n">
        <f aca="false">C439+C438</f>
        <v>94.261</v>
      </c>
      <c r="D441" s="16" t="n">
        <f aca="false">D439+D438</f>
        <v>205.7651</v>
      </c>
      <c r="E441" s="16" t="n">
        <f aca="false">E439+E438</f>
        <v>300.074104166667</v>
      </c>
      <c r="F441" s="16" t="n">
        <f aca="false">F439+F438</f>
        <v>442.429259183333</v>
      </c>
      <c r="G441" s="16" t="n">
        <f aca="false">G439+G438</f>
        <v>531.028281825</v>
      </c>
    </row>
    <row r="442" customFormat="false" ht="15" hidden="false" customHeight="false" outlineLevel="0" collapsed="false">
      <c r="A442" s="3" t="s">
        <v>440</v>
      </c>
      <c r="B442" s="0" t="s">
        <v>47</v>
      </c>
      <c r="D442" s="11" t="n">
        <f aca="false">D441/C441-1</f>
        <v>1.1829293132897</v>
      </c>
      <c r="E442" s="11" t="n">
        <f aca="false">E441/D441-1</f>
        <v>0.458333333333333</v>
      </c>
      <c r="F442" s="11" t="n">
        <f aca="false">F441/E441-1</f>
        <v>0.4744</v>
      </c>
      <c r="G442" s="11" t="n">
        <f aca="false">G441/F441-1</f>
        <v>0.200255794124486</v>
      </c>
    </row>
    <row r="443" customFormat="false" ht="17.15" hidden="false" customHeight="false" outlineLevel="0" collapsed="false">
      <c r="A443" s="0" t="s">
        <v>441</v>
      </c>
      <c r="B443" s="0" t="s">
        <v>47</v>
      </c>
      <c r="C443" s="11" t="n">
        <f aca="false">C439/C441</f>
        <v>0.5</v>
      </c>
      <c r="D443" s="11" t="n">
        <f aca="false">D439/D441</f>
        <v>0.585</v>
      </c>
      <c r="E443" s="11" t="n">
        <f aca="false">E439/E441</f>
        <v>0.692662857142857</v>
      </c>
      <c r="F443" s="11" t="n">
        <f aca="false">F439/F441</f>
        <v>0.779044105108131</v>
      </c>
      <c r="G443" s="11" t="n">
        <f aca="false">G439/G441</f>
        <v>0.806704795117698</v>
      </c>
    </row>
    <row r="444" customFormat="false" ht="17.15" hidden="false" customHeight="false" outlineLevel="0" collapsed="false">
      <c r="A444" s="3" t="s">
        <v>442</v>
      </c>
      <c r="B444" s="0" t="s">
        <v>47</v>
      </c>
      <c r="D444" s="11" t="n">
        <f aca="false">(D432+D438)/D437</f>
        <v>1</v>
      </c>
      <c r="E444" s="11" t="n">
        <f aca="false">(E432+E438)/E437</f>
        <v>1.32957294115454</v>
      </c>
      <c r="F444" s="11" t="n">
        <f aca="false">(F432+F438)/F437</f>
        <v>1.15337078823169</v>
      </c>
      <c r="G444" s="11" t="n">
        <f aca="false">(G432+G438)/G437</f>
        <v>1.06501240053575</v>
      </c>
      <c r="H444" s="3" t="s">
        <v>443</v>
      </c>
    </row>
    <row r="445" customFormat="false" ht="17.15" hidden="false" customHeight="false" outlineLevel="0" collapsed="false">
      <c r="A445" s="3" t="s">
        <v>388</v>
      </c>
      <c r="B445" s="0" t="s">
        <v>87</v>
      </c>
      <c r="D445" s="15" t="n">
        <f aca="false">D439/fx/D421*1000</f>
        <v>160.757158009399</v>
      </c>
      <c r="E445" s="15" t="n">
        <f aca="false">E439/fx/E421*1000</f>
        <v>155.962130419942</v>
      </c>
      <c r="F445" s="15" t="n">
        <f aca="false">F439/fx/F421*1000</f>
        <v>204.026535782127</v>
      </c>
      <c r="G445" s="15" t="n">
        <f aca="false">G439/fx/G421*1000</f>
        <v>222.601997800289</v>
      </c>
    </row>
    <row r="446" customFormat="false" ht="17.15" hidden="false" customHeight="false" outlineLevel="0" collapsed="false">
      <c r="A446" s="5" t="s">
        <v>444</v>
      </c>
    </row>
    <row r="447" customFormat="false" ht="17.15" hidden="false" customHeight="false" outlineLevel="0" collapsed="false">
      <c r="A447" s="3" t="s">
        <v>445</v>
      </c>
      <c r="B447" s="0" t="s">
        <v>47</v>
      </c>
      <c r="D447" s="11" t="n">
        <f aca="false">a26_gp/D441-d_ai*D443</f>
        <v>0.291564442755356</v>
      </c>
      <c r="H447" s="7" t="s">
        <v>446</v>
      </c>
    </row>
    <row r="448" customFormat="false" ht="17.15" hidden="false" customHeight="false" outlineLevel="0" collapsed="false">
      <c r="A448" s="0" t="s">
        <v>447</v>
      </c>
      <c r="B448" s="0" t="s">
        <v>47</v>
      </c>
      <c r="D448" s="11" t="n">
        <f aca="false">D447+d_ai</f>
        <v>0.371564442755356</v>
      </c>
      <c r="E448" s="11" t="n">
        <f aca="false">1-(1-$D$448)/E428</f>
        <v>0.371564442755356</v>
      </c>
      <c r="F448" s="11" t="n">
        <f aca="false">1-(1-$D$448)/F428</f>
        <v>0.352128291500367</v>
      </c>
      <c r="G448" s="11" t="n">
        <f aca="false">1-(1-$D$448)/G428</f>
        <v>0.324262841672425</v>
      </c>
      <c r="H448" s="7" t="s">
        <v>448</v>
      </c>
    </row>
    <row r="449" customFormat="false" ht="15" hidden="false" customHeight="false" outlineLevel="0" collapsed="false">
      <c r="A449" s="3" t="s">
        <v>324</v>
      </c>
      <c r="B449" s="0" t="s">
        <v>193</v>
      </c>
      <c r="C449" s="16" t="n">
        <f aca="false">a25_gp</f>
        <v>28.12</v>
      </c>
      <c r="D449" s="16" t="n">
        <f aca="false">a26_gp</f>
        <v>69.6235934</v>
      </c>
      <c r="E449" s="16" t="n">
        <f aca="false">E439*E448+E438*$D$447</f>
        <v>104.1189538744</v>
      </c>
      <c r="F449" s="16" t="n">
        <f aca="false">F439*F448+F438*$D$447</f>
        <v>149.871297611906</v>
      </c>
      <c r="G449" s="16" t="n">
        <f aca="false">G439*G448+G438*$D$447</f>
        <v>168.83640530506</v>
      </c>
    </row>
    <row r="450" customFormat="false" ht="15" hidden="false" customHeight="false" outlineLevel="0" collapsed="false">
      <c r="A450" s="3" t="s">
        <v>327</v>
      </c>
      <c r="B450" s="0" t="s">
        <v>47</v>
      </c>
      <c r="C450" s="11" t="n">
        <f aca="false">C449/C441</f>
        <v>0.298320620405046</v>
      </c>
      <c r="D450" s="11" t="n">
        <f aca="false">D449/D441</f>
        <v>0.338364442755356</v>
      </c>
      <c r="E450" s="11" t="n">
        <f aca="false">E449/E441</f>
        <v>0.346977471326784</v>
      </c>
      <c r="F450" s="11" t="n">
        <f aca="false">F449/F441</f>
        <v>0.338746352102817</v>
      </c>
      <c r="G450" s="11" t="n">
        <f aca="false">G449/G441</f>
        <v>0.317942397954427</v>
      </c>
    </row>
    <row r="451" customFormat="false" ht="15" hidden="false" customHeight="false" outlineLevel="0" collapsed="false">
      <c r="A451" s="3" t="s">
        <v>449</v>
      </c>
      <c r="B451" s="0" t="s">
        <v>193</v>
      </c>
      <c r="C451" s="16" t="n">
        <f aca="false">a25_opx</f>
        <v>9.012</v>
      </c>
      <c r="D451" s="16" t="n">
        <f aca="false">a26_opx</f>
        <v>14.0153081141857</v>
      </c>
      <c r="E451" s="16" t="n">
        <f aca="false">D451*(1+MAX(0,phi*E442))</f>
        <v>17.8695178455868</v>
      </c>
      <c r="F451" s="16" t="n">
        <f aca="false">E451*(1+MAX(0,phi*F442))</f>
        <v>22.9558974051547</v>
      </c>
      <c r="G451" s="16" t="n">
        <f aca="false">F451*(1+MAX(0,phi*G442))</f>
        <v>25.7141282839803</v>
      </c>
    </row>
    <row r="452" customFormat="false" ht="15" hidden="false" customHeight="false" outlineLevel="0" collapsed="false">
      <c r="A452" s="3" t="s">
        <v>329</v>
      </c>
      <c r="B452" s="0" t="s">
        <v>193</v>
      </c>
      <c r="C452" s="16" t="n">
        <f aca="false">C451</f>
        <v>9.012</v>
      </c>
      <c r="D452" s="16" t="n">
        <f aca="false">D451</f>
        <v>14.0153081141857</v>
      </c>
      <c r="E452" s="16" t="n">
        <f aca="false">E451+0*E441</f>
        <v>17.8695178455868</v>
      </c>
      <c r="F452" s="16" t="n">
        <f aca="false">F451+0*F441</f>
        <v>22.9558974051547</v>
      </c>
      <c r="G452" s="16" t="n">
        <f aca="false">G451+0*G441</f>
        <v>25.7141282839803</v>
      </c>
    </row>
    <row r="453" customFormat="false" ht="15" hidden="false" customHeight="false" outlineLevel="0" collapsed="false">
      <c r="A453" s="3" t="s">
        <v>332</v>
      </c>
      <c r="B453" s="0" t="s">
        <v>193</v>
      </c>
      <c r="C453" s="16" t="n">
        <f aca="false">C449-C452</f>
        <v>19.108</v>
      </c>
      <c r="D453" s="16" t="n">
        <f aca="false">D449-D452</f>
        <v>55.6082852858143</v>
      </c>
      <c r="E453" s="16" t="n">
        <f aca="false">E449-E452</f>
        <v>86.2494360288132</v>
      </c>
      <c r="F453" s="16" t="n">
        <f aca="false">F449-F452</f>
        <v>126.915400206751</v>
      </c>
      <c r="G453" s="16" t="n">
        <f aca="false">G449-G452</f>
        <v>143.122277021079</v>
      </c>
    </row>
    <row r="454" customFormat="false" ht="15" hidden="false" customHeight="false" outlineLevel="0" collapsed="false">
      <c r="A454" s="3" t="s">
        <v>335</v>
      </c>
      <c r="B454" s="0" t="s">
        <v>47</v>
      </c>
      <c r="C454" s="11" t="n">
        <f aca="false">C453/C441</f>
        <v>0.202713741632276</v>
      </c>
      <c r="D454" s="11" t="n">
        <f aca="false">D453/D441</f>
        <v>0.270251297648699</v>
      </c>
      <c r="E454" s="11" t="n">
        <f aca="false">E453/E441</f>
        <v>0.287427121604964</v>
      </c>
      <c r="F454" s="11" t="n">
        <f aca="false">F453/F441</f>
        <v>0.286860323028862</v>
      </c>
      <c r="G454" s="11" t="n">
        <f aca="false">G453/G441</f>
        <v>0.269519123405644</v>
      </c>
    </row>
    <row r="455" customFormat="false" ht="17.15" hidden="false" customHeight="false" outlineLevel="0" collapsed="false">
      <c r="A455" s="3" t="s">
        <v>337</v>
      </c>
      <c r="B455" s="0" t="s">
        <v>193</v>
      </c>
      <c r="E455" s="16" t="n">
        <f aca="false">nop_f</f>
        <v>0.5</v>
      </c>
      <c r="F455" s="16" t="n">
        <f aca="false">nop_f</f>
        <v>0.5</v>
      </c>
      <c r="G455" s="16" t="n">
        <f aca="false">nop_f</f>
        <v>0.5</v>
      </c>
      <c r="H455" s="7" t="s">
        <v>450</v>
      </c>
    </row>
    <row r="456" customFormat="false" ht="15" hidden="false" customHeight="false" outlineLevel="0" collapsed="false">
      <c r="A456" s="3" t="s">
        <v>340</v>
      </c>
      <c r="B456" s="0" t="s">
        <v>193</v>
      </c>
      <c r="C456" s="16" t="n">
        <f aca="false">a25_ni</f>
        <v>14.649</v>
      </c>
      <c r="D456" s="16" t="n">
        <f aca="false">a26_ni</f>
        <v>42.891099295</v>
      </c>
      <c r="E456" s="16" t="n">
        <f aca="false">(E453+E455)*nir_f</f>
        <v>66.7970657421861</v>
      </c>
      <c r="F456" s="16" t="n">
        <f aca="false">(F453+F455)*nir_f</f>
        <v>98.1098581591984</v>
      </c>
      <c r="G456" s="16" t="n">
        <f aca="false">(G453+G455)*nir_f</f>
        <v>110.589153306231</v>
      </c>
    </row>
    <row r="457" customFormat="false" ht="17.15" hidden="false" customHeight="false" outlineLevel="0" collapsed="false">
      <c r="A457" s="3" t="s">
        <v>343</v>
      </c>
      <c r="B457" s="0" t="s">
        <v>47</v>
      </c>
      <c r="C457" s="11" t="n">
        <f aca="false">C456/C453</f>
        <v>0.766642244086247</v>
      </c>
      <c r="D457" s="11" t="n">
        <f aca="false">D456/D453</f>
        <v>0.771307712053146</v>
      </c>
      <c r="E457" s="11" t="n">
        <f aca="false">E456/E453</f>
        <v>0.774463797303804</v>
      </c>
      <c r="F457" s="11" t="n">
        <f aca="false">F456/F453</f>
        <v>0.773033516810197</v>
      </c>
      <c r="G457" s="11" t="n">
        <f aca="false">G456/G453</f>
        <v>0.772690007509756</v>
      </c>
    </row>
    <row r="458" customFormat="false" ht="15" hidden="false" customHeight="false" outlineLevel="0" collapsed="false">
      <c r="A458" s="3" t="s">
        <v>451</v>
      </c>
      <c r="B458" s="3" t="s">
        <v>222</v>
      </c>
      <c r="C458" s="18" t="n">
        <f aca="false">a25_sh</f>
        <v>0.351547876169906</v>
      </c>
      <c r="D458" s="18" t="n">
        <f aca="false">a26_sh</f>
        <v>0.358290155440415</v>
      </c>
      <c r="E458" s="18" t="n">
        <f aca="false">D458*(1+sh_g)</f>
        <v>0.358290155440415</v>
      </c>
      <c r="F458" s="18" t="n">
        <f aca="false">E458*(1+sh_g)</f>
        <v>0.358290155440415</v>
      </c>
      <c r="G458" s="18" t="n">
        <f aca="false">F458*(1+sh_g)</f>
        <v>0.358290155440415</v>
      </c>
    </row>
    <row r="459" customFormat="false" ht="15" hidden="false" customHeight="false" outlineLevel="0" collapsed="false">
      <c r="A459" s="0" t="s">
        <v>346</v>
      </c>
      <c r="B459" s="0" t="s">
        <v>253</v>
      </c>
      <c r="C459" s="17" t="n">
        <f aca="false">C456/C458</f>
        <v>41.67</v>
      </c>
      <c r="D459" s="17" t="n">
        <f aca="false">D456/D458</f>
        <v>119.710515747433</v>
      </c>
      <c r="E459" s="17" t="n">
        <f aca="false">E456/E458</f>
        <v>186.432880524106</v>
      </c>
      <c r="F459" s="17" t="n">
        <f aca="false">F456/F458</f>
        <v>273.827948296823</v>
      </c>
      <c r="G459" s="17" t="n">
        <f aca="false">G456/G458</f>
        <v>308.658085149712</v>
      </c>
    </row>
    <row r="460" customFormat="false" ht="17.15" hidden="false" customHeight="false" outlineLevel="0" collapsed="false">
      <c r="A460" s="0" t="s">
        <v>452</v>
      </c>
      <c r="B460" s="0" t="s">
        <v>47</v>
      </c>
      <c r="D460" s="11" t="n">
        <f aca="false">D459/C459-1</f>
        <v>1.87282255213422</v>
      </c>
      <c r="E460" s="11" t="n">
        <f aca="false">E459/D459-1</f>
        <v>0.55736427464271</v>
      </c>
      <c r="F460" s="11" t="n">
        <f aca="false">F459/E459-1</f>
        <v>0.468774968916583</v>
      </c>
      <c r="G460" s="11" t="n">
        <f aca="false">G459/F459-1</f>
        <v>0.127197158177348</v>
      </c>
    </row>
    <row r="463" customFormat="false" ht="17.15" hidden="false" customHeight="false" outlineLevel="0" collapsed="false">
      <c r="A463" s="1" t="s">
        <v>660</v>
      </c>
    </row>
    <row r="464" customFormat="false" ht="17.15" hidden="false" customHeight="false" outlineLevel="0" collapsed="false">
      <c r="A464" s="4" t="s">
        <v>16</v>
      </c>
      <c r="B464" s="4" t="s">
        <v>17</v>
      </c>
      <c r="C464" s="8" t="s">
        <v>315</v>
      </c>
      <c r="D464" s="8" t="s">
        <v>401</v>
      </c>
      <c r="E464" s="8" t="s">
        <v>402</v>
      </c>
      <c r="F464" s="8" t="s">
        <v>403</v>
      </c>
      <c r="G464" s="8" t="s">
        <v>404</v>
      </c>
      <c r="H464" s="4" t="s">
        <v>369</v>
      </c>
    </row>
    <row r="465" customFormat="false" ht="17.15" hidden="false" customHeight="false" outlineLevel="0" collapsed="false">
      <c r="A465" s="5" t="s">
        <v>419</v>
      </c>
    </row>
    <row r="466" customFormat="false" ht="17.15" hidden="false" customHeight="false" outlineLevel="0" collapsed="false">
      <c r="A466" s="0" t="s">
        <v>420</v>
      </c>
      <c r="B466" s="0" t="s">
        <v>27</v>
      </c>
      <c r="D466" s="17" t="n">
        <f aca="false">itc_26*1</f>
        <v>781.872916666667</v>
      </c>
      <c r="E466" s="17" t="n">
        <f aca="false">itc_27*1*1</f>
        <v>1565.35</v>
      </c>
      <c r="F466" s="17" t="n">
        <f aca="false">itc_28*um28_A*1</f>
        <v>1984.26388888889</v>
      </c>
      <c r="G466" s="17" t="n">
        <f aca="false">itc_29*um29_A*1</f>
        <v>2260.39027777778</v>
      </c>
    </row>
    <row r="467" customFormat="false" ht="17.15" hidden="false" customHeight="false" outlineLevel="0" collapsed="false">
      <c r="A467" s="3" t="s">
        <v>421</v>
      </c>
      <c r="B467" s="0" t="s">
        <v>27</v>
      </c>
      <c r="D467" s="17" t="n">
        <f aca="false">itpg_gb*(1-vr26)+itpg_vr*vr26</f>
        <v>33.41403216</v>
      </c>
      <c r="E467" s="17" t="n">
        <f aca="false">itpg_vr</f>
        <v>37.586352</v>
      </c>
      <c r="F467" s="17" t="n">
        <f aca="false">itpg_vr</f>
        <v>37.586352</v>
      </c>
      <c r="G467" s="17" t="n">
        <f aca="false">itpg_vr</f>
        <v>37.586352</v>
      </c>
    </row>
    <row r="468" customFormat="false" ht="17.15" hidden="false" customHeight="false" outlineLevel="0" collapsed="false">
      <c r="A468" s="3" t="s">
        <v>422</v>
      </c>
      <c r="B468" s="0" t="s">
        <v>371</v>
      </c>
      <c r="D468" s="14" t="n">
        <f aca="false">D466/D467</f>
        <v>23.3995380420639</v>
      </c>
      <c r="E468" s="14" t="n">
        <f aca="false">E466/E467</f>
        <v>41.6467658260637</v>
      </c>
      <c r="F468" s="14" t="n">
        <f aca="false">F466/F467</f>
        <v>52.792138191248</v>
      </c>
      <c r="G468" s="14" t="n">
        <f aca="false">G466/G467</f>
        <v>60.1385917361116</v>
      </c>
    </row>
    <row r="469" customFormat="false" ht="17.15" hidden="false" customHeight="false" outlineLevel="0" collapsed="false">
      <c r="A469" s="3" t="s">
        <v>373</v>
      </c>
      <c r="B469" s="0" t="s">
        <v>87</v>
      </c>
      <c r="D469" s="15" t="n">
        <f aca="false">cmp_26</f>
        <v>190</v>
      </c>
      <c r="E469" s="15" t="n">
        <f aca="false">cmp_26*cmpx_27</f>
        <v>275.5</v>
      </c>
      <c r="F469" s="15" t="n">
        <f aca="false">cmp_26*cmpx_28</f>
        <v>304</v>
      </c>
      <c r="G469" s="15" t="n">
        <f aca="false">cmp_26*cmpx_29</f>
        <v>323</v>
      </c>
    </row>
    <row r="470" customFormat="false" ht="17.15" hidden="false" customHeight="false" outlineLevel="0" collapsed="false">
      <c r="A470" s="3" t="s">
        <v>375</v>
      </c>
      <c r="B470" s="0" t="s">
        <v>87</v>
      </c>
      <c r="D470" s="15" t="n">
        <f aca="false">sw_26</f>
        <v>90</v>
      </c>
      <c r="E470" s="15" t="n">
        <f aca="false">sw_26*swx_27</f>
        <v>126</v>
      </c>
      <c r="F470" s="15" t="n">
        <f aca="false">sw_26*swx_28</f>
        <v>144</v>
      </c>
      <c r="G470" s="15" t="n">
        <f aca="false">sw_26*swx_29</f>
        <v>157.5</v>
      </c>
    </row>
    <row r="471" customFormat="false" ht="17.15" hidden="false" customHeight="false" outlineLevel="0" collapsed="false">
      <c r="A471" s="3" t="s">
        <v>376</v>
      </c>
      <c r="B471" s="0" t="s">
        <v>87</v>
      </c>
      <c r="D471" s="15" t="n">
        <f aca="false">ubb_26</f>
        <v>70</v>
      </c>
      <c r="E471" s="15" t="n">
        <f aca="false">ubb_26*ubbx_27</f>
        <v>126</v>
      </c>
      <c r="F471" s="15" t="n">
        <f aca="false">ubb_26*ubbx_28</f>
        <v>161</v>
      </c>
      <c r="G471" s="15" t="n">
        <f aca="false">ubb_26*ubbx_29</f>
        <v>182</v>
      </c>
    </row>
    <row r="472" customFormat="false" ht="17.15" hidden="false" customHeight="false" outlineLevel="0" collapsed="false">
      <c r="A472" s="3" t="s">
        <v>423</v>
      </c>
      <c r="B472" s="0" t="s">
        <v>87</v>
      </c>
      <c r="D472" s="15" t="n">
        <f aca="false">D469+D470+D471</f>
        <v>350</v>
      </c>
      <c r="E472" s="15" t="n">
        <f aca="false">E469+E470+E471</f>
        <v>527.5</v>
      </c>
      <c r="F472" s="15" t="n">
        <f aca="false">F469+F470+F471</f>
        <v>609</v>
      </c>
      <c r="G472" s="15" t="n">
        <f aca="false">G469+G470+G471</f>
        <v>662.5</v>
      </c>
    </row>
    <row r="473" customFormat="false" ht="17.15" hidden="false" customHeight="false" outlineLevel="0" collapsed="false">
      <c r="A473" s="0" t="s">
        <v>424</v>
      </c>
      <c r="B473" s="0" t="s">
        <v>27</v>
      </c>
      <c r="D473" s="17" t="n">
        <f aca="false">D468*D472/1000</f>
        <v>8.18983831472237</v>
      </c>
      <c r="E473" s="17" t="n">
        <f aca="false">E468*E472/1000</f>
        <v>21.9686689732486</v>
      </c>
      <c r="F473" s="17" t="n">
        <f aca="false">F468*F472/1000</f>
        <v>32.15041215847</v>
      </c>
      <c r="G473" s="17" t="n">
        <f aca="false">G468*G472/1000</f>
        <v>39.8418170251739</v>
      </c>
    </row>
    <row r="474" customFormat="false" ht="17.15" hidden="false" customHeight="false" outlineLevel="0" collapsed="false">
      <c r="A474" s="0" t="s">
        <v>425</v>
      </c>
      <c r="B474" s="0" t="s">
        <v>193</v>
      </c>
      <c r="D474" s="16" t="n">
        <f aca="false">D473*fx</f>
        <v>262.074826071116</v>
      </c>
      <c r="E474" s="16" t="n">
        <f aca="false">E473*fx</f>
        <v>702.997407143955</v>
      </c>
      <c r="F474" s="16" t="n">
        <f aca="false">F473*fx</f>
        <v>1028.81318907104</v>
      </c>
      <c r="G474" s="16" t="n">
        <f aca="false">G473*fx</f>
        <v>1274.93814480557</v>
      </c>
    </row>
    <row r="475" customFormat="false" ht="17.15" hidden="false" customHeight="false" outlineLevel="0" collapsed="false">
      <c r="A475" s="0" t="s">
        <v>426</v>
      </c>
      <c r="B475" s="0" t="s">
        <v>60</v>
      </c>
      <c r="D475" s="12" t="n">
        <f aca="false">1</f>
        <v>1</v>
      </c>
      <c r="E475" s="12" t="n">
        <f aca="false">pp_27</f>
        <v>1</v>
      </c>
      <c r="F475" s="12" t="n">
        <f aca="false">pp_28</f>
        <v>0.97</v>
      </c>
      <c r="G475" s="12" t="n">
        <f aca="false">pp_29</f>
        <v>0.93</v>
      </c>
    </row>
    <row r="476" customFormat="false" ht="17.15" hidden="false" customHeight="false" outlineLevel="0" collapsed="false">
      <c r="A476" s="3" t="s">
        <v>427</v>
      </c>
      <c r="B476" s="0" t="s">
        <v>47</v>
      </c>
      <c r="D476" s="11" t="n">
        <f aca="false">a26_ai/D474</f>
        <v>0.459306165741139</v>
      </c>
      <c r="H476" s="7" t="s">
        <v>428</v>
      </c>
    </row>
    <row r="477" customFormat="false" ht="17.15" hidden="false" customHeight="false" outlineLevel="0" collapsed="false">
      <c r="A477" s="3" t="s">
        <v>429</v>
      </c>
      <c r="B477" s="0" t="s">
        <v>60</v>
      </c>
      <c r="D477" s="12" t="n">
        <f aca="false">1</f>
        <v>1</v>
      </c>
      <c r="E477" s="12" t="n">
        <f aca="false">rel_27</f>
        <v>0.95</v>
      </c>
      <c r="F477" s="12" t="n">
        <f aca="false">rel_28</f>
        <v>0.9</v>
      </c>
      <c r="G477" s="12" t="n">
        <f aca="false">rel_29</f>
        <v>0.85</v>
      </c>
    </row>
    <row r="478" customFormat="false" ht="15" hidden="false" customHeight="false" outlineLevel="0" collapsed="false">
      <c r="A478" s="3" t="s">
        <v>384</v>
      </c>
      <c r="B478" s="0" t="s">
        <v>47</v>
      </c>
      <c r="D478" s="11" t="n">
        <f aca="false">$D$476*D477</f>
        <v>0.459306165741139</v>
      </c>
      <c r="E478" s="11" t="n">
        <f aca="false">$D$476*E477</f>
        <v>0.436340857454082</v>
      </c>
      <c r="F478" s="11" t="n">
        <f aca="false">$D$476*F477</f>
        <v>0.413375549167025</v>
      </c>
      <c r="G478" s="11" t="n">
        <f aca="false">$D$476*G477</f>
        <v>0.390410240879968</v>
      </c>
    </row>
    <row r="479" customFormat="false" ht="17.15" hidden="false" customHeight="false" outlineLevel="0" collapsed="false">
      <c r="A479" s="0" t="s">
        <v>430</v>
      </c>
      <c r="B479" s="0" t="s">
        <v>193</v>
      </c>
      <c r="D479" s="16" t="n">
        <f aca="false">D474*D478*D475</f>
        <v>120.3725835</v>
      </c>
      <c r="E479" s="16" t="n">
        <f aca="false">E474*E478*E475</f>
        <v>306.746491421189</v>
      </c>
      <c r="F479" s="16" t="n">
        <f aca="false">F474*F478*F475</f>
        <v>412.527630511844</v>
      </c>
      <c r="G479" s="16" t="n">
        <f aca="false">G474*G478*G475</f>
        <v>462.906484645158</v>
      </c>
    </row>
    <row r="480" customFormat="false" ht="17.15" hidden="false" customHeight="false" outlineLevel="0" collapsed="false">
      <c r="A480" s="5" t="s">
        <v>431</v>
      </c>
    </row>
    <row r="481" customFormat="false" ht="15" hidden="false" customHeight="false" outlineLevel="0" collapsed="false">
      <c r="A481" s="3" t="s">
        <v>389</v>
      </c>
      <c r="B481" s="3" t="s">
        <v>144</v>
      </c>
      <c r="D481" s="12" t="n">
        <f aca="false">cap_26</f>
        <v>6</v>
      </c>
      <c r="E481" s="12" t="n">
        <f aca="false">CAPHI_27</f>
        <v>8.2</v>
      </c>
      <c r="F481" s="12" t="n">
        <f aca="false">CAPHI_28</f>
        <v>10.8</v>
      </c>
      <c r="G481" s="12" t="n">
        <f aca="false">CAPHI_29</f>
        <v>13</v>
      </c>
    </row>
    <row r="482" customFormat="false" ht="17.15" hidden="false" customHeight="false" outlineLevel="0" collapsed="false">
      <c r="A482" s="3" t="s">
        <v>432</v>
      </c>
      <c r="B482" s="0" t="s">
        <v>392</v>
      </c>
      <c r="D482" s="15" t="n">
        <f aca="false">a26_rev/(D481*12)*1000</f>
        <v>2857.84861111111</v>
      </c>
      <c r="H482" s="7" t="s">
        <v>433</v>
      </c>
    </row>
    <row r="483" customFormat="false" ht="17.15" hidden="false" customHeight="false" outlineLevel="0" collapsed="false">
      <c r="A483" s="3" t="s">
        <v>434</v>
      </c>
      <c r="B483" s="0" t="s">
        <v>60</v>
      </c>
      <c r="D483" s="12" t="n">
        <f aca="false">1</f>
        <v>1</v>
      </c>
      <c r="E483" s="12" t="n">
        <f aca="false">mix_27</f>
        <v>1.25</v>
      </c>
      <c r="F483" s="12" t="n">
        <f aca="false">mix_28</f>
        <v>1.4</v>
      </c>
      <c r="G483" s="12" t="n">
        <f aca="false">mix_29</f>
        <v>1.5</v>
      </c>
    </row>
    <row r="484" customFormat="false" ht="17.15" hidden="false" customHeight="false" outlineLevel="0" collapsed="false">
      <c r="A484" s="3" t="s">
        <v>435</v>
      </c>
      <c r="B484" s="0" t="s">
        <v>193</v>
      </c>
      <c r="D484" s="16" t="n">
        <f aca="false">D481*12*$D$482*D483*D475/1000</f>
        <v>205.7651</v>
      </c>
      <c r="E484" s="16" t="n">
        <f aca="false">E481*12*$D$482*E483*E475/1000</f>
        <v>351.515379166667</v>
      </c>
      <c r="F484" s="16" t="n">
        <f aca="false">F481*12*$D$482*F483*F475/1000</f>
        <v>502.97221044</v>
      </c>
      <c r="G484" s="16" t="n">
        <f aca="false">G481*12*$D$482*G483*G475/1000</f>
        <v>621.92501475</v>
      </c>
    </row>
    <row r="485" customFormat="false" ht="17.15" hidden="false" customHeight="false" outlineLevel="0" collapsed="false">
      <c r="A485" s="3" t="s">
        <v>436</v>
      </c>
      <c r="B485" s="0" t="s">
        <v>193</v>
      </c>
      <c r="C485" s="16" t="n">
        <f aca="false">a25_nai</f>
        <v>47.1305</v>
      </c>
      <c r="D485" s="16" t="n">
        <f aca="false">a26_nai</f>
        <v>85.3925165</v>
      </c>
      <c r="E485" s="16" t="n">
        <f aca="false">D485*(1+g_nai27)</f>
        <v>92.22391782</v>
      </c>
      <c r="F485" s="16" t="n">
        <f aca="false">E485*(1+g_nai28)</f>
        <v>97.7573528892</v>
      </c>
      <c r="G485" s="16" t="n">
        <f aca="false">F485*(1+g_nai29)</f>
        <v>102.64522053366</v>
      </c>
    </row>
    <row r="486" customFormat="false" ht="17.15" hidden="false" customHeight="false" outlineLevel="0" collapsed="false">
      <c r="A486" s="0" t="s">
        <v>437</v>
      </c>
      <c r="B486" s="0" t="s">
        <v>193</v>
      </c>
      <c r="C486" s="16" t="n">
        <f aca="false">a25_ai</f>
        <v>47.1305</v>
      </c>
      <c r="D486" s="16" t="n">
        <f aca="false">D479</f>
        <v>120.3725835</v>
      </c>
      <c r="E486" s="16" t="n">
        <f aca="false">MIN(E479,E484-E485)</f>
        <v>259.291461346667</v>
      </c>
      <c r="F486" s="16" t="n">
        <f aca="false">MIN(F479,F484-F485)</f>
        <v>405.2148575508</v>
      </c>
      <c r="G486" s="16" t="n">
        <f aca="false">MIN(G479,G484-G485)</f>
        <v>462.906484645158</v>
      </c>
      <c r="H486" s="3" t="s">
        <v>438</v>
      </c>
    </row>
    <row r="487" customFormat="false" ht="15" hidden="false" customHeight="false" outlineLevel="0" collapsed="false">
      <c r="A487" s="3" t="s">
        <v>439</v>
      </c>
      <c r="E487" s="0" t="str">
        <f aca="false">IF(E479&gt;E484-E485+0.0001,"受限","未受限")</f>
        <v>受限</v>
      </c>
      <c r="F487" s="0" t="str">
        <f aca="false">IF(F479&gt;F484-F485+0.0001,"受限","未受限")</f>
        <v>受限</v>
      </c>
      <c r="G487" s="0" t="str">
        <f aca="false">IF(G479&gt;G484-G485+0.0001,"受限","未受限")</f>
        <v>未受限</v>
      </c>
    </row>
    <row r="488" customFormat="false" ht="15" hidden="false" customHeight="false" outlineLevel="0" collapsed="false">
      <c r="A488" s="3" t="s">
        <v>320</v>
      </c>
      <c r="B488" s="0" t="s">
        <v>193</v>
      </c>
      <c r="C488" s="16" t="n">
        <f aca="false">C486+C485</f>
        <v>94.261</v>
      </c>
      <c r="D488" s="16" t="n">
        <f aca="false">D486+D485</f>
        <v>205.7651</v>
      </c>
      <c r="E488" s="16" t="n">
        <f aca="false">E486+E485</f>
        <v>351.515379166667</v>
      </c>
      <c r="F488" s="16" t="n">
        <f aca="false">F486+F485</f>
        <v>502.97221044</v>
      </c>
      <c r="G488" s="16" t="n">
        <f aca="false">G486+G485</f>
        <v>565.551705178818</v>
      </c>
    </row>
    <row r="489" customFormat="false" ht="15" hidden="false" customHeight="false" outlineLevel="0" collapsed="false">
      <c r="A489" s="3" t="s">
        <v>440</v>
      </c>
      <c r="B489" s="0" t="s">
        <v>47</v>
      </c>
      <c r="D489" s="11" t="n">
        <f aca="false">D488/C488-1</f>
        <v>1.1829293132897</v>
      </c>
      <c r="E489" s="11" t="n">
        <f aca="false">E488/D488-1</f>
        <v>0.708333333333333</v>
      </c>
      <c r="F489" s="11" t="n">
        <f aca="false">F488/E488-1</f>
        <v>0.430868292682927</v>
      </c>
      <c r="G489" s="11" t="n">
        <f aca="false">G488/F488-1</f>
        <v>0.124419388268138</v>
      </c>
    </row>
    <row r="490" customFormat="false" ht="17.15" hidden="false" customHeight="false" outlineLevel="0" collapsed="false">
      <c r="A490" s="0" t="s">
        <v>441</v>
      </c>
      <c r="B490" s="0" t="s">
        <v>47</v>
      </c>
      <c r="C490" s="11" t="n">
        <f aca="false">C486/C488</f>
        <v>0.5</v>
      </c>
      <c r="D490" s="11" t="n">
        <f aca="false">D486/D488</f>
        <v>0.585</v>
      </c>
      <c r="E490" s="11" t="n">
        <f aca="false">E486/E488</f>
        <v>0.737639024390244</v>
      </c>
      <c r="F490" s="11" t="n">
        <f aca="false">F486/F488</f>
        <v>0.805640648011782</v>
      </c>
      <c r="G490" s="11" t="n">
        <f aca="false">G486/G488</f>
        <v>0.818504268321134</v>
      </c>
    </row>
    <row r="491" customFormat="false" ht="17.15" hidden="false" customHeight="false" outlineLevel="0" collapsed="false">
      <c r="A491" s="3" t="s">
        <v>442</v>
      </c>
      <c r="B491" s="0" t="s">
        <v>47</v>
      </c>
      <c r="D491" s="11" t="n">
        <f aca="false">(D479+D485)/D484</f>
        <v>1</v>
      </c>
      <c r="E491" s="11" t="n">
        <f aca="false">(E479+E485)/E484</f>
        <v>1.13500129122949</v>
      </c>
      <c r="F491" s="11" t="n">
        <f aca="false">(F479+F485)/F484</f>
        <v>1.01453911927788</v>
      </c>
      <c r="G491" s="11" t="n">
        <f aca="false">(G479+G485)/G484</f>
        <v>0.909356741995909</v>
      </c>
      <c r="H491" s="3" t="s">
        <v>443</v>
      </c>
    </row>
    <row r="492" customFormat="false" ht="17.15" hidden="false" customHeight="false" outlineLevel="0" collapsed="false">
      <c r="A492" s="3" t="s">
        <v>388</v>
      </c>
      <c r="B492" s="0" t="s">
        <v>87</v>
      </c>
      <c r="D492" s="15" t="n">
        <f aca="false">D486/fx/D468*1000</f>
        <v>160.757158009399</v>
      </c>
      <c r="E492" s="15" t="n">
        <f aca="false">E486/fx/E468*1000</f>
        <v>194.561522518331</v>
      </c>
      <c r="F492" s="15" t="n">
        <f aca="false">F486/fx/F468*1000</f>
        <v>239.864584620325</v>
      </c>
      <c r="G492" s="15" t="n">
        <f aca="false">G486/fx/G468*1000</f>
        <v>240.54150966217</v>
      </c>
    </row>
    <row r="493" customFormat="false" ht="17.15" hidden="false" customHeight="false" outlineLevel="0" collapsed="false">
      <c r="A493" s="5" t="s">
        <v>444</v>
      </c>
    </row>
    <row r="494" customFormat="false" ht="17.15" hidden="false" customHeight="false" outlineLevel="0" collapsed="false">
      <c r="A494" s="3" t="s">
        <v>445</v>
      </c>
      <c r="B494" s="0" t="s">
        <v>47</v>
      </c>
      <c r="D494" s="11" t="n">
        <f aca="false">a26_gp/D488-d_ai*D490</f>
        <v>0.291564442755356</v>
      </c>
      <c r="H494" s="7" t="s">
        <v>446</v>
      </c>
    </row>
    <row r="495" customFormat="false" ht="17.15" hidden="false" customHeight="false" outlineLevel="0" collapsed="false">
      <c r="A495" s="0" t="s">
        <v>447</v>
      </c>
      <c r="B495" s="0" t="s">
        <v>47</v>
      </c>
      <c r="D495" s="11" t="n">
        <f aca="false">D494+d_ai</f>
        <v>0.371564442755356</v>
      </c>
      <c r="E495" s="11" t="n">
        <f aca="false">1-(1-$D$495)/E475</f>
        <v>0.371564442755356</v>
      </c>
      <c r="F495" s="11" t="n">
        <f aca="false">1-(1-$D$495)/F475</f>
        <v>0.352128291500367</v>
      </c>
      <c r="G495" s="11" t="n">
        <f aca="false">1-(1-$D$495)/G475</f>
        <v>0.324262841672425</v>
      </c>
      <c r="H495" s="7" t="s">
        <v>448</v>
      </c>
    </row>
    <row r="496" customFormat="false" ht="15" hidden="false" customHeight="false" outlineLevel="0" collapsed="false">
      <c r="A496" s="3" t="s">
        <v>324</v>
      </c>
      <c r="B496" s="0" t="s">
        <v>193</v>
      </c>
      <c r="C496" s="16" t="n">
        <f aca="false">a25_gp</f>
        <v>28.12</v>
      </c>
      <c r="D496" s="16" t="n">
        <f aca="false">a26_gp</f>
        <v>69.6235934</v>
      </c>
      <c r="E496" s="16" t="n">
        <f aca="false">E486*E495+E485*$D$494</f>
        <v>123.2327025544</v>
      </c>
      <c r="F496" s="16" t="n">
        <f aca="false">F486*F495+F485*$D$494</f>
        <v>171.190183600306</v>
      </c>
      <c r="G496" s="16" t="n">
        <f aca="false">G486*G495+G485*$D$494</f>
        <v>180.031068666029</v>
      </c>
    </row>
    <row r="497" customFormat="false" ht="15" hidden="false" customHeight="false" outlineLevel="0" collapsed="false">
      <c r="A497" s="3" t="s">
        <v>327</v>
      </c>
      <c r="B497" s="0" t="s">
        <v>47</v>
      </c>
      <c r="C497" s="11" t="n">
        <f aca="false">C496/C488</f>
        <v>0.298320620405046</v>
      </c>
      <c r="D497" s="11" t="n">
        <f aca="false">D496/D488</f>
        <v>0.338364442755356</v>
      </c>
      <c r="E497" s="11" t="n">
        <f aca="false">E496/E488</f>
        <v>0.350575564706575</v>
      </c>
      <c r="F497" s="11" t="n">
        <f aca="false">F496/F488</f>
        <v>0.340357141104374</v>
      </c>
      <c r="G497" s="11" t="n">
        <f aca="false">G496/G488</f>
        <v>0.318328221836244</v>
      </c>
    </row>
    <row r="498" customFormat="false" ht="15" hidden="false" customHeight="false" outlineLevel="0" collapsed="false">
      <c r="A498" s="3" t="s">
        <v>449</v>
      </c>
      <c r="B498" s="0" t="s">
        <v>193</v>
      </c>
      <c r="C498" s="16" t="n">
        <f aca="false">a25_opx</f>
        <v>9.012</v>
      </c>
      <c r="D498" s="16" t="n">
        <f aca="false">a26_opx</f>
        <v>14.0153081141857</v>
      </c>
      <c r="E498" s="16" t="n">
        <f aca="false">D498*(1+MAX(0,phi*E489))</f>
        <v>19.9718140627147</v>
      </c>
      <c r="F498" s="16" t="n">
        <f aca="false">E498*(1+MAX(0,phi*F489))</f>
        <v>25.1349469189043</v>
      </c>
      <c r="G498" s="16" t="n">
        <f aca="false">F498*(1+MAX(0,phi*G489))</f>
        <v>27.0113117507857</v>
      </c>
    </row>
    <row r="499" customFormat="false" ht="15" hidden="false" customHeight="false" outlineLevel="0" collapsed="false">
      <c r="A499" s="3" t="s">
        <v>329</v>
      </c>
      <c r="B499" s="0" t="s">
        <v>193</v>
      </c>
      <c r="C499" s="16" t="n">
        <f aca="false">C498</f>
        <v>9.012</v>
      </c>
      <c r="D499" s="16" t="n">
        <f aca="false">D498</f>
        <v>14.0153081141857</v>
      </c>
      <c r="E499" s="16" t="n">
        <f aca="false">E498+0*E488</f>
        <v>19.9718140627147</v>
      </c>
      <c r="F499" s="16" t="n">
        <f aca="false">F498+0*F488</f>
        <v>25.1349469189043</v>
      </c>
      <c r="G499" s="16" t="n">
        <f aca="false">G498+0*G488</f>
        <v>27.0113117507857</v>
      </c>
    </row>
    <row r="500" customFormat="false" ht="15" hidden="false" customHeight="false" outlineLevel="0" collapsed="false">
      <c r="A500" s="3" t="s">
        <v>332</v>
      </c>
      <c r="B500" s="0" t="s">
        <v>193</v>
      </c>
      <c r="C500" s="16" t="n">
        <f aca="false">C496-C499</f>
        <v>19.108</v>
      </c>
      <c r="D500" s="16" t="n">
        <f aca="false">D496-D499</f>
        <v>55.6082852858143</v>
      </c>
      <c r="E500" s="16" t="n">
        <f aca="false">E496-E499</f>
        <v>103.260888491685</v>
      </c>
      <c r="F500" s="16" t="n">
        <f aca="false">F496-F499</f>
        <v>146.055236681401</v>
      </c>
      <c r="G500" s="16" t="n">
        <f aca="false">G496-G499</f>
        <v>153.019756915243</v>
      </c>
    </row>
    <row r="501" customFormat="false" ht="15" hidden="false" customHeight="false" outlineLevel="0" collapsed="false">
      <c r="A501" s="3" t="s">
        <v>335</v>
      </c>
      <c r="B501" s="0" t="s">
        <v>47</v>
      </c>
      <c r="C501" s="11" t="n">
        <f aca="false">C500/C488</f>
        <v>0.202713741632276</v>
      </c>
      <c r="D501" s="11" t="n">
        <f aca="false">D500/D488</f>
        <v>0.270251297648699</v>
      </c>
      <c r="E501" s="11" t="n">
        <f aca="false">E500/E488</f>
        <v>0.293759233910291</v>
      </c>
      <c r="F501" s="11" t="n">
        <f aca="false">F500/F488</f>
        <v>0.290384306826082</v>
      </c>
      <c r="G501" s="11" t="n">
        <f aca="false">G500/G488</f>
        <v>0.270567227565623</v>
      </c>
    </row>
    <row r="502" customFormat="false" ht="17.15" hidden="false" customHeight="false" outlineLevel="0" collapsed="false">
      <c r="A502" s="3" t="s">
        <v>337</v>
      </c>
      <c r="B502" s="0" t="s">
        <v>193</v>
      </c>
      <c r="E502" s="16" t="n">
        <f aca="false">nop_f</f>
        <v>0.5</v>
      </c>
      <c r="F502" s="16" t="n">
        <f aca="false">nop_f</f>
        <v>0.5</v>
      </c>
      <c r="G502" s="16" t="n">
        <f aca="false">nop_f</f>
        <v>0.5</v>
      </c>
      <c r="H502" s="7" t="s">
        <v>450</v>
      </c>
    </row>
    <row r="503" customFormat="false" ht="15" hidden="false" customHeight="false" outlineLevel="0" collapsed="false">
      <c r="A503" s="3" t="s">
        <v>340</v>
      </c>
      <c r="B503" s="0" t="s">
        <v>193</v>
      </c>
      <c r="C503" s="16" t="n">
        <f aca="false">a25_ni</f>
        <v>14.649</v>
      </c>
      <c r="D503" s="16" t="n">
        <f aca="false">a26_ni</f>
        <v>42.891099295</v>
      </c>
      <c r="E503" s="16" t="n">
        <f aca="false">(E500+E502)*nir_f</f>
        <v>79.8958841385977</v>
      </c>
      <c r="F503" s="16" t="n">
        <f aca="false">(F500+F502)*nir_f</f>
        <v>112.847532244679</v>
      </c>
      <c r="G503" s="16" t="n">
        <f aca="false">(G500+G502)*nir_f</f>
        <v>118.210212824737</v>
      </c>
    </row>
    <row r="504" customFormat="false" ht="17.15" hidden="false" customHeight="false" outlineLevel="0" collapsed="false">
      <c r="A504" s="3" t="s">
        <v>343</v>
      </c>
      <c r="B504" s="0" t="s">
        <v>47</v>
      </c>
      <c r="C504" s="11" t="n">
        <f aca="false">C503/C500</f>
        <v>0.766642244086247</v>
      </c>
      <c r="D504" s="11" t="n">
        <f aca="false">D503/D500</f>
        <v>0.771307712053146</v>
      </c>
      <c r="E504" s="11" t="n">
        <f aca="false">E503/E500</f>
        <v>0.773728420369257</v>
      </c>
      <c r="F504" s="11" t="n">
        <f aca="false">F503/F500</f>
        <v>0.772635989018592</v>
      </c>
      <c r="G504" s="11" t="n">
        <f aca="false">G503/G500</f>
        <v>0.772516014975852</v>
      </c>
    </row>
    <row r="505" customFormat="false" ht="15" hidden="false" customHeight="false" outlineLevel="0" collapsed="false">
      <c r="A505" s="3" t="s">
        <v>451</v>
      </c>
      <c r="B505" s="3" t="s">
        <v>222</v>
      </c>
      <c r="C505" s="18" t="n">
        <f aca="false">a25_sh</f>
        <v>0.351547876169906</v>
      </c>
      <c r="D505" s="18" t="n">
        <f aca="false">a26_sh</f>
        <v>0.358290155440415</v>
      </c>
      <c r="E505" s="18" t="n">
        <f aca="false">D505*(1+sh_g)</f>
        <v>0.358290155440415</v>
      </c>
      <c r="F505" s="18" t="n">
        <f aca="false">E505*(1+sh_g)</f>
        <v>0.358290155440415</v>
      </c>
      <c r="G505" s="18" t="n">
        <f aca="false">F505*(1+sh_g)</f>
        <v>0.358290155440415</v>
      </c>
    </row>
    <row r="506" customFormat="false" ht="15" hidden="false" customHeight="false" outlineLevel="0" collapsed="false">
      <c r="A506" s="0" t="s">
        <v>346</v>
      </c>
      <c r="B506" s="0" t="s">
        <v>253</v>
      </c>
      <c r="C506" s="17" t="n">
        <f aca="false">C503/C505</f>
        <v>41.67</v>
      </c>
      <c r="D506" s="17" t="n">
        <f aca="false">D503/D505</f>
        <v>119.710515747433</v>
      </c>
      <c r="E506" s="17" t="n">
        <f aca="false">E503/E505</f>
        <v>222.992127819947</v>
      </c>
      <c r="F506" s="17" t="n">
        <f aca="false">F503/F505</f>
        <v>314.96129751588</v>
      </c>
      <c r="G506" s="17" t="n">
        <f aca="false">G503/G505</f>
        <v>329.928721260655</v>
      </c>
    </row>
    <row r="507" customFormat="false" ht="17.15" hidden="false" customHeight="false" outlineLevel="0" collapsed="false">
      <c r="A507" s="0" t="s">
        <v>452</v>
      </c>
      <c r="B507" s="0" t="s">
        <v>47</v>
      </c>
      <c r="D507" s="11" t="n">
        <f aca="false">D506/C506-1</f>
        <v>1.87282255213422</v>
      </c>
      <c r="E507" s="11" t="n">
        <f aca="false">E506/D506-1</f>
        <v>0.862761399261023</v>
      </c>
      <c r="F507" s="11" t="n">
        <f aca="false">F506/E506-1</f>
        <v>0.412432360707334</v>
      </c>
      <c r="G507" s="11" t="n">
        <f aca="false">G506/F506-1</f>
        <v>0.0475214696625417</v>
      </c>
    </row>
    <row r="510" customFormat="false" ht="17.15" hidden="false" customHeight="false" outlineLevel="0" collapsed="false">
      <c r="A510" s="1" t="s">
        <v>661</v>
      </c>
    </row>
    <row r="511" customFormat="false" ht="17.15" hidden="false" customHeight="false" outlineLevel="0" collapsed="false">
      <c r="A511" s="4" t="s">
        <v>16</v>
      </c>
      <c r="B511" s="4" t="s">
        <v>17</v>
      </c>
      <c r="C511" s="8" t="s">
        <v>315</v>
      </c>
      <c r="D511" s="8" t="s">
        <v>401</v>
      </c>
      <c r="E511" s="8" t="s">
        <v>402</v>
      </c>
      <c r="F511" s="8" t="s">
        <v>403</v>
      </c>
      <c r="G511" s="8" t="s">
        <v>404</v>
      </c>
      <c r="H511" s="4" t="s">
        <v>369</v>
      </c>
    </row>
    <row r="512" customFormat="false" ht="17.15" hidden="false" customHeight="false" outlineLevel="0" collapsed="false">
      <c r="A512" s="5" t="s">
        <v>419</v>
      </c>
    </row>
    <row r="513" customFormat="false" ht="17.15" hidden="false" customHeight="false" outlineLevel="0" collapsed="false">
      <c r="A513" s="0" t="s">
        <v>420</v>
      </c>
      <c r="B513" s="0" t="s">
        <v>27</v>
      </c>
      <c r="D513" s="17" t="n">
        <f aca="false">itc_26*1</f>
        <v>781.872916666667</v>
      </c>
      <c r="E513" s="17" t="n">
        <f aca="false">itc_27*1*1</f>
        <v>1565.35</v>
      </c>
      <c r="F513" s="17" t="n">
        <f aca="false">itc_28*um28_A*1</f>
        <v>1984.26388888889</v>
      </c>
      <c r="G513" s="17" t="n">
        <f aca="false">itc_29*um29_A*1</f>
        <v>2260.39027777778</v>
      </c>
    </row>
    <row r="514" customFormat="false" ht="17.15" hidden="false" customHeight="false" outlineLevel="0" collapsed="false">
      <c r="A514" s="3" t="s">
        <v>421</v>
      </c>
      <c r="B514" s="0" t="s">
        <v>27</v>
      </c>
      <c r="D514" s="17" t="n">
        <f aca="false">itpg_gb*(1-vr26)+itpg_vr*vr26</f>
        <v>33.41403216</v>
      </c>
      <c r="E514" s="17" t="n">
        <f aca="false">itpg_vr</f>
        <v>37.586352</v>
      </c>
      <c r="F514" s="17" t="n">
        <f aca="false">itpg_vr</f>
        <v>37.586352</v>
      </c>
      <c r="G514" s="17" t="n">
        <f aca="false">itpg_vr</f>
        <v>37.586352</v>
      </c>
    </row>
    <row r="515" customFormat="false" ht="17.15" hidden="false" customHeight="false" outlineLevel="0" collapsed="false">
      <c r="A515" s="3" t="s">
        <v>422</v>
      </c>
      <c r="B515" s="0" t="s">
        <v>371</v>
      </c>
      <c r="D515" s="14" t="n">
        <f aca="false">D513/D514</f>
        <v>23.3995380420639</v>
      </c>
      <c r="E515" s="14" t="n">
        <f aca="false">E513/E514</f>
        <v>41.6467658260637</v>
      </c>
      <c r="F515" s="14" t="n">
        <f aca="false">F513/F514</f>
        <v>52.792138191248</v>
      </c>
      <c r="G515" s="14" t="n">
        <f aca="false">G513/G514</f>
        <v>60.1385917361116</v>
      </c>
    </row>
    <row r="516" customFormat="false" ht="17.15" hidden="false" customHeight="false" outlineLevel="0" collapsed="false">
      <c r="A516" s="3" t="s">
        <v>373</v>
      </c>
      <c r="B516" s="0" t="s">
        <v>87</v>
      </c>
      <c r="D516" s="15" t="n">
        <f aca="false">cmp_26</f>
        <v>190</v>
      </c>
      <c r="E516" s="15" t="n">
        <f aca="false">cmp_26*cmpx_27</f>
        <v>275.5</v>
      </c>
      <c r="F516" s="15" t="n">
        <f aca="false">cmp_26*cmpx_28</f>
        <v>304</v>
      </c>
      <c r="G516" s="15" t="n">
        <f aca="false">cmp_26*cmpx_29</f>
        <v>323</v>
      </c>
    </row>
    <row r="517" customFormat="false" ht="17.15" hidden="false" customHeight="false" outlineLevel="0" collapsed="false">
      <c r="A517" s="3" t="s">
        <v>375</v>
      </c>
      <c r="B517" s="0" t="s">
        <v>87</v>
      </c>
      <c r="D517" s="15" t="n">
        <f aca="false">sw_26</f>
        <v>90</v>
      </c>
      <c r="E517" s="15" t="n">
        <f aca="false">sw_26*swx_27</f>
        <v>126</v>
      </c>
      <c r="F517" s="15" t="n">
        <f aca="false">sw_26*swx_28</f>
        <v>144</v>
      </c>
      <c r="G517" s="15" t="n">
        <f aca="false">sw_26*swx_29</f>
        <v>157.5</v>
      </c>
    </row>
    <row r="518" customFormat="false" ht="17.15" hidden="false" customHeight="false" outlineLevel="0" collapsed="false">
      <c r="A518" s="3" t="s">
        <v>376</v>
      </c>
      <c r="B518" s="0" t="s">
        <v>87</v>
      </c>
      <c r="D518" s="15" t="n">
        <f aca="false">ubb_26</f>
        <v>70</v>
      </c>
      <c r="E518" s="15" t="n">
        <f aca="false">ubb_26*ubbx_27</f>
        <v>126</v>
      </c>
      <c r="F518" s="15" t="n">
        <f aca="false">ubb_26*ubbx_28</f>
        <v>161</v>
      </c>
      <c r="G518" s="15" t="n">
        <f aca="false">ubb_26*ubbx_29</f>
        <v>182</v>
      </c>
    </row>
    <row r="519" customFormat="false" ht="17.15" hidden="false" customHeight="false" outlineLevel="0" collapsed="false">
      <c r="A519" s="3" t="s">
        <v>423</v>
      </c>
      <c r="B519" s="0" t="s">
        <v>87</v>
      </c>
      <c r="D519" s="15" t="n">
        <f aca="false">D516+D517+D518</f>
        <v>350</v>
      </c>
      <c r="E519" s="15" t="n">
        <f aca="false">E516+E517+E518</f>
        <v>527.5</v>
      </c>
      <c r="F519" s="15" t="n">
        <f aca="false">F516+F517+F518</f>
        <v>609</v>
      </c>
      <c r="G519" s="15" t="n">
        <f aca="false">G516+G517+G518</f>
        <v>662.5</v>
      </c>
    </row>
    <row r="520" customFormat="false" ht="17.15" hidden="false" customHeight="false" outlineLevel="0" collapsed="false">
      <c r="A520" s="0" t="s">
        <v>424</v>
      </c>
      <c r="B520" s="0" t="s">
        <v>27</v>
      </c>
      <c r="D520" s="17" t="n">
        <f aca="false">D515*D519/1000</f>
        <v>8.18983831472237</v>
      </c>
      <c r="E520" s="17" t="n">
        <f aca="false">E515*E519/1000</f>
        <v>21.9686689732486</v>
      </c>
      <c r="F520" s="17" t="n">
        <f aca="false">F515*F519/1000</f>
        <v>32.15041215847</v>
      </c>
      <c r="G520" s="17" t="n">
        <f aca="false">G515*G519/1000</f>
        <v>39.8418170251739</v>
      </c>
    </row>
    <row r="521" customFormat="false" ht="17.15" hidden="false" customHeight="false" outlineLevel="0" collapsed="false">
      <c r="A521" s="0" t="s">
        <v>425</v>
      </c>
      <c r="B521" s="0" t="s">
        <v>193</v>
      </c>
      <c r="D521" s="16" t="n">
        <f aca="false">D520*fx</f>
        <v>262.074826071116</v>
      </c>
      <c r="E521" s="16" t="n">
        <f aca="false">E520*fx</f>
        <v>702.997407143955</v>
      </c>
      <c r="F521" s="16" t="n">
        <f aca="false">F520*fx</f>
        <v>1028.81318907104</v>
      </c>
      <c r="G521" s="16" t="n">
        <f aca="false">G520*fx</f>
        <v>1274.93814480557</v>
      </c>
    </row>
    <row r="522" customFormat="false" ht="17.15" hidden="false" customHeight="false" outlineLevel="0" collapsed="false">
      <c r="A522" s="0" t="s">
        <v>426</v>
      </c>
      <c r="B522" s="0" t="s">
        <v>60</v>
      </c>
      <c r="D522" s="12" t="n">
        <f aca="false">1</f>
        <v>1</v>
      </c>
      <c r="E522" s="12" t="n">
        <f aca="false">pp_27</f>
        <v>1</v>
      </c>
      <c r="F522" s="12" t="n">
        <f aca="false">pp_28</f>
        <v>0.97</v>
      </c>
      <c r="G522" s="12" t="n">
        <f aca="false">pp_29</f>
        <v>0.93</v>
      </c>
    </row>
    <row r="523" customFormat="false" ht="17.15" hidden="false" customHeight="false" outlineLevel="0" collapsed="false">
      <c r="A523" s="3" t="s">
        <v>427</v>
      </c>
      <c r="B523" s="0" t="s">
        <v>47</v>
      </c>
      <c r="D523" s="11" t="n">
        <f aca="false">a26_ai/D521</f>
        <v>0.459306165741139</v>
      </c>
      <c r="H523" s="7" t="s">
        <v>428</v>
      </c>
    </row>
    <row r="524" customFormat="false" ht="17.15" hidden="false" customHeight="false" outlineLevel="0" collapsed="false">
      <c r="A524" s="3" t="s">
        <v>429</v>
      </c>
      <c r="B524" s="0" t="s">
        <v>60</v>
      </c>
      <c r="D524" s="12" t="n">
        <f aca="false">1</f>
        <v>1</v>
      </c>
      <c r="E524" s="12" t="n">
        <f aca="false">rel_27</f>
        <v>0.95</v>
      </c>
      <c r="F524" s="12" t="n">
        <f aca="false">rel_28</f>
        <v>0.9</v>
      </c>
      <c r="G524" s="12" t="n">
        <f aca="false">rel_29</f>
        <v>0.85</v>
      </c>
    </row>
    <row r="525" customFormat="false" ht="15" hidden="false" customHeight="false" outlineLevel="0" collapsed="false">
      <c r="A525" s="3" t="s">
        <v>384</v>
      </c>
      <c r="B525" s="0" t="s">
        <v>47</v>
      </c>
      <c r="D525" s="11" t="n">
        <f aca="false">$D$523*D524</f>
        <v>0.459306165741139</v>
      </c>
      <c r="E525" s="11" t="n">
        <f aca="false">$D$523*E524</f>
        <v>0.436340857454082</v>
      </c>
      <c r="F525" s="11" t="n">
        <f aca="false">$D$523*F524</f>
        <v>0.413375549167025</v>
      </c>
      <c r="G525" s="11" t="n">
        <f aca="false">$D$523*G524</f>
        <v>0.390410240879968</v>
      </c>
    </row>
    <row r="526" customFormat="false" ht="17.15" hidden="false" customHeight="false" outlineLevel="0" collapsed="false">
      <c r="A526" s="0" t="s">
        <v>430</v>
      </c>
      <c r="B526" s="0" t="s">
        <v>193</v>
      </c>
      <c r="D526" s="16" t="n">
        <f aca="false">D521*D525*D522</f>
        <v>120.3725835</v>
      </c>
      <c r="E526" s="16" t="n">
        <f aca="false">E521*E525*E522</f>
        <v>306.746491421189</v>
      </c>
      <c r="F526" s="16" t="n">
        <f aca="false">F521*F525*F522</f>
        <v>412.527630511844</v>
      </c>
      <c r="G526" s="16" t="n">
        <f aca="false">G521*G525*G522</f>
        <v>462.906484645158</v>
      </c>
    </row>
    <row r="527" customFormat="false" ht="17.15" hidden="false" customHeight="false" outlineLevel="0" collapsed="false">
      <c r="A527" s="5" t="s">
        <v>431</v>
      </c>
    </row>
    <row r="528" customFormat="false" ht="15" hidden="false" customHeight="false" outlineLevel="0" collapsed="false">
      <c r="A528" s="3" t="s">
        <v>389</v>
      </c>
      <c r="B528" s="3" t="s">
        <v>144</v>
      </c>
      <c r="D528" s="12" t="n">
        <f aca="false">cap_26</f>
        <v>6</v>
      </c>
      <c r="E528" s="12" t="n">
        <f aca="false">cap_27</f>
        <v>7.76</v>
      </c>
      <c r="F528" s="12" t="n">
        <f aca="false">cap_28</f>
        <v>10.3</v>
      </c>
      <c r="G528" s="12" t="n">
        <f aca="false">cap_29</f>
        <v>11.8</v>
      </c>
    </row>
    <row r="529" customFormat="false" ht="17.15" hidden="false" customHeight="false" outlineLevel="0" collapsed="false">
      <c r="A529" s="3" t="s">
        <v>432</v>
      </c>
      <c r="B529" s="0" t="s">
        <v>392</v>
      </c>
      <c r="D529" s="15" t="n">
        <f aca="false">a26_rev/(D528*12)*1000</f>
        <v>2857.84861111111</v>
      </c>
      <c r="H529" s="7" t="s">
        <v>433</v>
      </c>
    </row>
    <row r="530" customFormat="false" ht="17.15" hidden="false" customHeight="false" outlineLevel="0" collapsed="false">
      <c r="A530" s="3" t="s">
        <v>434</v>
      </c>
      <c r="B530" s="0" t="s">
        <v>60</v>
      </c>
      <c r="D530" s="12" t="n">
        <f aca="false">1</f>
        <v>1</v>
      </c>
      <c r="E530" s="12" t="n">
        <f aca="false">MXLO_27</f>
        <v>1.1</v>
      </c>
      <c r="F530" s="12" t="n">
        <f aca="false">MXLO_28</f>
        <v>1.15</v>
      </c>
      <c r="G530" s="12" t="n">
        <f aca="false">MXLO_29</f>
        <v>1.2</v>
      </c>
    </row>
    <row r="531" customFormat="false" ht="17.15" hidden="false" customHeight="false" outlineLevel="0" collapsed="false">
      <c r="A531" s="3" t="s">
        <v>435</v>
      </c>
      <c r="B531" s="0" t="s">
        <v>193</v>
      </c>
      <c r="D531" s="16" t="n">
        <f aca="false">D528*12*$D$529*D530*D522/1000</f>
        <v>205.7651</v>
      </c>
      <c r="E531" s="16" t="n">
        <f aca="false">E528*12*$D$529*E530*E522/1000</f>
        <v>292.735148933333</v>
      </c>
      <c r="F531" s="16" t="n">
        <f aca="false">F528*12*$D$529*F530*F522/1000</f>
        <v>394.028163535833</v>
      </c>
      <c r="G531" s="16" t="n">
        <f aca="false">G528*12*$D$529*G530*G522/1000</f>
        <v>451.61324148</v>
      </c>
    </row>
    <row r="532" customFormat="false" ht="17.15" hidden="false" customHeight="false" outlineLevel="0" collapsed="false">
      <c r="A532" s="3" t="s">
        <v>436</v>
      </c>
      <c r="B532" s="0" t="s">
        <v>193</v>
      </c>
      <c r="C532" s="16" t="n">
        <f aca="false">a25_nai</f>
        <v>47.1305</v>
      </c>
      <c r="D532" s="16" t="n">
        <f aca="false">a26_nai</f>
        <v>85.3925165</v>
      </c>
      <c r="E532" s="16" t="n">
        <f aca="false">D532*(1+g_nai27)</f>
        <v>92.22391782</v>
      </c>
      <c r="F532" s="16" t="n">
        <f aca="false">E532*(1+g_nai28)</f>
        <v>97.7573528892</v>
      </c>
      <c r="G532" s="16" t="n">
        <f aca="false">F532*(1+g_nai29)</f>
        <v>102.64522053366</v>
      </c>
    </row>
    <row r="533" customFormat="false" ht="17.15" hidden="false" customHeight="false" outlineLevel="0" collapsed="false">
      <c r="A533" s="0" t="s">
        <v>437</v>
      </c>
      <c r="B533" s="0" t="s">
        <v>193</v>
      </c>
      <c r="C533" s="16" t="n">
        <f aca="false">a25_ai</f>
        <v>47.1305</v>
      </c>
      <c r="D533" s="16" t="n">
        <f aca="false">D526</f>
        <v>120.3725835</v>
      </c>
      <c r="E533" s="16" t="n">
        <f aca="false">MIN(E526,E531-E532)</f>
        <v>200.511231113333</v>
      </c>
      <c r="F533" s="16" t="n">
        <f aca="false">MIN(F526,F531-F532)</f>
        <v>296.270810646633</v>
      </c>
      <c r="G533" s="16" t="n">
        <f aca="false">MIN(G526,G531-G532)</f>
        <v>348.96802094634</v>
      </c>
      <c r="H533" s="3" t="s">
        <v>438</v>
      </c>
    </row>
    <row r="534" customFormat="false" ht="15" hidden="false" customHeight="false" outlineLevel="0" collapsed="false">
      <c r="A534" s="3" t="s">
        <v>439</v>
      </c>
      <c r="E534" s="0" t="str">
        <f aca="false">IF(E526&gt;E531-E532+0.0001,"受限","未受限")</f>
        <v>受限</v>
      </c>
      <c r="F534" s="0" t="str">
        <f aca="false">IF(F526&gt;F531-F532+0.0001,"受限","未受限")</f>
        <v>受限</v>
      </c>
      <c r="G534" s="0" t="str">
        <f aca="false">IF(G526&gt;G531-G532+0.0001,"受限","未受限")</f>
        <v>受限</v>
      </c>
    </row>
    <row r="535" customFormat="false" ht="15" hidden="false" customHeight="false" outlineLevel="0" collapsed="false">
      <c r="A535" s="3" t="s">
        <v>320</v>
      </c>
      <c r="B535" s="0" t="s">
        <v>193</v>
      </c>
      <c r="C535" s="16" t="n">
        <f aca="false">C533+C532</f>
        <v>94.261</v>
      </c>
      <c r="D535" s="16" t="n">
        <f aca="false">D533+D532</f>
        <v>205.7651</v>
      </c>
      <c r="E535" s="16" t="n">
        <f aca="false">E533+E532</f>
        <v>292.735148933333</v>
      </c>
      <c r="F535" s="16" t="n">
        <f aca="false">F533+F532</f>
        <v>394.028163535833</v>
      </c>
      <c r="G535" s="16" t="n">
        <f aca="false">G533+G532</f>
        <v>451.61324148</v>
      </c>
    </row>
    <row r="536" customFormat="false" ht="15" hidden="false" customHeight="false" outlineLevel="0" collapsed="false">
      <c r="A536" s="3" t="s">
        <v>440</v>
      </c>
      <c r="B536" s="0" t="s">
        <v>47</v>
      </c>
      <c r="D536" s="11" t="n">
        <f aca="false">D535/C535-1</f>
        <v>1.1829293132897</v>
      </c>
      <c r="E536" s="11" t="n">
        <f aca="false">E535/D535-1</f>
        <v>0.422666666666667</v>
      </c>
      <c r="F536" s="11" t="n">
        <f aca="false">F535/E535-1</f>
        <v>0.346022727272727</v>
      </c>
      <c r="G536" s="11" t="n">
        <f aca="false">G535/F535-1</f>
        <v>0.146144573594496</v>
      </c>
    </row>
    <row r="537" customFormat="false" ht="17.15" hidden="false" customHeight="false" outlineLevel="0" collapsed="false">
      <c r="A537" s="0" t="s">
        <v>441</v>
      </c>
      <c r="B537" s="0" t="s">
        <v>47</v>
      </c>
      <c r="C537" s="11" t="n">
        <f aca="false">C533/C535</f>
        <v>0.5</v>
      </c>
      <c r="D537" s="11" t="n">
        <f aca="false">D533/D535</f>
        <v>0.585</v>
      </c>
      <c r="E537" s="11" t="n">
        <f aca="false">E533/E535</f>
        <v>0.684957825679475</v>
      </c>
      <c r="F537" s="11" t="n">
        <f aca="false">F533/F535</f>
        <v>0.751902625406344</v>
      </c>
      <c r="G537" s="11" t="n">
        <f aca="false">G533/G535</f>
        <v>0.772714324767633</v>
      </c>
    </row>
    <row r="538" customFormat="false" ht="17.15" hidden="false" customHeight="false" outlineLevel="0" collapsed="false">
      <c r="A538" s="3" t="s">
        <v>442</v>
      </c>
      <c r="B538" s="0" t="s">
        <v>47</v>
      </c>
      <c r="D538" s="11" t="n">
        <f aca="false">(D526+D532)/D531</f>
        <v>1</v>
      </c>
      <c r="E538" s="11" t="n">
        <f aca="false">(E526+E532)/E531</f>
        <v>1.36290572107571</v>
      </c>
      <c r="F538" s="11" t="n">
        <f aca="false">(F526+F532)/F531</f>
        <v>1.29504698045433</v>
      </c>
      <c r="G538" s="11" t="n">
        <f aca="false">(G526+G532)/G531</f>
        <v>1.25229212351132</v>
      </c>
      <c r="H538" s="3" t="s">
        <v>443</v>
      </c>
    </row>
    <row r="539" customFormat="false" ht="17.15" hidden="false" customHeight="false" outlineLevel="0" collapsed="false">
      <c r="A539" s="3" t="s">
        <v>388</v>
      </c>
      <c r="B539" s="0" t="s">
        <v>87</v>
      </c>
      <c r="D539" s="15" t="n">
        <f aca="false">D533/fx/D515*1000</f>
        <v>160.757158009399</v>
      </c>
      <c r="E539" s="15" t="n">
        <f aca="false">E533/fx/E515*1000</f>
        <v>150.455283813905</v>
      </c>
      <c r="F539" s="15" t="n">
        <f aca="false">F533/fx/F515*1000</f>
        <v>175.375787947194</v>
      </c>
      <c r="G539" s="15" t="n">
        <f aca="false">G533/fx/G515*1000</f>
        <v>181.335317967295</v>
      </c>
    </row>
    <row r="540" customFormat="false" ht="17.15" hidden="false" customHeight="false" outlineLevel="0" collapsed="false">
      <c r="A540" s="5" t="s">
        <v>444</v>
      </c>
    </row>
    <row r="541" customFormat="false" ht="17.15" hidden="false" customHeight="false" outlineLevel="0" collapsed="false">
      <c r="A541" s="3" t="s">
        <v>445</v>
      </c>
      <c r="B541" s="0" t="s">
        <v>47</v>
      </c>
      <c r="D541" s="11" t="n">
        <f aca="false">a26_gp/D535-d_ai*D537</f>
        <v>0.291564442755356</v>
      </c>
      <c r="H541" s="7" t="s">
        <v>446</v>
      </c>
    </row>
    <row r="542" customFormat="false" ht="17.15" hidden="false" customHeight="false" outlineLevel="0" collapsed="false">
      <c r="A542" s="0" t="s">
        <v>447</v>
      </c>
      <c r="B542" s="0" t="s">
        <v>47</v>
      </c>
      <c r="D542" s="11" t="n">
        <f aca="false">D541+d_ai</f>
        <v>0.371564442755356</v>
      </c>
      <c r="E542" s="11" t="n">
        <f aca="false">1-(1-$D$542)/E522</f>
        <v>0.371564442755356</v>
      </c>
      <c r="F542" s="11" t="n">
        <f aca="false">1-(1-$D$542)/F522</f>
        <v>0.352128291500367</v>
      </c>
      <c r="G542" s="11" t="n">
        <f aca="false">1-(1-$D$542)/G522</f>
        <v>0.324262841672425</v>
      </c>
      <c r="H542" s="7" t="s">
        <v>448</v>
      </c>
    </row>
    <row r="543" customFormat="false" ht="15" hidden="false" customHeight="false" outlineLevel="0" collapsed="false">
      <c r="A543" s="3" t="s">
        <v>324</v>
      </c>
      <c r="B543" s="0" t="s">
        <v>193</v>
      </c>
      <c r="C543" s="16" t="n">
        <f aca="false">a25_gp</f>
        <v>28.12</v>
      </c>
      <c r="D543" s="16" t="n">
        <f aca="false">a26_gp</f>
        <v>69.6235934</v>
      </c>
      <c r="E543" s="16" t="n">
        <f aca="false">E533*E542+E532*$D$541</f>
        <v>101.39205906272</v>
      </c>
      <c r="F543" s="16" t="n">
        <f aca="false">F533*F542+F532*$D$541</f>
        <v>132.827902494806</v>
      </c>
      <c r="G543" s="16" t="n">
        <f aca="false">G533*G542+G532*$D$541</f>
        <v>143.08505865126</v>
      </c>
    </row>
    <row r="544" customFormat="false" ht="15" hidden="false" customHeight="false" outlineLevel="0" collapsed="false">
      <c r="A544" s="3" t="s">
        <v>327</v>
      </c>
      <c r="B544" s="0" t="s">
        <v>47</v>
      </c>
      <c r="C544" s="11" t="n">
        <f aca="false">C543/C535</f>
        <v>0.298320620405046</v>
      </c>
      <c r="D544" s="11" t="n">
        <f aca="false">D543/D535</f>
        <v>0.338364442755356</v>
      </c>
      <c r="E544" s="11" t="n">
        <f aca="false">E543/E535</f>
        <v>0.346361068809713</v>
      </c>
      <c r="F544" s="11" t="n">
        <f aca="false">F543/F535</f>
        <v>0.337102559631442</v>
      </c>
      <c r="G544" s="11" t="n">
        <f aca="false">G543/G535</f>
        <v>0.316830963995542</v>
      </c>
    </row>
    <row r="545" customFormat="false" ht="15" hidden="false" customHeight="false" outlineLevel="0" collapsed="false">
      <c r="A545" s="3" t="s">
        <v>449</v>
      </c>
      <c r="B545" s="0" t="s">
        <v>193</v>
      </c>
      <c r="C545" s="16" t="n">
        <f aca="false">a25_opx</f>
        <v>9.012</v>
      </c>
      <c r="D545" s="16" t="n">
        <f aca="false">a26_opx</f>
        <v>14.0153081141857</v>
      </c>
      <c r="E545" s="16" t="n">
        <f aca="false">D545*(1+MAX(0,phi*E536))</f>
        <v>17.5695902519433</v>
      </c>
      <c r="F545" s="16" t="n">
        <f aca="false">E545*(1+MAX(0,phi*F536))</f>
        <v>21.2172767735683</v>
      </c>
      <c r="G545" s="16" t="n">
        <f aca="false">F545*(1+MAX(0,phi*G536))</f>
        <v>23.077750693714</v>
      </c>
    </row>
    <row r="546" customFormat="false" ht="15" hidden="false" customHeight="false" outlineLevel="0" collapsed="false">
      <c r="A546" s="3" t="s">
        <v>329</v>
      </c>
      <c r="B546" s="0" t="s">
        <v>193</v>
      </c>
      <c r="C546" s="16" t="n">
        <f aca="false">C545</f>
        <v>9.012</v>
      </c>
      <c r="D546" s="16" t="n">
        <f aca="false">D545</f>
        <v>14.0153081141857</v>
      </c>
      <c r="E546" s="16" t="n">
        <f aca="false">E545+0*E535</f>
        <v>17.5695902519433</v>
      </c>
      <c r="F546" s="16" t="n">
        <f aca="false">F545+0*F535</f>
        <v>21.2172767735683</v>
      </c>
      <c r="G546" s="16" t="n">
        <f aca="false">G545+0*G535</f>
        <v>23.077750693714</v>
      </c>
    </row>
    <row r="547" customFormat="false" ht="15" hidden="false" customHeight="false" outlineLevel="0" collapsed="false">
      <c r="A547" s="3" t="s">
        <v>332</v>
      </c>
      <c r="B547" s="0" t="s">
        <v>193</v>
      </c>
      <c r="C547" s="16" t="n">
        <f aca="false">C543-C546</f>
        <v>19.108</v>
      </c>
      <c r="D547" s="16" t="n">
        <f aca="false">D543-D546</f>
        <v>55.6082852858143</v>
      </c>
      <c r="E547" s="16" t="n">
        <f aca="false">E543-E546</f>
        <v>83.8224688107768</v>
      </c>
      <c r="F547" s="16" t="n">
        <f aca="false">F543-F546</f>
        <v>111.610625721238</v>
      </c>
      <c r="G547" s="16" t="n">
        <f aca="false">G543-G546</f>
        <v>120.007307957546</v>
      </c>
    </row>
    <row r="548" customFormat="false" ht="15" hidden="false" customHeight="false" outlineLevel="0" collapsed="false">
      <c r="A548" s="3" t="s">
        <v>335</v>
      </c>
      <c r="B548" s="0" t="s">
        <v>47</v>
      </c>
      <c r="C548" s="11" t="n">
        <f aca="false">C547/C535</f>
        <v>0.202713741632276</v>
      </c>
      <c r="D548" s="11" t="n">
        <f aca="false">D547/D535</f>
        <v>0.270251297648699</v>
      </c>
      <c r="E548" s="11" t="n">
        <f aca="false">E547/E535</f>
        <v>0.286342344321167</v>
      </c>
      <c r="F548" s="11" t="n">
        <f aca="false">F547/F535</f>
        <v>0.283255452401406</v>
      </c>
      <c r="G548" s="11" t="n">
        <f aca="false">G547/G535</f>
        <v>0.265730268590586</v>
      </c>
    </row>
    <row r="549" customFormat="false" ht="17.15" hidden="false" customHeight="false" outlineLevel="0" collapsed="false">
      <c r="A549" s="3" t="s">
        <v>337</v>
      </c>
      <c r="B549" s="0" t="s">
        <v>193</v>
      </c>
      <c r="E549" s="16" t="n">
        <f aca="false">nop_f</f>
        <v>0.5</v>
      </c>
      <c r="F549" s="16" t="n">
        <f aca="false">nop_f</f>
        <v>0.5</v>
      </c>
      <c r="G549" s="16" t="n">
        <f aca="false">nop_f</f>
        <v>0.5</v>
      </c>
      <c r="H549" s="7" t="s">
        <v>450</v>
      </c>
    </row>
    <row r="550" customFormat="false" ht="15" hidden="false" customHeight="false" outlineLevel="0" collapsed="false">
      <c r="A550" s="3" t="s">
        <v>340</v>
      </c>
      <c r="B550" s="0" t="s">
        <v>193</v>
      </c>
      <c r="C550" s="16" t="n">
        <f aca="false">a25_ni</f>
        <v>14.649</v>
      </c>
      <c r="D550" s="16" t="n">
        <f aca="false">a26_ni</f>
        <v>42.891099295</v>
      </c>
      <c r="E550" s="16" t="n">
        <f aca="false">(E547+E549)*nir_f</f>
        <v>64.9283009842981</v>
      </c>
      <c r="F550" s="16" t="n">
        <f aca="false">(F547+F549)*nir_f</f>
        <v>86.3251818053529</v>
      </c>
      <c r="G550" s="16" t="n">
        <f aca="false">(G547+G549)*nir_f</f>
        <v>92.7906271273102</v>
      </c>
    </row>
    <row r="551" customFormat="false" ht="17.15" hidden="false" customHeight="false" outlineLevel="0" collapsed="false">
      <c r="A551" s="3" t="s">
        <v>343</v>
      </c>
      <c r="B551" s="0" t="s">
        <v>47</v>
      </c>
      <c r="C551" s="11" t="n">
        <f aca="false">C550/C547</f>
        <v>0.766642244086247</v>
      </c>
      <c r="D551" s="11" t="n">
        <f aca="false">D550/D547</f>
        <v>0.771307712053146</v>
      </c>
      <c r="E551" s="11" t="n">
        <f aca="false">E550/E547</f>
        <v>0.774593040570889</v>
      </c>
      <c r="F551" s="11" t="n">
        <f aca="false">F550/F547</f>
        <v>0.773449492353547</v>
      </c>
      <c r="G551" s="11" t="n">
        <f aca="false">G550/G547</f>
        <v>0.773208137958867</v>
      </c>
    </row>
    <row r="552" customFormat="false" ht="15" hidden="false" customHeight="false" outlineLevel="0" collapsed="false">
      <c r="A552" s="3" t="s">
        <v>451</v>
      </c>
      <c r="B552" s="3" t="s">
        <v>222</v>
      </c>
      <c r="C552" s="18" t="n">
        <f aca="false">a25_sh</f>
        <v>0.351547876169906</v>
      </c>
      <c r="D552" s="18" t="n">
        <f aca="false">a26_sh</f>
        <v>0.358290155440415</v>
      </c>
      <c r="E552" s="18" t="n">
        <f aca="false">D552*(1+sh_g)</f>
        <v>0.358290155440415</v>
      </c>
      <c r="F552" s="18" t="n">
        <f aca="false">E552*(1+sh_g)</f>
        <v>0.358290155440415</v>
      </c>
      <c r="G552" s="18" t="n">
        <f aca="false">F552*(1+sh_g)</f>
        <v>0.358290155440415</v>
      </c>
    </row>
    <row r="553" customFormat="false" ht="15" hidden="false" customHeight="false" outlineLevel="0" collapsed="false">
      <c r="A553" s="0" t="s">
        <v>346</v>
      </c>
      <c r="B553" s="0" t="s">
        <v>253</v>
      </c>
      <c r="C553" s="17" t="n">
        <f aca="false">C550/C552</f>
        <v>41.67</v>
      </c>
      <c r="D553" s="17" t="n">
        <f aca="false">D550/D552</f>
        <v>119.710515747433</v>
      </c>
      <c r="E553" s="17" t="n">
        <f aca="false">E550/E552</f>
        <v>181.217094576566</v>
      </c>
      <c r="F553" s="17" t="n">
        <f aca="false">F550/F552</f>
        <v>240.936516101708</v>
      </c>
      <c r="G553" s="17" t="n">
        <f aca="false">G550/G552</f>
        <v>258.981793717583</v>
      </c>
    </row>
    <row r="554" customFormat="false" ht="17.15" hidden="false" customHeight="false" outlineLevel="0" collapsed="false">
      <c r="A554" s="0" t="s">
        <v>452</v>
      </c>
      <c r="B554" s="0" t="s">
        <v>47</v>
      </c>
      <c r="D554" s="11" t="n">
        <f aca="false">D553/C553-1</f>
        <v>1.87282255213422</v>
      </c>
      <c r="E554" s="11" t="n">
        <f aca="false">E553/D553-1</f>
        <v>0.513794284863831</v>
      </c>
      <c r="F554" s="11" t="n">
        <f aca="false">F553/E553-1</f>
        <v>0.329546291781596</v>
      </c>
      <c r="G554" s="11" t="n">
        <f aca="false">G553/F553-1</f>
        <v>0.0748963997149259</v>
      </c>
    </row>
    <row r="557" customFormat="false" ht="17.15" hidden="false" customHeight="false" outlineLevel="0" collapsed="false">
      <c r="A557" s="1" t="s">
        <v>662</v>
      </c>
    </row>
    <row r="558" customFormat="false" ht="17.15" hidden="false" customHeight="false" outlineLevel="0" collapsed="false">
      <c r="A558" s="4" t="s">
        <v>16</v>
      </c>
      <c r="B558" s="4" t="s">
        <v>17</v>
      </c>
      <c r="C558" s="8" t="s">
        <v>315</v>
      </c>
      <c r="D558" s="8" t="s">
        <v>401</v>
      </c>
      <c r="E558" s="8" t="s">
        <v>402</v>
      </c>
      <c r="F558" s="8" t="s">
        <v>403</v>
      </c>
      <c r="G558" s="8" t="s">
        <v>404</v>
      </c>
      <c r="H558" s="4" t="s">
        <v>369</v>
      </c>
    </row>
    <row r="559" customFormat="false" ht="17.15" hidden="false" customHeight="false" outlineLevel="0" collapsed="false">
      <c r="A559" s="5" t="s">
        <v>419</v>
      </c>
    </row>
    <row r="560" customFormat="false" ht="17.15" hidden="false" customHeight="false" outlineLevel="0" collapsed="false">
      <c r="A560" s="0" t="s">
        <v>420</v>
      </c>
      <c r="B560" s="0" t="s">
        <v>27</v>
      </c>
      <c r="D560" s="17" t="n">
        <f aca="false">itc_26*1</f>
        <v>781.872916666667</v>
      </c>
      <c r="E560" s="17" t="n">
        <f aca="false">itc_27*1*1</f>
        <v>1565.35</v>
      </c>
      <c r="F560" s="17" t="n">
        <f aca="false">itc_28*um28_A*1</f>
        <v>1984.26388888889</v>
      </c>
      <c r="G560" s="17" t="n">
        <f aca="false">itc_29*um29_A*1</f>
        <v>2260.39027777778</v>
      </c>
    </row>
    <row r="561" customFormat="false" ht="17.15" hidden="false" customHeight="false" outlineLevel="0" collapsed="false">
      <c r="A561" s="3" t="s">
        <v>421</v>
      </c>
      <c r="B561" s="0" t="s">
        <v>27</v>
      </c>
      <c r="D561" s="17" t="n">
        <f aca="false">itpg_gb*(1-vr26)+itpg_vr*vr26</f>
        <v>33.41403216</v>
      </c>
      <c r="E561" s="17" t="n">
        <f aca="false">itpg_vr</f>
        <v>37.586352</v>
      </c>
      <c r="F561" s="17" t="n">
        <f aca="false">itpg_vr</f>
        <v>37.586352</v>
      </c>
      <c r="G561" s="17" t="n">
        <f aca="false">itpg_vr</f>
        <v>37.586352</v>
      </c>
    </row>
    <row r="562" customFormat="false" ht="17.15" hidden="false" customHeight="false" outlineLevel="0" collapsed="false">
      <c r="A562" s="3" t="s">
        <v>422</v>
      </c>
      <c r="B562" s="0" t="s">
        <v>371</v>
      </c>
      <c r="D562" s="14" t="n">
        <f aca="false">D560/D561</f>
        <v>23.3995380420639</v>
      </c>
      <c r="E562" s="14" t="n">
        <f aca="false">E560/E561</f>
        <v>41.6467658260637</v>
      </c>
      <c r="F562" s="14" t="n">
        <f aca="false">F560/F561</f>
        <v>52.792138191248</v>
      </c>
      <c r="G562" s="14" t="n">
        <f aca="false">G560/G561</f>
        <v>60.1385917361116</v>
      </c>
    </row>
    <row r="563" customFormat="false" ht="17.15" hidden="false" customHeight="false" outlineLevel="0" collapsed="false">
      <c r="A563" s="3" t="s">
        <v>373</v>
      </c>
      <c r="B563" s="0" t="s">
        <v>87</v>
      </c>
      <c r="D563" s="15" t="n">
        <f aca="false">cmp_26</f>
        <v>190</v>
      </c>
      <c r="E563" s="15" t="n">
        <f aca="false">cmp_26*cmpx_27</f>
        <v>275.5</v>
      </c>
      <c r="F563" s="15" t="n">
        <f aca="false">cmp_26*cmpx_28</f>
        <v>304</v>
      </c>
      <c r="G563" s="15" t="n">
        <f aca="false">cmp_26*cmpx_29</f>
        <v>323</v>
      </c>
    </row>
    <row r="564" customFormat="false" ht="17.15" hidden="false" customHeight="false" outlineLevel="0" collapsed="false">
      <c r="A564" s="3" t="s">
        <v>375</v>
      </c>
      <c r="B564" s="0" t="s">
        <v>87</v>
      </c>
      <c r="D564" s="15" t="n">
        <f aca="false">sw_26</f>
        <v>90</v>
      </c>
      <c r="E564" s="15" t="n">
        <f aca="false">sw_26*swx_27</f>
        <v>126</v>
      </c>
      <c r="F564" s="15" t="n">
        <f aca="false">sw_26*swx_28</f>
        <v>144</v>
      </c>
      <c r="G564" s="15" t="n">
        <f aca="false">sw_26*swx_29</f>
        <v>157.5</v>
      </c>
    </row>
    <row r="565" customFormat="false" ht="17.15" hidden="false" customHeight="false" outlineLevel="0" collapsed="false">
      <c r="A565" s="3" t="s">
        <v>376</v>
      </c>
      <c r="B565" s="0" t="s">
        <v>87</v>
      </c>
      <c r="D565" s="15" t="n">
        <f aca="false">ubb_26</f>
        <v>70</v>
      </c>
      <c r="E565" s="15" t="n">
        <f aca="false">ubb_26*ubbx_27</f>
        <v>126</v>
      </c>
      <c r="F565" s="15" t="n">
        <f aca="false">ubb_26*ubbx_28</f>
        <v>161</v>
      </c>
      <c r="G565" s="15" t="n">
        <f aca="false">ubb_26*ubbx_29</f>
        <v>182</v>
      </c>
    </row>
    <row r="566" customFormat="false" ht="17.15" hidden="false" customHeight="false" outlineLevel="0" collapsed="false">
      <c r="A566" s="3" t="s">
        <v>423</v>
      </c>
      <c r="B566" s="0" t="s">
        <v>87</v>
      </c>
      <c r="D566" s="15" t="n">
        <f aca="false">D563+D564+D565</f>
        <v>350</v>
      </c>
      <c r="E566" s="15" t="n">
        <f aca="false">E563+E564+E565</f>
        <v>527.5</v>
      </c>
      <c r="F566" s="15" t="n">
        <f aca="false">F563+F564+F565</f>
        <v>609</v>
      </c>
      <c r="G566" s="15" t="n">
        <f aca="false">G563+G564+G565</f>
        <v>662.5</v>
      </c>
    </row>
    <row r="567" customFormat="false" ht="17.15" hidden="false" customHeight="false" outlineLevel="0" collapsed="false">
      <c r="A567" s="0" t="s">
        <v>424</v>
      </c>
      <c r="B567" s="0" t="s">
        <v>27</v>
      </c>
      <c r="D567" s="17" t="n">
        <f aca="false">D562*D566/1000</f>
        <v>8.18983831472237</v>
      </c>
      <c r="E567" s="17" t="n">
        <f aca="false">E562*E566/1000</f>
        <v>21.9686689732486</v>
      </c>
      <c r="F567" s="17" t="n">
        <f aca="false">F562*F566/1000</f>
        <v>32.15041215847</v>
      </c>
      <c r="G567" s="17" t="n">
        <f aca="false">G562*G566/1000</f>
        <v>39.8418170251739</v>
      </c>
    </row>
    <row r="568" customFormat="false" ht="17.15" hidden="false" customHeight="false" outlineLevel="0" collapsed="false">
      <c r="A568" s="0" t="s">
        <v>425</v>
      </c>
      <c r="B568" s="0" t="s">
        <v>193</v>
      </c>
      <c r="D568" s="16" t="n">
        <f aca="false">D567*fx</f>
        <v>262.074826071116</v>
      </c>
      <c r="E568" s="16" t="n">
        <f aca="false">E567*fx</f>
        <v>702.997407143955</v>
      </c>
      <c r="F568" s="16" t="n">
        <f aca="false">F567*fx</f>
        <v>1028.81318907104</v>
      </c>
      <c r="G568" s="16" t="n">
        <f aca="false">G567*fx</f>
        <v>1274.93814480557</v>
      </c>
    </row>
    <row r="569" customFormat="false" ht="17.15" hidden="false" customHeight="false" outlineLevel="0" collapsed="false">
      <c r="A569" s="0" t="s">
        <v>426</v>
      </c>
      <c r="B569" s="0" t="s">
        <v>60</v>
      </c>
      <c r="D569" s="12" t="n">
        <f aca="false">1</f>
        <v>1</v>
      </c>
      <c r="E569" s="12" t="n">
        <f aca="false">pp_27</f>
        <v>1</v>
      </c>
      <c r="F569" s="12" t="n">
        <f aca="false">pp_28</f>
        <v>0.97</v>
      </c>
      <c r="G569" s="12" t="n">
        <f aca="false">pp_29</f>
        <v>0.93</v>
      </c>
    </row>
    <row r="570" customFormat="false" ht="17.15" hidden="false" customHeight="false" outlineLevel="0" collapsed="false">
      <c r="A570" s="3" t="s">
        <v>427</v>
      </c>
      <c r="B570" s="0" t="s">
        <v>47</v>
      </c>
      <c r="D570" s="11" t="n">
        <f aca="false">a26_ai/D568</f>
        <v>0.459306165741139</v>
      </c>
      <c r="H570" s="7" t="s">
        <v>428</v>
      </c>
    </row>
    <row r="571" customFormat="false" ht="17.15" hidden="false" customHeight="false" outlineLevel="0" collapsed="false">
      <c r="A571" s="3" t="s">
        <v>429</v>
      </c>
      <c r="B571" s="0" t="s">
        <v>60</v>
      </c>
      <c r="D571" s="12" t="n">
        <f aca="false">1</f>
        <v>1</v>
      </c>
      <c r="E571" s="12" t="n">
        <f aca="false">rel_27</f>
        <v>0.95</v>
      </c>
      <c r="F571" s="12" t="n">
        <f aca="false">rel_28</f>
        <v>0.9</v>
      </c>
      <c r="G571" s="12" t="n">
        <f aca="false">rel_29</f>
        <v>0.85</v>
      </c>
    </row>
    <row r="572" customFormat="false" ht="15" hidden="false" customHeight="false" outlineLevel="0" collapsed="false">
      <c r="A572" s="3" t="s">
        <v>384</v>
      </c>
      <c r="B572" s="0" t="s">
        <v>47</v>
      </c>
      <c r="D572" s="11" t="n">
        <f aca="false">$D$570*D571</f>
        <v>0.459306165741139</v>
      </c>
      <c r="E572" s="11" t="n">
        <f aca="false">$D$570*E571</f>
        <v>0.436340857454082</v>
      </c>
      <c r="F572" s="11" t="n">
        <f aca="false">$D$570*F571</f>
        <v>0.413375549167025</v>
      </c>
      <c r="G572" s="11" t="n">
        <f aca="false">$D$570*G571</f>
        <v>0.390410240879968</v>
      </c>
    </row>
    <row r="573" customFormat="false" ht="17.15" hidden="false" customHeight="false" outlineLevel="0" collapsed="false">
      <c r="A573" s="0" t="s">
        <v>430</v>
      </c>
      <c r="B573" s="0" t="s">
        <v>193</v>
      </c>
      <c r="D573" s="16" t="n">
        <f aca="false">D568*D572*D569</f>
        <v>120.3725835</v>
      </c>
      <c r="E573" s="16" t="n">
        <f aca="false">E568*E572*E569</f>
        <v>306.746491421189</v>
      </c>
      <c r="F573" s="16" t="n">
        <f aca="false">F568*F572*F569</f>
        <v>412.527630511844</v>
      </c>
      <c r="G573" s="16" t="n">
        <f aca="false">G568*G572*G569</f>
        <v>462.906484645158</v>
      </c>
    </row>
    <row r="574" customFormat="false" ht="17.15" hidden="false" customHeight="false" outlineLevel="0" collapsed="false">
      <c r="A574" s="5" t="s">
        <v>431</v>
      </c>
    </row>
    <row r="575" customFormat="false" ht="15" hidden="false" customHeight="false" outlineLevel="0" collapsed="false">
      <c r="A575" s="3" t="s">
        <v>389</v>
      </c>
      <c r="B575" s="3" t="s">
        <v>144</v>
      </c>
      <c r="D575" s="12" t="n">
        <f aca="false">cap_26</f>
        <v>6</v>
      </c>
      <c r="E575" s="12" t="n">
        <f aca="false">cap_27</f>
        <v>7.76</v>
      </c>
      <c r="F575" s="12" t="n">
        <f aca="false">cap_28</f>
        <v>10.3</v>
      </c>
      <c r="G575" s="12" t="n">
        <f aca="false">cap_29</f>
        <v>11.8</v>
      </c>
    </row>
    <row r="576" customFormat="false" ht="17.15" hidden="false" customHeight="false" outlineLevel="0" collapsed="false">
      <c r="A576" s="3" t="s">
        <v>432</v>
      </c>
      <c r="B576" s="0" t="s">
        <v>392</v>
      </c>
      <c r="D576" s="15" t="n">
        <f aca="false">a26_rev/(D575*12)*1000</f>
        <v>2857.84861111111</v>
      </c>
      <c r="H576" s="7" t="s">
        <v>433</v>
      </c>
    </row>
    <row r="577" customFormat="false" ht="17.15" hidden="false" customHeight="false" outlineLevel="0" collapsed="false">
      <c r="A577" s="3" t="s">
        <v>434</v>
      </c>
      <c r="B577" s="0" t="s">
        <v>60</v>
      </c>
      <c r="D577" s="12" t="n">
        <f aca="false">1</f>
        <v>1</v>
      </c>
      <c r="E577" s="12" t="n">
        <f aca="false">MXHI_27</f>
        <v>1.45</v>
      </c>
      <c r="F577" s="12" t="n">
        <f aca="false">MXHI_28</f>
        <v>1.7</v>
      </c>
      <c r="G577" s="12" t="n">
        <f aca="false">MXHI_29</f>
        <v>1.85</v>
      </c>
    </row>
    <row r="578" customFormat="false" ht="17.15" hidden="false" customHeight="false" outlineLevel="0" collapsed="false">
      <c r="A578" s="3" t="s">
        <v>435</v>
      </c>
      <c r="B578" s="0" t="s">
        <v>193</v>
      </c>
      <c r="D578" s="16" t="n">
        <f aca="false">D575*12*$D$576*D577*D569/1000</f>
        <v>205.7651</v>
      </c>
      <c r="E578" s="16" t="n">
        <f aca="false">E575*12*$D$576*E577*E569/1000</f>
        <v>385.878150866667</v>
      </c>
      <c r="F578" s="16" t="n">
        <f aca="false">F575*12*$D$576*F577*F569/1000</f>
        <v>582.476415661667</v>
      </c>
      <c r="G578" s="16" t="n">
        <f aca="false">G575*12*$D$576*G577*G569/1000</f>
        <v>696.237080615</v>
      </c>
    </row>
    <row r="579" customFormat="false" ht="17.15" hidden="false" customHeight="false" outlineLevel="0" collapsed="false">
      <c r="A579" s="3" t="s">
        <v>436</v>
      </c>
      <c r="B579" s="0" t="s">
        <v>193</v>
      </c>
      <c r="C579" s="16" t="n">
        <f aca="false">a25_nai</f>
        <v>47.1305</v>
      </c>
      <c r="D579" s="16" t="n">
        <f aca="false">a26_nai</f>
        <v>85.3925165</v>
      </c>
      <c r="E579" s="16" t="n">
        <f aca="false">D579*(1+g_nai27)</f>
        <v>92.22391782</v>
      </c>
      <c r="F579" s="16" t="n">
        <f aca="false">E579*(1+g_nai28)</f>
        <v>97.7573528892</v>
      </c>
      <c r="G579" s="16" t="n">
        <f aca="false">F579*(1+g_nai29)</f>
        <v>102.64522053366</v>
      </c>
    </row>
    <row r="580" customFormat="false" ht="17.15" hidden="false" customHeight="false" outlineLevel="0" collapsed="false">
      <c r="A580" s="0" t="s">
        <v>437</v>
      </c>
      <c r="B580" s="0" t="s">
        <v>193</v>
      </c>
      <c r="C580" s="16" t="n">
        <f aca="false">a25_ai</f>
        <v>47.1305</v>
      </c>
      <c r="D580" s="16" t="n">
        <f aca="false">D573</f>
        <v>120.3725835</v>
      </c>
      <c r="E580" s="16" t="n">
        <f aca="false">MIN(E573,E578-E579)</f>
        <v>293.654233046667</v>
      </c>
      <c r="F580" s="16" t="n">
        <f aca="false">MIN(F573,F578-F579)</f>
        <v>412.527630511844</v>
      </c>
      <c r="G580" s="16" t="n">
        <f aca="false">MIN(G573,G578-G579)</f>
        <v>462.906484645158</v>
      </c>
      <c r="H580" s="3" t="s">
        <v>438</v>
      </c>
    </row>
    <row r="581" customFormat="false" ht="15" hidden="false" customHeight="false" outlineLevel="0" collapsed="false">
      <c r="A581" s="3" t="s">
        <v>439</v>
      </c>
      <c r="E581" s="0" t="str">
        <f aca="false">IF(E573&gt;E578-E579+0.0001,"受限","未受限")</f>
        <v>受限</v>
      </c>
      <c r="F581" s="0" t="str">
        <f aca="false">IF(F573&gt;F578-F579+0.0001,"受限","未受限")</f>
        <v>未受限</v>
      </c>
      <c r="G581" s="0" t="str">
        <f aca="false">IF(G573&gt;G578-G579+0.0001,"受限","未受限")</f>
        <v>未受限</v>
      </c>
    </row>
    <row r="582" customFormat="false" ht="15" hidden="false" customHeight="false" outlineLevel="0" collapsed="false">
      <c r="A582" s="3" t="s">
        <v>320</v>
      </c>
      <c r="B582" s="0" t="s">
        <v>193</v>
      </c>
      <c r="C582" s="16" t="n">
        <f aca="false">C580+C579</f>
        <v>94.261</v>
      </c>
      <c r="D582" s="16" t="n">
        <f aca="false">D580+D579</f>
        <v>205.7651</v>
      </c>
      <c r="E582" s="16" t="n">
        <f aca="false">E580+E579</f>
        <v>385.878150866667</v>
      </c>
      <c r="F582" s="16" t="n">
        <f aca="false">F580+F579</f>
        <v>510.284983401044</v>
      </c>
      <c r="G582" s="16" t="n">
        <f aca="false">G580+G579</f>
        <v>565.551705178818</v>
      </c>
    </row>
    <row r="583" customFormat="false" ht="15" hidden="false" customHeight="false" outlineLevel="0" collapsed="false">
      <c r="A583" s="3" t="s">
        <v>440</v>
      </c>
      <c r="B583" s="0" t="s">
        <v>47</v>
      </c>
      <c r="D583" s="11" t="n">
        <f aca="false">D582/C582-1</f>
        <v>1.1829293132897</v>
      </c>
      <c r="E583" s="11" t="n">
        <f aca="false">E582/D582-1</f>
        <v>0.875333333333333</v>
      </c>
      <c r="F583" s="11" t="n">
        <f aca="false">F582/E582-1</f>
        <v>0.322399265817369</v>
      </c>
      <c r="G583" s="11" t="n">
        <f aca="false">G582/F582-1</f>
        <v>0.108305600939737</v>
      </c>
    </row>
    <row r="584" customFormat="false" ht="17.15" hidden="false" customHeight="false" outlineLevel="0" collapsed="false">
      <c r="A584" s="0" t="s">
        <v>441</v>
      </c>
      <c r="B584" s="0" t="s">
        <v>47</v>
      </c>
      <c r="C584" s="11" t="n">
        <f aca="false">C580/C582</f>
        <v>0.5</v>
      </c>
      <c r="D584" s="11" t="n">
        <f aca="false">D580/D582</f>
        <v>0.585</v>
      </c>
      <c r="E584" s="11" t="n">
        <f aca="false">E580/E582</f>
        <v>0.761002488446498</v>
      </c>
      <c r="F584" s="11" t="n">
        <f aca="false">F580/F582</f>
        <v>0.80842596574634</v>
      </c>
      <c r="G584" s="11" t="n">
        <f aca="false">G580/G582</f>
        <v>0.818504268321134</v>
      </c>
    </row>
    <row r="585" customFormat="false" ht="17.15" hidden="false" customHeight="false" outlineLevel="0" collapsed="false">
      <c r="A585" s="3" t="s">
        <v>442</v>
      </c>
      <c r="B585" s="0" t="s">
        <v>47</v>
      </c>
      <c r="D585" s="11" t="n">
        <f aca="false">(D573+D579)/D578</f>
        <v>1</v>
      </c>
      <c r="E585" s="11" t="n">
        <f aca="false">(E573+E579)/E578</f>
        <v>1.03392847805743</v>
      </c>
      <c r="F585" s="11" t="n">
        <f aca="false">(F573+F579)/F578</f>
        <v>0.876061192660279</v>
      </c>
      <c r="G585" s="11" t="n">
        <f aca="false">(G573+G579)/G578</f>
        <v>0.812297593628961</v>
      </c>
      <c r="H585" s="3" t="s">
        <v>443</v>
      </c>
    </row>
    <row r="586" customFormat="false" ht="17.15" hidden="false" customHeight="false" outlineLevel="0" collapsed="false">
      <c r="A586" s="3" t="s">
        <v>388</v>
      </c>
      <c r="B586" s="0" t="s">
        <v>87</v>
      </c>
      <c r="D586" s="15" t="n">
        <f aca="false">D580/fx/D562*1000</f>
        <v>160.757158009399</v>
      </c>
      <c r="E586" s="15" t="n">
        <f aca="false">E580/fx/E562*1000</f>
        <v>220.345916440054</v>
      </c>
      <c r="F586" s="15" t="n">
        <f aca="false">F580/fx/F562*1000</f>
        <v>244.193338159437</v>
      </c>
      <c r="G586" s="15" t="n">
        <f aca="false">G580/fx/G562*1000</f>
        <v>240.54150966217</v>
      </c>
    </row>
    <row r="587" customFormat="false" ht="17.15" hidden="false" customHeight="false" outlineLevel="0" collapsed="false">
      <c r="A587" s="5" t="s">
        <v>444</v>
      </c>
    </row>
    <row r="588" customFormat="false" ht="17.15" hidden="false" customHeight="false" outlineLevel="0" collapsed="false">
      <c r="A588" s="3" t="s">
        <v>445</v>
      </c>
      <c r="B588" s="0" t="s">
        <v>47</v>
      </c>
      <c r="D588" s="11" t="n">
        <f aca="false">a26_gp/D582-d_ai*D584</f>
        <v>0.291564442755356</v>
      </c>
      <c r="H588" s="7" t="s">
        <v>446</v>
      </c>
    </row>
    <row r="589" customFormat="false" ht="17.15" hidden="false" customHeight="false" outlineLevel="0" collapsed="false">
      <c r="A589" s="0" t="s">
        <v>447</v>
      </c>
      <c r="B589" s="0" t="s">
        <v>47</v>
      </c>
      <c r="D589" s="11" t="n">
        <f aca="false">D588+d_ai</f>
        <v>0.371564442755356</v>
      </c>
      <c r="E589" s="11" t="n">
        <f aca="false">1-(1-$D$589)/E569</f>
        <v>0.371564442755356</v>
      </c>
      <c r="F589" s="11" t="n">
        <f aca="false">1-(1-$D$589)/F569</f>
        <v>0.352128291500367</v>
      </c>
      <c r="G589" s="11" t="n">
        <f aca="false">1-(1-$D$589)/G569</f>
        <v>0.324262841672425</v>
      </c>
      <c r="H589" s="7" t="s">
        <v>448</v>
      </c>
    </row>
    <row r="590" customFormat="false" ht="15" hidden="false" customHeight="false" outlineLevel="0" collapsed="false">
      <c r="A590" s="3" t="s">
        <v>324</v>
      </c>
      <c r="B590" s="0" t="s">
        <v>193</v>
      </c>
      <c r="C590" s="16" t="n">
        <f aca="false">a25_gp</f>
        <v>28.12</v>
      </c>
      <c r="D590" s="16" t="n">
        <f aca="false">a26_gp</f>
        <v>69.6235934</v>
      </c>
      <c r="E590" s="16" t="n">
        <f aca="false">E580*E589+E579*$D$588</f>
        <v>136.00068667264</v>
      </c>
      <c r="F590" s="16" t="n">
        <f aca="false">F580*F589+F579*$D$588</f>
        <v>173.765217849208</v>
      </c>
      <c r="G590" s="16" t="n">
        <f aca="false">G580*G589+G579*$D$588</f>
        <v>180.031068666029</v>
      </c>
    </row>
    <row r="591" customFormat="false" ht="15" hidden="false" customHeight="false" outlineLevel="0" collapsed="false">
      <c r="A591" s="3" t="s">
        <v>327</v>
      </c>
      <c r="B591" s="0" t="s">
        <v>47</v>
      </c>
      <c r="C591" s="11" t="n">
        <f aca="false">C590/C582</f>
        <v>0.298320620405046</v>
      </c>
      <c r="D591" s="11" t="n">
        <f aca="false">D590/D582</f>
        <v>0.338364442755356</v>
      </c>
      <c r="E591" s="11" t="n">
        <f aca="false">E590/E582</f>
        <v>0.352444641831075</v>
      </c>
      <c r="F591" s="11" t="n">
        <f aca="false">F590/F582</f>
        <v>0.340525830666356</v>
      </c>
      <c r="G591" s="11" t="n">
        <f aca="false">G590/G582</f>
        <v>0.318328221836244</v>
      </c>
    </row>
    <row r="592" customFormat="false" ht="15" hidden="false" customHeight="false" outlineLevel="0" collapsed="false">
      <c r="A592" s="3" t="s">
        <v>449</v>
      </c>
      <c r="B592" s="0" t="s">
        <v>193</v>
      </c>
      <c r="C592" s="16" t="n">
        <f aca="false">a25_opx</f>
        <v>9.012</v>
      </c>
      <c r="D592" s="16" t="n">
        <f aca="false">a26_opx</f>
        <v>14.0153081141857</v>
      </c>
      <c r="E592" s="16" t="n">
        <f aca="false">D592*(1+MAX(0,phi*E583))</f>
        <v>21.3761479357561</v>
      </c>
      <c r="F592" s="16" t="n">
        <f aca="false">E592*(1+MAX(0,phi*F583))</f>
        <v>25.5111405760508</v>
      </c>
      <c r="G592" s="16" t="n">
        <f aca="false">F592*(1+MAX(0,phi*G583))</f>
        <v>27.1689402224992</v>
      </c>
    </row>
    <row r="593" customFormat="false" ht="15" hidden="false" customHeight="false" outlineLevel="0" collapsed="false">
      <c r="A593" s="3" t="s">
        <v>329</v>
      </c>
      <c r="B593" s="0" t="s">
        <v>193</v>
      </c>
      <c r="C593" s="16" t="n">
        <f aca="false">C592</f>
        <v>9.012</v>
      </c>
      <c r="D593" s="16" t="n">
        <f aca="false">D592</f>
        <v>14.0153081141857</v>
      </c>
      <c r="E593" s="16" t="n">
        <f aca="false">E592+0*E582</f>
        <v>21.3761479357561</v>
      </c>
      <c r="F593" s="16" t="n">
        <f aca="false">F592+0*F582</f>
        <v>25.5111405760508</v>
      </c>
      <c r="G593" s="16" t="n">
        <f aca="false">G592+0*G582</f>
        <v>27.1689402224992</v>
      </c>
    </row>
    <row r="594" customFormat="false" ht="15" hidden="false" customHeight="false" outlineLevel="0" collapsed="false">
      <c r="A594" s="3" t="s">
        <v>332</v>
      </c>
      <c r="B594" s="0" t="s">
        <v>193</v>
      </c>
      <c r="C594" s="16" t="n">
        <f aca="false">C590-C593</f>
        <v>19.108</v>
      </c>
      <c r="D594" s="16" t="n">
        <f aca="false">D590-D593</f>
        <v>55.6082852858143</v>
      </c>
      <c r="E594" s="16" t="n">
        <f aca="false">E590-E593</f>
        <v>114.624538736884</v>
      </c>
      <c r="F594" s="16" t="n">
        <f aca="false">F590-F593</f>
        <v>148.254077273158</v>
      </c>
      <c r="G594" s="16" t="n">
        <f aca="false">G590-G593</f>
        <v>152.86212844353</v>
      </c>
    </row>
    <row r="595" customFormat="false" ht="15" hidden="false" customHeight="false" outlineLevel="0" collapsed="false">
      <c r="A595" s="3" t="s">
        <v>335</v>
      </c>
      <c r="B595" s="0" t="s">
        <v>47</v>
      </c>
      <c r="C595" s="11" t="n">
        <f aca="false">C594/C582</f>
        <v>0.202713741632276</v>
      </c>
      <c r="D595" s="11" t="n">
        <f aca="false">D594/D582</f>
        <v>0.270251297648699</v>
      </c>
      <c r="E595" s="11" t="n">
        <f aca="false">E594/E582</f>
        <v>0.297048533272594</v>
      </c>
      <c r="F595" s="11" t="n">
        <f aca="false">F594/F582</f>
        <v>0.290531922544625</v>
      </c>
      <c r="G595" s="11" t="n">
        <f aca="false">G594/G582</f>
        <v>0.270288511278022</v>
      </c>
    </row>
    <row r="596" customFormat="false" ht="17.15" hidden="false" customHeight="false" outlineLevel="0" collapsed="false">
      <c r="A596" s="3" t="s">
        <v>337</v>
      </c>
      <c r="B596" s="0" t="s">
        <v>193</v>
      </c>
      <c r="E596" s="16" t="n">
        <f aca="false">nop_f</f>
        <v>0.5</v>
      </c>
      <c r="F596" s="16" t="n">
        <f aca="false">nop_f</f>
        <v>0.5</v>
      </c>
      <c r="G596" s="16" t="n">
        <f aca="false">nop_f</f>
        <v>0.5</v>
      </c>
      <c r="H596" s="7" t="s">
        <v>450</v>
      </c>
    </row>
    <row r="597" customFormat="false" ht="15" hidden="false" customHeight="false" outlineLevel="0" collapsed="false">
      <c r="A597" s="3" t="s">
        <v>340</v>
      </c>
      <c r="B597" s="0" t="s">
        <v>193</v>
      </c>
      <c r="C597" s="16" t="n">
        <f aca="false">a25_ni</f>
        <v>14.649</v>
      </c>
      <c r="D597" s="16" t="n">
        <f aca="false">a26_ni</f>
        <v>42.891099295</v>
      </c>
      <c r="E597" s="16" t="n">
        <f aca="false">(E594+E596)*nir_f</f>
        <v>88.6458948274006</v>
      </c>
      <c r="F597" s="16" t="n">
        <f aca="false">(F594+F596)*nir_f</f>
        <v>114.540639500331</v>
      </c>
      <c r="G597" s="16" t="n">
        <f aca="false">(G594+G596)*nir_f</f>
        <v>118.088838901518</v>
      </c>
    </row>
    <row r="598" customFormat="false" ht="17.15" hidden="false" customHeight="false" outlineLevel="0" collapsed="false">
      <c r="A598" s="3" t="s">
        <v>343</v>
      </c>
      <c r="B598" s="0" t="s">
        <v>47</v>
      </c>
      <c r="C598" s="11" t="n">
        <f aca="false">C597/C594</f>
        <v>0.766642244086247</v>
      </c>
      <c r="D598" s="11" t="n">
        <f aca="false">D597/D594</f>
        <v>0.771307712053146</v>
      </c>
      <c r="E598" s="11" t="n">
        <f aca="false">E597/E594</f>
        <v>0.773358792142089</v>
      </c>
      <c r="F598" s="11" t="n">
        <f aca="false">F597/F594</f>
        <v>0.77259689316531</v>
      </c>
      <c r="G598" s="11" t="n">
        <f aca="false">G597/G594</f>
        <v>0.772518609441856</v>
      </c>
    </row>
    <row r="599" customFormat="false" ht="15" hidden="false" customHeight="false" outlineLevel="0" collapsed="false">
      <c r="A599" s="3" t="s">
        <v>451</v>
      </c>
      <c r="B599" s="3" t="s">
        <v>222</v>
      </c>
      <c r="C599" s="18" t="n">
        <f aca="false">a25_sh</f>
        <v>0.351547876169906</v>
      </c>
      <c r="D599" s="18" t="n">
        <f aca="false">a26_sh</f>
        <v>0.358290155440415</v>
      </c>
      <c r="E599" s="18" t="n">
        <f aca="false">D599*(1+sh_g)</f>
        <v>0.358290155440415</v>
      </c>
      <c r="F599" s="18" t="n">
        <f aca="false">E599*(1+sh_g)</f>
        <v>0.358290155440415</v>
      </c>
      <c r="G599" s="18" t="n">
        <f aca="false">F599*(1+sh_g)</f>
        <v>0.358290155440415</v>
      </c>
    </row>
    <row r="600" customFormat="false" ht="15" hidden="false" customHeight="false" outlineLevel="0" collapsed="false">
      <c r="A600" s="0" t="s">
        <v>346</v>
      </c>
      <c r="B600" s="0" t="s">
        <v>253</v>
      </c>
      <c r="C600" s="17" t="n">
        <f aca="false">C597/C599</f>
        <v>41.67</v>
      </c>
      <c r="D600" s="17" t="n">
        <f aca="false">D597/D599</f>
        <v>119.710515747433</v>
      </c>
      <c r="E600" s="17" t="n">
        <f aca="false">E597/E599</f>
        <v>247.413705013569</v>
      </c>
      <c r="F600" s="17" t="n">
        <f aca="false">F597/F599</f>
        <v>319.686817405118</v>
      </c>
      <c r="G600" s="17" t="n">
        <f aca="false">G597/G599</f>
        <v>329.589962516167</v>
      </c>
    </row>
    <row r="601" customFormat="false" ht="17.15" hidden="false" customHeight="false" outlineLevel="0" collapsed="false">
      <c r="A601" s="0" t="s">
        <v>452</v>
      </c>
      <c r="B601" s="0" t="s">
        <v>47</v>
      </c>
      <c r="D601" s="11" t="n">
        <f aca="false">D600/C600-1</f>
        <v>1.87282255213422</v>
      </c>
      <c r="E601" s="11" t="n">
        <f aca="false">E600/D600-1</f>
        <v>1.06676667850606</v>
      </c>
      <c r="F601" s="11" t="n">
        <f aca="false">F600/E600-1</f>
        <v>0.292114425866527</v>
      </c>
      <c r="G601" s="11" t="n">
        <f aca="false">G600/F600-1</f>
        <v>0.0309776461582996</v>
      </c>
    </row>
    <row r="604" customFormat="false" ht="17.15" hidden="false" customHeight="false" outlineLevel="0" collapsed="false">
      <c r="A604" s="1" t="s">
        <v>663</v>
      </c>
    </row>
    <row r="605" customFormat="false" ht="17.15" hidden="false" customHeight="false" outlineLevel="0" collapsed="false">
      <c r="A605" s="4" t="s">
        <v>16</v>
      </c>
      <c r="B605" s="4" t="s">
        <v>17</v>
      </c>
      <c r="C605" s="8" t="s">
        <v>315</v>
      </c>
      <c r="D605" s="8" t="s">
        <v>401</v>
      </c>
      <c r="E605" s="8" t="s">
        <v>402</v>
      </c>
      <c r="F605" s="8" t="s">
        <v>403</v>
      </c>
      <c r="G605" s="8" t="s">
        <v>404</v>
      </c>
      <c r="H605" s="4" t="s">
        <v>369</v>
      </c>
    </row>
    <row r="606" customFormat="false" ht="17.15" hidden="false" customHeight="false" outlineLevel="0" collapsed="false">
      <c r="A606" s="5" t="s">
        <v>419</v>
      </c>
    </row>
    <row r="607" customFormat="false" ht="17.15" hidden="false" customHeight="false" outlineLevel="0" collapsed="false">
      <c r="A607" s="0" t="s">
        <v>420</v>
      </c>
      <c r="B607" s="0" t="s">
        <v>27</v>
      </c>
      <c r="D607" s="17" t="n">
        <f aca="false">itc_26*1</f>
        <v>781.872916666667</v>
      </c>
      <c r="E607" s="17" t="n">
        <f aca="false">itc_27*1*mf_lo</f>
        <v>1252.28</v>
      </c>
      <c r="F607" s="17" t="n">
        <f aca="false">itc_28*um28_A*mf_lo</f>
        <v>1587.41111111111</v>
      </c>
      <c r="G607" s="17" t="n">
        <f aca="false">itc_29*um29_A*mf_lo</f>
        <v>1808.31222222222</v>
      </c>
    </row>
    <row r="608" customFormat="false" ht="17.15" hidden="false" customHeight="false" outlineLevel="0" collapsed="false">
      <c r="A608" s="3" t="s">
        <v>421</v>
      </c>
      <c r="B608" s="0" t="s">
        <v>27</v>
      </c>
      <c r="D608" s="17" t="n">
        <f aca="false">itpg_gb*(1-vr26)+itpg_vr*vr26</f>
        <v>33.41403216</v>
      </c>
      <c r="E608" s="17" t="n">
        <f aca="false">itpg_vr</f>
        <v>37.586352</v>
      </c>
      <c r="F608" s="17" t="n">
        <f aca="false">itpg_vr</f>
        <v>37.586352</v>
      </c>
      <c r="G608" s="17" t="n">
        <f aca="false">itpg_vr</f>
        <v>37.586352</v>
      </c>
    </row>
    <row r="609" customFormat="false" ht="17.15" hidden="false" customHeight="false" outlineLevel="0" collapsed="false">
      <c r="A609" s="3" t="s">
        <v>422</v>
      </c>
      <c r="B609" s="0" t="s">
        <v>371</v>
      </c>
      <c r="D609" s="14" t="n">
        <f aca="false">D607/D608</f>
        <v>23.3995380420639</v>
      </c>
      <c r="E609" s="14" t="n">
        <f aca="false">E607/E608</f>
        <v>33.3174126608509</v>
      </c>
      <c r="F609" s="14" t="n">
        <f aca="false">F607/F608</f>
        <v>42.2337105529984</v>
      </c>
      <c r="G609" s="14" t="n">
        <f aca="false">G607/G608</f>
        <v>48.1108733888892</v>
      </c>
    </row>
    <row r="610" customFormat="false" ht="17.15" hidden="false" customHeight="false" outlineLevel="0" collapsed="false">
      <c r="A610" s="3" t="s">
        <v>373</v>
      </c>
      <c r="B610" s="0" t="s">
        <v>87</v>
      </c>
      <c r="D610" s="15" t="n">
        <f aca="false">cmp_26</f>
        <v>190</v>
      </c>
      <c r="E610" s="15" t="n">
        <f aca="false">cmp_26*cmpx_27</f>
        <v>275.5</v>
      </c>
      <c r="F610" s="15" t="n">
        <f aca="false">cmp_26*cmpx_28</f>
        <v>304</v>
      </c>
      <c r="G610" s="15" t="n">
        <f aca="false">cmp_26*cmpx_29</f>
        <v>323</v>
      </c>
    </row>
    <row r="611" customFormat="false" ht="17.15" hidden="false" customHeight="false" outlineLevel="0" collapsed="false">
      <c r="A611" s="3" t="s">
        <v>375</v>
      </c>
      <c r="B611" s="0" t="s">
        <v>87</v>
      </c>
      <c r="D611" s="15" t="n">
        <f aca="false">sw_26</f>
        <v>90</v>
      </c>
      <c r="E611" s="15" t="n">
        <f aca="false">sw_26*swx_27</f>
        <v>126</v>
      </c>
      <c r="F611" s="15" t="n">
        <f aca="false">sw_26*swx_28</f>
        <v>144</v>
      </c>
      <c r="G611" s="15" t="n">
        <f aca="false">sw_26*swx_29</f>
        <v>157.5</v>
      </c>
    </row>
    <row r="612" customFormat="false" ht="17.15" hidden="false" customHeight="false" outlineLevel="0" collapsed="false">
      <c r="A612" s="3" t="s">
        <v>376</v>
      </c>
      <c r="B612" s="0" t="s">
        <v>87</v>
      </c>
      <c r="D612" s="15" t="n">
        <f aca="false">ubb_26</f>
        <v>70</v>
      </c>
      <c r="E612" s="15" t="n">
        <f aca="false">ubb_26*ubbx_27</f>
        <v>126</v>
      </c>
      <c r="F612" s="15" t="n">
        <f aca="false">ubb_26*ubbx_28</f>
        <v>161</v>
      </c>
      <c r="G612" s="15" t="n">
        <f aca="false">ubb_26*ubbx_29</f>
        <v>182</v>
      </c>
    </row>
    <row r="613" customFormat="false" ht="17.15" hidden="false" customHeight="false" outlineLevel="0" collapsed="false">
      <c r="A613" s="3" t="s">
        <v>423</v>
      </c>
      <c r="B613" s="0" t="s">
        <v>87</v>
      </c>
      <c r="D613" s="15" t="n">
        <f aca="false">D610+D611+D612</f>
        <v>350</v>
      </c>
      <c r="E613" s="15" t="n">
        <f aca="false">E610+E611+E612</f>
        <v>527.5</v>
      </c>
      <c r="F613" s="15" t="n">
        <f aca="false">F610+F611+F612</f>
        <v>609</v>
      </c>
      <c r="G613" s="15" t="n">
        <f aca="false">G610+G611+G612</f>
        <v>662.5</v>
      </c>
    </row>
    <row r="614" customFormat="false" ht="17.15" hidden="false" customHeight="false" outlineLevel="0" collapsed="false">
      <c r="A614" s="0" t="s">
        <v>424</v>
      </c>
      <c r="B614" s="0" t="s">
        <v>27</v>
      </c>
      <c r="D614" s="17" t="n">
        <f aca="false">D609*D613/1000</f>
        <v>8.18983831472237</v>
      </c>
      <c r="E614" s="17" t="n">
        <f aca="false">E609*E613/1000</f>
        <v>17.5749351785989</v>
      </c>
      <c r="F614" s="17" t="n">
        <f aca="false">F609*F613/1000</f>
        <v>25.720329726776</v>
      </c>
      <c r="G614" s="17" t="n">
        <f aca="false">G609*G613/1000</f>
        <v>31.8734536201391</v>
      </c>
    </row>
    <row r="615" customFormat="false" ht="17.15" hidden="false" customHeight="false" outlineLevel="0" collapsed="false">
      <c r="A615" s="0" t="s">
        <v>425</v>
      </c>
      <c r="B615" s="0" t="s">
        <v>193</v>
      </c>
      <c r="D615" s="16" t="n">
        <f aca="false">D614*fx</f>
        <v>262.074826071116</v>
      </c>
      <c r="E615" s="16" t="n">
        <f aca="false">E614*fx</f>
        <v>562.397925715164</v>
      </c>
      <c r="F615" s="16" t="n">
        <f aca="false">F614*fx</f>
        <v>823.050551256833</v>
      </c>
      <c r="G615" s="16" t="n">
        <f aca="false">G614*fx</f>
        <v>1019.95051584445</v>
      </c>
    </row>
    <row r="616" customFormat="false" ht="17.15" hidden="false" customHeight="false" outlineLevel="0" collapsed="false">
      <c r="A616" s="0" t="s">
        <v>426</v>
      </c>
      <c r="B616" s="0" t="s">
        <v>60</v>
      </c>
      <c r="D616" s="12" t="n">
        <f aca="false">1</f>
        <v>1</v>
      </c>
      <c r="E616" s="12" t="n">
        <f aca="false">pp_27</f>
        <v>1</v>
      </c>
      <c r="F616" s="12" t="n">
        <f aca="false">pp_28</f>
        <v>0.97</v>
      </c>
      <c r="G616" s="12" t="n">
        <f aca="false">pp_29</f>
        <v>0.93</v>
      </c>
    </row>
    <row r="617" customFormat="false" ht="17.15" hidden="false" customHeight="false" outlineLevel="0" collapsed="false">
      <c r="A617" s="3" t="s">
        <v>427</v>
      </c>
      <c r="B617" s="0" t="s">
        <v>47</v>
      </c>
      <c r="D617" s="11" t="n">
        <f aca="false">a26_ai/D615</f>
        <v>0.459306165741139</v>
      </c>
      <c r="H617" s="7" t="s">
        <v>428</v>
      </c>
    </row>
    <row r="618" customFormat="false" ht="17.15" hidden="false" customHeight="false" outlineLevel="0" collapsed="false">
      <c r="A618" s="3" t="s">
        <v>429</v>
      </c>
      <c r="B618" s="0" t="s">
        <v>60</v>
      </c>
      <c r="D618" s="12" t="n">
        <f aca="false">1</f>
        <v>1</v>
      </c>
      <c r="E618" s="12" t="n">
        <f aca="false">rel_27</f>
        <v>0.95</v>
      </c>
      <c r="F618" s="12" t="n">
        <f aca="false">rel_28</f>
        <v>0.9</v>
      </c>
      <c r="G618" s="12" t="n">
        <f aca="false">rel_29</f>
        <v>0.85</v>
      </c>
    </row>
    <row r="619" customFormat="false" ht="15" hidden="false" customHeight="false" outlineLevel="0" collapsed="false">
      <c r="A619" s="3" t="s">
        <v>384</v>
      </c>
      <c r="B619" s="0" t="s">
        <v>47</v>
      </c>
      <c r="D619" s="11" t="n">
        <f aca="false">$D$617*D618</f>
        <v>0.459306165741139</v>
      </c>
      <c r="E619" s="11" t="n">
        <f aca="false">$D$617*E618</f>
        <v>0.436340857454082</v>
      </c>
      <c r="F619" s="11" t="n">
        <f aca="false">$D$617*F618</f>
        <v>0.413375549167025</v>
      </c>
      <c r="G619" s="11" t="n">
        <f aca="false">$D$617*G618</f>
        <v>0.390410240879968</v>
      </c>
    </row>
    <row r="620" customFormat="false" ht="17.15" hidden="false" customHeight="false" outlineLevel="0" collapsed="false">
      <c r="A620" s="0" t="s">
        <v>430</v>
      </c>
      <c r="B620" s="0" t="s">
        <v>193</v>
      </c>
      <c r="D620" s="16" t="n">
        <f aca="false">D615*D619*D616</f>
        <v>120.3725835</v>
      </c>
      <c r="E620" s="16" t="n">
        <f aca="false">E615*E619*E616</f>
        <v>245.397193136952</v>
      </c>
      <c r="F620" s="16" t="n">
        <f aca="false">F615*F619*F616</f>
        <v>330.022104409475</v>
      </c>
      <c r="G620" s="16" t="n">
        <f aca="false">G615*G619*G616</f>
        <v>370.325187716126</v>
      </c>
    </row>
    <row r="621" customFormat="false" ht="17.15" hidden="false" customHeight="false" outlineLevel="0" collapsed="false">
      <c r="A621" s="5" t="s">
        <v>431</v>
      </c>
    </row>
    <row r="622" customFormat="false" ht="15" hidden="false" customHeight="false" outlineLevel="0" collapsed="false">
      <c r="A622" s="3" t="s">
        <v>389</v>
      </c>
      <c r="B622" s="3" t="s">
        <v>144</v>
      </c>
      <c r="D622" s="12" t="n">
        <f aca="false">cap_26</f>
        <v>6</v>
      </c>
      <c r="E622" s="12" t="n">
        <f aca="false">cap_27</f>
        <v>7.76</v>
      </c>
      <c r="F622" s="12" t="n">
        <f aca="false">cap_28</f>
        <v>10.3</v>
      </c>
      <c r="G622" s="12" t="n">
        <f aca="false">cap_29</f>
        <v>11.8</v>
      </c>
    </row>
    <row r="623" customFormat="false" ht="17.15" hidden="false" customHeight="false" outlineLevel="0" collapsed="false">
      <c r="A623" s="3" t="s">
        <v>432</v>
      </c>
      <c r="B623" s="0" t="s">
        <v>392</v>
      </c>
      <c r="D623" s="15" t="n">
        <f aca="false">a26_rev/(D622*12)*1000</f>
        <v>2857.84861111111</v>
      </c>
      <c r="H623" s="7" t="s">
        <v>433</v>
      </c>
    </row>
    <row r="624" customFormat="false" ht="17.15" hidden="false" customHeight="false" outlineLevel="0" collapsed="false">
      <c r="A624" s="3" t="s">
        <v>434</v>
      </c>
      <c r="B624" s="0" t="s">
        <v>60</v>
      </c>
      <c r="D624" s="12" t="n">
        <f aca="false">1</f>
        <v>1</v>
      </c>
      <c r="E624" s="12" t="n">
        <f aca="false">mix_27</f>
        <v>1.25</v>
      </c>
      <c r="F624" s="12" t="n">
        <f aca="false">mix_28</f>
        <v>1.4</v>
      </c>
      <c r="G624" s="12" t="n">
        <f aca="false">mix_29</f>
        <v>1.5</v>
      </c>
    </row>
    <row r="625" customFormat="false" ht="17.15" hidden="false" customHeight="false" outlineLevel="0" collapsed="false">
      <c r="A625" s="3" t="s">
        <v>435</v>
      </c>
      <c r="B625" s="0" t="s">
        <v>193</v>
      </c>
      <c r="D625" s="16" t="n">
        <f aca="false">D622*12*$D$623*D624*D616/1000</f>
        <v>205.7651</v>
      </c>
      <c r="E625" s="16" t="n">
        <f aca="false">E622*12*$D$623*E624*E616/1000</f>
        <v>332.653578333333</v>
      </c>
      <c r="F625" s="16" t="n">
        <f aca="false">F622*12*$D$623*F624*F616/1000</f>
        <v>479.686459956667</v>
      </c>
      <c r="G625" s="16" t="n">
        <f aca="false">G622*12*$D$623*G624*G616/1000</f>
        <v>564.51655185</v>
      </c>
    </row>
    <row r="626" customFormat="false" ht="17.15" hidden="false" customHeight="false" outlineLevel="0" collapsed="false">
      <c r="A626" s="3" t="s">
        <v>436</v>
      </c>
      <c r="B626" s="0" t="s">
        <v>193</v>
      </c>
      <c r="C626" s="16" t="n">
        <f aca="false">a25_nai</f>
        <v>47.1305</v>
      </c>
      <c r="D626" s="16" t="n">
        <f aca="false">a26_nai</f>
        <v>85.3925165</v>
      </c>
      <c r="E626" s="16" t="n">
        <f aca="false">D626*(1+g_nai27)</f>
        <v>92.22391782</v>
      </c>
      <c r="F626" s="16" t="n">
        <f aca="false">E626*(1+g_nai28)</f>
        <v>97.7573528892</v>
      </c>
      <c r="G626" s="16" t="n">
        <f aca="false">F626*(1+g_nai29)</f>
        <v>102.64522053366</v>
      </c>
    </row>
    <row r="627" customFormat="false" ht="17.15" hidden="false" customHeight="false" outlineLevel="0" collapsed="false">
      <c r="A627" s="0" t="s">
        <v>437</v>
      </c>
      <c r="B627" s="0" t="s">
        <v>193</v>
      </c>
      <c r="C627" s="16" t="n">
        <f aca="false">a25_ai</f>
        <v>47.1305</v>
      </c>
      <c r="D627" s="16" t="n">
        <f aca="false">D620</f>
        <v>120.3725835</v>
      </c>
      <c r="E627" s="16" t="n">
        <f aca="false">MIN(E620,E625-E626)</f>
        <v>240.429660513333</v>
      </c>
      <c r="F627" s="16" t="n">
        <f aca="false">MIN(F620,F625-F626)</f>
        <v>330.022104409475</v>
      </c>
      <c r="G627" s="16" t="n">
        <f aca="false">MIN(G620,G625-G626)</f>
        <v>370.325187716126</v>
      </c>
      <c r="H627" s="3" t="s">
        <v>438</v>
      </c>
    </row>
    <row r="628" customFormat="false" ht="15" hidden="false" customHeight="false" outlineLevel="0" collapsed="false">
      <c r="A628" s="3" t="s">
        <v>439</v>
      </c>
      <c r="E628" s="0" t="str">
        <f aca="false">IF(E620&gt;E625-E626+0.0001,"受限","未受限")</f>
        <v>受限</v>
      </c>
      <c r="F628" s="0" t="str">
        <f aca="false">IF(F620&gt;F625-F626+0.0001,"受限","未受限")</f>
        <v>未受限</v>
      </c>
      <c r="G628" s="0" t="str">
        <f aca="false">IF(G620&gt;G625-G626+0.0001,"受限","未受限")</f>
        <v>未受限</v>
      </c>
    </row>
    <row r="629" customFormat="false" ht="15" hidden="false" customHeight="false" outlineLevel="0" collapsed="false">
      <c r="A629" s="3" t="s">
        <v>320</v>
      </c>
      <c r="B629" s="0" t="s">
        <v>193</v>
      </c>
      <c r="C629" s="16" t="n">
        <f aca="false">C627+C626</f>
        <v>94.261</v>
      </c>
      <c r="D629" s="16" t="n">
        <f aca="false">D627+D626</f>
        <v>205.7651</v>
      </c>
      <c r="E629" s="16" t="n">
        <f aca="false">E627+E626</f>
        <v>332.653578333333</v>
      </c>
      <c r="F629" s="16" t="n">
        <f aca="false">F627+F626</f>
        <v>427.779457298675</v>
      </c>
      <c r="G629" s="16" t="n">
        <f aca="false">G627+G626</f>
        <v>472.970408249786</v>
      </c>
    </row>
    <row r="630" customFormat="false" ht="15" hidden="false" customHeight="false" outlineLevel="0" collapsed="false">
      <c r="A630" s="3" t="s">
        <v>440</v>
      </c>
      <c r="B630" s="0" t="s">
        <v>47</v>
      </c>
      <c r="D630" s="11" t="n">
        <f aca="false">D629/C629-1</f>
        <v>1.1829293132897</v>
      </c>
      <c r="E630" s="11" t="n">
        <f aca="false">E629/D629-1</f>
        <v>0.616666666666667</v>
      </c>
      <c r="F630" s="11" t="n">
        <f aca="false">F629/E629-1</f>
        <v>0.285960786719756</v>
      </c>
      <c r="G630" s="11" t="n">
        <f aca="false">G629/F629-1</f>
        <v>0.105640769279762</v>
      </c>
    </row>
    <row r="631" customFormat="false" ht="17.15" hidden="false" customHeight="false" outlineLevel="0" collapsed="false">
      <c r="A631" s="0" t="s">
        <v>441</v>
      </c>
      <c r="B631" s="0" t="s">
        <v>47</v>
      </c>
      <c r="C631" s="11" t="n">
        <f aca="false">C627/C629</f>
        <v>0.5</v>
      </c>
      <c r="D631" s="11" t="n">
        <f aca="false">D627/D629</f>
        <v>0.585</v>
      </c>
      <c r="E631" s="11" t="n">
        <f aca="false">E627/E629</f>
        <v>0.722762886597938</v>
      </c>
      <c r="F631" s="11" t="n">
        <f aca="false">F627/F629</f>
        <v>0.77147721513671</v>
      </c>
      <c r="G631" s="11" t="n">
        <f aca="false">G627/G629</f>
        <v>0.782977499768969</v>
      </c>
    </row>
    <row r="632" customFormat="false" ht="17.15" hidden="false" customHeight="false" outlineLevel="0" collapsed="false">
      <c r="A632" s="3" t="s">
        <v>442</v>
      </c>
      <c r="B632" s="0" t="s">
        <v>47</v>
      </c>
      <c r="D632" s="11" t="n">
        <f aca="false">(D620+D626)/D625</f>
        <v>1</v>
      </c>
      <c r="E632" s="11" t="n">
        <f aca="false">(E620+E626)/E625</f>
        <v>1.01493305031771</v>
      </c>
      <c r="F632" s="11" t="n">
        <f aca="false">(F620+F626)/F625</f>
        <v>0.891789727267514</v>
      </c>
      <c r="G632" s="11" t="n">
        <f aca="false">(G620+G626)/G625</f>
        <v>0.837832667084421</v>
      </c>
      <c r="H632" s="3" t="s">
        <v>443</v>
      </c>
    </row>
    <row r="633" customFormat="false" ht="17.15" hidden="false" customHeight="false" outlineLevel="0" collapsed="false">
      <c r="A633" s="3" t="s">
        <v>388</v>
      </c>
      <c r="B633" s="0" t="s">
        <v>87</v>
      </c>
      <c r="D633" s="15" t="n">
        <f aca="false">D627/fx/D609*1000</f>
        <v>160.757158009399</v>
      </c>
      <c r="E633" s="15" t="n">
        <f aca="false">E627/fx/E609*1000</f>
        <v>225.510515102819</v>
      </c>
      <c r="F633" s="15" t="n">
        <f aca="false">F627/fx/F609*1000</f>
        <v>244.193338159437</v>
      </c>
      <c r="G633" s="15" t="n">
        <f aca="false">G627/fx/G609*1000</f>
        <v>240.54150966217</v>
      </c>
    </row>
    <row r="634" customFormat="false" ht="17.15" hidden="false" customHeight="false" outlineLevel="0" collapsed="false">
      <c r="A634" s="5" t="s">
        <v>444</v>
      </c>
    </row>
    <row r="635" customFormat="false" ht="17.15" hidden="false" customHeight="false" outlineLevel="0" collapsed="false">
      <c r="A635" s="3" t="s">
        <v>445</v>
      </c>
      <c r="B635" s="0" t="s">
        <v>47</v>
      </c>
      <c r="D635" s="11" t="n">
        <f aca="false">a26_gp/D629-d_ai*D631</f>
        <v>0.291564442755356</v>
      </c>
      <c r="H635" s="7" t="s">
        <v>446</v>
      </c>
    </row>
    <row r="636" customFormat="false" ht="17.15" hidden="false" customHeight="false" outlineLevel="0" collapsed="false">
      <c r="A636" s="0" t="s">
        <v>447</v>
      </c>
      <c r="B636" s="0" t="s">
        <v>47</v>
      </c>
      <c r="D636" s="11" t="n">
        <f aca="false">D635+d_ai</f>
        <v>0.371564442755356</v>
      </c>
      <c r="E636" s="11" t="n">
        <f aca="false">1-(1-$D$636)/E616</f>
        <v>0.371564442755356</v>
      </c>
      <c r="F636" s="11" t="n">
        <f aca="false">1-(1-$D$636)/F616</f>
        <v>0.352128291500367</v>
      </c>
      <c r="G636" s="11" t="n">
        <f aca="false">1-(1-$D$636)/G616</f>
        <v>0.324262841672425</v>
      </c>
      <c r="H636" s="7" t="s">
        <v>448</v>
      </c>
    </row>
    <row r="637" customFormat="false" ht="15" hidden="false" customHeight="false" outlineLevel="0" collapsed="false">
      <c r="A637" s="3" t="s">
        <v>324</v>
      </c>
      <c r="B637" s="0" t="s">
        <v>193</v>
      </c>
      <c r="C637" s="16" t="n">
        <f aca="false">a25_gp</f>
        <v>28.12</v>
      </c>
      <c r="D637" s="16" t="n">
        <f aca="false">a26_gp</f>
        <v>69.6235934</v>
      </c>
      <c r="E637" s="16" t="n">
        <f aca="false">E627*E636+E626*$D$635</f>
        <v>116.2243280384</v>
      </c>
      <c r="F637" s="16" t="n">
        <f aca="false">F627*F636+F626*$D$635</f>
        <v>144.712687903442</v>
      </c>
      <c r="G637" s="16" t="n">
        <f aca="false">G627*G636+G626*$D$635</f>
        <v>150.010394238103</v>
      </c>
    </row>
    <row r="638" customFormat="false" ht="15" hidden="false" customHeight="false" outlineLevel="0" collapsed="false">
      <c r="A638" s="3" t="s">
        <v>327</v>
      </c>
      <c r="B638" s="0" t="s">
        <v>47</v>
      </c>
      <c r="C638" s="11" t="n">
        <f aca="false">C637/C629</f>
        <v>0.298320620405046</v>
      </c>
      <c r="D638" s="11" t="n">
        <f aca="false">D637/D629</f>
        <v>0.338364442755356</v>
      </c>
      <c r="E638" s="11" t="n">
        <f aca="false">E637/E629</f>
        <v>0.349385473683191</v>
      </c>
      <c r="F638" s="11" t="n">
        <f aca="false">F637/F629</f>
        <v>0.338288072123118</v>
      </c>
      <c r="G638" s="11" t="n">
        <f aca="false">G637/G629</f>
        <v>0.317166553385891</v>
      </c>
    </row>
    <row r="639" customFormat="false" ht="15" hidden="false" customHeight="false" outlineLevel="0" collapsed="false">
      <c r="A639" s="3" t="s">
        <v>449</v>
      </c>
      <c r="B639" s="0" t="s">
        <v>193</v>
      </c>
      <c r="C639" s="16" t="n">
        <f aca="false">a25_opx</f>
        <v>9.012</v>
      </c>
      <c r="D639" s="16" t="n">
        <f aca="false">a26_opx</f>
        <v>14.0153081141857</v>
      </c>
      <c r="E639" s="16" t="n">
        <f aca="false">D639*(1+MAX(0,phi*E630))</f>
        <v>19.2009721164345</v>
      </c>
      <c r="F639" s="16" t="n">
        <f aca="false">E639*(1+MAX(0,phi*F630))</f>
        <v>22.4954071717543</v>
      </c>
      <c r="G639" s="16" t="n">
        <f aca="false">F639*(1+MAX(0,phi*G630))</f>
        <v>23.9212664430857</v>
      </c>
    </row>
    <row r="640" customFormat="false" ht="15" hidden="false" customHeight="false" outlineLevel="0" collapsed="false">
      <c r="A640" s="3" t="s">
        <v>329</v>
      </c>
      <c r="B640" s="0" t="s">
        <v>193</v>
      </c>
      <c r="C640" s="16" t="n">
        <f aca="false">C639</f>
        <v>9.012</v>
      </c>
      <c r="D640" s="16" t="n">
        <f aca="false">D639</f>
        <v>14.0153081141857</v>
      </c>
      <c r="E640" s="16" t="n">
        <f aca="false">E639+0*E629</f>
        <v>19.2009721164345</v>
      </c>
      <c r="F640" s="16" t="n">
        <f aca="false">F639+0*F629</f>
        <v>22.4954071717543</v>
      </c>
      <c r="G640" s="16" t="n">
        <f aca="false">G639+0*G629</f>
        <v>23.9212664430857</v>
      </c>
    </row>
    <row r="641" customFormat="false" ht="15" hidden="false" customHeight="false" outlineLevel="0" collapsed="false">
      <c r="A641" s="3" t="s">
        <v>332</v>
      </c>
      <c r="B641" s="0" t="s">
        <v>193</v>
      </c>
      <c r="C641" s="16" t="n">
        <f aca="false">C637-C640</f>
        <v>19.108</v>
      </c>
      <c r="D641" s="16" t="n">
        <f aca="false">D637-D640</f>
        <v>55.6082852858143</v>
      </c>
      <c r="E641" s="16" t="n">
        <f aca="false">E637-E640</f>
        <v>97.0233559219655</v>
      </c>
      <c r="F641" s="16" t="n">
        <f aca="false">F637-F640</f>
        <v>122.217280731688</v>
      </c>
      <c r="G641" s="16" t="n">
        <f aca="false">G637-G640</f>
        <v>126.089127795017</v>
      </c>
    </row>
    <row r="642" customFormat="false" ht="15" hidden="false" customHeight="false" outlineLevel="0" collapsed="false">
      <c r="A642" s="3" t="s">
        <v>335</v>
      </c>
      <c r="B642" s="0" t="s">
        <v>47</v>
      </c>
      <c r="C642" s="11" t="n">
        <f aca="false">C641/C629</f>
        <v>0.202713741632276</v>
      </c>
      <c r="D642" s="11" t="n">
        <f aca="false">D641/D629</f>
        <v>0.270251297648699</v>
      </c>
      <c r="E642" s="11" t="n">
        <f aca="false">E641/E629</f>
        <v>0.291664849685591</v>
      </c>
      <c r="F642" s="11" t="n">
        <f aca="false">F641/F629</f>
        <v>0.285701612469801</v>
      </c>
      <c r="G642" s="11" t="n">
        <f aca="false">G641/G629</f>
        <v>0.266589887222768</v>
      </c>
    </row>
    <row r="643" customFormat="false" ht="17.15" hidden="false" customHeight="false" outlineLevel="0" collapsed="false">
      <c r="A643" s="3" t="s">
        <v>337</v>
      </c>
      <c r="B643" s="0" t="s">
        <v>193</v>
      </c>
      <c r="E643" s="16" t="n">
        <f aca="false">nop_f</f>
        <v>0.5</v>
      </c>
      <c r="F643" s="16" t="n">
        <f aca="false">nop_f</f>
        <v>0.5</v>
      </c>
      <c r="G643" s="16" t="n">
        <f aca="false">nop_f</f>
        <v>0.5</v>
      </c>
      <c r="H643" s="7" t="s">
        <v>450</v>
      </c>
    </row>
    <row r="644" customFormat="false" ht="15" hidden="false" customHeight="false" outlineLevel="0" collapsed="false">
      <c r="A644" s="3" t="s">
        <v>340</v>
      </c>
      <c r="B644" s="0" t="s">
        <v>193</v>
      </c>
      <c r="C644" s="16" t="n">
        <f aca="false">a25_ni</f>
        <v>14.649</v>
      </c>
      <c r="D644" s="16" t="n">
        <f aca="false">a26_ni</f>
        <v>42.891099295</v>
      </c>
      <c r="E644" s="16" t="n">
        <f aca="false">(E641+E643)*nir_f</f>
        <v>75.0929840599135</v>
      </c>
      <c r="F644" s="16" t="n">
        <f aca="false">(F641+F643)*nir_f</f>
        <v>94.4923061633998</v>
      </c>
      <c r="G644" s="16" t="n">
        <f aca="false">(G641+G643)*nir_f</f>
        <v>97.4736284021631</v>
      </c>
    </row>
    <row r="645" customFormat="false" ht="17.15" hidden="false" customHeight="false" outlineLevel="0" collapsed="false">
      <c r="A645" s="3" t="s">
        <v>343</v>
      </c>
      <c r="B645" s="0" t="s">
        <v>47</v>
      </c>
      <c r="C645" s="11" t="n">
        <f aca="false">C644/C641</f>
        <v>0.766642244086247</v>
      </c>
      <c r="D645" s="11" t="n">
        <f aca="false">D644/D641</f>
        <v>0.771307712053146</v>
      </c>
      <c r="E645" s="11" t="n">
        <f aca="false">E644/E641</f>
        <v>0.77396811671109</v>
      </c>
      <c r="F645" s="11" t="n">
        <f aca="false">F644/F641</f>
        <v>0.773150127360837</v>
      </c>
      <c r="G645" s="11" t="n">
        <f aca="false">G644/G641</f>
        <v>0.773053395695035</v>
      </c>
    </row>
    <row r="646" customFormat="false" ht="15" hidden="false" customHeight="false" outlineLevel="0" collapsed="false">
      <c r="A646" s="3" t="s">
        <v>451</v>
      </c>
      <c r="B646" s="3" t="s">
        <v>222</v>
      </c>
      <c r="C646" s="18" t="n">
        <f aca="false">a25_sh</f>
        <v>0.351547876169906</v>
      </c>
      <c r="D646" s="18" t="n">
        <f aca="false">a26_sh</f>
        <v>0.358290155440415</v>
      </c>
      <c r="E646" s="18" t="n">
        <f aca="false">D646*(1+sh_g)</f>
        <v>0.358290155440415</v>
      </c>
      <c r="F646" s="18" t="n">
        <f aca="false">E646*(1+sh_g)</f>
        <v>0.358290155440415</v>
      </c>
      <c r="G646" s="18" t="n">
        <f aca="false">F646*(1+sh_g)</f>
        <v>0.358290155440415</v>
      </c>
    </row>
    <row r="647" customFormat="false" ht="15" hidden="false" customHeight="false" outlineLevel="0" collapsed="false">
      <c r="A647" s="0" t="s">
        <v>346</v>
      </c>
      <c r="B647" s="0" t="s">
        <v>253</v>
      </c>
      <c r="C647" s="17" t="n">
        <f aca="false">C644/C646</f>
        <v>41.67</v>
      </c>
      <c r="D647" s="17" t="n">
        <f aca="false">D644/D646</f>
        <v>119.710515747433</v>
      </c>
      <c r="E647" s="17" t="n">
        <f aca="false">E644/E646</f>
        <v>209.587070478139</v>
      </c>
      <c r="F647" s="17" t="n">
        <f aca="false">F644/F646</f>
        <v>263.731237737327</v>
      </c>
      <c r="G647" s="17" t="n">
        <f aca="false">G644/G646</f>
        <v>272.052209423246</v>
      </c>
    </row>
    <row r="648" customFormat="false" ht="17.15" hidden="false" customHeight="false" outlineLevel="0" collapsed="false">
      <c r="A648" s="0" t="s">
        <v>452</v>
      </c>
      <c r="B648" s="0" t="s">
        <v>47</v>
      </c>
      <c r="D648" s="11" t="n">
        <f aca="false">D647/C647-1</f>
        <v>1.87282255213422</v>
      </c>
      <c r="E648" s="11" t="n">
        <f aca="false">E647/D647-1</f>
        <v>0.750782453567642</v>
      </c>
      <c r="F648" s="11" t="n">
        <f aca="false">F647/E647-1</f>
        <v>0.25833734464472</v>
      </c>
      <c r="G648" s="11" t="n">
        <f aca="false">G647/F647-1</f>
        <v>0.031550952239517</v>
      </c>
    </row>
    <row r="651" customFormat="false" ht="17.15" hidden="false" customHeight="false" outlineLevel="0" collapsed="false">
      <c r="A651" s="1" t="s">
        <v>664</v>
      </c>
    </row>
    <row r="652" customFormat="false" ht="17.15" hidden="false" customHeight="false" outlineLevel="0" collapsed="false">
      <c r="A652" s="4" t="s">
        <v>16</v>
      </c>
      <c r="B652" s="4" t="s">
        <v>17</v>
      </c>
      <c r="C652" s="8" t="s">
        <v>315</v>
      </c>
      <c r="D652" s="8" t="s">
        <v>401</v>
      </c>
      <c r="E652" s="8" t="s">
        <v>402</v>
      </c>
      <c r="F652" s="8" t="s">
        <v>403</v>
      </c>
      <c r="G652" s="8" t="s">
        <v>404</v>
      </c>
      <c r="H652" s="4" t="s">
        <v>369</v>
      </c>
    </row>
    <row r="653" customFormat="false" ht="17.15" hidden="false" customHeight="false" outlineLevel="0" collapsed="false">
      <c r="A653" s="5" t="s">
        <v>419</v>
      </c>
    </row>
    <row r="654" customFormat="false" ht="17.15" hidden="false" customHeight="false" outlineLevel="0" collapsed="false">
      <c r="A654" s="0" t="s">
        <v>420</v>
      </c>
      <c r="B654" s="0" t="s">
        <v>27</v>
      </c>
      <c r="D654" s="17" t="n">
        <f aca="false">itc_26*1</f>
        <v>781.872916666667</v>
      </c>
      <c r="E654" s="17" t="n">
        <f aca="false">itc_27*1*mf_hi</f>
        <v>1878.42</v>
      </c>
      <c r="F654" s="17" t="n">
        <f aca="false">itc_28*um28_A*mf_hi</f>
        <v>2381.11666666667</v>
      </c>
      <c r="G654" s="17" t="n">
        <f aca="false">itc_29*um29_A*mf_hi</f>
        <v>2712.46833333334</v>
      </c>
    </row>
    <row r="655" customFormat="false" ht="17.15" hidden="false" customHeight="false" outlineLevel="0" collapsed="false">
      <c r="A655" s="3" t="s">
        <v>421</v>
      </c>
      <c r="B655" s="0" t="s">
        <v>27</v>
      </c>
      <c r="D655" s="17" t="n">
        <f aca="false">itpg_gb*(1-vr26)+itpg_vr*vr26</f>
        <v>33.41403216</v>
      </c>
      <c r="E655" s="17" t="n">
        <f aca="false">itpg_vr</f>
        <v>37.586352</v>
      </c>
      <c r="F655" s="17" t="n">
        <f aca="false">itpg_vr</f>
        <v>37.586352</v>
      </c>
      <c r="G655" s="17" t="n">
        <f aca="false">itpg_vr</f>
        <v>37.586352</v>
      </c>
    </row>
    <row r="656" customFormat="false" ht="17.15" hidden="false" customHeight="false" outlineLevel="0" collapsed="false">
      <c r="A656" s="3" t="s">
        <v>422</v>
      </c>
      <c r="B656" s="0" t="s">
        <v>371</v>
      </c>
      <c r="D656" s="14" t="n">
        <f aca="false">D654/D655</f>
        <v>23.3995380420639</v>
      </c>
      <c r="E656" s="14" t="n">
        <f aca="false">E654/E655</f>
        <v>49.9761189912764</v>
      </c>
      <c r="F656" s="14" t="n">
        <f aca="false">F654/F655</f>
        <v>63.3505658294976</v>
      </c>
      <c r="G656" s="14" t="n">
        <f aca="false">G654/G655</f>
        <v>72.1663100833339</v>
      </c>
    </row>
    <row r="657" customFormat="false" ht="17.15" hidden="false" customHeight="false" outlineLevel="0" collapsed="false">
      <c r="A657" s="3" t="s">
        <v>373</v>
      </c>
      <c r="B657" s="0" t="s">
        <v>87</v>
      </c>
      <c r="D657" s="15" t="n">
        <f aca="false">cmp_26</f>
        <v>190</v>
      </c>
      <c r="E657" s="15" t="n">
        <f aca="false">cmp_26*cmpx_27</f>
        <v>275.5</v>
      </c>
      <c r="F657" s="15" t="n">
        <f aca="false">cmp_26*cmpx_28</f>
        <v>304</v>
      </c>
      <c r="G657" s="15" t="n">
        <f aca="false">cmp_26*cmpx_29</f>
        <v>323</v>
      </c>
    </row>
    <row r="658" customFormat="false" ht="17.15" hidden="false" customHeight="false" outlineLevel="0" collapsed="false">
      <c r="A658" s="3" t="s">
        <v>375</v>
      </c>
      <c r="B658" s="0" t="s">
        <v>87</v>
      </c>
      <c r="D658" s="15" t="n">
        <f aca="false">sw_26</f>
        <v>90</v>
      </c>
      <c r="E658" s="15" t="n">
        <f aca="false">sw_26*swx_27</f>
        <v>126</v>
      </c>
      <c r="F658" s="15" t="n">
        <f aca="false">sw_26*swx_28</f>
        <v>144</v>
      </c>
      <c r="G658" s="15" t="n">
        <f aca="false">sw_26*swx_29</f>
        <v>157.5</v>
      </c>
    </row>
    <row r="659" customFormat="false" ht="17.15" hidden="false" customHeight="false" outlineLevel="0" collapsed="false">
      <c r="A659" s="3" t="s">
        <v>376</v>
      </c>
      <c r="B659" s="0" t="s">
        <v>87</v>
      </c>
      <c r="D659" s="15" t="n">
        <f aca="false">ubb_26</f>
        <v>70</v>
      </c>
      <c r="E659" s="15" t="n">
        <f aca="false">ubb_26*ubbx_27</f>
        <v>126</v>
      </c>
      <c r="F659" s="15" t="n">
        <f aca="false">ubb_26*ubbx_28</f>
        <v>161</v>
      </c>
      <c r="G659" s="15" t="n">
        <f aca="false">ubb_26*ubbx_29</f>
        <v>182</v>
      </c>
    </row>
    <row r="660" customFormat="false" ht="17.15" hidden="false" customHeight="false" outlineLevel="0" collapsed="false">
      <c r="A660" s="3" t="s">
        <v>423</v>
      </c>
      <c r="B660" s="0" t="s">
        <v>87</v>
      </c>
      <c r="D660" s="15" t="n">
        <f aca="false">D657+D658+D659</f>
        <v>350</v>
      </c>
      <c r="E660" s="15" t="n">
        <f aca="false">E657+E658+E659</f>
        <v>527.5</v>
      </c>
      <c r="F660" s="15" t="n">
        <f aca="false">F657+F658+F659</f>
        <v>609</v>
      </c>
      <c r="G660" s="15" t="n">
        <f aca="false">G657+G658+G659</f>
        <v>662.5</v>
      </c>
    </row>
    <row r="661" customFormat="false" ht="17.15" hidden="false" customHeight="false" outlineLevel="0" collapsed="false">
      <c r="A661" s="0" t="s">
        <v>424</v>
      </c>
      <c r="B661" s="0" t="s">
        <v>27</v>
      </c>
      <c r="D661" s="17" t="n">
        <f aca="false">D656*D660/1000</f>
        <v>8.18983831472237</v>
      </c>
      <c r="E661" s="17" t="n">
        <f aca="false">E656*E660/1000</f>
        <v>26.3624027678983</v>
      </c>
      <c r="F661" s="17" t="n">
        <f aca="false">F656*F660/1000</f>
        <v>38.580494590164</v>
      </c>
      <c r="G661" s="17" t="n">
        <f aca="false">G656*G660/1000</f>
        <v>47.8101804302087</v>
      </c>
    </row>
    <row r="662" customFormat="false" ht="17.15" hidden="false" customHeight="false" outlineLevel="0" collapsed="false">
      <c r="A662" s="0" t="s">
        <v>425</v>
      </c>
      <c r="B662" s="0" t="s">
        <v>193</v>
      </c>
      <c r="D662" s="16" t="n">
        <f aca="false">D661*fx</f>
        <v>262.074826071116</v>
      </c>
      <c r="E662" s="16" t="n">
        <f aca="false">E661*fx</f>
        <v>843.596888572746</v>
      </c>
      <c r="F662" s="16" t="n">
        <f aca="false">F661*fx</f>
        <v>1234.57582688525</v>
      </c>
      <c r="G662" s="16" t="n">
        <f aca="false">G661*fx</f>
        <v>1529.92577376668</v>
      </c>
    </row>
    <row r="663" customFormat="false" ht="17.15" hidden="false" customHeight="false" outlineLevel="0" collapsed="false">
      <c r="A663" s="0" t="s">
        <v>426</v>
      </c>
      <c r="B663" s="0" t="s">
        <v>60</v>
      </c>
      <c r="D663" s="12" t="n">
        <f aca="false">1</f>
        <v>1</v>
      </c>
      <c r="E663" s="12" t="n">
        <f aca="false">pp_27</f>
        <v>1</v>
      </c>
      <c r="F663" s="12" t="n">
        <f aca="false">pp_28</f>
        <v>0.97</v>
      </c>
      <c r="G663" s="12" t="n">
        <f aca="false">pp_29</f>
        <v>0.93</v>
      </c>
    </row>
    <row r="664" customFormat="false" ht="17.15" hidden="false" customHeight="false" outlineLevel="0" collapsed="false">
      <c r="A664" s="3" t="s">
        <v>427</v>
      </c>
      <c r="B664" s="0" t="s">
        <v>47</v>
      </c>
      <c r="D664" s="11" t="n">
        <f aca="false">a26_ai/D662</f>
        <v>0.459306165741139</v>
      </c>
      <c r="H664" s="7" t="s">
        <v>428</v>
      </c>
    </row>
    <row r="665" customFormat="false" ht="17.15" hidden="false" customHeight="false" outlineLevel="0" collapsed="false">
      <c r="A665" s="3" t="s">
        <v>429</v>
      </c>
      <c r="B665" s="0" t="s">
        <v>60</v>
      </c>
      <c r="D665" s="12" t="n">
        <f aca="false">1</f>
        <v>1</v>
      </c>
      <c r="E665" s="12" t="n">
        <f aca="false">rel_27</f>
        <v>0.95</v>
      </c>
      <c r="F665" s="12" t="n">
        <f aca="false">rel_28</f>
        <v>0.9</v>
      </c>
      <c r="G665" s="12" t="n">
        <f aca="false">rel_29</f>
        <v>0.85</v>
      </c>
    </row>
    <row r="666" customFormat="false" ht="15" hidden="false" customHeight="false" outlineLevel="0" collapsed="false">
      <c r="A666" s="3" t="s">
        <v>384</v>
      </c>
      <c r="B666" s="0" t="s">
        <v>47</v>
      </c>
      <c r="D666" s="11" t="n">
        <f aca="false">$D$664*D665</f>
        <v>0.459306165741139</v>
      </c>
      <c r="E666" s="11" t="n">
        <f aca="false">$D$664*E665</f>
        <v>0.436340857454082</v>
      </c>
      <c r="F666" s="11" t="n">
        <f aca="false">$D$664*F665</f>
        <v>0.413375549167025</v>
      </c>
      <c r="G666" s="11" t="n">
        <f aca="false">$D$664*G665</f>
        <v>0.390410240879968</v>
      </c>
    </row>
    <row r="667" customFormat="false" ht="17.15" hidden="false" customHeight="false" outlineLevel="0" collapsed="false">
      <c r="A667" s="0" t="s">
        <v>430</v>
      </c>
      <c r="B667" s="0" t="s">
        <v>193</v>
      </c>
      <c r="D667" s="16" t="n">
        <f aca="false">D662*D666*D663</f>
        <v>120.3725835</v>
      </c>
      <c r="E667" s="16" t="n">
        <f aca="false">E662*E666*E663</f>
        <v>368.095789705427</v>
      </c>
      <c r="F667" s="16" t="n">
        <f aca="false">F662*F666*F663</f>
        <v>495.033156614213</v>
      </c>
      <c r="G667" s="16" t="n">
        <f aca="false">G662*G666*G663</f>
        <v>555.487781574189</v>
      </c>
    </row>
    <row r="668" customFormat="false" ht="17.15" hidden="false" customHeight="false" outlineLevel="0" collapsed="false">
      <c r="A668" s="5" t="s">
        <v>431</v>
      </c>
    </row>
    <row r="669" customFormat="false" ht="15" hidden="false" customHeight="false" outlineLevel="0" collapsed="false">
      <c r="A669" s="3" t="s">
        <v>389</v>
      </c>
      <c r="B669" s="3" t="s">
        <v>144</v>
      </c>
      <c r="D669" s="12" t="n">
        <f aca="false">cap_26</f>
        <v>6</v>
      </c>
      <c r="E669" s="12" t="n">
        <f aca="false">cap_27</f>
        <v>7.76</v>
      </c>
      <c r="F669" s="12" t="n">
        <f aca="false">cap_28</f>
        <v>10.3</v>
      </c>
      <c r="G669" s="12" t="n">
        <f aca="false">cap_29</f>
        <v>11.8</v>
      </c>
    </row>
    <row r="670" customFormat="false" ht="17.15" hidden="false" customHeight="false" outlineLevel="0" collapsed="false">
      <c r="A670" s="3" t="s">
        <v>432</v>
      </c>
      <c r="B670" s="0" t="s">
        <v>392</v>
      </c>
      <c r="D670" s="15" t="n">
        <f aca="false">a26_rev/(D669*12)*1000</f>
        <v>2857.84861111111</v>
      </c>
      <c r="H670" s="7" t="s">
        <v>433</v>
      </c>
    </row>
    <row r="671" customFormat="false" ht="17.15" hidden="false" customHeight="false" outlineLevel="0" collapsed="false">
      <c r="A671" s="3" t="s">
        <v>434</v>
      </c>
      <c r="B671" s="0" t="s">
        <v>60</v>
      </c>
      <c r="D671" s="12" t="n">
        <f aca="false">1</f>
        <v>1</v>
      </c>
      <c r="E671" s="12" t="n">
        <f aca="false">mix_27</f>
        <v>1.25</v>
      </c>
      <c r="F671" s="12" t="n">
        <f aca="false">mix_28</f>
        <v>1.4</v>
      </c>
      <c r="G671" s="12" t="n">
        <f aca="false">mix_29</f>
        <v>1.5</v>
      </c>
    </row>
    <row r="672" customFormat="false" ht="17.15" hidden="false" customHeight="false" outlineLevel="0" collapsed="false">
      <c r="A672" s="3" t="s">
        <v>435</v>
      </c>
      <c r="B672" s="0" t="s">
        <v>193</v>
      </c>
      <c r="D672" s="16" t="n">
        <f aca="false">D669*12*$D$670*D671*D663/1000</f>
        <v>205.7651</v>
      </c>
      <c r="E672" s="16" t="n">
        <f aca="false">E669*12*$D$670*E671*E663/1000</f>
        <v>332.653578333333</v>
      </c>
      <c r="F672" s="16" t="n">
        <f aca="false">F669*12*$D$670*F671*F663/1000</f>
        <v>479.686459956667</v>
      </c>
      <c r="G672" s="16" t="n">
        <f aca="false">G669*12*$D$670*G671*G663/1000</f>
        <v>564.51655185</v>
      </c>
    </row>
    <row r="673" customFormat="false" ht="17.15" hidden="false" customHeight="false" outlineLevel="0" collapsed="false">
      <c r="A673" s="3" t="s">
        <v>436</v>
      </c>
      <c r="B673" s="0" t="s">
        <v>193</v>
      </c>
      <c r="C673" s="16" t="n">
        <f aca="false">a25_nai</f>
        <v>47.1305</v>
      </c>
      <c r="D673" s="16" t="n">
        <f aca="false">a26_nai</f>
        <v>85.3925165</v>
      </c>
      <c r="E673" s="16" t="n">
        <f aca="false">D673*(1+g_nai27)</f>
        <v>92.22391782</v>
      </c>
      <c r="F673" s="16" t="n">
        <f aca="false">E673*(1+g_nai28)</f>
        <v>97.7573528892</v>
      </c>
      <c r="G673" s="16" t="n">
        <f aca="false">F673*(1+g_nai29)</f>
        <v>102.64522053366</v>
      </c>
    </row>
    <row r="674" customFormat="false" ht="17.15" hidden="false" customHeight="false" outlineLevel="0" collapsed="false">
      <c r="A674" s="0" t="s">
        <v>437</v>
      </c>
      <c r="B674" s="0" t="s">
        <v>193</v>
      </c>
      <c r="C674" s="16" t="n">
        <f aca="false">a25_ai</f>
        <v>47.1305</v>
      </c>
      <c r="D674" s="16" t="n">
        <f aca="false">D667</f>
        <v>120.3725835</v>
      </c>
      <c r="E674" s="16" t="n">
        <f aca="false">MIN(E667,E672-E673)</f>
        <v>240.429660513333</v>
      </c>
      <c r="F674" s="16" t="n">
        <f aca="false">MIN(F667,F672-F673)</f>
        <v>381.929107067467</v>
      </c>
      <c r="G674" s="16" t="n">
        <f aca="false">MIN(G667,G672-G673)</f>
        <v>461.87133131634</v>
      </c>
      <c r="H674" s="3" t="s">
        <v>438</v>
      </c>
    </row>
    <row r="675" customFormat="false" ht="15" hidden="false" customHeight="false" outlineLevel="0" collapsed="false">
      <c r="A675" s="3" t="s">
        <v>439</v>
      </c>
      <c r="E675" s="0" t="str">
        <f aca="false">IF(E667&gt;E672-E673+0.0001,"受限","未受限")</f>
        <v>受限</v>
      </c>
      <c r="F675" s="0" t="str">
        <f aca="false">IF(F667&gt;F672-F673+0.0001,"受限","未受限")</f>
        <v>受限</v>
      </c>
      <c r="G675" s="0" t="str">
        <f aca="false">IF(G667&gt;G672-G673+0.0001,"受限","未受限")</f>
        <v>受限</v>
      </c>
    </row>
    <row r="676" customFormat="false" ht="15" hidden="false" customHeight="false" outlineLevel="0" collapsed="false">
      <c r="A676" s="3" t="s">
        <v>320</v>
      </c>
      <c r="B676" s="0" t="s">
        <v>193</v>
      </c>
      <c r="C676" s="16" t="n">
        <f aca="false">C674+C673</f>
        <v>94.261</v>
      </c>
      <c r="D676" s="16" t="n">
        <f aca="false">D674+D673</f>
        <v>205.7651</v>
      </c>
      <c r="E676" s="16" t="n">
        <f aca="false">E674+E673</f>
        <v>332.653578333333</v>
      </c>
      <c r="F676" s="16" t="n">
        <f aca="false">F674+F673</f>
        <v>479.686459956667</v>
      </c>
      <c r="G676" s="16" t="n">
        <f aca="false">G674+G673</f>
        <v>564.51655185</v>
      </c>
    </row>
    <row r="677" customFormat="false" ht="15" hidden="false" customHeight="false" outlineLevel="0" collapsed="false">
      <c r="A677" s="3" t="s">
        <v>440</v>
      </c>
      <c r="B677" s="0" t="s">
        <v>47</v>
      </c>
      <c r="D677" s="11" t="n">
        <f aca="false">D676/C676-1</f>
        <v>1.1829293132897</v>
      </c>
      <c r="E677" s="11" t="n">
        <f aca="false">E676/D676-1</f>
        <v>0.616666666666667</v>
      </c>
      <c r="F677" s="11" t="n">
        <f aca="false">F676/E676-1</f>
        <v>0.442</v>
      </c>
      <c r="G677" s="11" t="n">
        <f aca="false">G676/F676-1</f>
        <v>0.17684487467292</v>
      </c>
    </row>
    <row r="678" customFormat="false" ht="17.15" hidden="false" customHeight="false" outlineLevel="0" collapsed="false">
      <c r="A678" s="0" t="s">
        <v>441</v>
      </c>
      <c r="B678" s="0" t="s">
        <v>47</v>
      </c>
      <c r="C678" s="11" t="n">
        <f aca="false">C674/C676</f>
        <v>0.5</v>
      </c>
      <c r="D678" s="11" t="n">
        <f aca="false">D674/D676</f>
        <v>0.585</v>
      </c>
      <c r="E678" s="11" t="n">
        <f aca="false">E674/E676</f>
        <v>0.722762886597938</v>
      </c>
      <c r="F678" s="11" t="n">
        <f aca="false">F674/F676</f>
        <v>0.796205728012354</v>
      </c>
      <c r="G678" s="11" t="n">
        <f aca="false">G674/G676</f>
        <v>0.818171459814106</v>
      </c>
    </row>
    <row r="679" customFormat="false" ht="17.15" hidden="false" customHeight="false" outlineLevel="0" collapsed="false">
      <c r="A679" s="3" t="s">
        <v>442</v>
      </c>
      <c r="B679" s="0" t="s">
        <v>47</v>
      </c>
      <c r="D679" s="11" t="n">
        <f aca="false">(D667+D673)/D672</f>
        <v>1</v>
      </c>
      <c r="E679" s="11" t="n">
        <f aca="false">(E667+E673)/E672</f>
        <v>1.38378101877553</v>
      </c>
      <c r="F679" s="11" t="n">
        <f aca="false">(F667+F673)/F672</f>
        <v>1.23578745490745</v>
      </c>
      <c r="G679" s="11" t="n">
        <f aca="false">(G667+G673)/G672</f>
        <v>1.16583473053368</v>
      </c>
      <c r="H679" s="3" t="s">
        <v>443</v>
      </c>
    </row>
    <row r="680" customFormat="false" ht="17.15" hidden="false" customHeight="false" outlineLevel="0" collapsed="false">
      <c r="A680" s="3" t="s">
        <v>388</v>
      </c>
      <c r="B680" s="0" t="s">
        <v>87</v>
      </c>
      <c r="D680" s="15" t="n">
        <f aca="false">D674/fx/D656*1000</f>
        <v>160.757158009399</v>
      </c>
      <c r="E680" s="15" t="n">
        <f aca="false">E674/fx/E656*1000</f>
        <v>150.340343401879</v>
      </c>
      <c r="F680" s="15" t="n">
        <f aca="false">F674/fx/F656*1000</f>
        <v>188.400599735464</v>
      </c>
      <c r="G680" s="15" t="n">
        <f aca="false">G674/fx/G656*1000</f>
        <v>200.003008148381</v>
      </c>
    </row>
    <row r="681" customFormat="false" ht="17.15" hidden="false" customHeight="false" outlineLevel="0" collapsed="false">
      <c r="A681" s="5" t="s">
        <v>444</v>
      </c>
    </row>
    <row r="682" customFormat="false" ht="17.15" hidden="false" customHeight="false" outlineLevel="0" collapsed="false">
      <c r="A682" s="3" t="s">
        <v>445</v>
      </c>
      <c r="B682" s="0" t="s">
        <v>47</v>
      </c>
      <c r="D682" s="11" t="n">
        <f aca="false">a26_gp/D676-d_ai*D678</f>
        <v>0.291564442755356</v>
      </c>
      <c r="H682" s="7" t="s">
        <v>446</v>
      </c>
    </row>
    <row r="683" customFormat="false" ht="17.15" hidden="false" customHeight="false" outlineLevel="0" collapsed="false">
      <c r="A683" s="0" t="s">
        <v>447</v>
      </c>
      <c r="B683" s="0" t="s">
        <v>47</v>
      </c>
      <c r="D683" s="11" t="n">
        <f aca="false">D682+d_ai</f>
        <v>0.371564442755356</v>
      </c>
      <c r="E683" s="11" t="n">
        <f aca="false">1-(1-$D$683)/E663</f>
        <v>0.371564442755356</v>
      </c>
      <c r="F683" s="11" t="n">
        <f aca="false">1-(1-$D$683)/F663</f>
        <v>0.352128291500367</v>
      </c>
      <c r="G683" s="11" t="n">
        <f aca="false">1-(1-$D$683)/G663</f>
        <v>0.324262841672425</v>
      </c>
      <c r="H683" s="7" t="s">
        <v>448</v>
      </c>
    </row>
    <row r="684" customFormat="false" ht="15" hidden="false" customHeight="false" outlineLevel="0" collapsed="false">
      <c r="A684" s="3" t="s">
        <v>324</v>
      </c>
      <c r="B684" s="0" t="s">
        <v>193</v>
      </c>
      <c r="C684" s="16" t="n">
        <f aca="false">a25_gp</f>
        <v>28.12</v>
      </c>
      <c r="D684" s="16" t="n">
        <f aca="false">a26_gp</f>
        <v>69.6235934</v>
      </c>
      <c r="E684" s="16" t="n">
        <f aca="false">E674*E683+E673*$D$682</f>
        <v>116.2243280384</v>
      </c>
      <c r="F684" s="16" t="n">
        <f aca="false">F674*F683+F673*$D$682</f>
        <v>162.990612066306</v>
      </c>
      <c r="G684" s="16" t="n">
        <f aca="false">G674*G683+G673*$D$682</f>
        <v>179.69540690606</v>
      </c>
    </row>
    <row r="685" customFormat="false" ht="15" hidden="false" customHeight="false" outlineLevel="0" collapsed="false">
      <c r="A685" s="3" t="s">
        <v>327</v>
      </c>
      <c r="B685" s="0" t="s">
        <v>47</v>
      </c>
      <c r="C685" s="11" t="n">
        <f aca="false">C684/C676</f>
        <v>0.298320620405046</v>
      </c>
      <c r="D685" s="11" t="n">
        <f aca="false">D684/D676</f>
        <v>0.338364442755356</v>
      </c>
      <c r="E685" s="11" t="n">
        <f aca="false">E684/E676</f>
        <v>0.349385473683191</v>
      </c>
      <c r="F685" s="11" t="n">
        <f aca="false">F684/F676</f>
        <v>0.339785726036607</v>
      </c>
      <c r="G685" s="11" t="n">
        <f aca="false">G684/G676</f>
        <v>0.318317339530918</v>
      </c>
    </row>
    <row r="686" customFormat="false" ht="15" hidden="false" customHeight="false" outlineLevel="0" collapsed="false">
      <c r="A686" s="3" t="s">
        <v>449</v>
      </c>
      <c r="B686" s="0" t="s">
        <v>193</v>
      </c>
      <c r="C686" s="16" t="n">
        <f aca="false">a25_opx</f>
        <v>9.012</v>
      </c>
      <c r="D686" s="16" t="n">
        <f aca="false">a26_opx</f>
        <v>14.0153081141857</v>
      </c>
      <c r="E686" s="16" t="n">
        <f aca="false">D686*(1+MAX(0,phi*E677))</f>
        <v>19.2009721164345</v>
      </c>
      <c r="F686" s="16" t="n">
        <f aca="false">E686*(1+MAX(0,phi*F677))</f>
        <v>24.2930699217129</v>
      </c>
      <c r="G686" s="16" t="n">
        <f aca="false">F686*(1+MAX(0,phi*G677))</f>
        <v>26.8707328651484</v>
      </c>
    </row>
    <row r="687" customFormat="false" ht="15" hidden="false" customHeight="false" outlineLevel="0" collapsed="false">
      <c r="A687" s="3" t="s">
        <v>329</v>
      </c>
      <c r="B687" s="0" t="s">
        <v>193</v>
      </c>
      <c r="C687" s="16" t="n">
        <f aca="false">C686</f>
        <v>9.012</v>
      </c>
      <c r="D687" s="16" t="n">
        <f aca="false">D686</f>
        <v>14.0153081141857</v>
      </c>
      <c r="E687" s="16" t="n">
        <f aca="false">E686+0*E676</f>
        <v>19.2009721164345</v>
      </c>
      <c r="F687" s="16" t="n">
        <f aca="false">F686+0*F676</f>
        <v>24.2930699217129</v>
      </c>
      <c r="G687" s="16" t="n">
        <f aca="false">G686+0*G676</f>
        <v>26.8707328651484</v>
      </c>
    </row>
    <row r="688" customFormat="false" ht="15" hidden="false" customHeight="false" outlineLevel="0" collapsed="false">
      <c r="A688" s="3" t="s">
        <v>332</v>
      </c>
      <c r="B688" s="0" t="s">
        <v>193</v>
      </c>
      <c r="C688" s="16" t="n">
        <f aca="false">C684-C687</f>
        <v>19.108</v>
      </c>
      <c r="D688" s="16" t="n">
        <f aca="false">D684-D687</f>
        <v>55.6082852858143</v>
      </c>
      <c r="E688" s="16" t="n">
        <f aca="false">E684-E687</f>
        <v>97.0233559219655</v>
      </c>
      <c r="F688" s="16" t="n">
        <f aca="false">F684-F687</f>
        <v>138.697542144593</v>
      </c>
      <c r="G688" s="16" t="n">
        <f aca="false">G684-G687</f>
        <v>152.824674040911</v>
      </c>
    </row>
    <row r="689" customFormat="false" ht="15" hidden="false" customHeight="false" outlineLevel="0" collapsed="false">
      <c r="A689" s="3" t="s">
        <v>335</v>
      </c>
      <c r="B689" s="0" t="s">
        <v>47</v>
      </c>
      <c r="C689" s="11" t="n">
        <f aca="false">C688/C676</f>
        <v>0.202713741632276</v>
      </c>
      <c r="D689" s="11" t="n">
        <f aca="false">D688/D676</f>
        <v>0.270251297648699</v>
      </c>
      <c r="E689" s="11" t="n">
        <f aca="false">E688/E676</f>
        <v>0.291664849685591</v>
      </c>
      <c r="F689" s="11" t="n">
        <f aca="false">F688/F676</f>
        <v>0.28914208284537</v>
      </c>
      <c r="G689" s="11" t="n">
        <f aca="false">G688/G676</f>
        <v>0.270717791250024</v>
      </c>
    </row>
    <row r="690" customFormat="false" ht="17.15" hidden="false" customHeight="false" outlineLevel="0" collapsed="false">
      <c r="A690" s="3" t="s">
        <v>337</v>
      </c>
      <c r="B690" s="0" t="s">
        <v>193</v>
      </c>
      <c r="E690" s="16" t="n">
        <f aca="false">nop_f</f>
        <v>0.5</v>
      </c>
      <c r="F690" s="16" t="n">
        <f aca="false">nop_f</f>
        <v>0.5</v>
      </c>
      <c r="G690" s="16" t="n">
        <f aca="false">nop_f</f>
        <v>0.5</v>
      </c>
      <c r="H690" s="7" t="s">
        <v>450</v>
      </c>
    </row>
    <row r="691" customFormat="false" ht="15" hidden="false" customHeight="false" outlineLevel="0" collapsed="false">
      <c r="A691" s="3" t="s">
        <v>340</v>
      </c>
      <c r="B691" s="0" t="s">
        <v>193</v>
      </c>
      <c r="C691" s="16" t="n">
        <f aca="false">a25_ni</f>
        <v>14.649</v>
      </c>
      <c r="D691" s="16" t="n">
        <f aca="false">a26_ni</f>
        <v>42.891099295</v>
      </c>
      <c r="E691" s="16" t="n">
        <f aca="false">(E688+E690)*nir_f</f>
        <v>75.0929840599135</v>
      </c>
      <c r="F691" s="16" t="n">
        <f aca="false">(F688+F690)*nir_f</f>
        <v>107.182107451337</v>
      </c>
      <c r="G691" s="16" t="n">
        <f aca="false">(G688+G690)*nir_f</f>
        <v>118.059999011502</v>
      </c>
    </row>
    <row r="692" customFormat="false" ht="17.15" hidden="false" customHeight="false" outlineLevel="0" collapsed="false">
      <c r="A692" s="3" t="s">
        <v>343</v>
      </c>
      <c r="B692" s="0" t="s">
        <v>47</v>
      </c>
      <c r="C692" s="11" t="n">
        <f aca="false">C691/C688</f>
        <v>0.766642244086247</v>
      </c>
      <c r="D692" s="11" t="n">
        <f aca="false">D691/D688</f>
        <v>0.771307712053146</v>
      </c>
      <c r="E692" s="11" t="n">
        <f aca="false">E691/E688</f>
        <v>0.77396811671109</v>
      </c>
      <c r="F692" s="11" t="n">
        <f aca="false">F691/F688</f>
        <v>0.772775824243508</v>
      </c>
      <c r="G692" s="11" t="n">
        <f aca="false">G691/G688</f>
        <v>0.772519226704825</v>
      </c>
    </row>
    <row r="693" customFormat="false" ht="15" hidden="false" customHeight="false" outlineLevel="0" collapsed="false">
      <c r="A693" s="3" t="s">
        <v>451</v>
      </c>
      <c r="B693" s="3" t="s">
        <v>222</v>
      </c>
      <c r="C693" s="18" t="n">
        <f aca="false">a25_sh</f>
        <v>0.351547876169906</v>
      </c>
      <c r="D693" s="18" t="n">
        <f aca="false">a26_sh</f>
        <v>0.358290155440415</v>
      </c>
      <c r="E693" s="18" t="n">
        <f aca="false">D693*(1+sh_g)</f>
        <v>0.358290155440415</v>
      </c>
      <c r="F693" s="18" t="n">
        <f aca="false">E693*(1+sh_g)</f>
        <v>0.358290155440415</v>
      </c>
      <c r="G693" s="18" t="n">
        <f aca="false">F693*(1+sh_g)</f>
        <v>0.358290155440415</v>
      </c>
    </row>
    <row r="694" customFormat="false" ht="15" hidden="false" customHeight="false" outlineLevel="0" collapsed="false">
      <c r="A694" s="0" t="s">
        <v>346</v>
      </c>
      <c r="B694" s="0" t="s">
        <v>253</v>
      </c>
      <c r="C694" s="17" t="n">
        <f aca="false">C691/C693</f>
        <v>41.67</v>
      </c>
      <c r="D694" s="17" t="n">
        <f aca="false">D691/D693</f>
        <v>119.710515747433</v>
      </c>
      <c r="E694" s="17" t="n">
        <f aca="false">E691/E693</f>
        <v>209.587070478139</v>
      </c>
      <c r="F694" s="17" t="n">
        <f aca="false">F691/F693</f>
        <v>299.14890438334</v>
      </c>
      <c r="G694" s="17" t="n">
        <f aca="false">G691/G693</f>
        <v>329.509469403035</v>
      </c>
    </row>
    <row r="695" customFormat="false" ht="17.15" hidden="false" customHeight="false" outlineLevel="0" collapsed="false">
      <c r="A695" s="0" t="s">
        <v>452</v>
      </c>
      <c r="B695" s="0" t="s">
        <v>47</v>
      </c>
      <c r="D695" s="11" t="n">
        <f aca="false">D694/C694-1</f>
        <v>1.87282255213422</v>
      </c>
      <c r="E695" s="11" t="n">
        <f aca="false">E694/D694-1</f>
        <v>0.750782453567642</v>
      </c>
      <c r="F695" s="11" t="n">
        <f aca="false">F694/E694-1</f>
        <v>0.42732518614283</v>
      </c>
      <c r="G695" s="11" t="n">
        <f aca="false">G694/F694-1</f>
        <v>0.101489808502824</v>
      </c>
    </row>
    <row r="698" customFormat="false" ht="17.15" hidden="false" customHeight="false" outlineLevel="0" collapsed="false">
      <c r="A698" s="1" t="s">
        <v>665</v>
      </c>
    </row>
    <row r="699" customFormat="false" ht="17.15" hidden="false" customHeight="false" outlineLevel="0" collapsed="false">
      <c r="A699" s="4" t="s">
        <v>16</v>
      </c>
      <c r="B699" s="4" t="s">
        <v>17</v>
      </c>
      <c r="C699" s="8" t="s">
        <v>315</v>
      </c>
      <c r="D699" s="8" t="s">
        <v>401</v>
      </c>
      <c r="E699" s="8" t="s">
        <v>402</v>
      </c>
      <c r="F699" s="8" t="s">
        <v>403</v>
      </c>
      <c r="G699" s="8" t="s">
        <v>404</v>
      </c>
      <c r="H699" s="4" t="s">
        <v>369</v>
      </c>
    </row>
    <row r="700" customFormat="false" ht="17.15" hidden="false" customHeight="false" outlineLevel="0" collapsed="false">
      <c r="A700" s="5" t="s">
        <v>419</v>
      </c>
    </row>
    <row r="701" customFormat="false" ht="17.15" hidden="false" customHeight="false" outlineLevel="0" collapsed="false">
      <c r="A701" s="0" t="s">
        <v>420</v>
      </c>
      <c r="B701" s="0" t="s">
        <v>27</v>
      </c>
      <c r="D701" s="17" t="n">
        <f aca="false">itc_26*1</f>
        <v>781.872916666667</v>
      </c>
      <c r="E701" s="17" t="n">
        <f aca="false">itc_27*1*1</f>
        <v>1565.35</v>
      </c>
      <c r="F701" s="17" t="n">
        <f aca="false">itc_28*um28_A*1</f>
        <v>1984.26388888889</v>
      </c>
      <c r="G701" s="17" t="n">
        <f aca="false">itc_29*um29_A*1</f>
        <v>2260.39027777778</v>
      </c>
    </row>
    <row r="702" customFormat="false" ht="17.15" hidden="false" customHeight="false" outlineLevel="0" collapsed="false">
      <c r="A702" s="3" t="s">
        <v>421</v>
      </c>
      <c r="B702" s="0" t="s">
        <v>27</v>
      </c>
      <c r="D702" s="17" t="n">
        <f aca="false">itpg_gb*(1-vr26)+itpg_vr*vr26</f>
        <v>33.41403216</v>
      </c>
      <c r="E702" s="17" t="n">
        <f aca="false">itpg_vr</f>
        <v>37.586352</v>
      </c>
      <c r="F702" s="17" t="n">
        <f aca="false">itpg_vr</f>
        <v>37.586352</v>
      </c>
      <c r="G702" s="17" t="n">
        <f aca="false">itpg_vr</f>
        <v>37.586352</v>
      </c>
    </row>
    <row r="703" customFormat="false" ht="17.15" hidden="false" customHeight="false" outlineLevel="0" collapsed="false">
      <c r="A703" s="3" t="s">
        <v>422</v>
      </c>
      <c r="B703" s="0" t="s">
        <v>371</v>
      </c>
      <c r="D703" s="14" t="n">
        <f aca="false">D701/D702</f>
        <v>23.3995380420639</v>
      </c>
      <c r="E703" s="14" t="n">
        <f aca="false">E701/E702</f>
        <v>41.6467658260637</v>
      </c>
      <c r="F703" s="14" t="n">
        <f aca="false">F701/F702</f>
        <v>52.792138191248</v>
      </c>
      <c r="G703" s="14" t="n">
        <f aca="false">G701/G702</f>
        <v>60.1385917361116</v>
      </c>
    </row>
    <row r="704" customFormat="false" ht="17.15" hidden="false" customHeight="false" outlineLevel="0" collapsed="false">
      <c r="A704" s="3" t="s">
        <v>373</v>
      </c>
      <c r="B704" s="0" t="s">
        <v>87</v>
      </c>
      <c r="D704" s="15" t="n">
        <f aca="false">cmp_26</f>
        <v>190</v>
      </c>
      <c r="E704" s="15" t="n">
        <f aca="false">cmp_26*cmpx_27</f>
        <v>275.5</v>
      </c>
      <c r="F704" s="15" t="n">
        <f aca="false">cmp_26*cmpx_28</f>
        <v>304</v>
      </c>
      <c r="G704" s="15" t="n">
        <f aca="false">cmp_26*cmpx_29</f>
        <v>323</v>
      </c>
    </row>
    <row r="705" customFormat="false" ht="17.15" hidden="false" customHeight="false" outlineLevel="0" collapsed="false">
      <c r="A705" s="3" t="s">
        <v>375</v>
      </c>
      <c r="B705" s="0" t="s">
        <v>87</v>
      </c>
      <c r="D705" s="15" t="n">
        <f aca="false">sw_26</f>
        <v>90</v>
      </c>
      <c r="E705" s="15" t="n">
        <f aca="false">sw_26*swx_27</f>
        <v>126</v>
      </c>
      <c r="F705" s="15" t="n">
        <f aca="false">sw_26*swx_28</f>
        <v>144</v>
      </c>
      <c r="G705" s="15" t="n">
        <f aca="false">sw_26*swx_29</f>
        <v>157.5</v>
      </c>
    </row>
    <row r="706" customFormat="false" ht="17.15" hidden="false" customHeight="false" outlineLevel="0" collapsed="false">
      <c r="A706" s="3" t="s">
        <v>376</v>
      </c>
      <c r="B706" s="0" t="s">
        <v>87</v>
      </c>
      <c r="D706" s="15" t="n">
        <f aca="false">ubb_26</f>
        <v>70</v>
      </c>
      <c r="E706" s="15" t="n">
        <f aca="false">ubb_26*ubbx_27</f>
        <v>126</v>
      </c>
      <c r="F706" s="15" t="n">
        <f aca="false">ubb_26*ubbx_28</f>
        <v>161</v>
      </c>
      <c r="G706" s="15" t="n">
        <f aca="false">ubb_26*ubbx_29</f>
        <v>182</v>
      </c>
    </row>
    <row r="707" customFormat="false" ht="17.15" hidden="false" customHeight="false" outlineLevel="0" collapsed="false">
      <c r="A707" s="3" t="s">
        <v>423</v>
      </c>
      <c r="B707" s="0" t="s">
        <v>87</v>
      </c>
      <c r="D707" s="15" t="n">
        <f aca="false">D704+D705+D706</f>
        <v>350</v>
      </c>
      <c r="E707" s="15" t="n">
        <f aca="false">E704+E705+E706</f>
        <v>527.5</v>
      </c>
      <c r="F707" s="15" t="n">
        <f aca="false">F704+F705+F706</f>
        <v>609</v>
      </c>
      <c r="G707" s="15" t="n">
        <f aca="false">G704+G705+G706</f>
        <v>662.5</v>
      </c>
    </row>
    <row r="708" customFormat="false" ht="17.15" hidden="false" customHeight="false" outlineLevel="0" collapsed="false">
      <c r="A708" s="0" t="s">
        <v>424</v>
      </c>
      <c r="B708" s="0" t="s">
        <v>27</v>
      </c>
      <c r="D708" s="17" t="n">
        <f aca="false">D703*D707/1000</f>
        <v>8.18983831472237</v>
      </c>
      <c r="E708" s="17" t="n">
        <f aca="false">E703*E707/1000</f>
        <v>21.9686689732486</v>
      </c>
      <c r="F708" s="17" t="n">
        <f aca="false">F703*F707/1000</f>
        <v>32.15041215847</v>
      </c>
      <c r="G708" s="17" t="n">
        <f aca="false">G703*G707/1000</f>
        <v>39.8418170251739</v>
      </c>
    </row>
    <row r="709" customFormat="false" ht="17.15" hidden="false" customHeight="false" outlineLevel="0" collapsed="false">
      <c r="A709" s="0" t="s">
        <v>425</v>
      </c>
      <c r="B709" s="0" t="s">
        <v>193</v>
      </c>
      <c r="D709" s="16" t="n">
        <f aca="false">D708*fx</f>
        <v>262.074826071116</v>
      </c>
      <c r="E709" s="16" t="n">
        <f aca="false">E708*fx</f>
        <v>702.997407143955</v>
      </c>
      <c r="F709" s="16" t="n">
        <f aca="false">F708*fx</f>
        <v>1028.81318907104</v>
      </c>
      <c r="G709" s="16" t="n">
        <f aca="false">G708*fx</f>
        <v>1274.93814480557</v>
      </c>
    </row>
    <row r="710" customFormat="false" ht="17.15" hidden="false" customHeight="false" outlineLevel="0" collapsed="false">
      <c r="A710" s="0" t="s">
        <v>426</v>
      </c>
      <c r="B710" s="0" t="s">
        <v>60</v>
      </c>
      <c r="D710" s="12" t="n">
        <f aca="false">1</f>
        <v>1</v>
      </c>
      <c r="E710" s="12" t="n">
        <f aca="false">pp_27</f>
        <v>1</v>
      </c>
      <c r="F710" s="12" t="n">
        <f aca="false">pp_28</f>
        <v>0.97</v>
      </c>
      <c r="G710" s="12" t="n">
        <f aca="false">pp_29</f>
        <v>0.93</v>
      </c>
    </row>
    <row r="711" customFormat="false" ht="17.15" hidden="false" customHeight="false" outlineLevel="0" collapsed="false">
      <c r="A711" s="3" t="s">
        <v>427</v>
      </c>
      <c r="B711" s="0" t="s">
        <v>47</v>
      </c>
      <c r="D711" s="11" t="n">
        <f aca="false">a26_ai/D709</f>
        <v>0.459306165741139</v>
      </c>
      <c r="H711" s="7" t="s">
        <v>428</v>
      </c>
    </row>
    <row r="712" customFormat="false" ht="17.15" hidden="false" customHeight="false" outlineLevel="0" collapsed="false">
      <c r="A712" s="3" t="s">
        <v>429</v>
      </c>
      <c r="B712" s="0" t="s">
        <v>60</v>
      </c>
      <c r="D712" s="12" t="n">
        <f aca="false">1</f>
        <v>1</v>
      </c>
      <c r="E712" s="12" t="n">
        <f aca="false">rel_27</f>
        <v>0.95</v>
      </c>
      <c r="F712" s="12" t="n">
        <f aca="false">rel_28</f>
        <v>0.9</v>
      </c>
      <c r="G712" s="12" t="n">
        <f aca="false">rel_29</f>
        <v>0.85</v>
      </c>
    </row>
    <row r="713" customFormat="false" ht="15" hidden="false" customHeight="false" outlineLevel="0" collapsed="false">
      <c r="A713" s="3" t="s">
        <v>384</v>
      </c>
      <c r="B713" s="0" t="s">
        <v>47</v>
      </c>
      <c r="D713" s="11" t="n">
        <f aca="false">$D$711*D712</f>
        <v>0.459306165741139</v>
      </c>
      <c r="E713" s="11" t="n">
        <f aca="false">$D$711*E712</f>
        <v>0.436340857454082</v>
      </c>
      <c r="F713" s="11" t="n">
        <f aca="false">$D$711*F712</f>
        <v>0.413375549167025</v>
      </c>
      <c r="G713" s="11" t="n">
        <f aca="false">$D$711*G712</f>
        <v>0.390410240879968</v>
      </c>
    </row>
    <row r="714" customFormat="false" ht="17.15" hidden="false" customHeight="false" outlineLevel="0" collapsed="false">
      <c r="A714" s="0" t="s">
        <v>430</v>
      </c>
      <c r="B714" s="0" t="s">
        <v>193</v>
      </c>
      <c r="D714" s="16" t="n">
        <f aca="false">D709*D713*D710</f>
        <v>120.3725835</v>
      </c>
      <c r="E714" s="16" t="n">
        <f aca="false">E709*E713*E710</f>
        <v>306.746491421189</v>
      </c>
      <c r="F714" s="16" t="n">
        <f aca="false">F709*F713*F710</f>
        <v>412.527630511844</v>
      </c>
      <c r="G714" s="16" t="n">
        <f aca="false">G709*G713*G710</f>
        <v>462.906484645158</v>
      </c>
    </row>
    <row r="715" customFormat="false" ht="17.15" hidden="false" customHeight="false" outlineLevel="0" collapsed="false">
      <c r="A715" s="5" t="s">
        <v>431</v>
      </c>
    </row>
    <row r="716" customFormat="false" ht="15" hidden="false" customHeight="false" outlineLevel="0" collapsed="false">
      <c r="A716" s="3" t="s">
        <v>389</v>
      </c>
      <c r="B716" s="3" t="s">
        <v>144</v>
      </c>
      <c r="D716" s="12" t="n">
        <f aca="false">cap_26</f>
        <v>6</v>
      </c>
      <c r="E716" s="12" t="n">
        <f aca="false">cap_27</f>
        <v>7.76</v>
      </c>
      <c r="F716" s="12" t="n">
        <f aca="false">cap_28</f>
        <v>10.3</v>
      </c>
      <c r="G716" s="12" t="n">
        <f aca="false">cap_29</f>
        <v>11.8</v>
      </c>
    </row>
    <row r="717" customFormat="false" ht="17.15" hidden="false" customHeight="false" outlineLevel="0" collapsed="false">
      <c r="A717" s="3" t="s">
        <v>432</v>
      </c>
      <c r="B717" s="0" t="s">
        <v>392</v>
      </c>
      <c r="D717" s="15" t="n">
        <f aca="false">a26_rev/(D716*12)*1000</f>
        <v>2857.84861111111</v>
      </c>
      <c r="H717" s="7" t="s">
        <v>433</v>
      </c>
    </row>
    <row r="718" customFormat="false" ht="17.15" hidden="false" customHeight="false" outlineLevel="0" collapsed="false">
      <c r="A718" s="3" t="s">
        <v>434</v>
      </c>
      <c r="B718" s="0" t="s">
        <v>60</v>
      </c>
      <c r="D718" s="12" t="n">
        <f aca="false">1</f>
        <v>1</v>
      </c>
      <c r="E718" s="12" t="n">
        <f aca="false">mix_27</f>
        <v>1.25</v>
      </c>
      <c r="F718" s="12" t="n">
        <f aca="false">mix_28</f>
        <v>1.4</v>
      </c>
      <c r="G718" s="12" t="n">
        <f aca="false">mix_29</f>
        <v>1.5</v>
      </c>
    </row>
    <row r="719" customFormat="false" ht="17.15" hidden="false" customHeight="false" outlineLevel="0" collapsed="false">
      <c r="A719" s="3" t="s">
        <v>435</v>
      </c>
      <c r="B719" s="0" t="s">
        <v>193</v>
      </c>
      <c r="D719" s="16" t="n">
        <f aca="false">D716*12*$D$717*D718*D710/1000</f>
        <v>205.7651</v>
      </c>
      <c r="E719" s="16" t="n">
        <f aca="false">E716*12*$D$717*E718*E710/1000</f>
        <v>332.653578333333</v>
      </c>
      <c r="F719" s="16" t="n">
        <f aca="false">F716*12*$D$717*F718*F710/1000</f>
        <v>479.686459956667</v>
      </c>
      <c r="G719" s="16" t="n">
        <f aca="false">G716*12*$D$717*G718*G710/1000</f>
        <v>564.51655185</v>
      </c>
    </row>
    <row r="720" customFormat="false" ht="17.15" hidden="false" customHeight="false" outlineLevel="0" collapsed="false">
      <c r="A720" s="3" t="s">
        <v>436</v>
      </c>
      <c r="B720" s="0" t="s">
        <v>193</v>
      </c>
      <c r="C720" s="16" t="n">
        <f aca="false">a25_nai</f>
        <v>47.1305</v>
      </c>
      <c r="D720" s="16" t="n">
        <f aca="false">a26_nai</f>
        <v>85.3925165</v>
      </c>
      <c r="E720" s="16" t="n">
        <f aca="false">D720*(1+g_nai27)</f>
        <v>92.22391782</v>
      </c>
      <c r="F720" s="16" t="n">
        <f aca="false">E720*(1+g_nai28)</f>
        <v>97.7573528892</v>
      </c>
      <c r="G720" s="16" t="n">
        <f aca="false">F720*(1+g_nai29)</f>
        <v>102.64522053366</v>
      </c>
    </row>
    <row r="721" customFormat="false" ht="17.15" hidden="false" customHeight="false" outlineLevel="0" collapsed="false">
      <c r="A721" s="0" t="s">
        <v>437</v>
      </c>
      <c r="B721" s="0" t="s">
        <v>193</v>
      </c>
      <c r="C721" s="16" t="n">
        <f aca="false">a25_ai</f>
        <v>47.1305</v>
      </c>
      <c r="D721" s="16" t="n">
        <f aca="false">D714</f>
        <v>120.3725835</v>
      </c>
      <c r="E721" s="16" t="n">
        <f aca="false">MIN(E714,E719-E720)</f>
        <v>240.429660513333</v>
      </c>
      <c r="F721" s="16" t="n">
        <f aca="false">MIN(F714,F719-F720)</f>
        <v>381.929107067467</v>
      </c>
      <c r="G721" s="16" t="n">
        <f aca="false">MIN(G714,G719-G720)</f>
        <v>461.87133131634</v>
      </c>
      <c r="H721" s="3" t="s">
        <v>438</v>
      </c>
    </row>
    <row r="722" customFormat="false" ht="15" hidden="false" customHeight="false" outlineLevel="0" collapsed="false">
      <c r="A722" s="3" t="s">
        <v>439</v>
      </c>
      <c r="E722" s="0" t="str">
        <f aca="false">IF(E714&gt;E719-E720+0.0001,"受限","未受限")</f>
        <v>受限</v>
      </c>
      <c r="F722" s="0" t="str">
        <f aca="false">IF(F714&gt;F719-F720+0.0001,"受限","未受限")</f>
        <v>受限</v>
      </c>
      <c r="G722" s="0" t="str">
        <f aca="false">IF(G714&gt;G719-G720+0.0001,"受限","未受限")</f>
        <v>受限</v>
      </c>
    </row>
    <row r="723" customFormat="false" ht="15" hidden="false" customHeight="false" outlineLevel="0" collapsed="false">
      <c r="A723" s="3" t="s">
        <v>320</v>
      </c>
      <c r="B723" s="0" t="s">
        <v>193</v>
      </c>
      <c r="C723" s="16" t="n">
        <f aca="false">C721+C720</f>
        <v>94.261</v>
      </c>
      <c r="D723" s="16" t="n">
        <f aca="false">D721+D720</f>
        <v>205.7651</v>
      </c>
      <c r="E723" s="16" t="n">
        <f aca="false">E721+E720</f>
        <v>332.653578333333</v>
      </c>
      <c r="F723" s="16" t="n">
        <f aca="false">F721+F720</f>
        <v>479.686459956667</v>
      </c>
      <c r="G723" s="16" t="n">
        <f aca="false">G721+G720</f>
        <v>564.51655185</v>
      </c>
    </row>
    <row r="724" customFormat="false" ht="15" hidden="false" customHeight="false" outlineLevel="0" collapsed="false">
      <c r="A724" s="3" t="s">
        <v>440</v>
      </c>
      <c r="B724" s="0" t="s">
        <v>47</v>
      </c>
      <c r="D724" s="11" t="n">
        <f aca="false">D723/C723-1</f>
        <v>1.1829293132897</v>
      </c>
      <c r="E724" s="11" t="n">
        <f aca="false">E723/D723-1</f>
        <v>0.616666666666667</v>
      </c>
      <c r="F724" s="11" t="n">
        <f aca="false">F723/E723-1</f>
        <v>0.442</v>
      </c>
      <c r="G724" s="11" t="n">
        <f aca="false">G723/F723-1</f>
        <v>0.17684487467292</v>
      </c>
    </row>
    <row r="725" customFormat="false" ht="17.15" hidden="false" customHeight="false" outlineLevel="0" collapsed="false">
      <c r="A725" s="0" t="s">
        <v>441</v>
      </c>
      <c r="B725" s="0" t="s">
        <v>47</v>
      </c>
      <c r="C725" s="11" t="n">
        <f aca="false">C721/C723</f>
        <v>0.5</v>
      </c>
      <c r="D725" s="11" t="n">
        <f aca="false">D721/D723</f>
        <v>0.585</v>
      </c>
      <c r="E725" s="11" t="n">
        <f aca="false">E721/E723</f>
        <v>0.722762886597938</v>
      </c>
      <c r="F725" s="11" t="n">
        <f aca="false">F721/F723</f>
        <v>0.796205728012354</v>
      </c>
      <c r="G725" s="11" t="n">
        <f aca="false">G721/G723</f>
        <v>0.818171459814106</v>
      </c>
    </row>
    <row r="726" customFormat="false" ht="17.15" hidden="false" customHeight="false" outlineLevel="0" collapsed="false">
      <c r="A726" s="3" t="s">
        <v>442</v>
      </c>
      <c r="B726" s="0" t="s">
        <v>47</v>
      </c>
      <c r="D726" s="11" t="n">
        <f aca="false">(D714+D720)/D719</f>
        <v>1</v>
      </c>
      <c r="E726" s="11" t="n">
        <f aca="false">(E714+E720)/E719</f>
        <v>1.19935703454662</v>
      </c>
      <c r="F726" s="11" t="n">
        <f aca="false">(F714+F720)/F719</f>
        <v>1.06378859108748</v>
      </c>
      <c r="G726" s="11" t="n">
        <f aca="false">(G714+G720)/G719</f>
        <v>1.00183369880905</v>
      </c>
      <c r="H726" s="3" t="s">
        <v>443</v>
      </c>
    </row>
    <row r="727" customFormat="false" ht="17.15" hidden="false" customHeight="false" outlineLevel="0" collapsed="false">
      <c r="A727" s="3" t="s">
        <v>388</v>
      </c>
      <c r="B727" s="0" t="s">
        <v>87</v>
      </c>
      <c r="D727" s="15" t="n">
        <f aca="false">D721/fx/D703*1000</f>
        <v>160.757158009399</v>
      </c>
      <c r="E727" s="15" t="n">
        <f aca="false">E721/fx/E703*1000</f>
        <v>180.408412082255</v>
      </c>
      <c r="F727" s="15" t="n">
        <f aca="false">F721/fx/F703*1000</f>
        <v>226.080719682557</v>
      </c>
      <c r="G727" s="15" t="n">
        <f aca="false">G721/fx/G703*1000</f>
        <v>240.003609778057</v>
      </c>
    </row>
    <row r="728" customFormat="false" ht="17.15" hidden="false" customHeight="false" outlineLevel="0" collapsed="false">
      <c r="A728" s="5" t="s">
        <v>444</v>
      </c>
    </row>
    <row r="729" customFormat="false" ht="17.15" hidden="false" customHeight="false" outlineLevel="0" collapsed="false">
      <c r="A729" s="3" t="s">
        <v>445</v>
      </c>
      <c r="B729" s="0" t="s">
        <v>47</v>
      </c>
      <c r="D729" s="11" t="n">
        <f aca="false">a26_gp/D723-d_ai_lo*D725</f>
        <v>0.314964442755356</v>
      </c>
      <c r="H729" s="7" t="s">
        <v>446</v>
      </c>
    </row>
    <row r="730" customFormat="false" ht="17.15" hidden="false" customHeight="false" outlineLevel="0" collapsed="false">
      <c r="A730" s="0" t="s">
        <v>447</v>
      </c>
      <c r="B730" s="0" t="s">
        <v>47</v>
      </c>
      <c r="D730" s="11" t="n">
        <f aca="false">D729+d_ai_lo</f>
        <v>0.354964442755356</v>
      </c>
      <c r="E730" s="11" t="n">
        <f aca="false">1-(1-$D$730)/E710</f>
        <v>0.354964442755356</v>
      </c>
      <c r="F730" s="11" t="n">
        <f aca="false">1-(1-$D$730)/F710</f>
        <v>0.335014889438511</v>
      </c>
      <c r="G730" s="11" t="n">
        <f aca="false">1-(1-$D$730)/G710</f>
        <v>0.306413379306834</v>
      </c>
      <c r="H730" s="7" t="s">
        <v>448</v>
      </c>
    </row>
    <row r="731" customFormat="false" ht="15" hidden="false" customHeight="false" outlineLevel="0" collapsed="false">
      <c r="A731" s="3" t="s">
        <v>324</v>
      </c>
      <c r="B731" s="0" t="s">
        <v>193</v>
      </c>
      <c r="C731" s="16" t="n">
        <f aca="false">a25_gp</f>
        <v>28.12</v>
      </c>
      <c r="D731" s="16" t="n">
        <f aca="false">a26_gp</f>
        <v>69.6235934</v>
      </c>
      <c r="E731" s="16" t="n">
        <f aca="false">E721*E730+E720*$D$729</f>
        <v>114.391235350867</v>
      </c>
      <c r="F731" s="16" t="n">
        <f aca="false">F721*F730+F720*$D$729</f>
        <v>158.742027755542</v>
      </c>
      <c r="G731" s="16" t="n">
        <f aca="false">G721*G730+G720*$D$729</f>
        <v>173.853150120471</v>
      </c>
    </row>
    <row r="732" customFormat="false" ht="15" hidden="false" customHeight="false" outlineLevel="0" collapsed="false">
      <c r="A732" s="3" t="s">
        <v>327</v>
      </c>
      <c r="B732" s="0" t="s">
        <v>47</v>
      </c>
      <c r="C732" s="11" t="n">
        <f aca="false">C731/C723</f>
        <v>0.298320620405046</v>
      </c>
      <c r="D732" s="11" t="n">
        <f aca="false">D731/D723</f>
        <v>0.338364442755356</v>
      </c>
      <c r="E732" s="11" t="n">
        <f aca="false">E731/E723</f>
        <v>0.343874958219273</v>
      </c>
      <c r="F732" s="11" t="n">
        <f aca="false">F731/F723</f>
        <v>0.33092872325369</v>
      </c>
      <c r="G732" s="11" t="n">
        <f aca="false">G731/G723</f>
        <v>0.307968206690716</v>
      </c>
    </row>
    <row r="733" customFormat="false" ht="15" hidden="false" customHeight="false" outlineLevel="0" collapsed="false">
      <c r="A733" s="3" t="s">
        <v>449</v>
      </c>
      <c r="B733" s="0" t="s">
        <v>193</v>
      </c>
      <c r="C733" s="16" t="n">
        <f aca="false">a25_opx</f>
        <v>9.012</v>
      </c>
      <c r="D733" s="16" t="n">
        <f aca="false">a26_opx</f>
        <v>14.0153081141857</v>
      </c>
      <c r="E733" s="16" t="n">
        <f aca="false">D733*(1+MAX(0,phi*E724))</f>
        <v>19.2009721164345</v>
      </c>
      <c r="F733" s="16" t="n">
        <f aca="false">E733*(1+MAX(0,phi*F724))</f>
        <v>24.2930699217129</v>
      </c>
      <c r="G733" s="16" t="n">
        <f aca="false">F733*(1+MAX(0,phi*G724))</f>
        <v>26.8707328651484</v>
      </c>
    </row>
    <row r="734" customFormat="false" ht="15" hidden="false" customHeight="false" outlineLevel="0" collapsed="false">
      <c r="A734" s="3" t="s">
        <v>329</v>
      </c>
      <c r="B734" s="0" t="s">
        <v>193</v>
      </c>
      <c r="C734" s="16" t="n">
        <f aca="false">C733</f>
        <v>9.012</v>
      </c>
      <c r="D734" s="16" t="n">
        <f aca="false">D733</f>
        <v>14.0153081141857</v>
      </c>
      <c r="E734" s="16" t="n">
        <f aca="false">E733+0*E723</f>
        <v>19.2009721164345</v>
      </c>
      <c r="F734" s="16" t="n">
        <f aca="false">F733+0*F723</f>
        <v>24.2930699217129</v>
      </c>
      <c r="G734" s="16" t="n">
        <f aca="false">G733+0*G723</f>
        <v>26.8707328651484</v>
      </c>
    </row>
    <row r="735" customFormat="false" ht="15" hidden="false" customHeight="false" outlineLevel="0" collapsed="false">
      <c r="A735" s="3" t="s">
        <v>332</v>
      </c>
      <c r="B735" s="0" t="s">
        <v>193</v>
      </c>
      <c r="C735" s="16" t="n">
        <f aca="false">C731-C734</f>
        <v>19.108</v>
      </c>
      <c r="D735" s="16" t="n">
        <f aca="false">D731-D734</f>
        <v>55.6082852858143</v>
      </c>
      <c r="E735" s="16" t="n">
        <f aca="false">E731-E734</f>
        <v>95.1902632344322</v>
      </c>
      <c r="F735" s="16" t="n">
        <f aca="false">F731-F734</f>
        <v>134.448957833829</v>
      </c>
      <c r="G735" s="16" t="n">
        <f aca="false">G731-G734</f>
        <v>146.982417255323</v>
      </c>
    </row>
    <row r="736" customFormat="false" ht="15" hidden="false" customHeight="false" outlineLevel="0" collapsed="false">
      <c r="A736" s="3" t="s">
        <v>335</v>
      </c>
      <c r="B736" s="0" t="s">
        <v>47</v>
      </c>
      <c r="C736" s="11" t="n">
        <f aca="false">C735/C723</f>
        <v>0.202713741632276</v>
      </c>
      <c r="D736" s="11" t="n">
        <f aca="false">D735/D723</f>
        <v>0.270251297648699</v>
      </c>
      <c r="E736" s="11" t="n">
        <f aca="false">E735/E723</f>
        <v>0.286154334221673</v>
      </c>
      <c r="F736" s="11" t="n">
        <f aca="false">F735/F723</f>
        <v>0.280285080062453</v>
      </c>
      <c r="G736" s="11" t="n">
        <f aca="false">G735/G723</f>
        <v>0.260368658409821</v>
      </c>
    </row>
    <row r="737" customFormat="false" ht="17.15" hidden="false" customHeight="false" outlineLevel="0" collapsed="false">
      <c r="A737" s="3" t="s">
        <v>337</v>
      </c>
      <c r="B737" s="0" t="s">
        <v>193</v>
      </c>
      <c r="E737" s="16" t="n">
        <f aca="false">nop_f</f>
        <v>0.5</v>
      </c>
      <c r="F737" s="16" t="n">
        <f aca="false">nop_f</f>
        <v>0.5</v>
      </c>
      <c r="G737" s="16" t="n">
        <f aca="false">nop_f</f>
        <v>0.5</v>
      </c>
      <c r="H737" s="7" t="s">
        <v>450</v>
      </c>
    </row>
    <row r="738" customFormat="false" ht="15" hidden="false" customHeight="false" outlineLevel="0" collapsed="false">
      <c r="A738" s="3" t="s">
        <v>340</v>
      </c>
      <c r="B738" s="0" t="s">
        <v>193</v>
      </c>
      <c r="C738" s="16" t="n">
        <f aca="false">a25_ni</f>
        <v>14.649</v>
      </c>
      <c r="D738" s="16" t="n">
        <f aca="false">a26_ni</f>
        <v>42.891099295</v>
      </c>
      <c r="E738" s="16" t="n">
        <f aca="false">(E735+E737)*nir_f</f>
        <v>73.6815026905128</v>
      </c>
      <c r="F738" s="16" t="n">
        <f aca="false">(F735+F737)*nir_f</f>
        <v>103.910697532048</v>
      </c>
      <c r="G738" s="16" t="n">
        <f aca="false">(G735+G737)*nir_f</f>
        <v>113.561461286598</v>
      </c>
    </row>
    <row r="739" customFormat="false" ht="17.15" hidden="false" customHeight="false" outlineLevel="0" collapsed="false">
      <c r="A739" s="3" t="s">
        <v>343</v>
      </c>
      <c r="B739" s="0" t="s">
        <v>47</v>
      </c>
      <c r="C739" s="11" t="n">
        <f aca="false">C738/C735</f>
        <v>0.766642244086247</v>
      </c>
      <c r="D739" s="11" t="n">
        <f aca="false">D738/D735</f>
        <v>0.771307712053146</v>
      </c>
      <c r="E739" s="11" t="n">
        <f aca="false">E738/E735</f>
        <v>0.774044531309382</v>
      </c>
      <c r="F739" s="11" t="n">
        <f aca="false">F738/F735</f>
        <v>0.772863540232687</v>
      </c>
      <c r="G739" s="11" t="n">
        <f aca="false">G738/G735</f>
        <v>0.772619360922138</v>
      </c>
    </row>
    <row r="740" customFormat="false" ht="15" hidden="false" customHeight="false" outlineLevel="0" collapsed="false">
      <c r="A740" s="3" t="s">
        <v>451</v>
      </c>
      <c r="B740" s="3" t="s">
        <v>222</v>
      </c>
      <c r="C740" s="18" t="n">
        <f aca="false">a25_sh</f>
        <v>0.351547876169906</v>
      </c>
      <c r="D740" s="18" t="n">
        <f aca="false">a26_sh</f>
        <v>0.358290155440415</v>
      </c>
      <c r="E740" s="18" t="n">
        <f aca="false">D740*(1+sh_g)</f>
        <v>0.358290155440415</v>
      </c>
      <c r="F740" s="18" t="n">
        <f aca="false">E740*(1+sh_g)</f>
        <v>0.358290155440415</v>
      </c>
      <c r="G740" s="18" t="n">
        <f aca="false">F740*(1+sh_g)</f>
        <v>0.358290155440415</v>
      </c>
    </row>
    <row r="741" customFormat="false" ht="15" hidden="false" customHeight="false" outlineLevel="0" collapsed="false">
      <c r="A741" s="0" t="s">
        <v>346</v>
      </c>
      <c r="B741" s="0" t="s">
        <v>253</v>
      </c>
      <c r="C741" s="17" t="n">
        <f aca="false">C738/C740</f>
        <v>41.67</v>
      </c>
      <c r="D741" s="17" t="n">
        <f aca="false">D738/D740</f>
        <v>119.710515747433</v>
      </c>
      <c r="E741" s="17" t="n">
        <f aca="false">E738/E740</f>
        <v>205.647578008228</v>
      </c>
      <c r="F741" s="17" t="n">
        <f aca="false">F738/F740</f>
        <v>290.018288122709</v>
      </c>
      <c r="G741" s="17" t="n">
        <f aca="false">G738/G740</f>
        <v>316.953897734107</v>
      </c>
    </row>
    <row r="742" customFormat="false" ht="17.15" hidden="false" customHeight="false" outlineLevel="0" collapsed="false">
      <c r="A742" s="0" t="s">
        <v>452</v>
      </c>
      <c r="B742" s="0" t="s">
        <v>47</v>
      </c>
      <c r="D742" s="11" t="n">
        <f aca="false">D741/C741-1</f>
        <v>1.87282255213422</v>
      </c>
      <c r="E742" s="11" t="n">
        <f aca="false">E741/D741-1</f>
        <v>0.717873962234915</v>
      </c>
      <c r="F742" s="11" t="n">
        <f aca="false">F741/E741-1</f>
        <v>0.410268435600567</v>
      </c>
      <c r="G742" s="11" t="n">
        <f aca="false">G741/F741-1</f>
        <v>0.0928755554891103</v>
      </c>
    </row>
    <row r="745" customFormat="false" ht="17.15" hidden="false" customHeight="false" outlineLevel="0" collapsed="false">
      <c r="A745" s="1" t="s">
        <v>666</v>
      </c>
    </row>
    <row r="746" customFormat="false" ht="17.15" hidden="false" customHeight="false" outlineLevel="0" collapsed="false">
      <c r="A746" s="4" t="s">
        <v>16</v>
      </c>
      <c r="B746" s="4" t="s">
        <v>17</v>
      </c>
      <c r="C746" s="8" t="s">
        <v>315</v>
      </c>
      <c r="D746" s="8" t="s">
        <v>401</v>
      </c>
      <c r="E746" s="8" t="s">
        <v>402</v>
      </c>
      <c r="F746" s="8" t="s">
        <v>403</v>
      </c>
      <c r="G746" s="8" t="s">
        <v>404</v>
      </c>
      <c r="H746" s="4" t="s">
        <v>369</v>
      </c>
    </row>
    <row r="747" customFormat="false" ht="17.15" hidden="false" customHeight="false" outlineLevel="0" collapsed="false">
      <c r="A747" s="5" t="s">
        <v>419</v>
      </c>
    </row>
    <row r="748" customFormat="false" ht="17.15" hidden="false" customHeight="false" outlineLevel="0" collapsed="false">
      <c r="A748" s="0" t="s">
        <v>420</v>
      </c>
      <c r="B748" s="0" t="s">
        <v>27</v>
      </c>
      <c r="D748" s="17" t="n">
        <f aca="false">itc_26*1</f>
        <v>781.872916666667</v>
      </c>
      <c r="E748" s="17" t="n">
        <f aca="false">itc_27*1*1</f>
        <v>1565.35</v>
      </c>
      <c r="F748" s="17" t="n">
        <f aca="false">itc_28*um28_A*1</f>
        <v>1984.26388888889</v>
      </c>
      <c r="G748" s="17" t="n">
        <f aca="false">itc_29*um29_A*1</f>
        <v>2260.39027777778</v>
      </c>
    </row>
    <row r="749" customFormat="false" ht="17.15" hidden="false" customHeight="false" outlineLevel="0" collapsed="false">
      <c r="A749" s="3" t="s">
        <v>421</v>
      </c>
      <c r="B749" s="0" t="s">
        <v>27</v>
      </c>
      <c r="D749" s="17" t="n">
        <f aca="false">itpg_gb*(1-vr26)+itpg_vr*vr26</f>
        <v>33.41403216</v>
      </c>
      <c r="E749" s="17" t="n">
        <f aca="false">itpg_vr</f>
        <v>37.586352</v>
      </c>
      <c r="F749" s="17" t="n">
        <f aca="false">itpg_vr</f>
        <v>37.586352</v>
      </c>
      <c r="G749" s="17" t="n">
        <f aca="false">itpg_vr</f>
        <v>37.586352</v>
      </c>
    </row>
    <row r="750" customFormat="false" ht="17.15" hidden="false" customHeight="false" outlineLevel="0" collapsed="false">
      <c r="A750" s="3" t="s">
        <v>422</v>
      </c>
      <c r="B750" s="0" t="s">
        <v>371</v>
      </c>
      <c r="D750" s="14" t="n">
        <f aca="false">D748/D749</f>
        <v>23.3995380420639</v>
      </c>
      <c r="E750" s="14" t="n">
        <f aca="false">E748/E749</f>
        <v>41.6467658260637</v>
      </c>
      <c r="F750" s="14" t="n">
        <f aca="false">F748/F749</f>
        <v>52.792138191248</v>
      </c>
      <c r="G750" s="14" t="n">
        <f aca="false">G748/G749</f>
        <v>60.1385917361116</v>
      </c>
    </row>
    <row r="751" customFormat="false" ht="17.15" hidden="false" customHeight="false" outlineLevel="0" collapsed="false">
      <c r="A751" s="3" t="s">
        <v>373</v>
      </c>
      <c r="B751" s="0" t="s">
        <v>87</v>
      </c>
      <c r="D751" s="15" t="n">
        <f aca="false">cmp_26</f>
        <v>190</v>
      </c>
      <c r="E751" s="15" t="n">
        <f aca="false">cmp_26*cmpx_27</f>
        <v>275.5</v>
      </c>
      <c r="F751" s="15" t="n">
        <f aca="false">cmp_26*cmpx_28</f>
        <v>304</v>
      </c>
      <c r="G751" s="15" t="n">
        <f aca="false">cmp_26*cmpx_29</f>
        <v>323</v>
      </c>
    </row>
    <row r="752" customFormat="false" ht="17.15" hidden="false" customHeight="false" outlineLevel="0" collapsed="false">
      <c r="A752" s="3" t="s">
        <v>375</v>
      </c>
      <c r="B752" s="0" t="s">
        <v>87</v>
      </c>
      <c r="D752" s="15" t="n">
        <f aca="false">sw_26</f>
        <v>90</v>
      </c>
      <c r="E752" s="15" t="n">
        <f aca="false">sw_26*swx_27</f>
        <v>126</v>
      </c>
      <c r="F752" s="15" t="n">
        <f aca="false">sw_26*swx_28</f>
        <v>144</v>
      </c>
      <c r="G752" s="15" t="n">
        <f aca="false">sw_26*swx_29</f>
        <v>157.5</v>
      </c>
    </row>
    <row r="753" customFormat="false" ht="17.15" hidden="false" customHeight="false" outlineLevel="0" collapsed="false">
      <c r="A753" s="3" t="s">
        <v>376</v>
      </c>
      <c r="B753" s="0" t="s">
        <v>87</v>
      </c>
      <c r="D753" s="15" t="n">
        <f aca="false">ubb_26</f>
        <v>70</v>
      </c>
      <c r="E753" s="15" t="n">
        <f aca="false">ubb_26*ubbx_27</f>
        <v>126</v>
      </c>
      <c r="F753" s="15" t="n">
        <f aca="false">ubb_26*ubbx_28</f>
        <v>161</v>
      </c>
      <c r="G753" s="15" t="n">
        <f aca="false">ubb_26*ubbx_29</f>
        <v>182</v>
      </c>
    </row>
    <row r="754" customFormat="false" ht="17.15" hidden="false" customHeight="false" outlineLevel="0" collapsed="false">
      <c r="A754" s="3" t="s">
        <v>423</v>
      </c>
      <c r="B754" s="0" t="s">
        <v>87</v>
      </c>
      <c r="D754" s="15" t="n">
        <f aca="false">D751+D752+D753</f>
        <v>350</v>
      </c>
      <c r="E754" s="15" t="n">
        <f aca="false">E751+E752+E753</f>
        <v>527.5</v>
      </c>
      <c r="F754" s="15" t="n">
        <f aca="false">F751+F752+F753</f>
        <v>609</v>
      </c>
      <c r="G754" s="15" t="n">
        <f aca="false">G751+G752+G753</f>
        <v>662.5</v>
      </c>
    </row>
    <row r="755" customFormat="false" ht="17.15" hidden="false" customHeight="false" outlineLevel="0" collapsed="false">
      <c r="A755" s="0" t="s">
        <v>424</v>
      </c>
      <c r="B755" s="0" t="s">
        <v>27</v>
      </c>
      <c r="D755" s="17" t="n">
        <f aca="false">D750*D754/1000</f>
        <v>8.18983831472237</v>
      </c>
      <c r="E755" s="17" t="n">
        <f aca="false">E750*E754/1000</f>
        <v>21.9686689732486</v>
      </c>
      <c r="F755" s="17" t="n">
        <f aca="false">F750*F754/1000</f>
        <v>32.15041215847</v>
      </c>
      <c r="G755" s="17" t="n">
        <f aca="false">G750*G754/1000</f>
        <v>39.8418170251739</v>
      </c>
    </row>
    <row r="756" customFormat="false" ht="17.15" hidden="false" customHeight="false" outlineLevel="0" collapsed="false">
      <c r="A756" s="0" t="s">
        <v>425</v>
      </c>
      <c r="B756" s="0" t="s">
        <v>193</v>
      </c>
      <c r="D756" s="16" t="n">
        <f aca="false">D755*fx</f>
        <v>262.074826071116</v>
      </c>
      <c r="E756" s="16" t="n">
        <f aca="false">E755*fx</f>
        <v>702.997407143955</v>
      </c>
      <c r="F756" s="16" t="n">
        <f aca="false">F755*fx</f>
        <v>1028.81318907104</v>
      </c>
      <c r="G756" s="16" t="n">
        <f aca="false">G755*fx</f>
        <v>1274.93814480557</v>
      </c>
    </row>
    <row r="757" customFormat="false" ht="17.15" hidden="false" customHeight="false" outlineLevel="0" collapsed="false">
      <c r="A757" s="0" t="s">
        <v>426</v>
      </c>
      <c r="B757" s="0" t="s">
        <v>60</v>
      </c>
      <c r="D757" s="12" t="n">
        <f aca="false">1</f>
        <v>1</v>
      </c>
      <c r="E757" s="12" t="n">
        <f aca="false">pp_27</f>
        <v>1</v>
      </c>
      <c r="F757" s="12" t="n">
        <f aca="false">pp_28</f>
        <v>0.97</v>
      </c>
      <c r="G757" s="12" t="n">
        <f aca="false">pp_29</f>
        <v>0.93</v>
      </c>
    </row>
    <row r="758" customFormat="false" ht="17.15" hidden="false" customHeight="false" outlineLevel="0" collapsed="false">
      <c r="A758" s="3" t="s">
        <v>427</v>
      </c>
      <c r="B758" s="0" t="s">
        <v>47</v>
      </c>
      <c r="D758" s="11" t="n">
        <f aca="false">a26_ai/D756</f>
        <v>0.459306165741139</v>
      </c>
      <c r="H758" s="7" t="s">
        <v>428</v>
      </c>
    </row>
    <row r="759" customFormat="false" ht="17.15" hidden="false" customHeight="false" outlineLevel="0" collapsed="false">
      <c r="A759" s="3" t="s">
        <v>429</v>
      </c>
      <c r="B759" s="0" t="s">
        <v>60</v>
      </c>
      <c r="D759" s="12" t="n">
        <f aca="false">1</f>
        <v>1</v>
      </c>
      <c r="E759" s="12" t="n">
        <f aca="false">rel_27</f>
        <v>0.95</v>
      </c>
      <c r="F759" s="12" t="n">
        <f aca="false">rel_28</f>
        <v>0.9</v>
      </c>
      <c r="G759" s="12" t="n">
        <f aca="false">rel_29</f>
        <v>0.85</v>
      </c>
    </row>
    <row r="760" customFormat="false" ht="15" hidden="false" customHeight="false" outlineLevel="0" collapsed="false">
      <c r="A760" s="3" t="s">
        <v>384</v>
      </c>
      <c r="B760" s="0" t="s">
        <v>47</v>
      </c>
      <c r="D760" s="11" t="n">
        <f aca="false">$D$758*D759</f>
        <v>0.459306165741139</v>
      </c>
      <c r="E760" s="11" t="n">
        <f aca="false">$D$758*E759</f>
        <v>0.436340857454082</v>
      </c>
      <c r="F760" s="11" t="n">
        <f aca="false">$D$758*F759</f>
        <v>0.413375549167025</v>
      </c>
      <c r="G760" s="11" t="n">
        <f aca="false">$D$758*G759</f>
        <v>0.390410240879968</v>
      </c>
    </row>
    <row r="761" customFormat="false" ht="17.15" hidden="false" customHeight="false" outlineLevel="0" collapsed="false">
      <c r="A761" s="0" t="s">
        <v>430</v>
      </c>
      <c r="B761" s="0" t="s">
        <v>193</v>
      </c>
      <c r="D761" s="16" t="n">
        <f aca="false">D756*D760*D757</f>
        <v>120.3725835</v>
      </c>
      <c r="E761" s="16" t="n">
        <f aca="false">E756*E760*E757</f>
        <v>306.746491421189</v>
      </c>
      <c r="F761" s="16" t="n">
        <f aca="false">F756*F760*F757</f>
        <v>412.527630511844</v>
      </c>
      <c r="G761" s="16" t="n">
        <f aca="false">G756*G760*G757</f>
        <v>462.906484645158</v>
      </c>
    </row>
    <row r="762" customFormat="false" ht="17.15" hidden="false" customHeight="false" outlineLevel="0" collapsed="false">
      <c r="A762" s="5" t="s">
        <v>431</v>
      </c>
    </row>
    <row r="763" customFormat="false" ht="15" hidden="false" customHeight="false" outlineLevel="0" collapsed="false">
      <c r="A763" s="3" t="s">
        <v>389</v>
      </c>
      <c r="B763" s="3" t="s">
        <v>144</v>
      </c>
      <c r="D763" s="12" t="n">
        <f aca="false">cap_26</f>
        <v>6</v>
      </c>
      <c r="E763" s="12" t="n">
        <f aca="false">cap_27</f>
        <v>7.76</v>
      </c>
      <c r="F763" s="12" t="n">
        <f aca="false">cap_28</f>
        <v>10.3</v>
      </c>
      <c r="G763" s="12" t="n">
        <f aca="false">cap_29</f>
        <v>11.8</v>
      </c>
    </row>
    <row r="764" customFormat="false" ht="17.15" hidden="false" customHeight="false" outlineLevel="0" collapsed="false">
      <c r="A764" s="3" t="s">
        <v>432</v>
      </c>
      <c r="B764" s="0" t="s">
        <v>392</v>
      </c>
      <c r="D764" s="15" t="n">
        <f aca="false">a26_rev/(D763*12)*1000</f>
        <v>2857.84861111111</v>
      </c>
      <c r="H764" s="7" t="s">
        <v>433</v>
      </c>
    </row>
    <row r="765" customFormat="false" ht="17.15" hidden="false" customHeight="false" outlineLevel="0" collapsed="false">
      <c r="A765" s="3" t="s">
        <v>434</v>
      </c>
      <c r="B765" s="0" t="s">
        <v>60</v>
      </c>
      <c r="D765" s="12" t="n">
        <f aca="false">1</f>
        <v>1</v>
      </c>
      <c r="E765" s="12" t="n">
        <f aca="false">mix_27</f>
        <v>1.25</v>
      </c>
      <c r="F765" s="12" t="n">
        <f aca="false">mix_28</f>
        <v>1.4</v>
      </c>
      <c r="G765" s="12" t="n">
        <f aca="false">mix_29</f>
        <v>1.5</v>
      </c>
    </row>
    <row r="766" customFormat="false" ht="17.15" hidden="false" customHeight="false" outlineLevel="0" collapsed="false">
      <c r="A766" s="3" t="s">
        <v>435</v>
      </c>
      <c r="B766" s="0" t="s">
        <v>193</v>
      </c>
      <c r="D766" s="16" t="n">
        <f aca="false">D763*12*$D$764*D765*D757/1000</f>
        <v>205.7651</v>
      </c>
      <c r="E766" s="16" t="n">
        <f aca="false">E763*12*$D$764*E765*E757/1000</f>
        <v>332.653578333333</v>
      </c>
      <c r="F766" s="16" t="n">
        <f aca="false">F763*12*$D$764*F765*F757/1000</f>
        <v>479.686459956667</v>
      </c>
      <c r="G766" s="16" t="n">
        <f aca="false">G763*12*$D$764*G765*G757/1000</f>
        <v>564.51655185</v>
      </c>
    </row>
    <row r="767" customFormat="false" ht="17.15" hidden="false" customHeight="false" outlineLevel="0" collapsed="false">
      <c r="A767" s="3" t="s">
        <v>436</v>
      </c>
      <c r="B767" s="0" t="s">
        <v>193</v>
      </c>
      <c r="C767" s="16" t="n">
        <f aca="false">a25_nai</f>
        <v>47.1305</v>
      </c>
      <c r="D767" s="16" t="n">
        <f aca="false">a26_nai</f>
        <v>85.3925165</v>
      </c>
      <c r="E767" s="16" t="n">
        <f aca="false">D767*(1+g_nai27)</f>
        <v>92.22391782</v>
      </c>
      <c r="F767" s="16" t="n">
        <f aca="false">E767*(1+g_nai28)</f>
        <v>97.7573528892</v>
      </c>
      <c r="G767" s="16" t="n">
        <f aca="false">F767*(1+g_nai29)</f>
        <v>102.64522053366</v>
      </c>
    </row>
    <row r="768" customFormat="false" ht="17.15" hidden="false" customHeight="false" outlineLevel="0" collapsed="false">
      <c r="A768" s="0" t="s">
        <v>437</v>
      </c>
      <c r="B768" s="0" t="s">
        <v>193</v>
      </c>
      <c r="C768" s="16" t="n">
        <f aca="false">a25_ai</f>
        <v>47.1305</v>
      </c>
      <c r="D768" s="16" t="n">
        <f aca="false">D761</f>
        <v>120.3725835</v>
      </c>
      <c r="E768" s="16" t="n">
        <f aca="false">MIN(E761,E766-E767)</f>
        <v>240.429660513333</v>
      </c>
      <c r="F768" s="16" t="n">
        <f aca="false">MIN(F761,F766-F767)</f>
        <v>381.929107067467</v>
      </c>
      <c r="G768" s="16" t="n">
        <f aca="false">MIN(G761,G766-G767)</f>
        <v>461.87133131634</v>
      </c>
      <c r="H768" s="3" t="s">
        <v>438</v>
      </c>
    </row>
    <row r="769" customFormat="false" ht="15" hidden="false" customHeight="false" outlineLevel="0" collapsed="false">
      <c r="A769" s="3" t="s">
        <v>439</v>
      </c>
      <c r="E769" s="0" t="str">
        <f aca="false">IF(E761&gt;E766-E767+0.0001,"受限","未受限")</f>
        <v>受限</v>
      </c>
      <c r="F769" s="0" t="str">
        <f aca="false">IF(F761&gt;F766-F767+0.0001,"受限","未受限")</f>
        <v>受限</v>
      </c>
      <c r="G769" s="0" t="str">
        <f aca="false">IF(G761&gt;G766-G767+0.0001,"受限","未受限")</f>
        <v>受限</v>
      </c>
    </row>
    <row r="770" customFormat="false" ht="15" hidden="false" customHeight="false" outlineLevel="0" collapsed="false">
      <c r="A770" s="3" t="s">
        <v>320</v>
      </c>
      <c r="B770" s="0" t="s">
        <v>193</v>
      </c>
      <c r="C770" s="16" t="n">
        <f aca="false">C768+C767</f>
        <v>94.261</v>
      </c>
      <c r="D770" s="16" t="n">
        <f aca="false">D768+D767</f>
        <v>205.7651</v>
      </c>
      <c r="E770" s="16" t="n">
        <f aca="false">E768+E767</f>
        <v>332.653578333333</v>
      </c>
      <c r="F770" s="16" t="n">
        <f aca="false">F768+F767</f>
        <v>479.686459956667</v>
      </c>
      <c r="G770" s="16" t="n">
        <f aca="false">G768+G767</f>
        <v>564.51655185</v>
      </c>
    </row>
    <row r="771" customFormat="false" ht="15" hidden="false" customHeight="false" outlineLevel="0" collapsed="false">
      <c r="A771" s="3" t="s">
        <v>440</v>
      </c>
      <c r="B771" s="0" t="s">
        <v>47</v>
      </c>
      <c r="D771" s="11" t="n">
        <f aca="false">D770/C770-1</f>
        <v>1.1829293132897</v>
      </c>
      <c r="E771" s="11" t="n">
        <f aca="false">E770/D770-1</f>
        <v>0.616666666666667</v>
      </c>
      <c r="F771" s="11" t="n">
        <f aca="false">F770/E770-1</f>
        <v>0.442</v>
      </c>
      <c r="G771" s="11" t="n">
        <f aca="false">G770/F770-1</f>
        <v>0.17684487467292</v>
      </c>
    </row>
    <row r="772" customFormat="false" ht="17.15" hidden="false" customHeight="false" outlineLevel="0" collapsed="false">
      <c r="A772" s="0" t="s">
        <v>441</v>
      </c>
      <c r="B772" s="0" t="s">
        <v>47</v>
      </c>
      <c r="C772" s="11" t="n">
        <f aca="false">C768/C770</f>
        <v>0.5</v>
      </c>
      <c r="D772" s="11" t="n">
        <f aca="false">D768/D770</f>
        <v>0.585</v>
      </c>
      <c r="E772" s="11" t="n">
        <f aca="false">E768/E770</f>
        <v>0.722762886597938</v>
      </c>
      <c r="F772" s="11" t="n">
        <f aca="false">F768/F770</f>
        <v>0.796205728012354</v>
      </c>
      <c r="G772" s="11" t="n">
        <f aca="false">G768/G770</f>
        <v>0.818171459814106</v>
      </c>
    </row>
    <row r="773" customFormat="false" ht="17.15" hidden="false" customHeight="false" outlineLevel="0" collapsed="false">
      <c r="A773" s="3" t="s">
        <v>442</v>
      </c>
      <c r="B773" s="0" t="s">
        <v>47</v>
      </c>
      <c r="D773" s="11" t="n">
        <f aca="false">(D761+D767)/D766</f>
        <v>1</v>
      </c>
      <c r="E773" s="11" t="n">
        <f aca="false">(E761+E767)/E766</f>
        <v>1.19935703454662</v>
      </c>
      <c r="F773" s="11" t="n">
        <f aca="false">(F761+F767)/F766</f>
        <v>1.06378859108748</v>
      </c>
      <c r="G773" s="11" t="n">
        <f aca="false">(G761+G767)/G766</f>
        <v>1.00183369880905</v>
      </c>
      <c r="H773" s="3" t="s">
        <v>443</v>
      </c>
    </row>
    <row r="774" customFormat="false" ht="17.15" hidden="false" customHeight="false" outlineLevel="0" collapsed="false">
      <c r="A774" s="3" t="s">
        <v>388</v>
      </c>
      <c r="B774" s="0" t="s">
        <v>87</v>
      </c>
      <c r="D774" s="15" t="n">
        <f aca="false">D768/fx/D750*1000</f>
        <v>160.757158009399</v>
      </c>
      <c r="E774" s="15" t="n">
        <f aca="false">E768/fx/E750*1000</f>
        <v>180.408412082255</v>
      </c>
      <c r="F774" s="15" t="n">
        <f aca="false">F768/fx/F750*1000</f>
        <v>226.080719682557</v>
      </c>
      <c r="G774" s="15" t="n">
        <f aca="false">G768/fx/G750*1000</f>
        <v>240.003609778057</v>
      </c>
    </row>
    <row r="775" customFormat="false" ht="17.15" hidden="false" customHeight="false" outlineLevel="0" collapsed="false">
      <c r="A775" s="5" t="s">
        <v>444</v>
      </c>
    </row>
    <row r="776" customFormat="false" ht="17.15" hidden="false" customHeight="false" outlineLevel="0" collapsed="false">
      <c r="A776" s="3" t="s">
        <v>445</v>
      </c>
      <c r="B776" s="0" t="s">
        <v>47</v>
      </c>
      <c r="D776" s="11" t="n">
        <f aca="false">a26_gp/D770-d_ai_hi*D772</f>
        <v>0.268164442755356</v>
      </c>
      <c r="H776" s="7" t="s">
        <v>446</v>
      </c>
    </row>
    <row r="777" customFormat="false" ht="17.15" hidden="false" customHeight="false" outlineLevel="0" collapsed="false">
      <c r="A777" s="0" t="s">
        <v>447</v>
      </c>
      <c r="B777" s="0" t="s">
        <v>47</v>
      </c>
      <c r="D777" s="11" t="n">
        <f aca="false">D776+d_ai_hi</f>
        <v>0.388164442755356</v>
      </c>
      <c r="E777" s="11" t="n">
        <f aca="false">1-(1-$D$777)/E757</f>
        <v>0.388164442755355</v>
      </c>
      <c r="F777" s="11" t="n">
        <f aca="false">1-(1-$D$777)/F757</f>
        <v>0.369241693562222</v>
      </c>
      <c r="G777" s="11" t="n">
        <f aca="false">1-(1-$D$777)/G757</f>
        <v>0.342112304038017</v>
      </c>
      <c r="H777" s="7" t="s">
        <v>448</v>
      </c>
    </row>
    <row r="778" customFormat="false" ht="15" hidden="false" customHeight="false" outlineLevel="0" collapsed="false">
      <c r="A778" s="3" t="s">
        <v>324</v>
      </c>
      <c r="B778" s="0" t="s">
        <v>193</v>
      </c>
      <c r="C778" s="16" t="n">
        <f aca="false">a25_gp</f>
        <v>28.12</v>
      </c>
      <c r="D778" s="16" t="n">
        <f aca="false">a26_gp</f>
        <v>69.6235934</v>
      </c>
      <c r="E778" s="16" t="n">
        <f aca="false">E768*E777+E767*$D$776</f>
        <v>118.057420725933</v>
      </c>
      <c r="F778" s="16" t="n">
        <f aca="false">F768*F777+F767*$D$776</f>
        <v>167.23919637707</v>
      </c>
      <c r="G778" s="16" t="n">
        <f aca="false">G768*G777+G767*$D$776</f>
        <v>185.537663691649</v>
      </c>
    </row>
    <row r="779" customFormat="false" ht="15" hidden="false" customHeight="false" outlineLevel="0" collapsed="false">
      <c r="A779" s="3" t="s">
        <v>327</v>
      </c>
      <c r="B779" s="0" t="s">
        <v>47</v>
      </c>
      <c r="C779" s="11" t="n">
        <f aca="false">C778/C770</f>
        <v>0.298320620405046</v>
      </c>
      <c r="D779" s="11" t="n">
        <f aca="false">D778/D770</f>
        <v>0.338364442755356</v>
      </c>
      <c r="E779" s="11" t="n">
        <f aca="false">E778/E770</f>
        <v>0.354895989147108</v>
      </c>
      <c r="F779" s="11" t="n">
        <f aca="false">F778/F770</f>
        <v>0.348642728819524</v>
      </c>
      <c r="G779" s="11" t="n">
        <f aca="false">G778/G770</f>
        <v>0.328666472371121</v>
      </c>
    </row>
    <row r="780" customFormat="false" ht="15" hidden="false" customHeight="false" outlineLevel="0" collapsed="false">
      <c r="A780" s="3" t="s">
        <v>449</v>
      </c>
      <c r="B780" s="0" t="s">
        <v>193</v>
      </c>
      <c r="C780" s="16" t="n">
        <f aca="false">a25_opx</f>
        <v>9.012</v>
      </c>
      <c r="D780" s="16" t="n">
        <f aca="false">a26_opx</f>
        <v>14.0153081141857</v>
      </c>
      <c r="E780" s="16" t="n">
        <f aca="false">D780*(1+MAX(0,phi*E771))</f>
        <v>19.2009721164345</v>
      </c>
      <c r="F780" s="16" t="n">
        <f aca="false">E780*(1+MAX(0,phi*F771))</f>
        <v>24.2930699217129</v>
      </c>
      <c r="G780" s="16" t="n">
        <f aca="false">F780*(1+MAX(0,phi*G771))</f>
        <v>26.8707328651484</v>
      </c>
    </row>
    <row r="781" customFormat="false" ht="15" hidden="false" customHeight="false" outlineLevel="0" collapsed="false">
      <c r="A781" s="3" t="s">
        <v>329</v>
      </c>
      <c r="B781" s="0" t="s">
        <v>193</v>
      </c>
      <c r="C781" s="16" t="n">
        <f aca="false">C780</f>
        <v>9.012</v>
      </c>
      <c r="D781" s="16" t="n">
        <f aca="false">D780</f>
        <v>14.0153081141857</v>
      </c>
      <c r="E781" s="16" t="n">
        <f aca="false">E780+0*E770</f>
        <v>19.2009721164345</v>
      </c>
      <c r="F781" s="16" t="n">
        <f aca="false">F780+0*F770</f>
        <v>24.2930699217129</v>
      </c>
      <c r="G781" s="16" t="n">
        <f aca="false">G780+0*G770</f>
        <v>26.8707328651484</v>
      </c>
    </row>
    <row r="782" customFormat="false" ht="15" hidden="false" customHeight="false" outlineLevel="0" collapsed="false">
      <c r="A782" s="3" t="s">
        <v>332</v>
      </c>
      <c r="B782" s="0" t="s">
        <v>193</v>
      </c>
      <c r="C782" s="16" t="n">
        <f aca="false">C778-C781</f>
        <v>19.108</v>
      </c>
      <c r="D782" s="16" t="n">
        <f aca="false">D778-D781</f>
        <v>55.6082852858143</v>
      </c>
      <c r="E782" s="16" t="n">
        <f aca="false">E778-E781</f>
        <v>98.8564486094989</v>
      </c>
      <c r="F782" s="16" t="n">
        <f aca="false">F778-F781</f>
        <v>142.946126455357</v>
      </c>
      <c r="G782" s="16" t="n">
        <f aca="false">G778-G781</f>
        <v>158.6669308265</v>
      </c>
    </row>
    <row r="783" customFormat="false" ht="15" hidden="false" customHeight="false" outlineLevel="0" collapsed="false">
      <c r="A783" s="3" t="s">
        <v>335</v>
      </c>
      <c r="B783" s="0" t="s">
        <v>47</v>
      </c>
      <c r="C783" s="11" t="n">
        <f aca="false">C782/C770</f>
        <v>0.202713741632276</v>
      </c>
      <c r="D783" s="11" t="n">
        <f aca="false">D782/D770</f>
        <v>0.270251297648699</v>
      </c>
      <c r="E783" s="11" t="n">
        <f aca="false">E782/E770</f>
        <v>0.297175365149508</v>
      </c>
      <c r="F783" s="11" t="n">
        <f aca="false">F782/F770</f>
        <v>0.297999085628287</v>
      </c>
      <c r="G783" s="11" t="n">
        <f aca="false">G782/G770</f>
        <v>0.281066924090227</v>
      </c>
    </row>
    <row r="784" customFormat="false" ht="17.15" hidden="false" customHeight="false" outlineLevel="0" collapsed="false">
      <c r="A784" s="3" t="s">
        <v>337</v>
      </c>
      <c r="B784" s="0" t="s">
        <v>193</v>
      </c>
      <c r="E784" s="16" t="n">
        <f aca="false">nop_f</f>
        <v>0.5</v>
      </c>
      <c r="F784" s="16" t="n">
        <f aca="false">nop_f</f>
        <v>0.5</v>
      </c>
      <c r="G784" s="16" t="n">
        <f aca="false">nop_f</f>
        <v>0.5</v>
      </c>
      <c r="H784" s="7" t="s">
        <v>450</v>
      </c>
    </row>
    <row r="785" customFormat="false" ht="15" hidden="false" customHeight="false" outlineLevel="0" collapsed="false">
      <c r="A785" s="3" t="s">
        <v>340</v>
      </c>
      <c r="B785" s="0" t="s">
        <v>193</v>
      </c>
      <c r="C785" s="16" t="n">
        <f aca="false">a25_ni</f>
        <v>14.649</v>
      </c>
      <c r="D785" s="16" t="n">
        <f aca="false">a26_ni</f>
        <v>42.891099295</v>
      </c>
      <c r="E785" s="16" t="n">
        <f aca="false">(E782+E784)*nir_f</f>
        <v>76.5044654293141</v>
      </c>
      <c r="F785" s="16" t="n">
        <f aca="false">(F782+F784)*nir_f</f>
        <v>110.453517370625</v>
      </c>
      <c r="G785" s="16" t="n">
        <f aca="false">(G782+G784)*nir_f</f>
        <v>122.558536736405</v>
      </c>
    </row>
    <row r="786" customFormat="false" ht="17.15" hidden="false" customHeight="false" outlineLevel="0" collapsed="false">
      <c r="A786" s="3" t="s">
        <v>343</v>
      </c>
      <c r="B786" s="0" t="s">
        <v>47</v>
      </c>
      <c r="C786" s="11" t="n">
        <f aca="false">C785/C782</f>
        <v>0.766642244086247</v>
      </c>
      <c r="D786" s="11" t="n">
        <f aca="false">D785/D782</f>
        <v>0.771307712053146</v>
      </c>
      <c r="E786" s="11" t="n">
        <f aca="false">E785/E782</f>
        <v>0.77389453602082</v>
      </c>
      <c r="F786" s="11" t="n">
        <f aca="false">F785/F782</f>
        <v>0.772693322369391</v>
      </c>
      <c r="G786" s="11" t="n">
        <f aca="false">G785/G782</f>
        <v>0.772426466548477</v>
      </c>
    </row>
    <row r="787" customFormat="false" ht="15" hidden="false" customHeight="false" outlineLevel="0" collapsed="false">
      <c r="A787" s="3" t="s">
        <v>451</v>
      </c>
      <c r="B787" s="3" t="s">
        <v>222</v>
      </c>
      <c r="C787" s="18" t="n">
        <f aca="false">a25_sh</f>
        <v>0.351547876169906</v>
      </c>
      <c r="D787" s="18" t="n">
        <f aca="false">a26_sh</f>
        <v>0.358290155440415</v>
      </c>
      <c r="E787" s="18" t="n">
        <f aca="false">D787*(1+sh_g)</f>
        <v>0.358290155440415</v>
      </c>
      <c r="F787" s="18" t="n">
        <f aca="false">E787*(1+sh_g)</f>
        <v>0.358290155440415</v>
      </c>
      <c r="G787" s="18" t="n">
        <f aca="false">F787*(1+sh_g)</f>
        <v>0.358290155440415</v>
      </c>
    </row>
    <row r="788" customFormat="false" ht="15" hidden="false" customHeight="false" outlineLevel="0" collapsed="false">
      <c r="A788" s="0" t="s">
        <v>346</v>
      </c>
      <c r="B788" s="0" t="s">
        <v>253</v>
      </c>
      <c r="C788" s="17" t="n">
        <f aca="false">C785/C787</f>
        <v>41.67</v>
      </c>
      <c r="D788" s="17" t="n">
        <f aca="false">D785/D787</f>
        <v>119.710515747433</v>
      </c>
      <c r="E788" s="17" t="n">
        <f aca="false">E785/E787</f>
        <v>213.52656294805</v>
      </c>
      <c r="F788" s="17" t="n">
        <f aca="false">F785/F787</f>
        <v>308.279520643971</v>
      </c>
      <c r="G788" s="17" t="n">
        <f aca="false">G785/G787</f>
        <v>342.065041071963</v>
      </c>
    </row>
    <row r="789" customFormat="false" ht="17.15" hidden="false" customHeight="false" outlineLevel="0" collapsed="false">
      <c r="A789" s="0" t="s">
        <v>452</v>
      </c>
      <c r="B789" s="0" t="s">
        <v>47</v>
      </c>
      <c r="D789" s="11" t="n">
        <f aca="false">D788/C788-1</f>
        <v>1.87282255213422</v>
      </c>
      <c r="E789" s="11" t="n">
        <f aca="false">E788/D788-1</f>
        <v>0.78369094490037</v>
      </c>
      <c r="F789" s="11" t="n">
        <f aca="false">F788/E788-1</f>
        <v>0.443752554191462</v>
      </c>
      <c r="G789" s="11" t="n">
        <f aca="false">G788/F788-1</f>
        <v>0.109593787992848</v>
      </c>
    </row>
    <row r="792" customFormat="false" ht="17.15" hidden="false" customHeight="false" outlineLevel="0" collapsed="false">
      <c r="A792" s="1" t="s">
        <v>667</v>
      </c>
    </row>
    <row r="793" customFormat="false" ht="17.15" hidden="false" customHeight="false" outlineLevel="0" collapsed="false">
      <c r="A793" s="4" t="s">
        <v>16</v>
      </c>
      <c r="B793" s="4" t="s">
        <v>17</v>
      </c>
      <c r="C793" s="8" t="s">
        <v>315</v>
      </c>
      <c r="D793" s="8" t="s">
        <v>401</v>
      </c>
      <c r="E793" s="8" t="s">
        <v>402</v>
      </c>
      <c r="F793" s="8" t="s">
        <v>403</v>
      </c>
      <c r="G793" s="8" t="s">
        <v>404</v>
      </c>
      <c r="H793" s="4" t="s">
        <v>369</v>
      </c>
    </row>
    <row r="794" customFormat="false" ht="17.15" hidden="false" customHeight="false" outlineLevel="0" collapsed="false">
      <c r="A794" s="5" t="s">
        <v>419</v>
      </c>
    </row>
    <row r="795" customFormat="false" ht="17.15" hidden="false" customHeight="false" outlineLevel="0" collapsed="false">
      <c r="A795" s="0" t="s">
        <v>420</v>
      </c>
      <c r="B795" s="0" t="s">
        <v>27</v>
      </c>
      <c r="D795" s="17" t="n">
        <f aca="false">itc_26*1</f>
        <v>781.872916666667</v>
      </c>
      <c r="E795" s="17" t="n">
        <f aca="false">itc_27*1*1</f>
        <v>1565.35</v>
      </c>
      <c r="F795" s="17" t="n">
        <f aca="false">itc_28*um28_A*1</f>
        <v>1984.26388888889</v>
      </c>
      <c r="G795" s="17" t="n">
        <f aca="false">itc_29*um29_A*1</f>
        <v>2260.39027777778</v>
      </c>
    </row>
    <row r="796" customFormat="false" ht="17.15" hidden="false" customHeight="false" outlineLevel="0" collapsed="false">
      <c r="A796" s="3" t="s">
        <v>421</v>
      </c>
      <c r="B796" s="0" t="s">
        <v>27</v>
      </c>
      <c r="D796" s="17" t="n">
        <f aca="false">itpg_gb*(1-vr26)+itpg_vr*vr26</f>
        <v>33.41403216</v>
      </c>
      <c r="E796" s="17" t="n">
        <f aca="false">itpg_vr</f>
        <v>37.586352</v>
      </c>
      <c r="F796" s="17" t="n">
        <f aca="false">itpg_vr</f>
        <v>37.586352</v>
      </c>
      <c r="G796" s="17" t="n">
        <f aca="false">itpg_vr</f>
        <v>37.586352</v>
      </c>
    </row>
    <row r="797" customFormat="false" ht="17.15" hidden="false" customHeight="false" outlineLevel="0" collapsed="false">
      <c r="A797" s="3" t="s">
        <v>422</v>
      </c>
      <c r="B797" s="0" t="s">
        <v>371</v>
      </c>
      <c r="D797" s="14" t="n">
        <f aca="false">D795/D796</f>
        <v>23.3995380420639</v>
      </c>
      <c r="E797" s="14" t="n">
        <f aca="false">E795/E796</f>
        <v>41.6467658260637</v>
      </c>
      <c r="F797" s="14" t="n">
        <f aca="false">F795/F796</f>
        <v>52.792138191248</v>
      </c>
      <c r="G797" s="14" t="n">
        <f aca="false">G795/G796</f>
        <v>60.1385917361116</v>
      </c>
    </row>
    <row r="798" customFormat="false" ht="17.15" hidden="false" customHeight="false" outlineLevel="0" collapsed="false">
      <c r="A798" s="3" t="s">
        <v>373</v>
      </c>
      <c r="B798" s="0" t="s">
        <v>87</v>
      </c>
      <c r="D798" s="15" t="n">
        <f aca="false">cmp_26</f>
        <v>190</v>
      </c>
      <c r="E798" s="15" t="n">
        <f aca="false">cmp_26*cmpx_27</f>
        <v>275.5</v>
      </c>
      <c r="F798" s="15" t="n">
        <f aca="false">cmp_26*cmpx_28</f>
        <v>304</v>
      </c>
      <c r="G798" s="15" t="n">
        <f aca="false">cmp_26*cmpx_29</f>
        <v>323</v>
      </c>
    </row>
    <row r="799" customFormat="false" ht="17.15" hidden="false" customHeight="false" outlineLevel="0" collapsed="false">
      <c r="A799" s="3" t="s">
        <v>375</v>
      </c>
      <c r="B799" s="0" t="s">
        <v>87</v>
      </c>
      <c r="D799" s="15" t="n">
        <f aca="false">sw_26</f>
        <v>90</v>
      </c>
      <c r="E799" s="15" t="n">
        <f aca="false">sw_26*swx_27</f>
        <v>126</v>
      </c>
      <c r="F799" s="15" t="n">
        <f aca="false">sw_26*swx_28</f>
        <v>144</v>
      </c>
      <c r="G799" s="15" t="n">
        <f aca="false">sw_26*swx_29</f>
        <v>157.5</v>
      </c>
    </row>
    <row r="800" customFormat="false" ht="17.15" hidden="false" customHeight="false" outlineLevel="0" collapsed="false">
      <c r="A800" s="3" t="s">
        <v>376</v>
      </c>
      <c r="B800" s="0" t="s">
        <v>87</v>
      </c>
      <c r="D800" s="15" t="n">
        <f aca="false">ubb_26</f>
        <v>70</v>
      </c>
      <c r="E800" s="15" t="n">
        <f aca="false">ubb_26*ubbx_27</f>
        <v>126</v>
      </c>
      <c r="F800" s="15" t="n">
        <f aca="false">ubb_26*ubbx_28</f>
        <v>161</v>
      </c>
      <c r="G800" s="15" t="n">
        <f aca="false">ubb_26*ubbx_29</f>
        <v>182</v>
      </c>
    </row>
    <row r="801" customFormat="false" ht="17.15" hidden="false" customHeight="false" outlineLevel="0" collapsed="false">
      <c r="A801" s="3" t="s">
        <v>423</v>
      </c>
      <c r="B801" s="0" t="s">
        <v>87</v>
      </c>
      <c r="D801" s="15" t="n">
        <f aca="false">D798+D799+D800</f>
        <v>350</v>
      </c>
      <c r="E801" s="15" t="n">
        <f aca="false">E798+E799+E800</f>
        <v>527.5</v>
      </c>
      <c r="F801" s="15" t="n">
        <f aca="false">F798+F799+F800</f>
        <v>609</v>
      </c>
      <c r="G801" s="15" t="n">
        <f aca="false">G798+G799+G800</f>
        <v>662.5</v>
      </c>
    </row>
    <row r="802" customFormat="false" ht="17.15" hidden="false" customHeight="false" outlineLevel="0" collapsed="false">
      <c r="A802" s="0" t="s">
        <v>424</v>
      </c>
      <c r="B802" s="0" t="s">
        <v>27</v>
      </c>
      <c r="D802" s="17" t="n">
        <f aca="false">D797*D801/1000</f>
        <v>8.18983831472237</v>
      </c>
      <c r="E802" s="17" t="n">
        <f aca="false">E797*E801/1000</f>
        <v>21.9686689732486</v>
      </c>
      <c r="F802" s="17" t="n">
        <f aca="false">F797*F801/1000</f>
        <v>32.15041215847</v>
      </c>
      <c r="G802" s="17" t="n">
        <f aca="false">G797*G801/1000</f>
        <v>39.8418170251739</v>
      </c>
    </row>
    <row r="803" customFormat="false" ht="17.15" hidden="false" customHeight="false" outlineLevel="0" collapsed="false">
      <c r="A803" s="0" t="s">
        <v>425</v>
      </c>
      <c r="B803" s="0" t="s">
        <v>193</v>
      </c>
      <c r="D803" s="16" t="n">
        <f aca="false">D802*fx</f>
        <v>262.074826071116</v>
      </c>
      <c r="E803" s="16" t="n">
        <f aca="false">E802*fx</f>
        <v>702.997407143955</v>
      </c>
      <c r="F803" s="16" t="n">
        <f aca="false">F802*fx</f>
        <v>1028.81318907104</v>
      </c>
      <c r="G803" s="16" t="n">
        <f aca="false">G802*fx</f>
        <v>1274.93814480557</v>
      </c>
    </row>
    <row r="804" customFormat="false" ht="17.15" hidden="false" customHeight="false" outlineLevel="0" collapsed="false">
      <c r="A804" s="0" t="s">
        <v>426</v>
      </c>
      <c r="B804" s="0" t="s">
        <v>60</v>
      </c>
      <c r="D804" s="12" t="n">
        <f aca="false">1</f>
        <v>1</v>
      </c>
      <c r="E804" s="12" t="n">
        <f aca="false">pp_27</f>
        <v>1</v>
      </c>
      <c r="F804" s="12" t="n">
        <f aca="false">pp_28</f>
        <v>0.97</v>
      </c>
      <c r="G804" s="12" t="n">
        <f aca="false">pp_29</f>
        <v>0.93</v>
      </c>
    </row>
    <row r="805" customFormat="false" ht="17.15" hidden="false" customHeight="false" outlineLevel="0" collapsed="false">
      <c r="A805" s="3" t="s">
        <v>427</v>
      </c>
      <c r="B805" s="0" t="s">
        <v>47</v>
      </c>
      <c r="D805" s="11" t="n">
        <f aca="false">a26_ai/D803</f>
        <v>0.459306165741139</v>
      </c>
      <c r="H805" s="7" t="s">
        <v>428</v>
      </c>
    </row>
    <row r="806" customFormat="false" ht="17.15" hidden="false" customHeight="false" outlineLevel="0" collapsed="false">
      <c r="A806" s="3" t="s">
        <v>429</v>
      </c>
      <c r="B806" s="0" t="s">
        <v>60</v>
      </c>
      <c r="D806" s="12" t="n">
        <f aca="false">1</f>
        <v>1</v>
      </c>
      <c r="E806" s="12" t="n">
        <f aca="false">rel_27</f>
        <v>0.95</v>
      </c>
      <c r="F806" s="12" t="n">
        <f aca="false">rel_28</f>
        <v>0.9</v>
      </c>
      <c r="G806" s="12" t="n">
        <f aca="false">rel_29</f>
        <v>0.85</v>
      </c>
    </row>
    <row r="807" customFormat="false" ht="15" hidden="false" customHeight="false" outlineLevel="0" collapsed="false">
      <c r="A807" s="3" t="s">
        <v>384</v>
      </c>
      <c r="B807" s="0" t="s">
        <v>47</v>
      </c>
      <c r="D807" s="11" t="n">
        <f aca="false">$D$805*D806</f>
        <v>0.459306165741139</v>
      </c>
      <c r="E807" s="11" t="n">
        <f aca="false">$D$805*E806</f>
        <v>0.436340857454082</v>
      </c>
      <c r="F807" s="11" t="n">
        <f aca="false">$D$805*F806</f>
        <v>0.413375549167025</v>
      </c>
      <c r="G807" s="11" t="n">
        <f aca="false">$D$805*G806</f>
        <v>0.390410240879968</v>
      </c>
    </row>
    <row r="808" customFormat="false" ht="17.15" hidden="false" customHeight="false" outlineLevel="0" collapsed="false">
      <c r="A808" s="0" t="s">
        <v>430</v>
      </c>
      <c r="B808" s="0" t="s">
        <v>193</v>
      </c>
      <c r="D808" s="16" t="n">
        <f aca="false">D803*D807*D804</f>
        <v>120.3725835</v>
      </c>
      <c r="E808" s="16" t="n">
        <f aca="false">E803*E807*E804</f>
        <v>306.746491421189</v>
      </c>
      <c r="F808" s="16" t="n">
        <f aca="false">F803*F807*F804</f>
        <v>412.527630511844</v>
      </c>
      <c r="G808" s="16" t="n">
        <f aca="false">G803*G807*G804</f>
        <v>462.906484645158</v>
      </c>
    </row>
    <row r="809" customFormat="false" ht="17.15" hidden="false" customHeight="false" outlineLevel="0" collapsed="false">
      <c r="A809" s="5" t="s">
        <v>431</v>
      </c>
    </row>
    <row r="810" customFormat="false" ht="15" hidden="false" customHeight="false" outlineLevel="0" collapsed="false">
      <c r="A810" s="3" t="s">
        <v>389</v>
      </c>
      <c r="B810" s="3" t="s">
        <v>144</v>
      </c>
      <c r="D810" s="12" t="n">
        <f aca="false">cap_26</f>
        <v>6</v>
      </c>
      <c r="E810" s="12" t="n">
        <f aca="false">cap_27</f>
        <v>7.76</v>
      </c>
      <c r="F810" s="12" t="n">
        <f aca="false">cap_28</f>
        <v>10.3</v>
      </c>
      <c r="G810" s="12" t="n">
        <f aca="false">cap_29</f>
        <v>11.8</v>
      </c>
    </row>
    <row r="811" customFormat="false" ht="17.15" hidden="false" customHeight="false" outlineLevel="0" collapsed="false">
      <c r="A811" s="3" t="s">
        <v>432</v>
      </c>
      <c r="B811" s="0" t="s">
        <v>392</v>
      </c>
      <c r="D811" s="15" t="n">
        <f aca="false">a26_rev/(D810*12)*1000</f>
        <v>2857.84861111111</v>
      </c>
      <c r="H811" s="7" t="s">
        <v>433</v>
      </c>
    </row>
    <row r="812" customFormat="false" ht="17.15" hidden="false" customHeight="false" outlineLevel="0" collapsed="false">
      <c r="A812" s="3" t="s">
        <v>434</v>
      </c>
      <c r="B812" s="0" t="s">
        <v>60</v>
      </c>
      <c r="D812" s="12" t="n">
        <f aca="false">1</f>
        <v>1</v>
      </c>
      <c r="E812" s="12" t="n">
        <f aca="false">mix_27</f>
        <v>1.25</v>
      </c>
      <c r="F812" s="12" t="n">
        <f aca="false">mix_28</f>
        <v>1.4</v>
      </c>
      <c r="G812" s="12" t="n">
        <f aca="false">mix_29</f>
        <v>1.5</v>
      </c>
    </row>
    <row r="813" customFormat="false" ht="17.15" hidden="false" customHeight="false" outlineLevel="0" collapsed="false">
      <c r="A813" s="3" t="s">
        <v>435</v>
      </c>
      <c r="B813" s="0" t="s">
        <v>193</v>
      </c>
      <c r="D813" s="16" t="n">
        <f aca="false">D810*12*$D$811*D812*D804/1000</f>
        <v>205.7651</v>
      </c>
      <c r="E813" s="16" t="n">
        <f aca="false">E810*12*$D$811*E812*E804/1000</f>
        <v>332.653578333333</v>
      </c>
      <c r="F813" s="16" t="n">
        <f aca="false">F810*12*$D$811*F812*F804/1000</f>
        <v>479.686459956667</v>
      </c>
      <c r="G813" s="16" t="n">
        <f aca="false">G810*12*$D$811*G812*G804/1000</f>
        <v>564.51655185</v>
      </c>
    </row>
    <row r="814" customFormat="false" ht="17.15" hidden="false" customHeight="false" outlineLevel="0" collapsed="false">
      <c r="A814" s="3" t="s">
        <v>436</v>
      </c>
      <c r="B814" s="0" t="s">
        <v>193</v>
      </c>
      <c r="C814" s="16" t="n">
        <f aca="false">a25_nai</f>
        <v>47.1305</v>
      </c>
      <c r="D814" s="16" t="n">
        <f aca="false">a26_nai</f>
        <v>85.3925165</v>
      </c>
      <c r="E814" s="16" t="n">
        <f aca="false">D814*(1+GNLO27)</f>
        <v>85.3925165</v>
      </c>
      <c r="F814" s="16" t="n">
        <f aca="false">E814*(1+GNLO28)</f>
        <v>85.3925165</v>
      </c>
      <c r="G814" s="16" t="n">
        <f aca="false">F814*(1+GNLO29)</f>
        <v>85.3925165</v>
      </c>
    </row>
    <row r="815" customFormat="false" ht="17.15" hidden="false" customHeight="false" outlineLevel="0" collapsed="false">
      <c r="A815" s="0" t="s">
        <v>437</v>
      </c>
      <c r="B815" s="0" t="s">
        <v>193</v>
      </c>
      <c r="C815" s="16" t="n">
        <f aca="false">a25_ai</f>
        <v>47.1305</v>
      </c>
      <c r="D815" s="16" t="n">
        <f aca="false">D808</f>
        <v>120.3725835</v>
      </c>
      <c r="E815" s="16" t="n">
        <f aca="false">MIN(E808,E813-E814)</f>
        <v>247.261061833333</v>
      </c>
      <c r="F815" s="16" t="n">
        <f aca="false">MIN(F808,F813-F814)</f>
        <v>394.293943456667</v>
      </c>
      <c r="G815" s="16" t="n">
        <f aca="false">MIN(G808,G813-G814)</f>
        <v>462.906484645158</v>
      </c>
      <c r="H815" s="3" t="s">
        <v>438</v>
      </c>
    </row>
    <row r="816" customFormat="false" ht="15" hidden="false" customHeight="false" outlineLevel="0" collapsed="false">
      <c r="A816" s="3" t="s">
        <v>439</v>
      </c>
      <c r="E816" s="0" t="str">
        <f aca="false">IF(E808&gt;E813-E814+0.0001,"受限","未受限")</f>
        <v>受限</v>
      </c>
      <c r="F816" s="0" t="str">
        <f aca="false">IF(F808&gt;F813-F814+0.0001,"受限","未受限")</f>
        <v>受限</v>
      </c>
      <c r="G816" s="0" t="str">
        <f aca="false">IF(G808&gt;G813-G814+0.0001,"受限","未受限")</f>
        <v>未受限</v>
      </c>
    </row>
    <row r="817" customFormat="false" ht="15" hidden="false" customHeight="false" outlineLevel="0" collapsed="false">
      <c r="A817" s="3" t="s">
        <v>320</v>
      </c>
      <c r="B817" s="0" t="s">
        <v>193</v>
      </c>
      <c r="C817" s="16" t="n">
        <f aca="false">C815+C814</f>
        <v>94.261</v>
      </c>
      <c r="D817" s="16" t="n">
        <f aca="false">D815+D814</f>
        <v>205.7651</v>
      </c>
      <c r="E817" s="16" t="n">
        <f aca="false">E815+E814</f>
        <v>332.653578333333</v>
      </c>
      <c r="F817" s="16" t="n">
        <f aca="false">F815+F814</f>
        <v>479.686459956667</v>
      </c>
      <c r="G817" s="16" t="n">
        <f aca="false">G815+G814</f>
        <v>548.299001145158</v>
      </c>
    </row>
    <row r="818" customFormat="false" ht="15" hidden="false" customHeight="false" outlineLevel="0" collapsed="false">
      <c r="A818" s="3" t="s">
        <v>440</v>
      </c>
      <c r="B818" s="0" t="s">
        <v>47</v>
      </c>
      <c r="D818" s="11" t="n">
        <f aca="false">D817/C817-1</f>
        <v>1.1829293132897</v>
      </c>
      <c r="E818" s="11" t="n">
        <f aca="false">E817/D817-1</f>
        <v>0.616666666666667</v>
      </c>
      <c r="F818" s="11" t="n">
        <f aca="false">F817/E817-1</f>
        <v>0.442</v>
      </c>
      <c r="G818" s="11" t="n">
        <f aca="false">G817/F817-1</f>
        <v>0.143036226610794</v>
      </c>
    </row>
    <row r="819" customFormat="false" ht="17.15" hidden="false" customHeight="false" outlineLevel="0" collapsed="false">
      <c r="A819" s="0" t="s">
        <v>441</v>
      </c>
      <c r="B819" s="0" t="s">
        <v>47</v>
      </c>
      <c r="C819" s="11" t="n">
        <f aca="false">C815/C817</f>
        <v>0.5</v>
      </c>
      <c r="D819" s="11" t="n">
        <f aca="false">D815/D817</f>
        <v>0.585</v>
      </c>
      <c r="E819" s="11" t="n">
        <f aca="false">E815/E817</f>
        <v>0.743298969072165</v>
      </c>
      <c r="F819" s="11" t="n">
        <f aca="false">F815/F817</f>
        <v>0.821982641520225</v>
      </c>
      <c r="G819" s="11" t="n">
        <f aca="false">G815/G817</f>
        <v>0.844259215643924</v>
      </c>
    </row>
    <row r="820" customFormat="false" ht="17.15" hidden="false" customHeight="false" outlineLevel="0" collapsed="false">
      <c r="A820" s="3" t="s">
        <v>442</v>
      </c>
      <c r="B820" s="0" t="s">
        <v>47</v>
      </c>
      <c r="D820" s="11" t="n">
        <f aca="false">(D808+D814)/D813</f>
        <v>1</v>
      </c>
      <c r="E820" s="11" t="n">
        <f aca="false">(E808+E814)/E813</f>
        <v>1.1788209520724</v>
      </c>
      <c r="F820" s="11" t="n">
        <f aca="false">(F808+F814)/F813</f>
        <v>1.03801167757961</v>
      </c>
      <c r="G820" s="11" t="n">
        <f aca="false">(G808+G814)/G813</f>
        <v>0.971271788840035</v>
      </c>
      <c r="H820" s="3" t="s">
        <v>443</v>
      </c>
    </row>
    <row r="821" customFormat="false" ht="17.15" hidden="false" customHeight="false" outlineLevel="0" collapsed="false">
      <c r="A821" s="3" t="s">
        <v>388</v>
      </c>
      <c r="B821" s="0" t="s">
        <v>87</v>
      </c>
      <c r="D821" s="15" t="n">
        <f aca="false">D815/fx/D797*1000</f>
        <v>160.757158009399</v>
      </c>
      <c r="E821" s="15" t="n">
        <f aca="false">E815/fx/E797*1000</f>
        <v>185.534411352921</v>
      </c>
      <c r="F821" s="15" t="n">
        <f aca="false">F815/fx/F797*1000</f>
        <v>233.40001286524</v>
      </c>
      <c r="G821" s="15" t="n">
        <f aca="false">G815/fx/G797*1000</f>
        <v>240.54150966217</v>
      </c>
    </row>
    <row r="822" customFormat="false" ht="17.15" hidden="false" customHeight="false" outlineLevel="0" collapsed="false">
      <c r="A822" s="5" t="s">
        <v>444</v>
      </c>
    </row>
    <row r="823" customFormat="false" ht="17.15" hidden="false" customHeight="false" outlineLevel="0" collapsed="false">
      <c r="A823" s="3" t="s">
        <v>445</v>
      </c>
      <c r="B823" s="0" t="s">
        <v>47</v>
      </c>
      <c r="D823" s="11" t="n">
        <f aca="false">a26_gp/D817-d_ai*D819</f>
        <v>0.291564442755356</v>
      </c>
      <c r="H823" s="7" t="s">
        <v>446</v>
      </c>
    </row>
    <row r="824" customFormat="false" ht="17.15" hidden="false" customHeight="false" outlineLevel="0" collapsed="false">
      <c r="A824" s="0" t="s">
        <v>447</v>
      </c>
      <c r="B824" s="0" t="s">
        <v>47</v>
      </c>
      <c r="D824" s="11" t="n">
        <f aca="false">D823+d_ai</f>
        <v>0.371564442755356</v>
      </c>
      <c r="E824" s="11" t="n">
        <f aca="false">1-(1-$D$824)/E804</f>
        <v>0.371564442755356</v>
      </c>
      <c r="F824" s="11" t="n">
        <f aca="false">1-(1-$D$824)/F804</f>
        <v>0.352128291500367</v>
      </c>
      <c r="G824" s="11" t="n">
        <f aca="false">1-(1-$D$824)/G804</f>
        <v>0.324262841672425</v>
      </c>
      <c r="H824" s="7" t="s">
        <v>448</v>
      </c>
    </row>
    <row r="825" customFormat="false" ht="15" hidden="false" customHeight="false" outlineLevel="0" collapsed="false">
      <c r="A825" s="3" t="s">
        <v>324</v>
      </c>
      <c r="B825" s="0" t="s">
        <v>193</v>
      </c>
      <c r="C825" s="16" t="n">
        <f aca="false">a25_gp</f>
        <v>28.12</v>
      </c>
      <c r="D825" s="16" t="n">
        <f aca="false">a26_gp</f>
        <v>69.6235934</v>
      </c>
      <c r="E825" s="16" t="n">
        <f aca="false">E815*E824+E814*$D$823</f>
        <v>116.770840144</v>
      </c>
      <c r="F825" s="16" t="n">
        <f aca="false">F815*F824+F814*$D$823</f>
        <v>163.739474147138</v>
      </c>
      <c r="G825" s="16" t="n">
        <f aca="false">G815*G824+G814*$D$823</f>
        <v>175.000793628432</v>
      </c>
    </row>
    <row r="826" customFormat="false" ht="15" hidden="false" customHeight="false" outlineLevel="0" collapsed="false">
      <c r="A826" s="3" t="s">
        <v>327</v>
      </c>
      <c r="B826" s="0" t="s">
        <v>47</v>
      </c>
      <c r="C826" s="11" t="n">
        <f aca="false">C825/C817</f>
        <v>0.298320620405046</v>
      </c>
      <c r="D826" s="11" t="n">
        <f aca="false">D825/D817</f>
        <v>0.338364442755356</v>
      </c>
      <c r="E826" s="11" t="n">
        <f aca="false">E825/E817</f>
        <v>0.351028360281129</v>
      </c>
      <c r="F826" s="11" t="n">
        <f aca="false">F825/F817</f>
        <v>0.341346875127411</v>
      </c>
      <c r="G826" s="11" t="n">
        <f aca="false">G825/G817</f>
        <v>0.319170367377893</v>
      </c>
    </row>
    <row r="827" customFormat="false" ht="15" hidden="false" customHeight="false" outlineLevel="0" collapsed="false">
      <c r="A827" s="3" t="s">
        <v>449</v>
      </c>
      <c r="B827" s="0" t="s">
        <v>193</v>
      </c>
      <c r="C827" s="16" t="n">
        <f aca="false">a25_opx</f>
        <v>9.012</v>
      </c>
      <c r="D827" s="16" t="n">
        <f aca="false">a26_opx</f>
        <v>14.0153081141857</v>
      </c>
      <c r="E827" s="16" t="n">
        <f aca="false">D827*(1+MAX(0,phi*E818))</f>
        <v>19.2009721164345</v>
      </c>
      <c r="F827" s="16" t="n">
        <f aca="false">E827*(1+MAX(0,phi*F818))</f>
        <v>24.2930699217129</v>
      </c>
      <c r="G827" s="16" t="n">
        <f aca="false">F827*(1+MAX(0,phi*G818))</f>
        <v>26.3779433543493</v>
      </c>
    </row>
    <row r="828" customFormat="false" ht="15" hidden="false" customHeight="false" outlineLevel="0" collapsed="false">
      <c r="A828" s="3" t="s">
        <v>329</v>
      </c>
      <c r="B828" s="0" t="s">
        <v>193</v>
      </c>
      <c r="C828" s="16" t="n">
        <f aca="false">C827</f>
        <v>9.012</v>
      </c>
      <c r="D828" s="16" t="n">
        <f aca="false">D827</f>
        <v>14.0153081141857</v>
      </c>
      <c r="E828" s="16" t="n">
        <f aca="false">E827+0*E817</f>
        <v>19.2009721164345</v>
      </c>
      <c r="F828" s="16" t="n">
        <f aca="false">F827+0*F817</f>
        <v>24.2930699217129</v>
      </c>
      <c r="G828" s="16" t="n">
        <f aca="false">G827+0*G817</f>
        <v>26.3779433543493</v>
      </c>
    </row>
    <row r="829" customFormat="false" ht="15" hidden="false" customHeight="false" outlineLevel="0" collapsed="false">
      <c r="A829" s="3" t="s">
        <v>332</v>
      </c>
      <c r="B829" s="0" t="s">
        <v>193</v>
      </c>
      <c r="C829" s="16" t="n">
        <f aca="false">C825-C828</f>
        <v>19.108</v>
      </c>
      <c r="D829" s="16" t="n">
        <f aca="false">D825-D828</f>
        <v>55.6082852858143</v>
      </c>
      <c r="E829" s="16" t="n">
        <f aca="false">E825-E828</f>
        <v>97.5698680275656</v>
      </c>
      <c r="F829" s="16" t="n">
        <f aca="false">F825-F828</f>
        <v>139.446404225425</v>
      </c>
      <c r="G829" s="16" t="n">
        <f aca="false">G825-G828</f>
        <v>148.622850274082</v>
      </c>
    </row>
    <row r="830" customFormat="false" ht="15" hidden="false" customHeight="false" outlineLevel="0" collapsed="false">
      <c r="A830" s="3" t="s">
        <v>335</v>
      </c>
      <c r="B830" s="0" t="s">
        <v>47</v>
      </c>
      <c r="C830" s="11" t="n">
        <f aca="false">C829/C817</f>
        <v>0.202713741632276</v>
      </c>
      <c r="D830" s="11" t="n">
        <f aca="false">D829/D817</f>
        <v>0.270251297648699</v>
      </c>
      <c r="E830" s="11" t="n">
        <f aca="false">E829/E817</f>
        <v>0.293307736283529</v>
      </c>
      <c r="F830" s="11" t="n">
        <f aca="false">F829/F817</f>
        <v>0.290703231936174</v>
      </c>
      <c r="G830" s="11" t="n">
        <f aca="false">G829/G817</f>
        <v>0.271061683431256</v>
      </c>
    </row>
    <row r="831" customFormat="false" ht="17.15" hidden="false" customHeight="false" outlineLevel="0" collapsed="false">
      <c r="A831" s="3" t="s">
        <v>337</v>
      </c>
      <c r="B831" s="0" t="s">
        <v>193</v>
      </c>
      <c r="E831" s="16" t="n">
        <f aca="false">nop_f</f>
        <v>0.5</v>
      </c>
      <c r="F831" s="16" t="n">
        <f aca="false">nop_f</f>
        <v>0.5</v>
      </c>
      <c r="G831" s="16" t="n">
        <f aca="false">nop_f</f>
        <v>0.5</v>
      </c>
      <c r="H831" s="7" t="s">
        <v>450</v>
      </c>
    </row>
    <row r="832" customFormat="false" ht="15" hidden="false" customHeight="false" outlineLevel="0" collapsed="false">
      <c r="A832" s="3" t="s">
        <v>340</v>
      </c>
      <c r="B832" s="0" t="s">
        <v>193</v>
      </c>
      <c r="C832" s="16" t="n">
        <f aca="false">a25_ni</f>
        <v>14.649</v>
      </c>
      <c r="D832" s="16" t="n">
        <f aca="false">a26_ni</f>
        <v>42.891099295</v>
      </c>
      <c r="E832" s="16" t="n">
        <f aca="false">(E829+E831)*nir_f</f>
        <v>75.5137983812255</v>
      </c>
      <c r="F832" s="16" t="n">
        <f aca="false">(F829+F831)*nir_f</f>
        <v>107.758731253577</v>
      </c>
      <c r="G832" s="16" t="n">
        <f aca="false">(G829+G831)*nir_f</f>
        <v>114.824594711044</v>
      </c>
    </row>
    <row r="833" customFormat="false" ht="17.15" hidden="false" customHeight="false" outlineLevel="0" collapsed="false">
      <c r="A833" s="3" t="s">
        <v>343</v>
      </c>
      <c r="B833" s="0" t="s">
        <v>47</v>
      </c>
      <c r="C833" s="11" t="n">
        <f aca="false">C832/C829</f>
        <v>0.766642244086247</v>
      </c>
      <c r="D833" s="11" t="n">
        <f aca="false">D832/D829</f>
        <v>0.771307712053146</v>
      </c>
      <c r="E833" s="11" t="n">
        <f aca="false">E832/E829</f>
        <v>0.773945890342818</v>
      </c>
      <c r="F833" s="11" t="n">
        <f aca="false">F832/F829</f>
        <v>0.772760917372797</v>
      </c>
      <c r="G833" s="11" t="n">
        <f aca="false">G832/G829</f>
        <v>0.772590449579523</v>
      </c>
    </row>
    <row r="834" customFormat="false" ht="15" hidden="false" customHeight="false" outlineLevel="0" collapsed="false">
      <c r="A834" s="3" t="s">
        <v>451</v>
      </c>
      <c r="B834" s="3" t="s">
        <v>222</v>
      </c>
      <c r="C834" s="18" t="n">
        <f aca="false">a25_sh</f>
        <v>0.351547876169906</v>
      </c>
      <c r="D834" s="18" t="n">
        <f aca="false">a26_sh</f>
        <v>0.358290155440415</v>
      </c>
      <c r="E834" s="18" t="n">
        <f aca="false">D834*(1+sh_g)</f>
        <v>0.358290155440415</v>
      </c>
      <c r="F834" s="18" t="n">
        <f aca="false">E834*(1+sh_g)</f>
        <v>0.358290155440415</v>
      </c>
      <c r="G834" s="18" t="n">
        <f aca="false">F834*(1+sh_g)</f>
        <v>0.358290155440415</v>
      </c>
    </row>
    <row r="835" customFormat="false" ht="15" hidden="false" customHeight="false" outlineLevel="0" collapsed="false">
      <c r="A835" s="0" t="s">
        <v>346</v>
      </c>
      <c r="B835" s="0" t="s">
        <v>253</v>
      </c>
      <c r="C835" s="17" t="n">
        <f aca="false">C832/C834</f>
        <v>41.67</v>
      </c>
      <c r="D835" s="17" t="n">
        <f aca="false">D832/D834</f>
        <v>119.710515747433</v>
      </c>
      <c r="E835" s="17" t="n">
        <f aca="false">E832/E834</f>
        <v>210.761577549913</v>
      </c>
      <c r="F835" s="17" t="n">
        <f aca="false">F832/F834</f>
        <v>300.758281011431</v>
      </c>
      <c r="G835" s="17" t="n">
        <f aca="false">G832/G834</f>
        <v>320.479346048176</v>
      </c>
    </row>
    <row r="836" customFormat="false" ht="17.15" hidden="false" customHeight="false" outlineLevel="0" collapsed="false">
      <c r="A836" s="0" t="s">
        <v>452</v>
      </c>
      <c r="B836" s="0" t="s">
        <v>47</v>
      </c>
      <c r="D836" s="11" t="n">
        <f aca="false">D835/C835-1</f>
        <v>1.87282255213422</v>
      </c>
      <c r="E836" s="11" t="n">
        <f aca="false">E835/D835-1</f>
        <v>0.760593680797275</v>
      </c>
      <c r="F836" s="11" t="n">
        <f aca="false">F835/E835-1</f>
        <v>0.427007163771129</v>
      </c>
      <c r="G836" s="11" t="n">
        <f aca="false">G835/F835-1</f>
        <v>0.0655711456071126</v>
      </c>
    </row>
    <row r="839" customFormat="false" ht="17.15" hidden="false" customHeight="false" outlineLevel="0" collapsed="false">
      <c r="A839" s="1" t="s">
        <v>668</v>
      </c>
    </row>
    <row r="840" customFormat="false" ht="17.15" hidden="false" customHeight="false" outlineLevel="0" collapsed="false">
      <c r="A840" s="4" t="s">
        <v>16</v>
      </c>
      <c r="B840" s="4" t="s">
        <v>17</v>
      </c>
      <c r="C840" s="8" t="s">
        <v>315</v>
      </c>
      <c r="D840" s="8" t="s">
        <v>401</v>
      </c>
      <c r="E840" s="8" t="s">
        <v>402</v>
      </c>
      <c r="F840" s="8" t="s">
        <v>403</v>
      </c>
      <c r="G840" s="8" t="s">
        <v>404</v>
      </c>
      <c r="H840" s="4" t="s">
        <v>369</v>
      </c>
    </row>
    <row r="841" customFormat="false" ht="17.15" hidden="false" customHeight="false" outlineLevel="0" collapsed="false">
      <c r="A841" s="5" t="s">
        <v>419</v>
      </c>
    </row>
    <row r="842" customFormat="false" ht="17.15" hidden="false" customHeight="false" outlineLevel="0" collapsed="false">
      <c r="A842" s="0" t="s">
        <v>420</v>
      </c>
      <c r="B842" s="0" t="s">
        <v>27</v>
      </c>
      <c r="D842" s="17" t="n">
        <f aca="false">itc_26*1</f>
        <v>781.872916666667</v>
      </c>
      <c r="E842" s="17" t="n">
        <f aca="false">itc_27*1*1</f>
        <v>1565.35</v>
      </c>
      <c r="F842" s="17" t="n">
        <f aca="false">itc_28*um28_A*1</f>
        <v>1984.26388888889</v>
      </c>
      <c r="G842" s="17" t="n">
        <f aca="false">itc_29*um29_A*1</f>
        <v>2260.39027777778</v>
      </c>
    </row>
    <row r="843" customFormat="false" ht="17.15" hidden="false" customHeight="false" outlineLevel="0" collapsed="false">
      <c r="A843" s="3" t="s">
        <v>421</v>
      </c>
      <c r="B843" s="0" t="s">
        <v>27</v>
      </c>
      <c r="D843" s="17" t="n">
        <f aca="false">itpg_gb*(1-vr26)+itpg_vr*vr26</f>
        <v>33.41403216</v>
      </c>
      <c r="E843" s="17" t="n">
        <f aca="false">itpg_vr</f>
        <v>37.586352</v>
      </c>
      <c r="F843" s="17" t="n">
        <f aca="false">itpg_vr</f>
        <v>37.586352</v>
      </c>
      <c r="G843" s="17" t="n">
        <f aca="false">itpg_vr</f>
        <v>37.586352</v>
      </c>
    </row>
    <row r="844" customFormat="false" ht="17.15" hidden="false" customHeight="false" outlineLevel="0" collapsed="false">
      <c r="A844" s="3" t="s">
        <v>422</v>
      </c>
      <c r="B844" s="0" t="s">
        <v>371</v>
      </c>
      <c r="D844" s="14" t="n">
        <f aca="false">D842/D843</f>
        <v>23.3995380420639</v>
      </c>
      <c r="E844" s="14" t="n">
        <f aca="false">E842/E843</f>
        <v>41.6467658260637</v>
      </c>
      <c r="F844" s="14" t="n">
        <f aca="false">F842/F843</f>
        <v>52.792138191248</v>
      </c>
      <c r="G844" s="14" t="n">
        <f aca="false">G842/G843</f>
        <v>60.1385917361116</v>
      </c>
    </row>
    <row r="845" customFormat="false" ht="17.15" hidden="false" customHeight="false" outlineLevel="0" collapsed="false">
      <c r="A845" s="3" t="s">
        <v>373</v>
      </c>
      <c r="B845" s="0" t="s">
        <v>87</v>
      </c>
      <c r="D845" s="15" t="n">
        <f aca="false">cmp_26</f>
        <v>190</v>
      </c>
      <c r="E845" s="15" t="n">
        <f aca="false">cmp_26*cmpx_27</f>
        <v>275.5</v>
      </c>
      <c r="F845" s="15" t="n">
        <f aca="false">cmp_26*cmpx_28</f>
        <v>304</v>
      </c>
      <c r="G845" s="15" t="n">
        <f aca="false">cmp_26*cmpx_29</f>
        <v>323</v>
      </c>
    </row>
    <row r="846" customFormat="false" ht="17.15" hidden="false" customHeight="false" outlineLevel="0" collapsed="false">
      <c r="A846" s="3" t="s">
        <v>375</v>
      </c>
      <c r="B846" s="0" t="s">
        <v>87</v>
      </c>
      <c r="D846" s="15" t="n">
        <f aca="false">sw_26</f>
        <v>90</v>
      </c>
      <c r="E846" s="15" t="n">
        <f aca="false">sw_26*swx_27</f>
        <v>126</v>
      </c>
      <c r="F846" s="15" t="n">
        <f aca="false">sw_26*swx_28</f>
        <v>144</v>
      </c>
      <c r="G846" s="15" t="n">
        <f aca="false">sw_26*swx_29</f>
        <v>157.5</v>
      </c>
    </row>
    <row r="847" customFormat="false" ht="17.15" hidden="false" customHeight="false" outlineLevel="0" collapsed="false">
      <c r="A847" s="3" t="s">
        <v>376</v>
      </c>
      <c r="B847" s="0" t="s">
        <v>87</v>
      </c>
      <c r="D847" s="15" t="n">
        <f aca="false">ubb_26</f>
        <v>70</v>
      </c>
      <c r="E847" s="15" t="n">
        <f aca="false">ubb_26*ubbx_27</f>
        <v>126</v>
      </c>
      <c r="F847" s="15" t="n">
        <f aca="false">ubb_26*ubbx_28</f>
        <v>161</v>
      </c>
      <c r="G847" s="15" t="n">
        <f aca="false">ubb_26*ubbx_29</f>
        <v>182</v>
      </c>
    </row>
    <row r="848" customFormat="false" ht="17.15" hidden="false" customHeight="false" outlineLevel="0" collapsed="false">
      <c r="A848" s="3" t="s">
        <v>423</v>
      </c>
      <c r="B848" s="0" t="s">
        <v>87</v>
      </c>
      <c r="D848" s="15" t="n">
        <f aca="false">D845+D846+D847</f>
        <v>350</v>
      </c>
      <c r="E848" s="15" t="n">
        <f aca="false">E845+E846+E847</f>
        <v>527.5</v>
      </c>
      <c r="F848" s="15" t="n">
        <f aca="false">F845+F846+F847</f>
        <v>609</v>
      </c>
      <c r="G848" s="15" t="n">
        <f aca="false">G845+G846+G847</f>
        <v>662.5</v>
      </c>
    </row>
    <row r="849" customFormat="false" ht="17.15" hidden="false" customHeight="false" outlineLevel="0" collapsed="false">
      <c r="A849" s="0" t="s">
        <v>424</v>
      </c>
      <c r="B849" s="0" t="s">
        <v>27</v>
      </c>
      <c r="D849" s="17" t="n">
        <f aca="false">D844*D848/1000</f>
        <v>8.18983831472237</v>
      </c>
      <c r="E849" s="17" t="n">
        <f aca="false">E844*E848/1000</f>
        <v>21.9686689732486</v>
      </c>
      <c r="F849" s="17" t="n">
        <f aca="false">F844*F848/1000</f>
        <v>32.15041215847</v>
      </c>
      <c r="G849" s="17" t="n">
        <f aca="false">G844*G848/1000</f>
        <v>39.8418170251739</v>
      </c>
    </row>
    <row r="850" customFormat="false" ht="17.15" hidden="false" customHeight="false" outlineLevel="0" collapsed="false">
      <c r="A850" s="0" t="s">
        <v>425</v>
      </c>
      <c r="B850" s="0" t="s">
        <v>193</v>
      </c>
      <c r="D850" s="16" t="n">
        <f aca="false">D849*fx</f>
        <v>262.074826071116</v>
      </c>
      <c r="E850" s="16" t="n">
        <f aca="false">E849*fx</f>
        <v>702.997407143955</v>
      </c>
      <c r="F850" s="16" t="n">
        <f aca="false">F849*fx</f>
        <v>1028.81318907104</v>
      </c>
      <c r="G850" s="16" t="n">
        <f aca="false">G849*fx</f>
        <v>1274.93814480557</v>
      </c>
    </row>
    <row r="851" customFormat="false" ht="17.15" hidden="false" customHeight="false" outlineLevel="0" collapsed="false">
      <c r="A851" s="0" t="s">
        <v>426</v>
      </c>
      <c r="B851" s="0" t="s">
        <v>60</v>
      </c>
      <c r="D851" s="12" t="n">
        <f aca="false">1</f>
        <v>1</v>
      </c>
      <c r="E851" s="12" t="n">
        <f aca="false">pp_27</f>
        <v>1</v>
      </c>
      <c r="F851" s="12" t="n">
        <f aca="false">pp_28</f>
        <v>0.97</v>
      </c>
      <c r="G851" s="12" t="n">
        <f aca="false">pp_29</f>
        <v>0.93</v>
      </c>
    </row>
    <row r="852" customFormat="false" ht="17.15" hidden="false" customHeight="false" outlineLevel="0" collapsed="false">
      <c r="A852" s="3" t="s">
        <v>427</v>
      </c>
      <c r="B852" s="0" t="s">
        <v>47</v>
      </c>
      <c r="D852" s="11" t="n">
        <f aca="false">a26_ai/D850</f>
        <v>0.459306165741139</v>
      </c>
      <c r="H852" s="7" t="s">
        <v>428</v>
      </c>
    </row>
    <row r="853" customFormat="false" ht="17.15" hidden="false" customHeight="false" outlineLevel="0" collapsed="false">
      <c r="A853" s="3" t="s">
        <v>429</v>
      </c>
      <c r="B853" s="0" t="s">
        <v>60</v>
      </c>
      <c r="D853" s="12" t="n">
        <f aca="false">1</f>
        <v>1</v>
      </c>
      <c r="E853" s="12" t="n">
        <f aca="false">rel_27</f>
        <v>0.95</v>
      </c>
      <c r="F853" s="12" t="n">
        <f aca="false">rel_28</f>
        <v>0.9</v>
      </c>
      <c r="G853" s="12" t="n">
        <f aca="false">rel_29</f>
        <v>0.85</v>
      </c>
    </row>
    <row r="854" customFormat="false" ht="15" hidden="false" customHeight="false" outlineLevel="0" collapsed="false">
      <c r="A854" s="3" t="s">
        <v>384</v>
      </c>
      <c r="B854" s="0" t="s">
        <v>47</v>
      </c>
      <c r="D854" s="11" t="n">
        <f aca="false">$D$852*D853</f>
        <v>0.459306165741139</v>
      </c>
      <c r="E854" s="11" t="n">
        <f aca="false">$D$852*E853</f>
        <v>0.436340857454082</v>
      </c>
      <c r="F854" s="11" t="n">
        <f aca="false">$D$852*F853</f>
        <v>0.413375549167025</v>
      </c>
      <c r="G854" s="11" t="n">
        <f aca="false">$D$852*G853</f>
        <v>0.390410240879968</v>
      </c>
    </row>
    <row r="855" customFormat="false" ht="17.15" hidden="false" customHeight="false" outlineLevel="0" collapsed="false">
      <c r="A855" s="0" t="s">
        <v>430</v>
      </c>
      <c r="B855" s="0" t="s">
        <v>193</v>
      </c>
      <c r="D855" s="16" t="n">
        <f aca="false">D850*D854*D851</f>
        <v>120.3725835</v>
      </c>
      <c r="E855" s="16" t="n">
        <f aca="false">E850*E854*E851</f>
        <v>306.746491421189</v>
      </c>
      <c r="F855" s="16" t="n">
        <f aca="false">F850*F854*F851</f>
        <v>412.527630511844</v>
      </c>
      <c r="G855" s="16" t="n">
        <f aca="false">G850*G854*G851</f>
        <v>462.906484645158</v>
      </c>
    </row>
    <row r="856" customFormat="false" ht="17.15" hidden="false" customHeight="false" outlineLevel="0" collapsed="false">
      <c r="A856" s="5" t="s">
        <v>431</v>
      </c>
    </row>
    <row r="857" customFormat="false" ht="15" hidden="false" customHeight="false" outlineLevel="0" collapsed="false">
      <c r="A857" s="3" t="s">
        <v>389</v>
      </c>
      <c r="B857" s="3" t="s">
        <v>144</v>
      </c>
      <c r="D857" s="12" t="n">
        <f aca="false">cap_26</f>
        <v>6</v>
      </c>
      <c r="E857" s="12" t="n">
        <f aca="false">cap_27</f>
        <v>7.76</v>
      </c>
      <c r="F857" s="12" t="n">
        <f aca="false">cap_28</f>
        <v>10.3</v>
      </c>
      <c r="G857" s="12" t="n">
        <f aca="false">cap_29</f>
        <v>11.8</v>
      </c>
    </row>
    <row r="858" customFormat="false" ht="17.15" hidden="false" customHeight="false" outlineLevel="0" collapsed="false">
      <c r="A858" s="3" t="s">
        <v>432</v>
      </c>
      <c r="B858" s="0" t="s">
        <v>392</v>
      </c>
      <c r="D858" s="15" t="n">
        <f aca="false">a26_rev/(D857*12)*1000</f>
        <v>2857.84861111111</v>
      </c>
      <c r="H858" s="7" t="s">
        <v>433</v>
      </c>
    </row>
    <row r="859" customFormat="false" ht="17.15" hidden="false" customHeight="false" outlineLevel="0" collapsed="false">
      <c r="A859" s="3" t="s">
        <v>434</v>
      </c>
      <c r="B859" s="0" t="s">
        <v>60</v>
      </c>
      <c r="D859" s="12" t="n">
        <f aca="false">1</f>
        <v>1</v>
      </c>
      <c r="E859" s="12" t="n">
        <f aca="false">mix_27</f>
        <v>1.25</v>
      </c>
      <c r="F859" s="12" t="n">
        <f aca="false">mix_28</f>
        <v>1.4</v>
      </c>
      <c r="G859" s="12" t="n">
        <f aca="false">mix_29</f>
        <v>1.5</v>
      </c>
    </row>
    <row r="860" customFormat="false" ht="17.15" hidden="false" customHeight="false" outlineLevel="0" collapsed="false">
      <c r="A860" s="3" t="s">
        <v>435</v>
      </c>
      <c r="B860" s="0" t="s">
        <v>193</v>
      </c>
      <c r="D860" s="16" t="n">
        <f aca="false">D857*12*$D$858*D859*D851/1000</f>
        <v>205.7651</v>
      </c>
      <c r="E860" s="16" t="n">
        <f aca="false">E857*12*$D$858*E859*E851/1000</f>
        <v>332.653578333333</v>
      </c>
      <c r="F860" s="16" t="n">
        <f aca="false">F857*12*$D$858*F859*F851/1000</f>
        <v>479.686459956667</v>
      </c>
      <c r="G860" s="16" t="n">
        <f aca="false">G857*12*$D$858*G859*G851/1000</f>
        <v>564.51655185</v>
      </c>
    </row>
    <row r="861" customFormat="false" ht="17.15" hidden="false" customHeight="false" outlineLevel="0" collapsed="false">
      <c r="A861" s="3" t="s">
        <v>436</v>
      </c>
      <c r="B861" s="0" t="s">
        <v>193</v>
      </c>
      <c r="C861" s="16" t="n">
        <f aca="false">a25_nai</f>
        <v>47.1305</v>
      </c>
      <c r="D861" s="16" t="n">
        <f aca="false">a26_nai</f>
        <v>85.3925165</v>
      </c>
      <c r="E861" s="16" t="n">
        <f aca="false">D861*(1+GNHI27)</f>
        <v>98.201393975</v>
      </c>
      <c r="F861" s="16" t="n">
        <f aca="false">E861*(1+GNHI28)</f>
        <v>109.985561252</v>
      </c>
      <c r="G861" s="16" t="n">
        <f aca="false">F861*(1+GNHI29)</f>
        <v>120.9841173772</v>
      </c>
    </row>
    <row r="862" customFormat="false" ht="17.15" hidden="false" customHeight="false" outlineLevel="0" collapsed="false">
      <c r="A862" s="0" t="s">
        <v>437</v>
      </c>
      <c r="B862" s="0" t="s">
        <v>193</v>
      </c>
      <c r="C862" s="16" t="n">
        <f aca="false">a25_ai</f>
        <v>47.1305</v>
      </c>
      <c r="D862" s="16" t="n">
        <f aca="false">D855</f>
        <v>120.3725835</v>
      </c>
      <c r="E862" s="16" t="n">
        <f aca="false">MIN(E855,E860-E861)</f>
        <v>234.452184358333</v>
      </c>
      <c r="F862" s="16" t="n">
        <f aca="false">MIN(F855,F860-F861)</f>
        <v>369.700898704667</v>
      </c>
      <c r="G862" s="16" t="n">
        <f aca="false">MIN(G855,G860-G861)</f>
        <v>443.5324344728</v>
      </c>
      <c r="H862" s="3" t="s">
        <v>438</v>
      </c>
    </row>
    <row r="863" customFormat="false" ht="15" hidden="false" customHeight="false" outlineLevel="0" collapsed="false">
      <c r="A863" s="3" t="s">
        <v>439</v>
      </c>
      <c r="E863" s="0" t="str">
        <f aca="false">IF(E855&gt;E860-E861+0.0001,"受限","未受限")</f>
        <v>受限</v>
      </c>
      <c r="F863" s="0" t="str">
        <f aca="false">IF(F855&gt;F860-F861+0.0001,"受限","未受限")</f>
        <v>受限</v>
      </c>
      <c r="G863" s="0" t="str">
        <f aca="false">IF(G855&gt;G860-G861+0.0001,"受限","未受限")</f>
        <v>受限</v>
      </c>
    </row>
    <row r="864" customFormat="false" ht="15" hidden="false" customHeight="false" outlineLevel="0" collapsed="false">
      <c r="A864" s="3" t="s">
        <v>320</v>
      </c>
      <c r="B864" s="0" t="s">
        <v>193</v>
      </c>
      <c r="C864" s="16" t="n">
        <f aca="false">C862+C861</f>
        <v>94.261</v>
      </c>
      <c r="D864" s="16" t="n">
        <f aca="false">D862+D861</f>
        <v>205.7651</v>
      </c>
      <c r="E864" s="16" t="n">
        <f aca="false">E862+E861</f>
        <v>332.653578333333</v>
      </c>
      <c r="F864" s="16" t="n">
        <f aca="false">F862+F861</f>
        <v>479.686459956667</v>
      </c>
      <c r="G864" s="16" t="n">
        <f aca="false">G862+G861</f>
        <v>564.51655185</v>
      </c>
    </row>
    <row r="865" customFormat="false" ht="15" hidden="false" customHeight="false" outlineLevel="0" collapsed="false">
      <c r="A865" s="3" t="s">
        <v>440</v>
      </c>
      <c r="B865" s="0" t="s">
        <v>47</v>
      </c>
      <c r="D865" s="11" t="n">
        <f aca="false">D864/C864-1</f>
        <v>1.1829293132897</v>
      </c>
      <c r="E865" s="11" t="n">
        <f aca="false">E864/D864-1</f>
        <v>0.616666666666667</v>
      </c>
      <c r="F865" s="11" t="n">
        <f aca="false">F864/E864-1</f>
        <v>0.442</v>
      </c>
      <c r="G865" s="11" t="n">
        <f aca="false">G864/F864-1</f>
        <v>0.17684487467292</v>
      </c>
    </row>
    <row r="866" customFormat="false" ht="17.15" hidden="false" customHeight="false" outlineLevel="0" collapsed="false">
      <c r="A866" s="0" t="s">
        <v>441</v>
      </c>
      <c r="B866" s="0" t="s">
        <v>47</v>
      </c>
      <c r="C866" s="11" t="n">
        <f aca="false">C862/C864</f>
        <v>0.5</v>
      </c>
      <c r="D866" s="11" t="n">
        <f aca="false">D862/D864</f>
        <v>0.585</v>
      </c>
      <c r="E866" s="11" t="n">
        <f aca="false">E862/E864</f>
        <v>0.70479381443299</v>
      </c>
      <c r="F866" s="11" t="n">
        <f aca="false">F862/F864</f>
        <v>0.77071364227805</v>
      </c>
      <c r="G866" s="11" t="n">
        <f aca="false">G862/G864</f>
        <v>0.78568543830873</v>
      </c>
    </row>
    <row r="867" customFormat="false" ht="17.15" hidden="false" customHeight="false" outlineLevel="0" collapsed="false">
      <c r="A867" s="3" t="s">
        <v>442</v>
      </c>
      <c r="B867" s="0" t="s">
        <v>47</v>
      </c>
      <c r="D867" s="11" t="n">
        <f aca="false">(D855+D861)/D860</f>
        <v>1</v>
      </c>
      <c r="E867" s="11" t="n">
        <f aca="false">(E855+E861)/E860</f>
        <v>1.21732610671157</v>
      </c>
      <c r="F867" s="11" t="n">
        <f aca="false">(F855+F861)/F860</f>
        <v>1.08928067682179</v>
      </c>
      <c r="G867" s="11" t="n">
        <f aca="false">(G855+G861)/G860</f>
        <v>1.03431972031443</v>
      </c>
      <c r="H867" s="3" t="s">
        <v>443</v>
      </c>
    </row>
    <row r="868" customFormat="false" ht="17.15" hidden="false" customHeight="false" outlineLevel="0" collapsed="false">
      <c r="A868" s="3" t="s">
        <v>388</v>
      </c>
      <c r="B868" s="0" t="s">
        <v>87</v>
      </c>
      <c r="D868" s="15" t="n">
        <f aca="false">D862/fx/D844*1000</f>
        <v>160.757158009399</v>
      </c>
      <c r="E868" s="15" t="n">
        <f aca="false">E862/fx/E844*1000</f>
        <v>175.923162720422</v>
      </c>
      <c r="F868" s="15" t="n">
        <f aca="false">F862/fx/F844*1000</f>
        <v>218.842302667637</v>
      </c>
      <c r="G868" s="15" t="n">
        <f aca="false">G862/fx/G844*1000</f>
        <v>230.474112830817</v>
      </c>
    </row>
    <row r="869" customFormat="false" ht="17.15" hidden="false" customHeight="false" outlineLevel="0" collapsed="false">
      <c r="A869" s="5" t="s">
        <v>444</v>
      </c>
    </row>
    <row r="870" customFormat="false" ht="17.15" hidden="false" customHeight="false" outlineLevel="0" collapsed="false">
      <c r="A870" s="3" t="s">
        <v>445</v>
      </c>
      <c r="B870" s="0" t="s">
        <v>47</v>
      </c>
      <c r="D870" s="11" t="n">
        <f aca="false">a26_gp/D864-d_ai*D866</f>
        <v>0.291564442755356</v>
      </c>
      <c r="H870" s="7" t="s">
        <v>446</v>
      </c>
    </row>
    <row r="871" customFormat="false" ht="17.15" hidden="false" customHeight="false" outlineLevel="0" collapsed="false">
      <c r="A871" s="0" t="s">
        <v>447</v>
      </c>
      <c r="B871" s="0" t="s">
        <v>47</v>
      </c>
      <c r="D871" s="11" t="n">
        <f aca="false">D870+d_ai</f>
        <v>0.371564442755356</v>
      </c>
      <c r="E871" s="11" t="n">
        <f aca="false">1-(1-$D$871)/E851</f>
        <v>0.371564442755356</v>
      </c>
      <c r="F871" s="11" t="n">
        <f aca="false">1-(1-$D$871)/F851</f>
        <v>0.352128291500367</v>
      </c>
      <c r="G871" s="11" t="n">
        <f aca="false">1-(1-$D$871)/G851</f>
        <v>0.324262841672425</v>
      </c>
      <c r="H871" s="7" t="s">
        <v>448</v>
      </c>
    </row>
    <row r="872" customFormat="false" ht="15" hidden="false" customHeight="false" outlineLevel="0" collapsed="false">
      <c r="A872" s="3" t="s">
        <v>324</v>
      </c>
      <c r="B872" s="0" t="s">
        <v>193</v>
      </c>
      <c r="C872" s="16" t="n">
        <f aca="false">a25_gp</f>
        <v>28.12</v>
      </c>
      <c r="D872" s="16" t="n">
        <f aca="false">a26_gp</f>
        <v>69.6235934</v>
      </c>
      <c r="E872" s="16" t="n">
        <f aca="false">E862*E871+E861*$D$870</f>
        <v>115.746129946</v>
      </c>
      <c r="F872" s="16" t="n">
        <f aca="false">F862*F871+F861*$D$870</f>
        <v>162.250024704599</v>
      </c>
      <c r="G872" s="16" t="n">
        <f aca="false">G862*G871+G861*$D$870</f>
        <v>179.095754341371</v>
      </c>
    </row>
    <row r="873" customFormat="false" ht="15" hidden="false" customHeight="false" outlineLevel="0" collapsed="false">
      <c r="A873" s="3" t="s">
        <v>327</v>
      </c>
      <c r="B873" s="0" t="s">
        <v>47</v>
      </c>
      <c r="C873" s="11" t="n">
        <f aca="false">C872/C864</f>
        <v>0.298320620405046</v>
      </c>
      <c r="D873" s="11" t="n">
        <f aca="false">D872/D864</f>
        <v>0.338364442755356</v>
      </c>
      <c r="E873" s="11" t="n">
        <f aca="false">E872/E864</f>
        <v>0.347947947909995</v>
      </c>
      <c r="F873" s="11" t="n">
        <f aca="false">F872/F864</f>
        <v>0.338241827212</v>
      </c>
      <c r="G873" s="11" t="n">
        <f aca="false">G872/G864</f>
        <v>0.317255098640507</v>
      </c>
    </row>
    <row r="874" customFormat="false" ht="15" hidden="false" customHeight="false" outlineLevel="0" collapsed="false">
      <c r="A874" s="3" t="s">
        <v>449</v>
      </c>
      <c r="B874" s="0" t="s">
        <v>193</v>
      </c>
      <c r="C874" s="16" t="n">
        <f aca="false">a25_opx</f>
        <v>9.012</v>
      </c>
      <c r="D874" s="16" t="n">
        <f aca="false">a26_opx</f>
        <v>14.0153081141857</v>
      </c>
      <c r="E874" s="16" t="n">
        <f aca="false">D874*(1+MAX(0,phi*E865))</f>
        <v>19.2009721164345</v>
      </c>
      <c r="F874" s="16" t="n">
        <f aca="false">E874*(1+MAX(0,phi*F865))</f>
        <v>24.2930699217129</v>
      </c>
      <c r="G874" s="16" t="n">
        <f aca="false">F874*(1+MAX(0,phi*G865))</f>
        <v>26.8707328651484</v>
      </c>
    </row>
    <row r="875" customFormat="false" ht="15" hidden="false" customHeight="false" outlineLevel="0" collapsed="false">
      <c r="A875" s="3" t="s">
        <v>329</v>
      </c>
      <c r="B875" s="0" t="s">
        <v>193</v>
      </c>
      <c r="C875" s="16" t="n">
        <f aca="false">C874</f>
        <v>9.012</v>
      </c>
      <c r="D875" s="16" t="n">
        <f aca="false">D874</f>
        <v>14.0153081141857</v>
      </c>
      <c r="E875" s="16" t="n">
        <f aca="false">E874+0*E864</f>
        <v>19.2009721164345</v>
      </c>
      <c r="F875" s="16" t="n">
        <f aca="false">F874+0*F864</f>
        <v>24.2930699217129</v>
      </c>
      <c r="G875" s="16" t="n">
        <f aca="false">G874+0*G864</f>
        <v>26.8707328651484</v>
      </c>
    </row>
    <row r="876" customFormat="false" ht="15" hidden="false" customHeight="false" outlineLevel="0" collapsed="false">
      <c r="A876" s="3" t="s">
        <v>332</v>
      </c>
      <c r="B876" s="0" t="s">
        <v>193</v>
      </c>
      <c r="C876" s="16" t="n">
        <f aca="false">C872-C875</f>
        <v>19.108</v>
      </c>
      <c r="D876" s="16" t="n">
        <f aca="false">D872-D875</f>
        <v>55.6082852858143</v>
      </c>
      <c r="E876" s="16" t="n">
        <f aca="false">E872-E875</f>
        <v>96.5451578295655</v>
      </c>
      <c r="F876" s="16" t="n">
        <f aca="false">F872-F875</f>
        <v>137.956954782886</v>
      </c>
      <c r="G876" s="16" t="n">
        <f aca="false">G872-G875</f>
        <v>152.225021476222</v>
      </c>
    </row>
    <row r="877" customFormat="false" ht="15" hidden="false" customHeight="false" outlineLevel="0" collapsed="false">
      <c r="A877" s="3" t="s">
        <v>335</v>
      </c>
      <c r="B877" s="0" t="s">
        <v>47</v>
      </c>
      <c r="C877" s="11" t="n">
        <f aca="false">C876/C864</f>
        <v>0.202713741632276</v>
      </c>
      <c r="D877" s="11" t="n">
        <f aca="false">D876/D864</f>
        <v>0.270251297648699</v>
      </c>
      <c r="E877" s="11" t="n">
        <f aca="false">E876/E864</f>
        <v>0.290227323912395</v>
      </c>
      <c r="F877" s="11" t="n">
        <f aca="false">F876/F864</f>
        <v>0.287598184020763</v>
      </c>
      <c r="G877" s="11" t="n">
        <f aca="false">G876/G864</f>
        <v>0.269655550359612</v>
      </c>
    </row>
    <row r="878" customFormat="false" ht="17.15" hidden="false" customHeight="false" outlineLevel="0" collapsed="false">
      <c r="A878" s="3" t="s">
        <v>337</v>
      </c>
      <c r="B878" s="0" t="s">
        <v>193</v>
      </c>
      <c r="E878" s="16" t="n">
        <f aca="false">nop_f</f>
        <v>0.5</v>
      </c>
      <c r="F878" s="16" t="n">
        <f aca="false">nop_f</f>
        <v>0.5</v>
      </c>
      <c r="G878" s="16" t="n">
        <f aca="false">nop_f</f>
        <v>0.5</v>
      </c>
      <c r="H878" s="7" t="s">
        <v>450</v>
      </c>
    </row>
    <row r="879" customFormat="false" ht="15" hidden="false" customHeight="false" outlineLevel="0" collapsed="false">
      <c r="A879" s="3" t="s">
        <v>340</v>
      </c>
      <c r="B879" s="0" t="s">
        <v>193</v>
      </c>
      <c r="C879" s="16" t="n">
        <f aca="false">a25_ni</f>
        <v>14.649</v>
      </c>
      <c r="D879" s="16" t="n">
        <f aca="false">a26_ni</f>
        <v>42.891099295</v>
      </c>
      <c r="E879" s="16" t="n">
        <f aca="false">(E876+E878)*nir_f</f>
        <v>74.7247715287655</v>
      </c>
      <c r="F879" s="16" t="n">
        <f aca="false">(F876+F878)*nir_f</f>
        <v>106.611855182822</v>
      </c>
      <c r="G879" s="16" t="n">
        <f aca="false">(G876+G878)*nir_f</f>
        <v>117.598266536691</v>
      </c>
    </row>
    <row r="880" customFormat="false" ht="17.15" hidden="false" customHeight="false" outlineLevel="0" collapsed="false">
      <c r="A880" s="3" t="s">
        <v>343</v>
      </c>
      <c r="B880" s="0" t="s">
        <v>47</v>
      </c>
      <c r="C880" s="11" t="n">
        <f aca="false">C879/C876</f>
        <v>0.766642244086247</v>
      </c>
      <c r="D880" s="11" t="n">
        <f aca="false">D879/D876</f>
        <v>0.771307712053146</v>
      </c>
      <c r="E880" s="11" t="n">
        <f aca="false">E879/E876</f>
        <v>0.773987771201117</v>
      </c>
      <c r="F880" s="11" t="n">
        <f aca="false">F879/F876</f>
        <v>0.77279072556078</v>
      </c>
      <c r="G880" s="11" t="n">
        <f aca="false">G879/G876</f>
        <v>0.772529150571085</v>
      </c>
    </row>
    <row r="881" customFormat="false" ht="15" hidden="false" customHeight="false" outlineLevel="0" collapsed="false">
      <c r="A881" s="3" t="s">
        <v>451</v>
      </c>
      <c r="B881" s="3" t="s">
        <v>222</v>
      </c>
      <c r="C881" s="18" t="n">
        <f aca="false">a25_sh</f>
        <v>0.351547876169906</v>
      </c>
      <c r="D881" s="18" t="n">
        <f aca="false">a26_sh</f>
        <v>0.358290155440415</v>
      </c>
      <c r="E881" s="18" t="n">
        <f aca="false">D881*(1+sh_g)</f>
        <v>0.358290155440415</v>
      </c>
      <c r="F881" s="18" t="n">
        <f aca="false">E881*(1+sh_g)</f>
        <v>0.358290155440415</v>
      </c>
      <c r="G881" s="18" t="n">
        <f aca="false">F881*(1+sh_g)</f>
        <v>0.358290155440415</v>
      </c>
    </row>
    <row r="882" customFormat="false" ht="15" hidden="false" customHeight="false" outlineLevel="0" collapsed="false">
      <c r="A882" s="0" t="s">
        <v>346</v>
      </c>
      <c r="B882" s="0" t="s">
        <v>253</v>
      </c>
      <c r="C882" s="17" t="n">
        <f aca="false">C879/C881</f>
        <v>41.67</v>
      </c>
      <c r="D882" s="17" t="n">
        <f aca="false">D879/D881</f>
        <v>119.710515747433</v>
      </c>
      <c r="E882" s="17" t="n">
        <f aca="false">E879/E881</f>
        <v>208.559376790336</v>
      </c>
      <c r="F882" s="17" t="n">
        <f aca="false">F879/F881</f>
        <v>297.55731092241</v>
      </c>
      <c r="G882" s="17" t="n">
        <f aca="false">G879/G881</f>
        <v>328.220758374279</v>
      </c>
    </row>
    <row r="883" customFormat="false" ht="17.15" hidden="false" customHeight="false" outlineLevel="0" collapsed="false">
      <c r="A883" s="0" t="s">
        <v>452</v>
      </c>
      <c r="B883" s="0" t="s">
        <v>47</v>
      </c>
      <c r="D883" s="11" t="n">
        <f aca="false">D882/C882-1</f>
        <v>1.87282255213422</v>
      </c>
      <c r="E883" s="11" t="n">
        <f aca="false">E882/D882-1</f>
        <v>0.742197629741713</v>
      </c>
      <c r="F883" s="11" t="n">
        <f aca="false">F882/E882-1</f>
        <v>0.426727081283636</v>
      </c>
      <c r="G883" s="11" t="n">
        <f aca="false">G882/F882-1</f>
        <v>0.103050559762132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669</v>
      </c>
    </row>
    <row r="2" customFormat="false" ht="17.15" hidden="false" customHeight="false" outlineLevel="0" collapsed="false">
      <c r="A2" s="3" t="s">
        <v>670</v>
      </c>
      <c r="B2" s="0" t="s">
        <v>671</v>
      </c>
    </row>
    <row r="3" customFormat="false" ht="17.15" hidden="false" customHeight="false" outlineLevel="0" collapsed="false">
      <c r="A3" s="3" t="s">
        <v>672</v>
      </c>
      <c r="B3" s="0" t="s">
        <v>673</v>
      </c>
    </row>
    <row r="4" customFormat="false" ht="17.15" hidden="false" customHeight="false" outlineLevel="0" collapsed="false">
      <c r="A4" s="3" t="s">
        <v>674</v>
      </c>
      <c r="B4" s="0" t="s">
        <v>675</v>
      </c>
    </row>
    <row r="5" customFormat="false" ht="17.15" hidden="false" customHeight="false" outlineLevel="0" collapsed="false">
      <c r="A5" s="3" t="s">
        <v>676</v>
      </c>
      <c r="B5" s="0" t="s">
        <v>677</v>
      </c>
    </row>
    <row r="6" customFormat="false" ht="17.15" hidden="false" customHeight="false" outlineLevel="0" collapsed="false">
      <c r="A6" s="3" t="s">
        <v>678</v>
      </c>
      <c r="B6" s="0" t="s">
        <v>679</v>
      </c>
    </row>
    <row r="7" customFormat="false" ht="17.15" hidden="false" customHeight="false" outlineLevel="0" collapsed="false">
      <c r="A7" s="3" t="s">
        <v>680</v>
      </c>
      <c r="B7" s="0" t="s">
        <v>681</v>
      </c>
    </row>
    <row r="8" customFormat="false" ht="17.15" hidden="false" customHeight="false" outlineLevel="0" collapsed="false">
      <c r="A8" s="3" t="s">
        <v>682</v>
      </c>
      <c r="B8" s="0" t="s">
        <v>250</v>
      </c>
    </row>
    <row r="9" customFormat="false" ht="17.15" hidden="false" customHeight="false" outlineLevel="0" collapsed="false">
      <c r="A9" s="3" t="s">
        <v>683</v>
      </c>
      <c r="B9" s="0" t="s">
        <v>265</v>
      </c>
    </row>
    <row r="10" customFormat="false" ht="17.15" hidden="false" customHeight="false" outlineLevel="0" collapsed="false">
      <c r="A10" s="3" t="s">
        <v>684</v>
      </c>
      <c r="B10" s="0" t="s">
        <v>280</v>
      </c>
    </row>
    <row r="11" customFormat="false" ht="17.15" hidden="false" customHeight="false" outlineLevel="0" collapsed="false">
      <c r="A11" s="3" t="s">
        <v>685</v>
      </c>
      <c r="B11" s="0" t="s">
        <v>303</v>
      </c>
    </row>
    <row r="12" customFormat="false" ht="17.15" hidden="false" customHeight="false" outlineLevel="0" collapsed="false">
      <c r="A12" s="3" t="s">
        <v>686</v>
      </c>
      <c r="B12" s="0" t="s">
        <v>687</v>
      </c>
    </row>
    <row r="13" customFormat="false" ht="17.15" hidden="false" customHeight="false" outlineLevel="0" collapsed="false">
      <c r="A13" s="3" t="s">
        <v>688</v>
      </c>
      <c r="B13" s="0" t="s">
        <v>689</v>
      </c>
    </row>
    <row r="14" customFormat="false" ht="17.15" hidden="false" customHeight="false" outlineLevel="0" collapsed="false">
      <c r="A14" s="3" t="s">
        <v>690</v>
      </c>
      <c r="B14" s="0" t="s">
        <v>691</v>
      </c>
    </row>
    <row r="15" customFormat="false" ht="17.15" hidden="false" customHeight="false" outlineLevel="0" collapsed="false">
      <c r="A15" s="3" t="s">
        <v>692</v>
      </c>
      <c r="B15" s="0" t="s">
        <v>693</v>
      </c>
    </row>
    <row r="16" customFormat="false" ht="17.15" hidden="false" customHeight="false" outlineLevel="0" collapsed="false">
      <c r="A16" s="3" t="s">
        <v>694</v>
      </c>
    </row>
    <row r="17" customFormat="false" ht="17.15" hidden="false" customHeight="false" outlineLevel="0" collapsed="false">
      <c r="A17" s="3" t="s">
        <v>695</v>
      </c>
      <c r="B17" s="3" t="s">
        <v>696</v>
      </c>
    </row>
    <row r="18" customFormat="false" ht="15" hidden="false" customHeight="false" outlineLevel="0" collapsed="false">
      <c r="A18" s="0" t="s">
        <v>697</v>
      </c>
      <c r="B18" s="3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2026-10-25T02:48:59Z</dcterms:created>
  <dc:creator>openpyxl</dc:creator>
  <dc:description/>
  <dc:language>en-US</dc:language>
  <cp:lastModifiedBy/>
  <dcterms:modified xsi:type="dcterms:W3CDTF">2026-10-25T02:48:59Z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