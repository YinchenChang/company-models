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b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Q!$B$20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air" vbProcedure="false">Q!$B$18</definedName>
    <definedName function="false" hidden="false" name="a25_sh" vbProcedure="false">Q!$B$14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Q!$F$23</definedName>
    <definedName function="false" hidden="false" name="a26_lcLL" vbProcedure="false">Q!$F$21</definedName>
    <definedName function="false" hidden="false" name="a26_nb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Q!$F$20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air" vbProcedure="false">Q!$F$18</definedName>
    <definedName function="false" hidden="false" name="a26_sairLH" vbProcedure="false">Q!$F$24</definedName>
    <definedName function="false" hidden="false" name="a26_sairLL" vbProcedure="false">Q!$F$22</definedName>
    <definedName function="false" hidden="false" name="a26_sh" vbProcedure="false">Q!$F$14</definedName>
    <definedName function="false" hidden="false" name="avsh_26" vbProcedure="false">In!$E$81</definedName>
    <definedName function="false" hidden="false" name="avsh_27" vbProcedure="false">In!$E$82</definedName>
    <definedName function="false" hidden="false" name="avsh_28" vbProcedure="false">In!$E$83</definedName>
    <definedName function="false" hidden="false" name="avsh_29" vbProcedure="false">In!$E$84</definedName>
    <definedName function="false" hidden="false" name="b_eps26" vbProcedure="false">In!$E$70</definedName>
    <definedName function="false" hidden="false" name="b_eps27" vbProcedure="false">In!$E$72</definedName>
    <definedName function="false" hidden="false" name="b_lc27" vbProcedure="false">In!$E$73</definedName>
    <definedName function="false" hidden="false" name="b_rev26" vbProcedure="false">In!$E$69</definedName>
    <definedName function="false" hidden="false" name="b_rev27" vbProcedure="false">In!$E$71</definedName>
    <definedName function="false" hidden="false" name="CAHI_27" vbProcedure="false">In!$F$25</definedName>
    <definedName function="false" hidden="false" name="CAHI_28" vbProcedure="false">In!$F$26</definedName>
    <definedName function="false" hidden="false" name="CAHI_29" vbProcedure="false">In!$F$27</definedName>
    <definedName function="false" hidden="false" name="CALO_27" vbProcedure="false">In!$D$25</definedName>
    <definedName function="false" hidden="false" name="CALO_28" vbProcedure="false">In!$D$26</definedName>
    <definedName function="false" hidden="false" name="CALO_29" vbProcedure="false">In!$D$27</definedName>
    <definedName function="false" hidden="false" name="cons_feps" vbProcedure="false">In!$E$101</definedName>
    <definedName function="false" hidden="false" name="cons_tp" vbProcedure="false">In!$E$100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c_eps26" vbProcedure="false">In!$E$78</definedName>
    <definedName function="false" hidden="false" name="c_eps27" vbProcedure="false">In!$E$80</definedName>
    <definedName function="false" hidden="false" name="c_rev26" vbProcedure="false">In!$E$77</definedName>
    <definedName function="false" hidden="false" name="c_rev27" vbProcedure="false">In!$E$79</definedName>
    <definedName function="false" hidden="false" name="d_lc" vbProcedure="false">In!$E$52</definedName>
    <definedName function="false" hidden="false" name="d_lc_hi" vbProcedure="false">In!$F$52</definedName>
    <definedName function="false" hidden="false" name="d_lc_lo" vbProcedure="false">In!$D$52</definedName>
    <definedName function="false" hidden="false" name="eps_ttm" vbProcedure="false">In!$E$87</definedName>
    <definedName function="false" hidden="false" name="fade_gA" vbProcedure="false">In!$E$96</definedName>
    <definedName function="false" hidden="false" name="fade_gB" vbProcedure="false">In!$E$97</definedName>
    <definedName function="false" hidden="false" name="fade_gC" vbProcedure="false">In!$E$98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BHI_27" vbProcedure="false">In!$F$45</definedName>
    <definedName function="false" hidden="false" name="GBHI_28" vbProcedure="false">In!$F$46</definedName>
    <definedName function="false" hidden="false" name="GBHI_29" vbProcedure="false">In!$F$47</definedName>
    <definedName function="false" hidden="false" name="GBLO_27" vbProcedure="false">In!$D$45</definedName>
    <definedName function="false" hidden="false" name="GBLO_28" vbProcedure="false">In!$D$46</definedName>
    <definedName function="false" hidden="false" name="GBLO_29" vbProcedure="false">In!$D$47</definedName>
    <definedName function="false" hidden="false" name="GOHI_27" vbProcedure="false">In!$F$48</definedName>
    <definedName function="false" hidden="false" name="GOHI_28" vbProcedure="false">In!$F$49</definedName>
    <definedName function="false" hidden="false" name="GOHI_29" vbProcedure="false">In!$F$50</definedName>
    <definedName function="false" hidden="false" name="GOLO_27" vbProcedure="false">In!$D$48</definedName>
    <definedName function="false" hidden="false" name="GOLO_28" vbProcedure="false">In!$D$49</definedName>
    <definedName function="false" hidden="false" name="GOLO_29" vbProcedure="false">In!$D$50</definedName>
    <definedName function="false" hidden="false" name="GSHI_27" vbProcedure="false">In!$F$42</definedName>
    <definedName function="false" hidden="false" name="GSHI_28" vbProcedure="false">In!$F$43</definedName>
    <definedName function="false" hidden="false" name="GSHI_29" vbProcedure="false">In!$F$44</definedName>
    <definedName function="false" hidden="false" name="GSLO_27" vbProcedure="false">In!$D$42</definedName>
    <definedName function="false" hidden="false" name="GSLO_28" vbProcedure="false">In!$D$43</definedName>
    <definedName function="false" hidden="false" name="GSLO_29" vbProcedure="false">In!$D$44</definedName>
    <definedName function="false" hidden="false" name="g_nb_27" vbProcedure="false">In!$E$45</definedName>
    <definedName function="false" hidden="false" name="g_nb_27_hi" vbProcedure="false">In!$F$45</definedName>
    <definedName function="false" hidden="false" name="g_nb_27_lo" vbProcedure="false">In!$D$45</definedName>
    <definedName function="false" hidden="false" name="g_nb_28" vbProcedure="false">In!$E$46</definedName>
    <definedName function="false" hidden="false" name="g_nb_28_hi" vbProcedure="false">In!$F$46</definedName>
    <definedName function="false" hidden="false" name="g_nb_28_lo" vbProcedure="false">In!$D$46</definedName>
    <definedName function="false" hidden="false" name="g_nb_29" vbProcedure="false">In!$E$47</definedName>
    <definedName function="false" hidden="false" name="g_nb_29_hi" vbProcedure="false">In!$F$47</definedName>
    <definedName function="false" hidden="false" name="g_nb_29_lo" vbProcedure="false">In!$D$47</definedName>
    <definedName function="false" hidden="false" name="g_oth_27" vbProcedure="false">In!$E$48</definedName>
    <definedName function="false" hidden="false" name="g_oth_27_hi" vbProcedure="false">In!$F$48</definedName>
    <definedName function="false" hidden="false" name="g_oth_27_lo" vbProcedure="false">In!$D$48</definedName>
    <definedName function="false" hidden="false" name="g_oth_28" vbProcedure="false">In!$E$49</definedName>
    <definedName function="false" hidden="false" name="g_oth_28_hi" vbProcedure="false">In!$F$49</definedName>
    <definedName function="false" hidden="false" name="g_oth_28_lo" vbProcedure="false">In!$D$49</definedName>
    <definedName function="false" hidden="false" name="g_oth_29" vbProcedure="false">In!$E$50</definedName>
    <definedName function="false" hidden="false" name="g_oth_29_hi" vbProcedure="false">In!$F$50</definedName>
    <definedName function="false" hidden="false" name="g_oth_29_lo" vbProcedure="false">In!$D$50</definedName>
    <definedName function="false" hidden="false" name="g_sair_27" vbProcedure="false">In!$E$42</definedName>
    <definedName function="false" hidden="false" name="g_sair_27_hi" vbProcedure="false">In!$F$42</definedName>
    <definedName function="false" hidden="false" name="g_sair_27_lo" vbProcedure="false">In!$D$42</definedName>
    <definedName function="false" hidden="false" name="g_sair_28" vbProcedure="false">In!$E$43</definedName>
    <definedName function="false" hidden="false" name="g_sair_28_hi" vbProcedure="false">In!$F$43</definedName>
    <definedName function="false" hidden="false" name="g_sair_28_lo" vbProcedure="false">In!$D$43</definedName>
    <definedName function="false" hidden="false" name="g_sair_29" vbProcedure="false">In!$E$44</definedName>
    <definedName function="false" hidden="false" name="g_sair_29_hi" vbProcedure="false">In!$F$44</definedName>
    <definedName function="false" hidden="false" name="g_sair_29_lo" vbProcedure="false">In!$D$44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In!$E$25</definedName>
    <definedName function="false" hidden="false" name="lcadj_27_hi" vbProcedure="false">In!$F$25</definedName>
    <definedName function="false" hidden="false" name="lcadj_27_lo" vbProcedure="false">In!$D$25</definedName>
    <definedName function="false" hidden="false" name="lcadj_28" vbProcedure="false">In!$E$26</definedName>
    <definedName function="false" hidden="false" name="lcadj_28_hi" vbProcedure="false">In!$F$26</definedName>
    <definedName function="false" hidden="false" name="lcadj_28_lo" vbProcedure="false">In!$D$26</definedName>
    <definedName function="false" hidden="false" name="lcadj_29" vbProcedure="false">In!$E$27</definedName>
    <definedName function="false" hidden="false" name="lcadj_29_hi" vbProcedure="false">In!$F$27</definedName>
    <definedName function="false" hidden="false" name="lcadj_29_lo" vbProcedure="false">In!$D$27</definedName>
    <definedName function="false" hidden="false" name="lc_25" vbProcedure="false">In!$E$38</definedName>
    <definedName function="false" hidden="false" name="lc_25_hi" vbProcedure="false">In!$F$38</definedName>
    <definedName function="false" hidden="false" name="lc_25_lo" vbProcedure="false">In!$D$38</definedName>
    <definedName function="false" hidden="false" name="lc_26" vbProcedure="false">In!$E$41</definedName>
    <definedName function="false" hidden="false" name="lc_26_hi" vbProcedure="false">In!$F$41</definedName>
    <definedName function="false" hidden="false" name="lc_26_lo" vbProcedure="false">In!$D$41</definedName>
    <definedName function="false" hidden="false" name="lpenA_26" vbProcedure="false">In!$E$28</definedName>
    <definedName function="false" hidden="false" name="lpenA_27" vbProcedure="false">In!$F$29</definedName>
    <definedName function="false" hidden="false" name="lpenA_28" vbProcedure="false">In!$F$30</definedName>
    <definedName function="false" hidden="false" name="lpenA_29" vbProcedure="false">In!$F$31</definedName>
    <definedName function="false" hidden="false" name="lpenB_26" vbProcedure="false">In!$E$28</definedName>
    <definedName function="false" hidden="false" name="lpenB_27" vbProcedure="false">In!$E$29</definedName>
    <definedName function="false" hidden="false" name="lpenB_28" vbProcedure="false">In!$E$30</definedName>
    <definedName function="false" hidden="false" name="lpenB_29" vbProcedure="false">In!$E$31</definedName>
    <definedName function="false" hidden="false" name="lpenC_26" vbProcedure="false">In!$E$28</definedName>
    <definedName function="false" hidden="false" name="lpenC_27" vbProcedure="false">In!$D$29</definedName>
    <definedName function="false" hidden="false" name="lpenC_28" vbProcedure="false">In!$D$30</definedName>
    <definedName function="false" hidden="false" name="lpenC_29" vbProcedure="false">In!$D$31</definedName>
    <definedName function="false" hidden="false" name="lpen_26" vbProcedure="false">In!$E$28</definedName>
    <definedName function="false" hidden="false" name="lpen_26_hi" vbProcedure="false">In!$F$28</definedName>
    <definedName function="false" hidden="false" name="lpen_26_lo" vbProcedure="false">In!$D$28</definedName>
    <definedName function="false" hidden="false" name="lpen_27" vbProcedure="false">In!$E$29</definedName>
    <definedName function="false" hidden="false" name="lpen_27_hi" vbProcedure="false">In!$F$29</definedName>
    <definedName function="false" hidden="false" name="lpen_27_lo" vbProcedure="false">In!$D$29</definedName>
    <definedName function="false" hidden="false" name="lpen_28" vbProcedure="false">In!$E$30</definedName>
    <definedName function="false" hidden="false" name="lpen_28_hi" vbProcedure="false">In!$F$30</definedName>
    <definedName function="false" hidden="false" name="lpen_28_lo" vbProcedure="false">In!$D$30</definedName>
    <definedName function="false" hidden="false" name="lpen_29" vbProcedure="false">In!$E$31</definedName>
    <definedName function="false" hidden="false" name="lpen_29_hi" vbProcedure="false">In!$F$31</definedName>
    <definedName function="false" hidden="false" name="lpen_29_lo" vbProcedure="false">In!$D$31</definedName>
    <definedName function="false" hidden="false" name="LPHI_26" vbProcedure="false">In!$F$28</definedName>
    <definedName function="false" hidden="false" name="LPHI_27" vbProcedure="false">In!$F$29</definedName>
    <definedName function="false" hidden="false" name="LPHI_28" vbProcedure="false">In!$F$30</definedName>
    <definedName function="false" hidden="false" name="LPHI_29" vbProcedure="false">In!$F$31</definedName>
    <definedName function="false" hidden="false" name="LPLO_26" vbProcedure="false">In!$D$28</definedName>
    <definedName function="false" hidden="false" name="LPLO_27" vbProcedure="false">In!$D$29</definedName>
    <definedName function="false" hidden="false" name="LPLO_28" vbProcedure="false">In!$D$30</definedName>
    <definedName function="false" hidden="false" name="LPLO_29" vbProcedure="false">In!$D$31</definedName>
    <definedName function="false" hidden="false" name="mani" vbProcedure="false">In!$E$24</definedName>
    <definedName function="false" hidden="false" name="mani_hi" vbProcedure="false">In!$F$24</definedName>
    <definedName function="false" hidden="false" name="mani_lo" vbProcedure="false">In!$D$24</definedName>
    <definedName function="false" hidden="false" name="mf" vbProcedure="false">In!$E$67</definedName>
    <definedName function="false" hidden="false" name="mf_hi" vbProcedure="false">In!$F$67</definedName>
    <definedName function="false" hidden="false" name="mf_lo" vbProcedure="false">In!$D$67</definedName>
    <definedName function="false" hidden="false" name="nb_25" vbProcedure="false">In!$E$37</definedName>
    <definedName function="false" hidden="false" name="nb_26" vbProcedure="false">In!$E$40</definedName>
    <definedName function="false" hidden="false" name="nb_26_hi" vbProcedure="false">In!$F$40</definedName>
    <definedName function="false" hidden="false" name="nb_26_lo" vbProcedure="false">In!$D$40</definedName>
    <definedName function="false" hidden="false" name="nim10" vbProcedure="false">In!$E$99</definedName>
    <definedName function="false" hidden="false" name="nir_f" vbProcedure="false">In!$E$65</definedName>
    <definedName function="false" hidden="false" name="nir_f_hi" vbProcedure="false">In!$F$65</definedName>
    <definedName function="false" hidden="false" name="nir_f_lo" vbProcedure="false">In!$D$65</definedName>
    <definedName function="false" hidden="false" name="nop_f" vbProcedure="false">In!$E$64</definedName>
    <definedName function="false" hidden="false" name="nop_f_hi" vbProcedure="false">In!$F$64</definedName>
    <definedName function="false" hidden="false" name="nop_f_lo" vbProcedure="false">In!$D$64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mid" vbProcedure="false">Val!$C$123</definedName>
    <definedName function="false" hidden="false" name="pe_peak" vbProcedure="false">Val!$C$122</definedName>
    <definedName function="false" hidden="false" name="pe_trough" vbProcedure="false">Val!$C$124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In!$E$86</definedName>
    <definedName function="false" hidden="false" name="q3_rev" vbProcedure="false">In!$E$54</definedName>
    <definedName function="false" hidden="false" name="q4g" vbProcedure="false">In!$E$55</definedName>
    <definedName function="false" hidden="false" name="q4g_hi" vbProcedure="false">In!$F$55</definedName>
    <definedName function="false" hidden="false" name="q4g_lo" vbProcedure="false">In!$D$55</definedName>
    <definedName function="false" hidden="false" name="q_gm" vbProcedure="false">In!$E$56</definedName>
    <definedName function="false" hidden="false" name="q_gm_hi" vbProcedure="false">In!$F$56</definedName>
    <definedName function="false" hidden="false" name="q_gm_lo" vbProcedure="false">In!$D$56</definedName>
    <definedName function="false" hidden="false" name="q_nir" vbProcedure="false">In!$E$59</definedName>
    <definedName function="false" hidden="false" name="q_nir_hi" vbProcedure="false">In!$F$59</definedName>
    <definedName function="false" hidden="false" name="q_nir_lo" vbProcedure="false">In!$D$59</definedName>
    <definedName function="false" hidden="false" name="q_nop" vbProcedure="false">In!$E$58</definedName>
    <definedName function="false" hidden="false" name="q_nop_hi" vbProcedure="false">In!$F$58</definedName>
    <definedName function="false" hidden="false" name="q_nop_lo" vbProcedure="false">In!$D$58</definedName>
    <definedName function="false" hidden="false" name="q_opx" vbProcedure="false">In!$E$57</definedName>
    <definedName function="false" hidden="false" name="q_opx_hi" vbProcedure="false">In!$F$57</definedName>
    <definedName function="false" hidden="false" name="q_opx_lo" vbProcedure="false">In!$D$57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A_27" vbProcedure="false">In!$F$32</definedName>
    <definedName function="false" hidden="false" name="relA_28" vbProcedure="false">In!$F$33</definedName>
    <definedName function="false" hidden="false" name="relA_29" vbProcedure="false">In!$F$34</definedName>
    <definedName function="false" hidden="false" name="relB_27" vbProcedure="false">In!$E$32</definedName>
    <definedName function="false" hidden="false" name="relB_28" vbProcedure="false">In!$E$33</definedName>
    <definedName function="false" hidden="false" name="relB_29" vbProcedure="false">In!$E$34</definedName>
    <definedName function="false" hidden="false" name="relC_27" vbProcedure="false">In!$D$32</definedName>
    <definedName function="false" hidden="false" name="relC_28" vbProcedure="false">In!$D$33</definedName>
    <definedName function="false" hidden="false" name="relC_29" vbProcedure="false">In!$D$34</definedName>
    <definedName function="false" hidden="false" name="rel_27" vbProcedure="false">In!$E$32</definedName>
    <definedName function="false" hidden="false" name="rel_27_hi" vbProcedure="false">In!$F$32</definedName>
    <definedName function="false" hidden="false" name="rel_27_lo" vbProcedure="false">In!$D$32</definedName>
    <definedName function="false" hidden="false" name="rel_28" vbProcedure="false">In!$E$33</definedName>
    <definedName function="false" hidden="false" name="rel_28_hi" vbProcedure="false">In!$F$33</definedName>
    <definedName function="false" hidden="false" name="rel_28_lo" vbProcedure="false">In!$D$33</definedName>
    <definedName function="false" hidden="false" name="rel_29" vbProcedure="false">In!$E$34</definedName>
    <definedName function="false" hidden="false" name="rel_29_hi" vbProcedure="false">In!$F$34</definedName>
    <definedName function="false" hidden="false" name="rel_29_lo" vbProcedure="false">In!$D$34</definedName>
    <definedName function="false" hidden="false" name="RHI_27" vbProcedure="false">In!$F$32</definedName>
    <definedName function="false" hidden="false" name="RHI_28" vbProcedure="false">In!$F$33</definedName>
    <definedName function="false" hidden="false" name="RHI_29" vbProcedure="false">In!$F$34</definedName>
    <definedName function="false" hidden="false" name="RLO_27" vbProcedure="false">In!$D$32</definedName>
    <definedName function="false" hidden="false" name="RLO_28" vbProcedure="false">In!$D$33</definedName>
    <definedName function="false" hidden="false" name="RLO_29" vbProcedure="false">In!$D$34</definedName>
    <definedName function="false" hidden="false" name="rm_factor" vbProcedure="false">Val!$B$148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srv_25" vbProcedure="false">In!$E$36</definedName>
    <definedName function="false" hidden="false" name="srv_26" vbProcedure="false">In!$E$39</definedName>
    <definedName function="false" hidden="false" name="srv_26_hi" vbProcedure="false">In!$F$39</definedName>
    <definedName function="false" hidden="false" name="srv_26_lo" vbProcedure="false">In!$D$39</definedName>
    <definedName function="false" hidden="false" name="tp_comp" vbProcedure="false">Val!$B$35</definedName>
    <definedName function="false" hidden="false" name="tp_comp_adj" vbProcedure="false">Val!$B$149</definedName>
    <definedName function="false" hidden="false" name="tp_dcf" vbProcedure="false">Val!$B$24</definedName>
    <definedName function="false" hidden="false" name="tp_final" vbProcedure="false">Val!$B$39</definedName>
    <definedName function="false" hidden="false" name="tp_g" vbProcedure="false">In!$E$93</definedName>
    <definedName function="false" hidden="false" name="tp_r" vbProcedure="false">In!$E$92</definedName>
    <definedName function="false" hidden="false" name="tp_roe" vbProcedure="false">In!$E$94</definedName>
    <definedName function="false" hidden="false" name="tp_wA" vbProcedure="false">In!$E$89</definedName>
    <definedName function="false" hidden="false" name="tp_wB" vbProcedure="false">In!$E$90</definedName>
    <definedName function="false" hidden="false" name="tp_wC" vbProcedure="false">In!$E$91</definedName>
    <definedName function="false" hidden="false" name="tp_w_dcf" vbProcedure="false">In!$E$95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u_eps26" vbProcedure="false">In!$E$74</definedName>
    <definedName function="false" hidden="false" name="u_eps27" vbProcedure="false">In!$E$75</definedName>
    <definedName function="false" hidden="false" name="u_eps28" vbProcedure="false">In!$E$76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<sst xmlns="http://schemas.openxmlformats.org/spreadsheetml/2006/main" count="3057" uniqueCount="891">
  <si>
    <r>
      <rPr>
        <b val="true"/>
        <sz val="11"/>
        <rFont val="Noto Sans CJK SC"/>
        <family val="2"/>
      </rPr>
      <t xml:space="preserve">雙鴻（</t>
    </r>
    <r>
      <rPr>
        <b val="true"/>
        <sz val="11"/>
        <rFont val="Cambria"/>
        <family val="0"/>
        <charset val="1"/>
      </rPr>
      <t xml:space="preserve">3324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</si>
  <si>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液冷滲透率改依情境字母（奇鋐），雙鴻本已依情境字母讀奇鋐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頁同一組數值，數值不變）。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（初版）。液冷市場口徑（每架機架內液冷取自橋接表、分歧管、內容調整、滲透率）與奇鋐模型相同（唯讀奇鋐模型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頁）；雙鴻份額以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液冷占比校準，份額相對值區間與奇鋐相同。目標價＝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起為收斂法）。</t>
    </r>
  </si>
  <si>
    <r>
      <rPr>
        <sz val="11"/>
        <rFont val="Noto Sans CJK SC"/>
        <family val="2"/>
      </rPr>
      <t xml:space="preserve">模型命題：雙鴻的液冷營收＝部署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（伺服器氣冷、筆電與桌機、電競顯卡與其他）另以成長率推估。液冷已占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年營收約六成，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幾乎由液冷市場成長與份額決定。</t>
    </r>
  </si>
  <si>
    <r>
      <rPr>
        <sz val="11"/>
        <rFont val="Noto Sans CJK SC"/>
        <family val="2"/>
      </rPr>
      <t xml:space="preserve">核心問題：液冷市場隨部署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全液冷擴大時，雙鴻能不能守住相對奇鋐的份額（三個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液冷專案、</t>
    </r>
    <r>
      <rPr>
        <sz val="11"/>
        <rFont val="Cambria"/>
        <family val="0"/>
        <charset val="1"/>
      </rPr>
      <t xml:space="preserve">Vera Rubin </t>
    </r>
    <r>
      <rPr>
        <sz val="11"/>
        <rFont val="Noto Sans CJK SC"/>
        <family val="2"/>
      </rPr>
      <t xml:space="preserve">分歧管），讓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達到券商預期的高成長；現價隱含的倍數合不合理。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</si>
  <si>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為驅動因子推導，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為收斂法，非驅動因子推導。金額：十億新台幣；市場以美元計、以匯率換算。口徑：歸屬母公司淨利。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</si>
  <si>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</si>
  <si>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內容調整；皆讀奇鋐模型）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以凱基液冷占比校準）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</si>
  <si>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：伺服器氣冷（含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氣冷）、筆電與桌機、電競筆電顯卡主機板與其他，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以產品比重拆分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</si>
  <si>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起液冷滲透率高值、份額相對值高值）；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、低值）。液冷滲透率屬行業情境（技術替代），份額屬公司特有變數；方向一致：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</si>
  <si>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季增、毛利率、營業費用率）。不用共識或券商數字校準（只在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</si>
  <si>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個月後；負值取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分位檢查。第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規則值保留給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投資地圖，不是目標價。本版未做先驗，無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</si>
  <si>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未使用。公司原文經媒體與資料商轉載；券商多經媒體轉述。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</si>
  <si>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液冷占比只有凱基說法（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1H26 55%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2026F 60%</t>
    </r>
    <r>
      <rPr>
        <sz val="11"/>
        <rFont val="Noto Sans CJK SC"/>
        <family val="2"/>
      </rPr>
      <t xml:space="preserve">），公司只給液冷營收年增；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（與奇鋐模型同值），是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本模型的液冷市場只含機架內液冷與分歧管，雙鴻的 </t>
    </r>
    <r>
      <rPr>
        <sz val="11"/>
        <rFont val="Cambria"/>
        <family val="0"/>
        <charset val="1"/>
      </rPr>
      <t xml:space="preserve">CDU </t>
    </r>
    <r>
      <rPr>
        <sz val="11"/>
        <rFont val="Noto Sans CJK SC"/>
        <family val="2"/>
      </rPr>
      <t xml:space="preserve">營收計入有效份額的分子，份額偏高估；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年未找到），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</si>
  <si>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+20.9%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。液冷滲透率與內容調整讀奇鋐模型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頁同一組數值（奇鋐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改依情境字母後，本模型數值不變）。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</si>
  <si>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188.5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的三倍），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3,223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1,744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；美系券商 </t>
    </r>
    <r>
      <rPr>
        <sz val="11"/>
        <color theme="1"/>
        <rFont val="Calibri"/>
        <family val="2"/>
        <charset val="1"/>
      </rPr>
      <t xml:space="preserve">FY2028 EPS 110 </t>
    </r>
    <r>
      <rPr>
        <sz val="11"/>
        <color theme="1"/>
        <rFont val="Noto Sans CJK SC"/>
        <family val="2"/>
      </rPr>
      <t xml:space="preserve">接近情境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年液冷占比約六成（凱基）。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</si>
  <si>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</si>
  <si>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</si>
  <si>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</si>
  <si>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</si>
  <si>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未使用。公司原文＝雙鴻財報與月營收（經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、玩股網、時報轉載）；公司的產品比重說法為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</si>
  <si>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</si>
  <si>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</si>
  <si>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</si>
  <si>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</si>
  <si>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</si>
  <si>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</si>
  <si>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</si>
  <si>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</si>
  <si>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</si>
  <si>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依同字母顆數係數縮放；與奇鋐模型相同上游）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</si>
  <si>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</si>
  <si>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</si>
  <si>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</si>
  <si>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</si>
  <si>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</si>
  <si>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</si>
  <si>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</si>
  <si>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</si>
  <si>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</si>
  <si>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</si>
  <si>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</si>
  <si>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</si>
  <si>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</si>
  <si>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</si>
  <si>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</si>
  <si>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</si>
  <si>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</si>
  <si>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</si>
  <si>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</si>
  <si>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</si>
  <si>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</si>
  <si>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</si>
  <si>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</si>
  <si>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</si>
  <si>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</si>
  <si>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；與奇鋐、台達電模型相同）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</si>
  <si>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</si>
  <si>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</si>
  <si>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</si>
  <si>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</si>
  <si>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</si>
  <si>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</si>
  <si>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</si>
  <si>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</si>
  <si>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</si>
  <si>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</si>
  <si>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</si>
  <si>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</si>
  <si>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</si>
  <si>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</si>
  <si>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</si>
  <si>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</si>
  <si>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</si>
  <si>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</si>
  <si>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</si>
  <si>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</si>
  <si>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</si>
  <si>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</si>
  <si>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</si>
  <si>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</si>
  <si>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</si>
  <si>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</si>
  <si>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</si>
  <si>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</si>
  <si>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</si>
  <si>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</si>
  <si>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</si>
  <si>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</si>
  <si>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</si>
  <si>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</si>
  <si>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</si>
  <si>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</si>
  <si>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</si>
  <si>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</si>
  <si>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</si>
  <si>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</si>
  <si>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與奇鋐、台達電模型相同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</si>
  <si>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液冷內容、滲透率（讀奇鋐模型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頁：兩家用同一液冷市場口徑）與雙鴻份額相對值</t>
    </r>
  </si>
  <si>
    <t xml:space="preserve">mani</t>
  </si>
  <si>
    <t xml:space="preserve">每架分歧管與快接頭（橋接表未含）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</si>
  <si>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SIF_lc_mani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</si>
  <si>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（與奇鋐模型同一值）；雙鴻另做機架分歧管（</t>
    </r>
    <r>
      <rPr>
        <sz val="11"/>
        <color theme="1"/>
        <rFont val="Calibri"/>
        <family val="2"/>
        <charset val="1"/>
      </rPr>
      <t xml:space="preserve">Vera Rubin inner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rack manifold</t>
    </r>
    <r>
      <rPr>
        <sz val="11"/>
        <color theme="1"/>
        <rFont val="Noto Sans CJK SC"/>
        <family val="2"/>
      </rPr>
      <t xml:space="preserve">，經濟日報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</si>
  <si>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</si>
  <si>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</si>
  <si>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SIF_lc_adj_27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</si>
  <si>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全液冷提高單架散熱價值（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）；本模型三情境用基準值，區間只在 </t>
    </r>
    <r>
      <rPr>
        <sz val="11"/>
        <color theme="1"/>
        <rFont val="Calibri"/>
        <family val="2"/>
        <charset val="1"/>
      </rPr>
      <t xml:space="preserve">Sens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</si>
  <si>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</si>
  <si>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</si>
  <si>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SIF_lc_adj_28</t>
    </r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</si>
  <si>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</si>
  <si>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</si>
  <si>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SIF_lc_adj_29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</si>
  <si>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</si>
  <si>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</si>
  <si>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SIF_lc_pen_26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</si>
  <si>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以顆數計 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）。技術替代屬行業情境：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三情境皆基準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</si>
  <si>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</si>
  <si>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</si>
  <si>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SIF_lc_pen_27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</si>
  <si>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</si>
  <si>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</si>
  <si>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SIF_lc_pen_28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</si>
  <si>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</si>
  <si>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</si>
  <si>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SIF_lc_pen_29</t>
    </r>
  </si>
  <si>
    <t xml:space="preserve">rel_27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</si>
  <si>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</si>
  <si>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SIF_lc_avrel_27</t>
    </r>
    <r>
      <rPr>
        <sz val="11"/>
        <color theme="1"/>
        <rFont val="Noto Sans CJK SC"/>
        <family val="2"/>
      </rPr>
      <t xml:space="preserve">（區間與奇鋐相同）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</si>
  <si>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取高值（三個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液冷專案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分歧管）、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基準（與奇鋐相同的份額流失斜率：酷碼、台達電、富世達等追趕）、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：雙鴻為台灣前三大散熱廠（未給份額，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</si>
  <si>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</si>
  <si>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</si>
  <si>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SIF_lc_avrel_28</t>
    </r>
    <r>
      <rPr>
        <sz val="11"/>
        <color theme="1"/>
        <rFont val="Noto Sans CJK SC"/>
        <family val="2"/>
      </rPr>
      <t xml:space="preserve">（區間與奇鋐相同）</t>
    </r>
  </si>
  <si>
    <t xml:space="preserve">rel_29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</si>
  <si>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</si>
  <si>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SIF_lc_avrel_29</t>
    </r>
    <r>
      <rPr>
        <sz val="11"/>
        <color theme="1"/>
        <rFont val="Noto Sans CJK SC"/>
        <family val="2"/>
      </rPr>
      <t xml:space="preserve">（區間與奇鋐相同）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</si>
  <si>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</si>
  <si>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</si>
  <si>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</si>
  <si>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https://wantrich.chinatimes.com/news/20260521900232-420101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VGA 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（公司，股東會）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</si>
  <si>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、筆電與桌機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、電競筆電顯卡主機板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</si>
  <si>
    <t xml:space="preserve">nb_25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</si>
  <si>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</si>
  <si>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同上（公司 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</si>
  <si>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同上（凱基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</si>
  <si>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</si>
  <si>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</si>
  <si>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年液冷占營收 </t>
    </r>
    <r>
      <rPr>
        <sz val="11"/>
        <color theme="1"/>
        <rFont val="Calibri"/>
        <family val="2"/>
        <charset val="1"/>
      </rPr>
      <t xml:space="preserve">34%</t>
    </r>
  </si>
  <si>
    <t xml:space="preserve">第二來源：未找到</t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</si>
  <si>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</si>
  <si>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</si>
  <si>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</si>
  <si>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年伺服器營收年增 </t>
    </r>
    <r>
      <rPr>
        <sz val="11"/>
        <color theme="1"/>
        <rFont val="Calibri"/>
        <family val="2"/>
        <charset val="1"/>
      </rPr>
      <t xml:space="preserve">110–120%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57% × 2.15 ÷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64% ≈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</si>
  <si>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</si>
  <si>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</si>
  <si>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17%</t>
    </r>
    <r>
      <rPr>
        <sz val="11"/>
        <color theme="1"/>
        <rFont val="Noto Sans CJK SC"/>
        <family val="2"/>
      </rPr>
      <t xml:space="preserve">）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</si>
  <si>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</si>
  <si>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</si>
  <si>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2026F 60%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</si>
  <si>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年液冷營收年增 </t>
    </r>
    <r>
      <rPr>
        <sz val="11"/>
        <color theme="1"/>
        <rFont val="Calibri"/>
        <family val="2"/>
        <charset val="1"/>
      </rPr>
      <t xml:space="preserve">190–200%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34% × 2.95 ÷ 1.64 ≈ 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</si>
  <si>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g_sair_27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</si>
  <si>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</si>
  <si>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r>
      <rPr>
        <sz val="11"/>
        <color theme="1"/>
        <rFont val="Noto Sans CJK SC"/>
        <family val="2"/>
      </rPr>
      <t xml:space="preserve">氣冷轉液冷；凱基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82%</t>
    </r>
    <r>
      <rPr>
        <sz val="11"/>
        <color theme="1"/>
        <rFont val="Noto Sans CJK SC"/>
        <family val="2"/>
      </rPr>
      <t xml:space="preserve">、液冷 </t>
    </r>
    <r>
      <rPr>
        <sz val="11"/>
        <color theme="1"/>
        <rFont val="Calibri"/>
        <family val="2"/>
        <charset val="1"/>
      </rPr>
      <t xml:space="preserve">72% → </t>
    </r>
    <r>
      <rPr>
        <sz val="11"/>
        <color theme="1"/>
        <rFont val="Noto Sans CJK SC"/>
        <family val="2"/>
      </rPr>
      <t xml:space="preserve">伺服器氣冷約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14%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</si>
  <si>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另列（工作單）：不隨部署 </t>
    </r>
    <r>
      <rPr>
        <sz val="11"/>
        <color theme="1"/>
        <rFont val="Calibri"/>
        <family val="2"/>
        <charset val="1"/>
      </rPr>
      <t xml:space="preserve">GW</t>
    </r>
  </si>
  <si>
    <t xml:space="preserve">g_sair_28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</si>
  <si>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</si>
  <si>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—</t>
  </si>
  <si>
    <t xml:space="preserve">g_sair_29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</si>
  <si>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</si>
  <si>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g_nb_27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</si>
  <si>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</si>
  <si>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15%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5%</t>
    </r>
  </si>
  <si>
    <t xml:space="preserve">g_nb_28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</si>
  <si>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</si>
  <si>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g_nb_29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</si>
  <si>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</si>
  <si>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g_oth_27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</si>
  <si>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</si>
  <si>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電競與顯卡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</si>
  <si>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t xml:space="preserve">g_oth_28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</si>
  <si>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</si>
  <si>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g_oth_29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</si>
  <si>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</si>
  <si>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</si>
  <si>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</si>
  <si>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</si>
  <si>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</si>
  <si>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FY2025 27.4% → 1H26 29.0%</t>
    </r>
    <r>
      <rPr>
        <sz val="11"/>
        <color theme="1"/>
        <rFont val="Noto Sans CJK SC"/>
        <family val="2"/>
      </rPr>
      <t xml:space="preserve">，同期液冷占比 </t>
    </r>
    <r>
      <rPr>
        <sz val="11"/>
        <color theme="1"/>
        <rFont val="Calibri"/>
        <family val="2"/>
        <charset val="1"/>
      </rPr>
      <t xml:space="preserve">34% → 55%</t>
    </r>
    <r>
      <rPr>
        <sz val="11"/>
        <color theme="1"/>
        <rFont val="Noto Sans CJK SC"/>
        <family val="2"/>
      </rPr>
      <t xml:space="preserve">（隱含差距約 </t>
    </r>
    <r>
      <rPr>
        <sz val="11"/>
        <color theme="1"/>
        <rFont val="Calibri"/>
        <family val="2"/>
        <charset val="1"/>
      </rPr>
      <t xml:space="preserve">7–8pt</t>
    </r>
    <r>
      <rPr>
        <sz val="11"/>
        <color theme="1"/>
        <rFont val="Noto Sans CJK SC"/>
        <family val="2"/>
      </rPr>
      <t xml:space="preserve">，含泰國廠試產成本等其他因素）</t>
    </r>
  </si>
  <si>
    <t xml:space="preserve">產品別毛利率：未找到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</si>
  <si>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</si>
  <si>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</si>
  <si>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</si>
  <si>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</si>
  <si>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</si>
  <si>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https://histock.tw/stock/financial.aspx?no=3324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28.84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</si>
  <si>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https://finance.technews.tw/2026/10/08/auras-3324-202609-financial-report/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270.40 </t>
    </r>
    <r>
      <rPr>
        <sz val="11"/>
        <color theme="1"/>
        <rFont val="Noto Sans CJK SC"/>
        <family val="2"/>
      </rPr>
      <t xml:space="preserve">億元（− </t>
    </r>
    <r>
      <rPr>
        <sz val="11"/>
        <color theme="1"/>
        <rFont val="Calibri"/>
        <family val="2"/>
        <charset val="1"/>
      </rPr>
      <t xml:space="preserve">1H26 172.52 ≈ 97.88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</si>
  <si>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</si>
  <si>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</si>
  <si>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https://money.udn.com/money/story/5607/9764013</t>
    </r>
    <r>
      <rPr>
        <sz val="11"/>
        <color theme="1"/>
        <rFont val="Noto Sans CJK SC"/>
        <family val="2"/>
      </rPr>
      <t xml:space="preserve">：花旗估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液冷量產）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</si>
  <si>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4Q26 114.98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102.66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</si>
  <si>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</si>
  <si>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</si>
  <si>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29.0%</t>
    </r>
  </si>
  <si>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29.7%</t>
    </r>
    <r>
      <rPr>
        <sz val="11"/>
        <color theme="1"/>
        <rFont val="Noto Sans CJK SC"/>
        <family val="2"/>
      </rPr>
      <t xml:space="preserve">（公司）；花旗：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毛利率回升（經濟日報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</si>
  <si>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</si>
  <si>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</si>
  <si>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（營業費用率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</si>
  <si>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11.9%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12.4%</t>
    </r>
    <r>
      <rPr>
        <sz val="11"/>
        <color theme="1"/>
        <rFont val="Noto Sans CJK SC"/>
        <family val="2"/>
      </rPr>
      <t xml:space="preserve">（公司；毛利 − 營業利益）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</si>
  <si>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</si>
  <si>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</si>
  <si>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2Q26 −0.07</t>
    </r>
    <r>
      <rPr>
        <sz val="11"/>
        <color theme="1"/>
        <rFont val="Noto Sans CJK SC"/>
        <family val="2"/>
      </rPr>
      <t xml:space="preserve">（稅前 − 營業利益）</t>
    </r>
  </si>
  <si>
    <t xml:space="preserve">https://www.wantgoo.com/stock/3324/financial-statements/income-statement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</si>
  <si>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</si>
  <si>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</si>
  <si>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1Q26 11.64 ÷ 15.70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9.69 ÷ 13.17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0.736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</si>
  <si>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19–21% </t>
    </r>
    <r>
      <rPr>
        <sz val="11"/>
        <color theme="1"/>
        <rFont val="Noto Sans CJK SC"/>
        <family val="2"/>
      </rPr>
      <t xml:space="preserve">與非控制權益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</si>
  <si>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</si>
  <si>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</si>
  <si>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</si>
  <si>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：已發行普通股 </t>
    </r>
    <r>
      <rPr>
        <sz val="11"/>
        <color theme="1"/>
        <rFont val="Calibri"/>
        <family val="2"/>
        <charset val="1"/>
      </rPr>
      <t xml:space="preserve">93,076,837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</si>
  <si>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https://stockanalysis.com/quote/tpex/3324/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Shares outstanding 93.08M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21.33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23.02 </t>
    </r>
    <r>
      <rPr>
        <sz val="11"/>
        <color theme="1"/>
        <rFont val="Noto Sans CJK SC"/>
        <family val="2"/>
      </rPr>
      <t xml:space="preserve">＝ 加權 </t>
    </r>
    <r>
      <rPr>
        <sz val="11"/>
        <color theme="1"/>
        <rFont val="Calibri"/>
        <family val="2"/>
        <charset val="1"/>
      </rPr>
      <t xml:space="preserve">0.0927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</si>
  <si>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</si>
  <si>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</si>
  <si>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</si>
  <si>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</si>
  <si>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、營收年增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（彈性約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，泰國廠擴產期）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</si>
  <si>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</si>
  <si>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</si>
  <si>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</si>
  <si>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</si>
  <si>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</si>
  <si>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</si>
  <si>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匯損 −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0.02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</si>
  <si>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</si>
  <si>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</si>
  <si>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</si>
  <si>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25.72 ÷ 32.77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稅負低）</t>
    </r>
  </si>
  <si>
    <t xml:space="preserve">非控制權益比例變動：未建模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</si>
  <si>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</si>
  <si>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</si>
  <si>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0.0910 → 2026 </t>
    </r>
    <r>
      <rPr>
        <sz val="11"/>
        <color theme="1"/>
        <rFont val="Noto Sans CJK SC"/>
        <family val="2"/>
      </rPr>
      <t xml:space="preserve">年已發行 </t>
    </r>
    <r>
      <rPr>
        <sz val="11"/>
        <color theme="1"/>
        <rFont val="Calibri"/>
        <family val="2"/>
        <charset val="1"/>
      </rPr>
      <t xml:space="preserve">0.0931 </t>
    </r>
    <r>
      <rPr>
        <sz val="11"/>
        <color theme="1"/>
        <rFont val="Noto Sans CJK SC"/>
        <family val="2"/>
      </rPr>
      <t xml:space="preserve">十億股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</si>
  <si>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</si>
  <si>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</si>
  <si>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</si>
  <si>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</si>
  <si>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</si>
  <si>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</si>
  <si>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</si>
  <si>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</si>
  <si>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https://www.kgi.com.hk/zh-cn/-/media/files/kgishk/research-reports/tw-reports/auras-technology-3324-tt20260807en.pdf</t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</si>
  <si>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</si>
  <si>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</si>
  <si>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</si>
  <si>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</si>
  <si>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</si>
  <si>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</si>
  <si>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</si>
  <si>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</si>
  <si>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</si>
  <si>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</si>
  <si>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70–75%</t>
    </r>
  </si>
  <si>
    <t xml:space="preserve">u_eps26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</si>
  <si>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</si>
  <si>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https://money.udn.com/money/story/5607/9762508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2026 58.8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</si>
  <si>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券商名稱未載明；花旗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（經濟日報）</t>
    </r>
  </si>
  <si>
    <t xml:space="preserve">u_eps27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</si>
  <si>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</si>
  <si>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https://money.udn.com/money/story/5607/9762508</t>
  </si>
  <si>
    <t xml:space="preserve">u_eps28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</si>
  <si>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</si>
  <si>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</si>
  <si>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</si>
  <si>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https://stockanalysis.com/quote/tpex/3324/forecast/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</si>
  <si>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37.5–39.9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</si>
  <si>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</si>
  <si>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</si>
  <si>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52.19–58.82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</si>
  <si>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</si>
  <si>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營收（同上，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</si>
  <si>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</si>
  <si>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（同上，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</si>
  <si>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</si>
  <si>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共識：未找到（付費）</t>
    </r>
  </si>
  <si>
    <t xml:space="preserve">avsh_26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</si>
  <si>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</si>
  <si>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avc/dist/20261030_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</si>
  <si>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奇鋐模型三情境的份額相對值相同；只作兩家份額合計檢查，不進本模型計算</t>
  </si>
  <si>
    <t xml:space="preserve">avsh_27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</si>
  <si>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</si>
  <si>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avsh_28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</si>
  <si>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</si>
  <si>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avsh_29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</si>
  <si>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</si>
  <si>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</si>
  <si>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</si>
  <si>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</si>
  <si>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1.09%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</si>
  <si>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頁面）仍為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</si>
  <si>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eps_ttm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</si>
  <si>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</si>
  <si>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每股盈餘：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</si>
  <si>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</si>
  <si>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</si>
  <si>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</si>
  <si>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</si>
  <si>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</si>
  <si>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</si>
  <si>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</si>
  <si>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</si>
  <si>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</si>
  <si>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</si>
  <si>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</si>
  <si>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</si>
  <si>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</si>
  <si>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</si>
  <si>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</si>
  <si>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</si>
  <si>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</si>
  <si>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</si>
  <si>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</si>
  <si>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</si>
  <si>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https://stockanalysis.com/quote/tpex/3324/financials/ratios/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23.91%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25.96%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</si>
  <si>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</si>
  <si>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</si>
  <si>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</si>
  <si>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</si>
  <si>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</si>
  <si>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</si>
  <si>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</si>
  <si>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</si>
  <si>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</si>
  <si>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</si>
  <si>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</si>
  <si>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</si>
  <si>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</si>
  <si>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</si>
  <si>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歷史平均淨利率（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</si>
  <si>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）：稅後淨利率 </t>
    </r>
    <r>
      <rPr>
        <sz val="11"/>
        <color theme="1"/>
        <rFont val="Calibri"/>
        <family val="2"/>
        <charset val="1"/>
      </rPr>
      <t xml:space="preserve">2017 4.24%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2018 3.02%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2019 9.46%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2020 9.23%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2021 8.09%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2022 9.29%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2025 11.6%</t>
    </r>
    <r>
      <rPr>
        <sz val="11"/>
        <color theme="1"/>
        <rFont val="Noto Sans CJK SC"/>
        <family val="2"/>
      </rPr>
      <t xml:space="preserve">（合併淨利口徑）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</si>
  <si>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年：未找到（以九年平均代替十年平均）；本模型淨利為歸屬母公司，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歸母淨利率 </t>
    </r>
    <r>
      <rPr>
        <sz val="11"/>
        <color theme="1"/>
        <rFont val="Calibri"/>
        <family val="2"/>
        <charset val="1"/>
      </rPr>
      <t xml:space="preserve">11.05%</t>
    </r>
    <r>
      <rPr>
        <sz val="11"/>
        <color theme="1"/>
        <rFont val="Noto Sans CJK SC"/>
        <family val="2"/>
      </rPr>
      <t xml:space="preserve">，合併口徑略高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</si>
  <si>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</si>
  <si>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</si>
  <si>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1,025–2,000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2026-10-19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</si>
  <si>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為個別券商）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</si>
  <si>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</si>
  <si>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</si>
  <si>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56.18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77.97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</si>
  <si>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期間為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起算的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個月後起算，兩者期間不同；個股頁 </t>
    </r>
    <r>
      <rPr>
        <sz val="11"/>
        <color theme="1"/>
        <rFont val="Calibri"/>
        <family val="2"/>
        <charset val="1"/>
      </rPr>
      <t xml:space="preserve">Forward PE 17.27</t>
    </r>
    <r>
      <rPr>
        <sz val="11"/>
        <color theme="1"/>
        <rFont val="Noto Sans CJK SC"/>
        <family val="2"/>
      </rPr>
      <t xml:space="preserve">（價格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）隱含 </t>
    </r>
    <r>
      <rPr>
        <sz val="11"/>
        <color theme="1"/>
        <rFont val="Calibri"/>
        <family val="2"/>
        <charset val="1"/>
      </rPr>
      <t xml:space="preserve">66.0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</si>
  <si>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</si>
  <si>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</si>
  <si>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</si>
  <si>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</si>
  <si>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</si>
  <si>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</si>
  <si>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</si>
  <si>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</si>
  <si>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</si>
  <si>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</si>
  <si>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</si>
  <si>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</si>
  <si>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</si>
  <si>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</si>
  <si>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</si>
  <si>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</si>
  <si>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</si>
  <si>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為新台幣；股數為十億股）。藍字＝輸入；黑字＝公式。實績取自雙鴻財報（經玩股網、時報、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轉載）與月營收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</si>
  <si>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月中）尚未公布。各季毛利、營業利益、稅前取自玩股網各季損益（合併）；歸屬母公司淨利與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取自公司公告（經時報、凱基、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</si>
  <si>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</si>
  <si>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</si>
  <si>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</si>
  <si>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</si>
  <si>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</si>
  <si>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</si>
  <si>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</si>
  <si>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</si>
  <si>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https://wantrich.chinatimes.com/news/20260304900286-420101</t>
    </r>
    <r>
      <rPr>
        <sz val="11"/>
        <color theme="1"/>
        <rFont val="Noto Sans CJK SC"/>
        <family val="2"/>
      </rPr>
      <t xml:space="preserve">；各季：</t>
    </r>
    <r>
      <rPr>
        <sz val="11"/>
        <color theme="1"/>
        <rFont val="Calibri"/>
        <family val="2"/>
        <charset val="1"/>
      </rPr>
      <t xml:space="preserve">https://www.wantgoo.com/stock/3324/financial-statements/income-statement</t>
    </r>
  </si>
  <si>
    <r>
      <rPr>
        <sz val="11"/>
        <color theme="1"/>
        <rFont val="Calibri"/>
        <family val="2"/>
        <charset val="1"/>
      </rPr>
      <t xml:space="preserve">FY2025 232.76 </t>
    </r>
    <r>
      <rPr>
        <sz val="11"/>
        <color theme="1"/>
        <rFont val="Noto Sans CJK SC"/>
        <family val="2"/>
      </rPr>
      <t xml:space="preserve">億元（時報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85.52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87.00 </t>
    </r>
    <r>
      <rPr>
        <sz val="11"/>
        <color theme="1"/>
        <rFont val="Noto Sans CJK SC"/>
        <family val="2"/>
      </rPr>
      <t xml:space="preserve">億元（玩股網；凱基 </t>
    </r>
    <r>
      <rPr>
        <sz val="11"/>
        <color theme="1"/>
        <rFont val="Calibri"/>
        <family val="2"/>
        <charset val="1"/>
      </rPr>
      <t xml:space="preserve">2Q 87.00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</si>
  <si>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</si>
  <si>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</si>
  <si>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</si>
  <si>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</si>
  <si>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</si>
  <si>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</si>
  <si>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</si>
  <si>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</si>
  <si>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</si>
  <si>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</si>
  <si>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13.90 </t>
    </r>
    <r>
      <rPr>
        <sz val="11"/>
        <color theme="1"/>
        <rFont val="Noto Sans CJK SC"/>
        <family val="2"/>
      </rPr>
      <t xml:space="preserve">億元、營益率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（凱基）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</si>
  <si>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</si>
  <si>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</si>
  <si>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</si>
  <si>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（資料商轉載）／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</si>
  <si>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為四季加總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</si>
  <si>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</si>
  <si>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</si>
  <si>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25.72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11.64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9.69 </t>
    </r>
    <r>
      <rPr>
        <sz val="11"/>
        <color theme="1"/>
        <rFont val="Noto Sans CJK SC"/>
        <family val="2"/>
      </rPr>
      <t xml:space="preserve">億（凱基）；合併淨利 </t>
    </r>
    <r>
      <rPr>
        <sz val="11"/>
        <color theme="1"/>
        <rFont val="Calibri"/>
        <family val="2"/>
        <charset val="1"/>
      </rPr>
      <t xml:space="preserve">FY2025 26.98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10.39</t>
    </r>
    <r>
      <rPr>
        <sz val="11"/>
        <color theme="1"/>
        <rFont val="Noto Sans CJK SC"/>
        <family val="2"/>
      </rPr>
      <t xml:space="preserve">（玩股網）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</si>
  <si>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</si>
  <si>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</si>
  <si>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</si>
  <si>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起＝已發行股數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</si>
  <si>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</si>
  <si>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</si>
  <si>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錨點以已發行股數換算（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加權股數較少，差約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</si>
  <si>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</si>
  <si>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</si>
  <si>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https://winvest.tw/News/Detail/95436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</si>
  <si>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</si>
  <si>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</si>
  <si>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公司與凱基產品比重（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</si>
  <si>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液冷、伺服器氣冷的季度金額未揭露：未找到</t>
  </si>
  <si>
    <r>
      <rPr>
        <sz val="11"/>
        <color theme="1"/>
        <rFont val="Noto Sans CJK SC"/>
        <family val="2"/>
      </rPr>
      <t xml:space="preserve">伺服器氣冷（＝營收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 − 液冷））</t>
    </r>
  </si>
  <si>
    <r>
      <rPr>
        <sz val="11"/>
        <color theme="1"/>
        <rFont val="Noto Sans CJK SC"/>
        <family val="2"/>
      </rPr>
      <t xml:space="preserve">筆電與桌機（＝營收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筆電與桌機占比）</t>
    </r>
  </si>
  <si>
    <r>
      <rPr>
        <sz val="11"/>
        <color theme="1"/>
        <rFont val="Noto Sans CJK SC"/>
        <family val="2"/>
      </rPr>
      <t xml:space="preserve">電競筆電、顯卡、主機板與其他（＝營收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 − 筆電與桌機））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</si>
  <si>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</si>
  <si>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</si>
  <si>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</si>
  <si>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</si>
  <si>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</si>
  <si>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</si>
  <si>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</si>
  <si>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</si>
  <si>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液冷營收年增（公司：</t>
    </r>
    <r>
      <rPr>
        <sz val="11"/>
        <color theme="1"/>
        <rFont val="Calibri"/>
        <family val="2"/>
        <charset val="1"/>
      </rPr>
      <t xml:space="preserve">+190–200%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</si>
  <si>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伺服器營收年增（公司：</t>
    </r>
    <r>
      <rPr>
        <sz val="11"/>
        <color theme="1"/>
        <rFont val="Calibri"/>
        <family val="2"/>
        <charset val="1"/>
      </rPr>
      <t xml:space="preserve">+110–120%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</si>
  <si>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</si>
  <si>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</si>
  <si>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</si>
  <si>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</si>
  <si>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液冷市場（機架內液冷＋分歧管，與奇鋐模型同口徑）、雙鴻份額與每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</si>
  <si>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</si>
  <si>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</si>
  <si>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</si>
  <si>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</si>
  <si>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</si>
  <si>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</si>
  <si>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</si>
  <si>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</si>
  <si>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奇鋐模型的假設（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</si>
  <si>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</si>
  <si>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</si>
  <si>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</si>
  <si>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液冷市場（機架內液冷＋分歧管）</t>
    </r>
  </si>
  <si>
    <r>
      <rPr>
        <sz val="11"/>
        <color theme="1"/>
        <rFont val="Noto Sans CJK SC"/>
        <family val="2"/>
      </rPr>
      <t xml:space="preserve">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</t>
    </r>
  </si>
  <si>
    <t xml:space="preserve">雙鴻有效份額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</si>
  <si>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以凱基液冷占比校準</t>
    </r>
  </si>
  <si>
    <t xml:space="preserve">奇鋐有效份額（奇鋐模型）</t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</si>
  <si>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（唯讀）；奇鋐三情境份額相同</t>
    </r>
  </si>
  <si>
    <t xml:space="preserve">兩家有效份額合計（奇鋐＋雙鴻）</t>
  </si>
  <si>
    <r>
      <rPr>
        <sz val="11"/>
        <color theme="1"/>
        <rFont val="Noto Sans CJK SC"/>
        <family val="2"/>
      </rPr>
      <t xml:space="preserve">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與機架外產品，合計偏高估實際冷板份額</t>
    </r>
  </si>
  <si>
    <r>
      <rPr>
        <sz val="11"/>
        <color theme="1"/>
        <rFont val="Noto Sans CJK SC"/>
        <family val="2"/>
      </rPr>
      <t xml:space="preserve">其他廠商（酷碼、台達電、富世達、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</t>
    </r>
  </si>
  <si>
    <t xml:space="preserve">雙鴻液冷營收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</si>
  <si>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</t>
    </r>
  </si>
  <si>
    <r>
      <rPr>
        <b val="true"/>
        <sz val="11"/>
        <rFont val="Noto Sans CJK SC"/>
        <family val="2"/>
      </rPr>
      <t xml:space="preserve">讀法：液冷市場口徑、滲透率、每架內容調整與奇鋐模型相同；雙鴻份額以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液冷占比（凱基）校準。兩家有效份額合計約六成，其餘為酷碼、台達電、富世達、</t>
    </r>
    <r>
      <rPr>
        <b val="true"/>
        <sz val="11"/>
        <rFont val="Cambria"/>
        <family val="0"/>
        <charset val="1"/>
      </rPr>
      <t xml:space="preserve">Boyd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CoolIT </t>
    </r>
    <r>
      <rPr>
        <b val="true"/>
        <sz val="11"/>
        <rFont val="Noto Sans CJK SC"/>
        <family val="2"/>
      </rPr>
      <t xml:space="preserve">等；合計若超過八成即不合理，應回頭檢查份額相對值或市場口徑。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</si>
  <si>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雙鴻損益（十億新台幣；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為收斂法（本頁延伸表，灰底）。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</si>
  <si>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</si>
  <si>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</si>
  <si>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</si>
  <si>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</si>
  <si>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</si>
  <si>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</si>
  <si>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</si>
  <si>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</si>
  <si>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t xml:space="preserve">  伺服器氣冷營收</t>
  </si>
  <si>
    <t xml:space="preserve">  筆電與桌機營收</t>
  </si>
  <si>
    <t xml:space="preserve">  電競、顯卡與其他營收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</si>
  <si>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</si>
  <si>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</si>
  <si>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</si>
  <si>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</si>
  <si>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</si>
  <si>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</si>
  <si>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</si>
  <si>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</si>
  <si>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</si>
  <si>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</si>
  <si>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</si>
  <si>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</si>
  <si>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</si>
  <si>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</si>
  <si>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液冷內容（機架內液冷＋分歧管；與奇鋐模型同口徑）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</si>
  <si>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</si>
  <si>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</si>
  <si>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</si>
  <si>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雙鴻有效份額（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</si>
  <si>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、機架分歧管）；分母為機架內液冷＋分歧管市場（不含機架外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</si>
  <si>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</si>
  <si>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</si>
  <si>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（伺服器氣冷、筆電與桌機、電競顯卡與其他）與合計</t>
    </r>
  </si>
  <si>
    <r>
      <rPr>
        <sz val="11"/>
        <color theme="1"/>
        <rFont val="Noto Sans CJK SC"/>
        <family val="2"/>
      </rPr>
      <t xml:space="preserve">伺服器氣冷營收（含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</si>
  <si>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筆電與桌機營收</t>
  </si>
  <si>
    <t xml:space="preserve">電競筆電、顯卡、主機板與其他營收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</si>
  <si>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</si>
  <si>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</si>
  <si>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</si>
  <si>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</si>
  <si>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</si>
  <si>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</si>
  <si>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</si>
  <si>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</si>
  <si>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</si>
  <si>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</si>
  <si>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</si>
  <si>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</si>
  <si>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</si>
  <si>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</si>
  <si>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</si>
  <si>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</si>
  <si>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</si>
  <si>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</si>
  <si>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</si>
  <si>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</si>
  <si>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</si>
  <si>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</si>
  <si>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</si>
  <si>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</si>
  <si>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</si>
  <si>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</si>
  <si>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</si>
  <si>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</si>
  <si>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</si>
  <si>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</si>
  <si>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</si>
  <si>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</si>
  <si>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；參考，不是目標價）</t>
    </r>
  </si>
  <si>
    <r>
      <rPr>
        <sz val="11"/>
        <color theme="1"/>
        <rFont val="Noto Sans CJK SC"/>
        <family val="2"/>
      </rPr>
      <t xml:space="preserve">循環位置：雙鴻不是設備股，不套設備市場見頂年；以本模型營收最高的會計年度為見頂年（比照奇鋐、台達電；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</si>
  <si>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列起）。第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節與第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節「規則值」保留給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投資地圖抽數，不是目標價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</si>
  <si>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</si>
  <si>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</si>
  <si>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</si>
  <si>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</si>
  <si>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</si>
  <si>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</si>
  <si>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</si>
  <si>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</si>
  <si>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</si>
  <si>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</si>
  <si>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</si>
  <si>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</si>
  <si>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</si>
  <si>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</si>
  <si>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</si>
  <si>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）；本模型未建資本支出與折舊，用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</si>
  <si>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</si>
  <si>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</si>
  <si>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</si>
  <si>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</si>
  <si>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</si>
  <si>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</si>
  <si>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</si>
  <si>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</si>
  <si>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</si>
  <si>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</si>
  <si>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</si>
  <si>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</si>
  <si>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</si>
  <si>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</si>
  <si>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</si>
  <si>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</si>
  <si>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</si>
  <si>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</si>
  <si>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</si>
  <si>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</si>
  <si>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</si>
  <si>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</si>
  <si>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</si>
  <si>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</si>
  <si>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</si>
  <si>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並列參考（不進目標價）：無。英維克（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股，依規則不列；酷碼（</t>
    </r>
    <r>
      <rPr>
        <sz val="11"/>
        <color theme="1"/>
        <rFont val="Calibri"/>
        <family val="2"/>
        <charset val="1"/>
      </rPr>
      <t xml:space="preserve">Cooler Master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</si>
  <si>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</si>
  <si>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、台達電（與奇鋐模型同一比較組，雙鴻換成奇鋐）；非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</si>
  <si>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</si>
  <si>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</si>
  <si>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</si>
  <si>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</si>
  <si>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</si>
  <si>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</si>
  <si>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</si>
  <si>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</si>
  <si>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</si>
  <si>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</si>
  <si>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</si>
  <si>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</si>
  <si>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</si>
  <si>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</si>
  <si>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</si>
  <si>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</si>
  <si>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</si>
  <si>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</si>
  <si>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</si>
  <si>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</si>
  <si>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</si>
  <si>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</si>
  <si>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</si>
  <si>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收斂法＋永續；本模型未建資本支出與折舊（泰國、越南擴產期），未改用淨利＋折舊－資本支出，現金流可能偏高估。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股）；健策倍數高（約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）、雙鴻自身前瞻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，同業倍數分散，中位數可能高估雙鴻的市場倍數。情境對應：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＝順利（顆數基準、滲透率與份額高值）、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</si>
  <si>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</si>
  <si>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</si>
  <si>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</si>
  <si>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</si>
  <si>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</si>
  <si>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</si>
  <si>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</si>
  <si>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</si>
  <si>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</si>
  <si>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</si>
  <si>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</si>
  <si>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 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</si>
  <si>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</si>
  <si>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月價格下的前瞻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</si>
  <si>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</si>
  <si>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</si>
  <si>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</si>
  <si>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</si>
  <si>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</si>
  <si>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</si>
  <si>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</si>
  <si>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</si>
  <si>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</si>
  <si>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</si>
  <si>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</si>
  <si>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</si>
  <si>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</si>
  <si>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</si>
  <si>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</si>
  <si>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</si>
  <si>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</si>
  <si>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</si>
  <si>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</si>
  <si>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</si>
  <si>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</si>
  <si>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</si>
  <si>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年雙鴻為筆電、顯卡與伺服器氣冷散熱廠（約 </t>
    </r>
    <r>
      <rPr>
        <sz val="11"/>
        <color theme="1"/>
        <rFont val="Calibri"/>
        <family val="2"/>
        <charset val="1"/>
      </rPr>
      <t xml:space="preserve">10–34x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低使倍數偏高），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</si>
  <si>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</si>
  <si>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</si>
  <si>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</si>
  <si>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</si>
  <si>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</si>
  <si>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</si>
  <si>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</si>
  <si>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</si>
  <si>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0.4x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44.0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</si>
  <si>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</si>
  <si>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</si>
  <si>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</si>
  <si>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</si>
  <si>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</si>
  <si>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</si>
  <si>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</si>
  <si>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</si>
  <si>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</si>
  <si>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</si>
  <si>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</si>
  <si>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</si>
  <si>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</si>
  <si>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</si>
  <si>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</si>
  <si>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</si>
  <si>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</si>
  <si>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</si>
  <si>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</si>
  <si>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</si>
  <si>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</si>
  <si>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</si>
  <si>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</si>
  <si>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</si>
  <si>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</si>
  <si>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</si>
  <si>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</si>
  <si>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</si>
  <si>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</si>
  <si>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</si>
  <si>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</si>
  <si>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</si>
  <si>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</si>
  <si>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</si>
  <si>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</si>
  <si>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</si>
  <si>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</si>
  <si>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</si>
  <si>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</si>
  <si>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</si>
  <si>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</si>
  <si>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</si>
  <si>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</si>
  <si>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</si>
  <si>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</si>
  <si>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</si>
  <si>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</si>
  <si>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</si>
  <si>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</si>
  <si>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</si>
  <si>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</si>
  <si>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</si>
  <si>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</si>
  <si>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</si>
  <si>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雙鴻</t>
  </si>
  <si>
    <t xml:space="preserve">3324.TWO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</si>
  <si>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</si>
  <si>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</si>
  <si>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</si>
  <si>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</si>
  <si>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</si>
  <si>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</si>
  <si>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</si>
  <si>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</si>
  <si>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</si>
  <si>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</si>
  <si>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</si>
  <si>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</si>
  <si>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</si>
  <si>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</si>
  <si>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</si>
  <si>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</si>
  <si>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</si>
  <si>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</si>
  <si>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</si>
  <si>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</si>
  <si>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</si>
  <si>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共識、券商估計與奇鋐模型的份額（兩家份額合計檢查）。只作事後對照，不為對上數字而調參數。共識取自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）；券商多經媒體轉述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</si>
  <si>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</si>
  <si>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</si>
  <si>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</si>
  <si>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</si>
  <si>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</si>
  <si>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</si>
  <si>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</si>
  <si>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</si>
  <si>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</si>
  <si>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</si>
  <si>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</si>
  <si>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375–399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</si>
  <si>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</si>
  <si>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</si>
  <si>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102.7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</si>
  <si>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</si>
  <si>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</si>
  <si>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</si>
  <si>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</si>
  <si>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</si>
  <si>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</si>
  <si>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</si>
  <si>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</si>
  <si>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</si>
  <si>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</si>
  <si>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</si>
  <si>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</si>
  <si>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液冷結構與兩家份額合計（機制檢查）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</si>
  <si>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</si>
  <si>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雙鴻有效份額（本模型市場口徑）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</si>
  <si>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</si>
  <si>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</si>
  <si>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（唯讀）＋本模型</t>
    </r>
  </si>
  <si>
    <r>
      <rPr>
        <sz val="11"/>
        <color theme="1"/>
        <rFont val="Noto Sans CJK SC"/>
        <family val="2"/>
      </rPr>
      <t xml:space="preserve">奇鋐三情境份額相同（只讀其值）；兩家分子都含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等機架外產品，合計偏高估冷板份額。超過八成應視為不合理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</si>
  <si>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</si>
  <si>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</si>
  <si>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</si>
  <si>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</si>
  <si>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</si>
  <si>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</si>
  <si>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</si>
  <si>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</si>
  <si>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</si>
  <si>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</si>
  <si>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</si>
  <si>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</si>
  <si>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08-07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17.83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115.0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</si>
  <si>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</si>
  <si>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</si>
  <si>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共識（期間不同）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</si>
  <si>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</si>
  <si>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</si>
  <si>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</si>
  <si>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</si>
  <si>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</si>
  <si>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</si>
  <si>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</si>
  <si>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</si>
  <si>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</si>
  <si>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</si>
  <si>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</si>
  <si>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</si>
  <si>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</si>
  <si>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</si>
  <si>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</si>
  <si>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</si>
  <si>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</si>
  <si>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</si>
  <si>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</si>
  <si>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</si>
  <si>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</si>
  <si>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的份額）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</si>
  <si>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</si>
  <si>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的份額）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</si>
  <si>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</si>
  <si>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</si>
  <si>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</si>
  <si>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</si>
  <si>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</si>
  <si>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份額反向調整）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</si>
  <si>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</si>
  <si>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</si>
  <si>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</si>
  <si>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</si>
  <si>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</si>
  <si>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</si>
  <si>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伺服器氣冷 低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</si>
  <si>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20%</t>
    </r>
  </si>
  <si>
    <t xml:space="preserve">伺服器氣冷 高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</si>
  <si>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+5%</t>
    </r>
  </si>
  <si>
    <t xml:space="preserve">筆電與其他 低</t>
  </si>
  <si>
    <r>
      <rPr>
        <sz val="11"/>
        <color theme="1"/>
        <rFont val="Noto Sans CJK SC"/>
        <family val="2"/>
      </rPr>
      <t xml:space="preserve">筆電與桌機 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、電競顯卡與其他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</si>
  <si>
    <t xml:space="preserve">筆電與其他 高</t>
  </si>
  <si>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、電競顯卡與其他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</si>
  <si>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</si>
  <si>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</si>
  <si>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</si>
  <si>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</si>
  <si>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</si>
  <si>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</si>
  <si>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</si>
  <si>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</si>
  <si>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</si>
  <si>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</si>
  <si>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實績比例）；份額分子變小、氣冷變大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</si>
  <si>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</si>
  <si>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63%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</si>
  <si>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</si>
  <si>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＋液冷滲透率、份額相對值高值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</si>
  <si>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</si>
  <si>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＋液冷滲透率、份額相對值低值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</si>
  <si>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的滲透率只在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起取高／低值，所以影響較大。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</si>
  <si>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</si>
  <si>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</si>
  <si>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</si>
  <si>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</si>
  <si>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</si>
  <si>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</si>
  <si>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</si>
  <si>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</si>
  <si>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</si>
  <si>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</si>
  <si>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</si>
  <si>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</si>
  <si>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</si>
  <si>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</si>
  <si>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</si>
  <si>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</si>
  <si>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</si>
  <si>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</si>
  <si>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</si>
  <si>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</si>
  <si>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</si>
  <si>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</si>
  <si>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</si>
  <si>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</si>
  <si>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</si>
  <si>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</si>
  <si>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</si>
  <si>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</si>
  <si>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</si>
  <si>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</si>
  <si>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</si>
  <si>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</si>
  <si>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</si>
  <si>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63%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</si>
  <si>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來源（公司原文經媒體與資料商轉載：法說簡報原檔未逐份抓取；券商與研調皆為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</si>
  <si>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</si>
  <si>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https://wantrich.chinatimes.com/news/20260304900286-420101</t>
  </si>
  <si>
    <r>
      <rPr>
        <sz val="11"/>
        <color theme="1"/>
        <rFont val="Noto Sans CJK SC"/>
        <family val="2"/>
      </rPr>
      <t xml:space="preserve">公司（經時報）：股東會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產品比重）</t>
    </r>
  </si>
  <si>
    <t xml:space="preserve">https://wantrich.chinatimes.com/news/20260521900232-420101</t>
  </si>
  <si>
    <r>
      <rPr>
        <sz val="11"/>
        <color theme="1"/>
        <rFont val="Noto Sans CJK SC"/>
        <family val="2"/>
      </rPr>
      <t xml:space="preserve">資料商：玩股網各季損益（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營收、毛利、營業利益、稅前、合併淨利）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</si>
  <si>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2025-01–2026-09</t>
    </r>
    <r>
      <rPr>
        <sz val="11"/>
        <color theme="1"/>
        <rFont val="Noto Sans CJK SC"/>
        <family val="2"/>
      </rPr>
      <t xml:space="preserve">）、各季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、已發行股數、股價</t>
    </r>
  </si>
  <si>
    <t xml:space="preserve">https://histock.tw/stock/financial.aspx?no=3324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</si>
  <si>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月營收與前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</si>
  <si>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https://finance.technews.tw/2026/10/08/auras-3324-202609-financial-report/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</si>
  <si>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Win </t>
    </r>
    <r>
      <rPr>
        <sz val="11"/>
        <color theme="1"/>
        <rFont val="Noto Sans CJK SC"/>
        <family val="2"/>
      </rPr>
      <t xml:space="preserve">投資）：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EPS 2026-10-08</t>
    </r>
  </si>
  <si>
    <t xml:space="preserve">https://winvest.tw/News/Detail/95436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</si>
  <si>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實績、產品比重、液冷占比、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估計、目標價）</t>
    </r>
  </si>
  <si>
    <r>
      <rPr>
        <sz val="11"/>
        <color theme="1"/>
        <rFont val="Noto Sans CJK SC"/>
        <family val="2"/>
      </rPr>
      <t xml:space="preserve">券商：美系券商（經濟日報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</si>
  <si>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</si>
  <si>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t xml:space="preserve">https://money.udn.com/money/story/5607/9764013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</si>
  <si>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頁（共識目標價、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</si>
  <si>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個股頁（股數、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）與比率頁（年底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</si>
  <si>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</si>
  <si>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年未取得）</t>
    </r>
  </si>
  <si>
    <t xml:space="preserve">https://goodinfo.tw/tw/StockBzPerformance.asp?STOCK_ID=3324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</si>
  <si>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</si>
  <si>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https://tw.stock.yahoo.com/quote/3324.TWO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</si>
  <si>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3017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</si>
  <si>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</si>
  <si>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頁（液冷內容、滲透率、份額相對值）與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</si>
  <si>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、分歧管的金額拆分；雙鴻液冷份額；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與年底股價；前瞻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</si>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</sst>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NT$"&amp;TEXT(Val!$B$39,"#,##0")&amp;"（DCF "&amp;TEXT(Val!$B$24,"#,##0")&amp;"、Comparable（相對倍數調整後）"&amp;TEXT(tp_comp_adj,"#,##0")&amp;"；DCF 權重 "&amp;TEXT(tp_w_dcf,"0%")&amp;"），比現價 "&amp;TEXT(px,"#,##0")&amp;"（2026-10-22）"&amp;IF(Val!$B$42&gt;=0,"高 "&amp;TEXT(Val!$B$42,"0.0%"),"低 "&amp;TEXT(-Val!$B$42,"0.0%"))&amp;"，級距 "&amp;Val!$B$129&amp;"、投資建議 "&amp;Val!$B$130&amp;"。相對倍數調整係數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1,"&amp;"523 隱含的 20.5 倍；Comparable 未扣雙鴻相對奇鋐的份額折價（雙鴻自身前瞻 P/E 17.3 倍）。"</f>
        <v>重點觀察 1：目標價 NT$2,290（DCF 1,979、Comparable（相對倍數調整後）2,602；DCF 權重 50%），比現價 1,360（2026-10-22）高 68.4%，級距 大於 50%、投資建議 強力買進。相對倍數調整係數 0.73（本公司 10 年前瞻倍數中位數 ÷ 同業的中位數，夾在 0.5–2.0；Val 第 0.5 節），調整前加權上檔空間 +103.6%；Comparable 單獨（市場主流同業法、未調整）為 +161.7%。以下為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1,523 隱含的 20.5 倍；Comparable 未扣雙鴻相對奇鋐的份額折價（雙鴻自身前瞻 P/E 17.3 倍）。</v>
      </c>
    </row>
    <row r="19" customFormat="false" ht="17.15" hidden="false" customHeight="false" outlineLevel="0" collapsed="false">
      <c r="A19" s="3" t="s">
        <v>13</v>
      </c>
    </row>
    <row r="20" customFormat="false" ht="17.15" hidden="false" customHeight="false" outlineLevel="0" collapsed="false">
      <c r="A20" s="3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6" t="n">
        <v>781.872916666666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6" t="n">
        <v>1565.35</v>
      </c>
      <c r="G6" s="7" t="s">
        <v>33</v>
      </c>
      <c r="H6" s="7" t="s">
        <v>34</v>
      </c>
      <c r="I6" s="3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6" t="n">
        <v>1984.26388888889</v>
      </c>
      <c r="G7" s="7" t="s">
        <v>33</v>
      </c>
      <c r="H7" s="7" t="s">
        <v>34</v>
      </c>
      <c r="I7" s="3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6" t="n">
        <v>2260.39027777778</v>
      </c>
      <c r="G8" s="7" t="s">
        <v>33</v>
      </c>
      <c r="H8" s="7" t="s">
        <v>34</v>
      </c>
      <c r="I8" s="3" t="s">
        <v>38</v>
      </c>
    </row>
    <row r="9" customFormat="false" ht="17.15" hidden="false" customHeight="false" outlineLevel="0" collapsed="false">
      <c r="A9" s="0" t="s">
        <v>43</v>
      </c>
      <c r="B9" s="3" t="s">
        <v>44</v>
      </c>
      <c r="C9" s="0" t="s">
        <v>32</v>
      </c>
      <c r="E9" s="6" t="n">
        <v>32.237224</v>
      </c>
      <c r="G9" s="7" t="s">
        <v>33</v>
      </c>
      <c r="H9" s="7" t="s">
        <v>45</v>
      </c>
      <c r="I9" s="7" t="s">
        <v>46</v>
      </c>
    </row>
    <row r="10" customFormat="false" ht="17.15" hidden="false" customHeight="false" outlineLevel="0" collapsed="false">
      <c r="A10" s="0" t="s">
        <v>47</v>
      </c>
      <c r="B10" s="3" t="s">
        <v>48</v>
      </c>
      <c r="C10" s="0" t="s">
        <v>32</v>
      </c>
      <c r="E10" s="6" t="n">
        <v>37.586352</v>
      </c>
      <c r="G10" s="7" t="s">
        <v>33</v>
      </c>
      <c r="H10" s="7" t="s">
        <v>45</v>
      </c>
      <c r="I10" s="3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6" t="n">
        <v>0.15</v>
      </c>
      <c r="E11" s="6" t="n">
        <v>0.22</v>
      </c>
      <c r="F11" s="6" t="n">
        <v>0.3</v>
      </c>
      <c r="G11" s="7" t="s">
        <v>53</v>
      </c>
      <c r="H11" s="7" t="s">
        <v>54</v>
      </c>
      <c r="I11" s="7" t="s">
        <v>55</v>
      </c>
    </row>
    <row r="12" customFormat="false" ht="17.15" hidden="false" customHeight="false" outlineLevel="0" collapsed="false">
      <c r="A12" s="0" t="s">
        <v>56</v>
      </c>
      <c r="B12" s="3" t="s">
        <v>57</v>
      </c>
      <c r="C12" s="3" t="s">
        <v>58</v>
      </c>
      <c r="E12" s="6" t="n">
        <v>6764</v>
      </c>
      <c r="G12" s="7" t="s">
        <v>33</v>
      </c>
      <c r="H12" s="7" t="s">
        <v>59</v>
      </c>
      <c r="I12" s="7" t="s">
        <v>60</v>
      </c>
    </row>
    <row r="13" customFormat="false" ht="17.15" hidden="false" customHeight="false" outlineLevel="0" collapsed="false">
      <c r="A13" s="0" t="s">
        <v>61</v>
      </c>
      <c r="B13" s="3" t="s">
        <v>62</v>
      </c>
      <c r="C13" s="3" t="s">
        <v>58</v>
      </c>
      <c r="E13" s="6" t="n">
        <v>4052</v>
      </c>
      <c r="G13" s="7" t="s">
        <v>33</v>
      </c>
      <c r="H13" s="7" t="s">
        <v>59</v>
      </c>
      <c r="I13" s="3" t="s">
        <v>38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65</v>
      </c>
      <c r="E14" s="6" t="n">
        <v>50</v>
      </c>
      <c r="G14" s="7" t="s">
        <v>53</v>
      </c>
      <c r="H14" s="7" t="s">
        <v>66</v>
      </c>
      <c r="I14" s="7" t="s">
        <v>67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0" t="s">
        <v>65</v>
      </c>
      <c r="E15" s="6" t="n">
        <v>56</v>
      </c>
      <c r="G15" s="7" t="s">
        <v>53</v>
      </c>
      <c r="H15" s="7" t="s">
        <v>66</v>
      </c>
      <c r="I15" s="3" t="s">
        <v>70</v>
      </c>
    </row>
    <row r="16" customFormat="false" ht="17.15" hidden="false" customHeight="false" outlineLevel="0" collapsed="false">
      <c r="A16" s="0" t="s">
        <v>71</v>
      </c>
      <c r="B16" s="3" t="s">
        <v>72</v>
      </c>
      <c r="C16" s="0" t="s">
        <v>73</v>
      </c>
      <c r="E16" s="6" t="n">
        <v>1</v>
      </c>
      <c r="G16" s="7" t="s">
        <v>74</v>
      </c>
      <c r="H16" s="7" t="s">
        <v>75</v>
      </c>
      <c r="I16" s="7" t="s">
        <v>76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73</v>
      </c>
      <c r="E17" s="6" t="n">
        <v>1</v>
      </c>
      <c r="G17" s="7" t="s">
        <v>74</v>
      </c>
      <c r="H17" s="7" t="s">
        <v>79</v>
      </c>
      <c r="I17" s="3" t="s">
        <v>38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73</v>
      </c>
      <c r="E18" s="6" t="n">
        <v>0.8</v>
      </c>
      <c r="G18" s="7" t="s">
        <v>74</v>
      </c>
      <c r="H18" s="7" t="s">
        <v>82</v>
      </c>
      <c r="I18" s="7" t="s">
        <v>76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73</v>
      </c>
      <c r="E19" s="6" t="n">
        <v>0.85</v>
      </c>
      <c r="G19" s="7" t="s">
        <v>74</v>
      </c>
      <c r="H19" s="7" t="s">
        <v>85</v>
      </c>
      <c r="I19" s="3" t="s">
        <v>38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73</v>
      </c>
      <c r="E20" s="6" t="n">
        <v>0.6</v>
      </c>
      <c r="G20" s="7" t="s">
        <v>74</v>
      </c>
      <c r="H20" s="7" t="s">
        <v>88</v>
      </c>
      <c r="I20" s="7" t="s">
        <v>76</v>
      </c>
    </row>
    <row r="21" customFormat="false" ht="17.15" hidden="false" customHeight="false" outlineLevel="0" collapsed="false">
      <c r="A21" s="0" t="s">
        <v>89</v>
      </c>
      <c r="B21" s="3" t="s">
        <v>90</v>
      </c>
      <c r="C21" s="0" t="s">
        <v>73</v>
      </c>
      <c r="E21" s="6" t="n">
        <v>0.6</v>
      </c>
      <c r="G21" s="7" t="s">
        <v>74</v>
      </c>
      <c r="H21" s="7" t="s">
        <v>91</v>
      </c>
      <c r="I21" s="3" t="s">
        <v>38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D22" s="6" t="n">
        <v>30.5</v>
      </c>
      <c r="E22" s="6" t="n">
        <v>32</v>
      </c>
      <c r="F22" s="6" t="n">
        <v>33</v>
      </c>
      <c r="G22" s="7" t="s">
        <v>33</v>
      </c>
      <c r="H22" s="7" t="s">
        <v>95</v>
      </c>
      <c r="I22" s="3" t="s">
        <v>96</v>
      </c>
    </row>
    <row r="23" customFormat="false" ht="17.15" hidden="false" customHeight="false" outlineLevel="0" collapsed="false">
      <c r="A23" s="5" t="s">
        <v>97</v>
      </c>
    </row>
    <row r="24" customFormat="false" ht="17.15" hidden="false" customHeight="false" outlineLevel="0" collapsed="false">
      <c r="A24" s="0" t="s">
        <v>98</v>
      </c>
      <c r="B24" s="3" t="s">
        <v>99</v>
      </c>
      <c r="C24" s="0" t="s">
        <v>65</v>
      </c>
      <c r="D24" s="6" t="n">
        <v>3</v>
      </c>
      <c r="E24" s="6" t="n">
        <v>6</v>
      </c>
      <c r="F24" s="6" t="n">
        <v>10</v>
      </c>
      <c r="G24" s="7" t="s">
        <v>74</v>
      </c>
      <c r="H24" s="7" t="s">
        <v>100</v>
      </c>
      <c r="I24" s="7" t="s">
        <v>101</v>
      </c>
    </row>
    <row r="25" customFormat="false" ht="17.15" hidden="false" customHeight="false" outlineLevel="0" collapsed="false">
      <c r="A25" s="0" t="s">
        <v>102</v>
      </c>
      <c r="B25" s="3" t="s">
        <v>103</v>
      </c>
      <c r="C25" s="0" t="s">
        <v>73</v>
      </c>
      <c r="D25" s="6" t="n">
        <v>1</v>
      </c>
      <c r="E25" s="6" t="n">
        <v>1.3</v>
      </c>
      <c r="F25" s="6" t="n">
        <v>1.6</v>
      </c>
      <c r="G25" s="7" t="s">
        <v>74</v>
      </c>
      <c r="H25" s="7" t="s">
        <v>104</v>
      </c>
      <c r="I25" s="7" t="s">
        <v>105</v>
      </c>
    </row>
    <row r="26" customFormat="false" ht="17.15" hidden="false" customHeight="false" outlineLevel="0" collapsed="false">
      <c r="A26" s="0" t="s">
        <v>106</v>
      </c>
      <c r="B26" s="3" t="s">
        <v>107</v>
      </c>
      <c r="C26" s="0" t="s">
        <v>73</v>
      </c>
      <c r="D26" s="6" t="n">
        <v>1</v>
      </c>
      <c r="E26" s="6" t="n">
        <v>1.4</v>
      </c>
      <c r="F26" s="6" t="n">
        <v>1.8</v>
      </c>
      <c r="G26" s="7" t="s">
        <v>74</v>
      </c>
      <c r="H26" s="7" t="s">
        <v>108</v>
      </c>
      <c r="I26" s="3" t="s">
        <v>38</v>
      </c>
    </row>
    <row r="27" customFormat="false" ht="17.15" hidden="false" customHeight="false" outlineLevel="0" collapsed="false">
      <c r="A27" s="0" t="s">
        <v>109</v>
      </c>
      <c r="B27" s="3" t="s">
        <v>110</v>
      </c>
      <c r="C27" s="0" t="s">
        <v>73</v>
      </c>
      <c r="D27" s="6" t="n">
        <v>1</v>
      </c>
      <c r="E27" s="6" t="n">
        <v>1.4</v>
      </c>
      <c r="F27" s="6" t="n">
        <v>1.8</v>
      </c>
      <c r="G27" s="7" t="s">
        <v>74</v>
      </c>
      <c r="H27" s="7" t="s">
        <v>111</v>
      </c>
      <c r="I27" s="3" t="s">
        <v>38</v>
      </c>
    </row>
    <row r="28" customFormat="false" ht="17.15" hidden="false" customHeight="false" outlineLevel="0" collapsed="false">
      <c r="A28" s="0" t="s">
        <v>112</v>
      </c>
      <c r="B28" s="3" t="s">
        <v>113</v>
      </c>
      <c r="C28" s="0" t="s">
        <v>52</v>
      </c>
      <c r="D28" s="6" t="n">
        <v>0.45</v>
      </c>
      <c r="E28" s="6" t="n">
        <v>0.55</v>
      </c>
      <c r="F28" s="6" t="n">
        <v>0.65</v>
      </c>
      <c r="G28" s="7" t="s">
        <v>74</v>
      </c>
      <c r="H28" s="7" t="s">
        <v>114</v>
      </c>
      <c r="I28" s="7" t="s">
        <v>115</v>
      </c>
    </row>
    <row r="29" customFormat="false" ht="17.15" hidden="false" customHeight="false" outlineLevel="0" collapsed="false">
      <c r="A29" s="0" t="s">
        <v>116</v>
      </c>
      <c r="B29" s="3" t="s">
        <v>117</v>
      </c>
      <c r="C29" s="0" t="s">
        <v>52</v>
      </c>
      <c r="D29" s="6" t="n">
        <v>0.6</v>
      </c>
      <c r="E29" s="6" t="n">
        <v>0.75</v>
      </c>
      <c r="F29" s="6" t="n">
        <v>0.85</v>
      </c>
      <c r="G29" s="7" t="s">
        <v>74</v>
      </c>
      <c r="H29" s="7" t="s">
        <v>118</v>
      </c>
      <c r="I29" s="3" t="s">
        <v>38</v>
      </c>
    </row>
    <row r="30" customFormat="false" ht="17.15" hidden="false" customHeight="false" outlineLevel="0" collapsed="false">
      <c r="A30" s="0" t="s">
        <v>119</v>
      </c>
      <c r="B30" s="3" t="s">
        <v>120</v>
      </c>
      <c r="C30" s="0" t="s">
        <v>52</v>
      </c>
      <c r="D30" s="6" t="n">
        <v>0.7</v>
      </c>
      <c r="E30" s="6" t="n">
        <v>0.85</v>
      </c>
      <c r="F30" s="6" t="n">
        <v>0.95</v>
      </c>
      <c r="G30" s="7" t="s">
        <v>74</v>
      </c>
      <c r="H30" s="7" t="s">
        <v>121</v>
      </c>
      <c r="I30" s="3" t="s">
        <v>38</v>
      </c>
    </row>
    <row r="31" customFormat="false" ht="17.15" hidden="false" customHeight="false" outlineLevel="0" collapsed="false">
      <c r="A31" s="0" t="s">
        <v>122</v>
      </c>
      <c r="B31" s="3" t="s">
        <v>123</v>
      </c>
      <c r="C31" s="0" t="s">
        <v>52</v>
      </c>
      <c r="D31" s="6" t="n">
        <v>0.75</v>
      </c>
      <c r="E31" s="6" t="n">
        <v>0.9</v>
      </c>
      <c r="F31" s="6" t="n">
        <v>0.95</v>
      </c>
      <c r="G31" s="7" t="s">
        <v>74</v>
      </c>
      <c r="H31" s="7" t="s">
        <v>124</v>
      </c>
      <c r="I31" s="3" t="s">
        <v>38</v>
      </c>
    </row>
    <row r="32" customFormat="false" ht="17.15" hidden="false" customHeight="false" outlineLevel="0" collapsed="false">
      <c r="A32" s="0" t="s">
        <v>125</v>
      </c>
      <c r="B32" s="3" t="s">
        <v>126</v>
      </c>
      <c r="C32" s="0" t="s">
        <v>73</v>
      </c>
      <c r="D32" s="6" t="n">
        <v>0.85</v>
      </c>
      <c r="E32" s="6" t="n">
        <v>0.95</v>
      </c>
      <c r="F32" s="6" t="n">
        <v>1.05</v>
      </c>
      <c r="G32" s="7" t="s">
        <v>74</v>
      </c>
      <c r="H32" s="7" t="s">
        <v>127</v>
      </c>
      <c r="I32" s="3" t="s">
        <v>128</v>
      </c>
    </row>
    <row r="33" customFormat="false" ht="17.15" hidden="false" customHeight="false" outlineLevel="0" collapsed="false">
      <c r="A33" s="0" t="s">
        <v>129</v>
      </c>
      <c r="B33" s="3" t="s">
        <v>130</v>
      </c>
      <c r="C33" s="0" t="s">
        <v>73</v>
      </c>
      <c r="D33" s="6" t="n">
        <v>0.75</v>
      </c>
      <c r="E33" s="6" t="n">
        <v>0.9</v>
      </c>
      <c r="F33" s="6" t="n">
        <v>1.05</v>
      </c>
      <c r="G33" s="7" t="s">
        <v>74</v>
      </c>
      <c r="H33" s="7" t="s">
        <v>131</v>
      </c>
      <c r="I33" s="3" t="s">
        <v>38</v>
      </c>
    </row>
    <row r="34" customFormat="false" ht="17.15" hidden="false" customHeight="false" outlineLevel="0" collapsed="false">
      <c r="A34" s="0" t="s">
        <v>132</v>
      </c>
      <c r="B34" s="3" t="s">
        <v>133</v>
      </c>
      <c r="C34" s="0" t="s">
        <v>73</v>
      </c>
      <c r="D34" s="6" t="n">
        <v>0.7</v>
      </c>
      <c r="E34" s="6" t="n">
        <v>0.85</v>
      </c>
      <c r="F34" s="6" t="n">
        <v>1.05</v>
      </c>
      <c r="G34" s="7" t="s">
        <v>74</v>
      </c>
      <c r="H34" s="7" t="s">
        <v>134</v>
      </c>
      <c r="I34" s="3" t="s">
        <v>38</v>
      </c>
    </row>
    <row r="35" customFormat="false" ht="17.15" hidden="false" customHeight="false" outlineLevel="0" collapsed="false">
      <c r="A35" s="5" t="s">
        <v>135</v>
      </c>
    </row>
    <row r="36" customFormat="false" ht="17.15" hidden="false" customHeight="false" outlineLevel="0" collapsed="false">
      <c r="A36" s="0" t="s">
        <v>136</v>
      </c>
      <c r="B36" s="0" t="s">
        <v>137</v>
      </c>
      <c r="C36" s="0" t="s">
        <v>52</v>
      </c>
      <c r="E36" s="6" t="n">
        <v>0.57</v>
      </c>
      <c r="G36" s="7" t="s">
        <v>53</v>
      </c>
      <c r="H36" s="7" t="s">
        <v>138</v>
      </c>
      <c r="I36" s="7" t="s">
        <v>139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52</v>
      </c>
      <c r="E37" s="6" t="n">
        <v>0.27</v>
      </c>
      <c r="G37" s="7" t="s">
        <v>53</v>
      </c>
      <c r="H37" s="3" t="s">
        <v>142</v>
      </c>
      <c r="I37" s="3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52</v>
      </c>
      <c r="D38" s="6" t="n">
        <v>0.3</v>
      </c>
      <c r="E38" s="6" t="n">
        <v>0.34</v>
      </c>
      <c r="F38" s="6" t="n">
        <v>0.38</v>
      </c>
      <c r="G38" s="7" t="s">
        <v>53</v>
      </c>
      <c r="H38" s="3" t="s">
        <v>146</v>
      </c>
      <c r="I38" s="3" t="s">
        <v>147</v>
      </c>
    </row>
    <row r="39" customFormat="false" ht="17.15" hidden="false" customHeight="false" outlineLevel="0" collapsed="false">
      <c r="A39" s="0" t="s">
        <v>148</v>
      </c>
      <c r="B39" s="0" t="s">
        <v>149</v>
      </c>
      <c r="C39" s="0" t="s">
        <v>52</v>
      </c>
      <c r="D39" s="6" t="n">
        <v>0.72</v>
      </c>
      <c r="E39" s="6" t="n">
        <v>0.74</v>
      </c>
      <c r="F39" s="6" t="n">
        <v>0.76</v>
      </c>
      <c r="G39" s="7" t="s">
        <v>53</v>
      </c>
      <c r="H39" s="7" t="s">
        <v>150</v>
      </c>
      <c r="I39" s="3" t="s">
        <v>151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52</v>
      </c>
      <c r="D40" s="6" t="n">
        <v>0.13</v>
      </c>
      <c r="E40" s="6" t="n">
        <v>0.15</v>
      </c>
      <c r="F40" s="6" t="n">
        <v>0.17</v>
      </c>
      <c r="G40" s="7" t="s">
        <v>53</v>
      </c>
      <c r="H40" s="3" t="s">
        <v>154</v>
      </c>
      <c r="I40" s="3" t="s">
        <v>147</v>
      </c>
    </row>
    <row r="41" customFormat="false" ht="17.15" hidden="false" customHeight="false" outlineLevel="0" collapsed="false">
      <c r="A41" s="0" t="s">
        <v>155</v>
      </c>
      <c r="B41" s="0" t="s">
        <v>156</v>
      </c>
      <c r="C41" s="0" t="s">
        <v>52</v>
      </c>
      <c r="D41" s="6" t="n">
        <v>0.55</v>
      </c>
      <c r="E41" s="6" t="n">
        <v>0.6</v>
      </c>
      <c r="F41" s="6" t="n">
        <v>0.63</v>
      </c>
      <c r="G41" s="7" t="s">
        <v>53</v>
      </c>
      <c r="H41" s="7" t="s">
        <v>157</v>
      </c>
      <c r="I41" s="3" t="s">
        <v>158</v>
      </c>
    </row>
    <row r="42" customFormat="false" ht="17.15" hidden="false" customHeight="false" outlineLevel="0" collapsed="false">
      <c r="A42" s="0" t="s">
        <v>159</v>
      </c>
      <c r="B42" s="3" t="s">
        <v>160</v>
      </c>
      <c r="C42" s="0" t="s">
        <v>52</v>
      </c>
      <c r="D42" s="6" t="n">
        <v>-0.2</v>
      </c>
      <c r="E42" s="6" t="n">
        <v>-0.05</v>
      </c>
      <c r="F42" s="6" t="n">
        <v>0.05</v>
      </c>
      <c r="G42" s="7" t="s">
        <v>74</v>
      </c>
      <c r="H42" s="3" t="s">
        <v>161</v>
      </c>
      <c r="I42" s="3" t="s">
        <v>162</v>
      </c>
    </row>
    <row r="43" customFormat="false" ht="17.15" hidden="false" customHeight="false" outlineLevel="0" collapsed="false">
      <c r="A43" s="0" t="s">
        <v>163</v>
      </c>
      <c r="B43" s="3" t="s">
        <v>164</v>
      </c>
      <c r="C43" s="0" t="s">
        <v>52</v>
      </c>
      <c r="D43" s="6" t="n">
        <v>-0.2</v>
      </c>
      <c r="E43" s="6" t="n">
        <v>-0.05</v>
      </c>
      <c r="F43" s="6" t="n">
        <v>0.05</v>
      </c>
      <c r="G43" s="7" t="s">
        <v>74</v>
      </c>
      <c r="H43" s="3" t="s">
        <v>38</v>
      </c>
      <c r="I43" s="7" t="s">
        <v>165</v>
      </c>
    </row>
    <row r="44" customFormat="false" ht="17.15" hidden="false" customHeight="false" outlineLevel="0" collapsed="false">
      <c r="A44" s="0" t="s">
        <v>166</v>
      </c>
      <c r="B44" s="3" t="s">
        <v>167</v>
      </c>
      <c r="C44" s="0" t="s">
        <v>52</v>
      </c>
      <c r="D44" s="6" t="n">
        <v>-0.2</v>
      </c>
      <c r="E44" s="6" t="n">
        <v>-0.05</v>
      </c>
      <c r="F44" s="6" t="n">
        <v>0.05</v>
      </c>
      <c r="G44" s="7" t="s">
        <v>74</v>
      </c>
      <c r="H44" s="3" t="s">
        <v>38</v>
      </c>
      <c r="I44" s="7" t="s">
        <v>165</v>
      </c>
    </row>
    <row r="45" customFormat="false" ht="17.15" hidden="false" customHeight="false" outlineLevel="0" collapsed="false">
      <c r="A45" s="0" t="s">
        <v>168</v>
      </c>
      <c r="B45" s="3" t="s">
        <v>169</v>
      </c>
      <c r="C45" s="0" t="s">
        <v>52</v>
      </c>
      <c r="D45" s="6" t="n">
        <v>-0.1</v>
      </c>
      <c r="E45" s="6" t="n">
        <v>-0.03</v>
      </c>
      <c r="F45" s="6" t="n">
        <v>0.05</v>
      </c>
      <c r="G45" s="7" t="s">
        <v>74</v>
      </c>
      <c r="H45" s="3" t="s">
        <v>170</v>
      </c>
      <c r="I45" s="7" t="s">
        <v>165</v>
      </c>
    </row>
    <row r="46" customFormat="false" ht="17.15" hidden="false" customHeight="false" outlineLevel="0" collapsed="false">
      <c r="A46" s="0" t="s">
        <v>171</v>
      </c>
      <c r="B46" s="3" t="s">
        <v>172</v>
      </c>
      <c r="C46" s="0" t="s">
        <v>52</v>
      </c>
      <c r="D46" s="6" t="n">
        <v>-0.08</v>
      </c>
      <c r="E46" s="6" t="n">
        <v>0</v>
      </c>
      <c r="F46" s="6" t="n">
        <v>0.05</v>
      </c>
      <c r="G46" s="7" t="s">
        <v>74</v>
      </c>
      <c r="H46" s="3" t="s">
        <v>38</v>
      </c>
      <c r="I46" s="7" t="s">
        <v>165</v>
      </c>
    </row>
    <row r="47" customFormat="false" ht="17.15" hidden="false" customHeight="false" outlineLevel="0" collapsed="false">
      <c r="A47" s="0" t="s">
        <v>173</v>
      </c>
      <c r="B47" s="3" t="s">
        <v>174</v>
      </c>
      <c r="C47" s="0" t="s">
        <v>52</v>
      </c>
      <c r="D47" s="6" t="n">
        <v>-0.08</v>
      </c>
      <c r="E47" s="6" t="n">
        <v>0</v>
      </c>
      <c r="F47" s="6" t="n">
        <v>0.05</v>
      </c>
      <c r="G47" s="7" t="s">
        <v>74</v>
      </c>
      <c r="H47" s="3" t="s">
        <v>38</v>
      </c>
      <c r="I47" s="7" t="s">
        <v>165</v>
      </c>
    </row>
    <row r="48" customFormat="false" ht="17.15" hidden="false" customHeight="false" outlineLevel="0" collapsed="false">
      <c r="A48" s="0" t="s">
        <v>175</v>
      </c>
      <c r="B48" s="3" t="s">
        <v>176</v>
      </c>
      <c r="C48" s="0" t="s">
        <v>52</v>
      </c>
      <c r="D48" s="6" t="n">
        <v>-0.15</v>
      </c>
      <c r="E48" s="6" t="n">
        <v>0</v>
      </c>
      <c r="F48" s="6" t="n">
        <v>0.08</v>
      </c>
      <c r="G48" s="7" t="s">
        <v>74</v>
      </c>
      <c r="H48" s="3" t="s">
        <v>177</v>
      </c>
      <c r="I48" s="7" t="s">
        <v>165</v>
      </c>
    </row>
    <row r="49" customFormat="false" ht="17.15" hidden="false" customHeight="false" outlineLevel="0" collapsed="false">
      <c r="A49" s="0" t="s">
        <v>178</v>
      </c>
      <c r="B49" s="3" t="s">
        <v>179</v>
      </c>
      <c r="C49" s="0" t="s">
        <v>52</v>
      </c>
      <c r="D49" s="6" t="n">
        <v>-0.1</v>
      </c>
      <c r="E49" s="6" t="n">
        <v>0</v>
      </c>
      <c r="F49" s="6" t="n">
        <v>0.08</v>
      </c>
      <c r="G49" s="7" t="s">
        <v>74</v>
      </c>
      <c r="H49" s="3" t="s">
        <v>38</v>
      </c>
      <c r="I49" s="7" t="s">
        <v>165</v>
      </c>
    </row>
    <row r="50" customFormat="false" ht="17.15" hidden="false" customHeight="false" outlineLevel="0" collapsed="false">
      <c r="A50" s="0" t="s">
        <v>180</v>
      </c>
      <c r="B50" s="3" t="s">
        <v>181</v>
      </c>
      <c r="C50" s="0" t="s">
        <v>52</v>
      </c>
      <c r="D50" s="6" t="n">
        <v>-0.1</v>
      </c>
      <c r="E50" s="6" t="n">
        <v>0</v>
      </c>
      <c r="F50" s="6" t="n">
        <v>0.08</v>
      </c>
      <c r="G50" s="7" t="s">
        <v>74</v>
      </c>
      <c r="H50" s="3" t="s">
        <v>38</v>
      </c>
      <c r="I50" s="7" t="s">
        <v>165</v>
      </c>
    </row>
    <row r="51" customFormat="false" ht="17.15" hidden="false" customHeight="false" outlineLevel="0" collapsed="false">
      <c r="A51" s="5" t="s">
        <v>182</v>
      </c>
    </row>
    <row r="52" customFormat="false" ht="17.15" hidden="false" customHeight="false" outlineLevel="0" collapsed="false">
      <c r="A52" s="0" t="s">
        <v>183</v>
      </c>
      <c r="B52" s="3" t="s">
        <v>184</v>
      </c>
      <c r="C52" s="0" t="s">
        <v>185</v>
      </c>
      <c r="D52" s="6" t="n">
        <v>0.02</v>
      </c>
      <c r="E52" s="6" t="n">
        <v>0.05</v>
      </c>
      <c r="F52" s="6" t="n">
        <v>0.08</v>
      </c>
      <c r="G52" s="7" t="s">
        <v>74</v>
      </c>
      <c r="H52" s="3" t="s">
        <v>186</v>
      </c>
      <c r="I52" s="3" t="s">
        <v>187</v>
      </c>
    </row>
    <row r="53" customFormat="false" ht="17.15" hidden="false" customHeight="false" outlineLevel="0" collapsed="false">
      <c r="A53" s="5" t="s">
        <v>188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191</v>
      </c>
      <c r="E54" s="0" t="n">
        <f aca="false">3.765466+3.141249+2.884061</f>
        <v>9.790776</v>
      </c>
      <c r="G54" s="0" t="s">
        <v>192</v>
      </c>
      <c r="H54" s="0" t="s">
        <v>193</v>
      </c>
      <c r="I54" s="0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52</v>
      </c>
      <c r="D55" s="6" t="n">
        <v>0.08</v>
      </c>
      <c r="E55" s="6" t="n">
        <v>0.14</v>
      </c>
      <c r="F55" s="6" t="n">
        <v>0.18</v>
      </c>
      <c r="G55" s="7" t="s">
        <v>53</v>
      </c>
      <c r="H55" s="7" t="s">
        <v>197</v>
      </c>
      <c r="I55" s="7" t="s">
        <v>198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52</v>
      </c>
      <c r="D56" s="6" t="n">
        <v>0.28</v>
      </c>
      <c r="E56" s="6" t="n">
        <v>0.29</v>
      </c>
      <c r="F56" s="6" t="n">
        <v>0.3</v>
      </c>
      <c r="G56" s="7" t="s">
        <v>53</v>
      </c>
      <c r="H56" s="7" t="s">
        <v>201</v>
      </c>
      <c r="I56" s="7" t="s">
        <v>202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52</v>
      </c>
      <c r="D57" s="6" t="n">
        <v>0.1</v>
      </c>
      <c r="E57" s="6" t="n">
        <v>0.11</v>
      </c>
      <c r="F57" s="6" t="n">
        <v>0.122</v>
      </c>
      <c r="G57" s="7" t="s">
        <v>53</v>
      </c>
      <c r="H57" s="7" t="s">
        <v>205</v>
      </c>
      <c r="I57" s="7" t="s">
        <v>206</v>
      </c>
    </row>
    <row r="58" customFormat="false" ht="17.15" hidden="false" customHeight="false" outlineLevel="0" collapsed="false">
      <c r="A58" s="0" t="s">
        <v>207</v>
      </c>
      <c r="B58" s="0" t="s">
        <v>208</v>
      </c>
      <c r="C58" s="0" t="s">
        <v>191</v>
      </c>
      <c r="D58" s="6" t="n">
        <v>-0.15</v>
      </c>
      <c r="E58" s="6" t="n">
        <v>0</v>
      </c>
      <c r="F58" s="6" t="n">
        <v>0.15</v>
      </c>
      <c r="G58" s="7" t="s">
        <v>33</v>
      </c>
      <c r="H58" s="7" t="s">
        <v>209</v>
      </c>
      <c r="I58" s="7" t="s">
        <v>210</v>
      </c>
    </row>
    <row r="59" customFormat="false" ht="17.15" hidden="false" customHeight="false" outlineLevel="0" collapsed="false">
      <c r="A59" s="0" t="s">
        <v>211</v>
      </c>
      <c r="B59" s="0" t="s">
        <v>212</v>
      </c>
      <c r="C59" s="0" t="s">
        <v>52</v>
      </c>
      <c r="D59" s="6" t="n">
        <v>0.72</v>
      </c>
      <c r="E59" s="6" t="n">
        <v>0.74</v>
      </c>
      <c r="F59" s="6" t="n">
        <v>0.76</v>
      </c>
      <c r="G59" s="7" t="s">
        <v>33</v>
      </c>
      <c r="H59" s="7" t="s">
        <v>213</v>
      </c>
      <c r="I59" s="3" t="s">
        <v>214</v>
      </c>
    </row>
    <row r="60" customFormat="false" ht="17.15" hidden="false" customHeight="false" outlineLevel="0" collapsed="false">
      <c r="A60" s="0" t="s">
        <v>215</v>
      </c>
      <c r="B60" s="3" t="s">
        <v>216</v>
      </c>
      <c r="C60" s="3" t="s">
        <v>217</v>
      </c>
      <c r="E60" s="6" t="n">
        <v>0.093076837</v>
      </c>
      <c r="G60" s="7" t="s">
        <v>192</v>
      </c>
      <c r="H60" s="7" t="s">
        <v>218</v>
      </c>
      <c r="I60" s="7" t="s">
        <v>219</v>
      </c>
    </row>
    <row r="61" customFormat="false" ht="17.15" hidden="false" customHeight="false" outlineLevel="0" collapsed="false">
      <c r="A61" s="5" t="s">
        <v>220</v>
      </c>
    </row>
    <row r="62" customFormat="false" ht="17.15" hidden="false" customHeight="false" outlineLevel="0" collapsed="false">
      <c r="A62" s="0" t="s">
        <v>221</v>
      </c>
      <c r="B62" s="3" t="s">
        <v>222</v>
      </c>
      <c r="C62" s="0" t="s">
        <v>73</v>
      </c>
      <c r="D62" s="6" t="n">
        <v>0.5</v>
      </c>
      <c r="E62" s="6" t="n">
        <v>0.65</v>
      </c>
      <c r="F62" s="6" t="n">
        <v>0.85</v>
      </c>
      <c r="G62" s="7" t="s">
        <v>33</v>
      </c>
      <c r="H62" s="7" t="s">
        <v>223</v>
      </c>
      <c r="I62" s="7" t="s">
        <v>224</v>
      </c>
    </row>
    <row r="63" customFormat="false" ht="17.15" hidden="false" customHeight="false" outlineLevel="0" collapsed="false">
      <c r="A63" s="0" t="s">
        <v>225</v>
      </c>
      <c r="B63" s="3" t="s">
        <v>226</v>
      </c>
      <c r="C63" s="0" t="s">
        <v>185</v>
      </c>
      <c r="D63" s="6" t="n">
        <v>-0.02</v>
      </c>
      <c r="E63" s="6" t="n">
        <v>0</v>
      </c>
      <c r="F63" s="6" t="n">
        <v>0.02</v>
      </c>
      <c r="G63" s="7" t="s">
        <v>74</v>
      </c>
      <c r="H63" s="3" t="s">
        <v>227</v>
      </c>
      <c r="I63" s="7" t="s">
        <v>228</v>
      </c>
    </row>
    <row r="64" customFormat="false" ht="17.15" hidden="false" customHeight="false" outlineLevel="0" collapsed="false">
      <c r="A64" s="0" t="s">
        <v>229</v>
      </c>
      <c r="B64" s="3" t="s">
        <v>230</v>
      </c>
      <c r="C64" s="0" t="s">
        <v>191</v>
      </c>
      <c r="D64" s="6" t="n">
        <v>-0.5</v>
      </c>
      <c r="E64" s="6" t="n">
        <v>0</v>
      </c>
      <c r="F64" s="6" t="n">
        <v>0.5</v>
      </c>
      <c r="G64" s="7" t="s">
        <v>74</v>
      </c>
      <c r="H64" s="7" t="s">
        <v>231</v>
      </c>
      <c r="I64" s="3" t="s">
        <v>232</v>
      </c>
    </row>
    <row r="65" customFormat="false" ht="17.15" hidden="false" customHeight="false" outlineLevel="0" collapsed="false">
      <c r="A65" s="0" t="s">
        <v>233</v>
      </c>
      <c r="B65" s="3" t="s">
        <v>234</v>
      </c>
      <c r="C65" s="0" t="s">
        <v>52</v>
      </c>
      <c r="D65" s="6" t="n">
        <v>0.72</v>
      </c>
      <c r="E65" s="6" t="n">
        <v>0.74</v>
      </c>
      <c r="F65" s="6" t="n">
        <v>0.78</v>
      </c>
      <c r="G65" s="7" t="s">
        <v>33</v>
      </c>
      <c r="H65" s="3" t="s">
        <v>235</v>
      </c>
      <c r="I65" s="3" t="s">
        <v>236</v>
      </c>
    </row>
    <row r="66" customFormat="false" ht="17.15" hidden="false" customHeight="false" outlineLevel="0" collapsed="false">
      <c r="A66" s="0" t="s">
        <v>237</v>
      </c>
      <c r="B66" s="3" t="s">
        <v>238</v>
      </c>
      <c r="C66" s="0" t="s">
        <v>52</v>
      </c>
      <c r="D66" s="6" t="n">
        <v>0</v>
      </c>
      <c r="E66" s="6" t="n">
        <v>0</v>
      </c>
      <c r="F66" s="6" t="n">
        <v>0.01</v>
      </c>
      <c r="G66" s="7" t="s">
        <v>74</v>
      </c>
      <c r="H66" s="7" t="s">
        <v>239</v>
      </c>
      <c r="I66" s="3" t="s">
        <v>240</v>
      </c>
    </row>
    <row r="67" customFormat="false" ht="17.15" hidden="false" customHeight="false" outlineLevel="0" collapsed="false">
      <c r="A67" s="0" t="s">
        <v>241</v>
      </c>
      <c r="B67" s="0" t="s">
        <v>242</v>
      </c>
      <c r="C67" s="0" t="s">
        <v>73</v>
      </c>
      <c r="D67" s="6" t="n">
        <v>0.8</v>
      </c>
      <c r="E67" s="6" t="n">
        <v>1</v>
      </c>
      <c r="F67" s="6" t="n">
        <v>1.2</v>
      </c>
      <c r="G67" s="7" t="s">
        <v>74</v>
      </c>
      <c r="H67" s="3" t="s">
        <v>243</v>
      </c>
      <c r="I67" s="7" t="s">
        <v>244</v>
      </c>
    </row>
    <row r="68" customFormat="false" ht="17.15" hidden="false" customHeight="false" outlineLevel="0" collapsed="false">
      <c r="A68" s="5" t="s">
        <v>245</v>
      </c>
    </row>
    <row r="69" customFormat="false" ht="17.15" hidden="false" customHeight="false" outlineLevel="0" collapsed="false">
      <c r="A69" s="0" t="s">
        <v>246</v>
      </c>
      <c r="B69" s="3" t="s">
        <v>247</v>
      </c>
      <c r="C69" s="0" t="s">
        <v>191</v>
      </c>
      <c r="E69" s="6" t="n">
        <v>39.016</v>
      </c>
      <c r="G69" s="7" t="s">
        <v>53</v>
      </c>
      <c r="H69" s="7" t="s">
        <v>248</v>
      </c>
      <c r="I69" s="7" t="s">
        <v>165</v>
      </c>
    </row>
    <row r="70" customFormat="false" ht="17.15" hidden="false" customHeight="false" outlineLevel="0" collapsed="false">
      <c r="A70" s="0" t="s">
        <v>249</v>
      </c>
      <c r="B70" s="3" t="s">
        <v>250</v>
      </c>
      <c r="C70" s="0" t="s">
        <v>251</v>
      </c>
      <c r="E70" s="6" t="n">
        <v>55.69</v>
      </c>
      <c r="G70" s="7" t="s">
        <v>53</v>
      </c>
      <c r="H70" s="7" t="s">
        <v>248</v>
      </c>
      <c r="I70" s="7" t="s">
        <v>165</v>
      </c>
    </row>
    <row r="71" customFormat="false" ht="17.15" hidden="false" customHeight="false" outlineLevel="0" collapsed="false">
      <c r="A71" s="0" t="s">
        <v>252</v>
      </c>
      <c r="B71" s="3" t="s">
        <v>253</v>
      </c>
      <c r="C71" s="0" t="s">
        <v>191</v>
      </c>
      <c r="E71" s="6" t="n">
        <v>50.486</v>
      </c>
      <c r="G71" s="7" t="s">
        <v>53</v>
      </c>
      <c r="H71" s="7" t="s">
        <v>248</v>
      </c>
      <c r="I71" s="7" t="s">
        <v>165</v>
      </c>
    </row>
    <row r="72" customFormat="false" ht="17.15" hidden="false" customHeight="false" outlineLevel="0" collapsed="false">
      <c r="A72" s="0" t="s">
        <v>254</v>
      </c>
      <c r="B72" s="3" t="s">
        <v>255</v>
      </c>
      <c r="C72" s="0" t="s">
        <v>251</v>
      </c>
      <c r="E72" s="6" t="n">
        <v>81.55</v>
      </c>
      <c r="G72" s="7" t="s">
        <v>53</v>
      </c>
      <c r="H72" s="7" t="s">
        <v>248</v>
      </c>
      <c r="I72" s="3" t="s">
        <v>256</v>
      </c>
    </row>
    <row r="73" customFormat="false" ht="17.15" hidden="false" customHeight="false" outlineLevel="0" collapsed="false">
      <c r="A73" s="0" t="s">
        <v>257</v>
      </c>
      <c r="B73" s="3" t="s">
        <v>258</v>
      </c>
      <c r="C73" s="0" t="s">
        <v>52</v>
      </c>
      <c r="E73" s="6" t="n">
        <v>0.72</v>
      </c>
      <c r="G73" s="7" t="s">
        <v>53</v>
      </c>
      <c r="H73" s="7" t="s">
        <v>248</v>
      </c>
      <c r="I73" s="3" t="s">
        <v>259</v>
      </c>
    </row>
    <row r="74" customFormat="false" ht="17.15" hidden="false" customHeight="false" outlineLevel="0" collapsed="false">
      <c r="A74" s="0" t="s">
        <v>260</v>
      </c>
      <c r="B74" s="3" t="s">
        <v>261</v>
      </c>
      <c r="C74" s="0" t="s">
        <v>251</v>
      </c>
      <c r="E74" s="6" t="n">
        <v>58.8</v>
      </c>
      <c r="G74" s="7" t="s">
        <v>53</v>
      </c>
      <c r="H74" s="7" t="s">
        <v>262</v>
      </c>
      <c r="I74" s="3" t="s">
        <v>263</v>
      </c>
    </row>
    <row r="75" customFormat="false" ht="17.15" hidden="false" customHeight="false" outlineLevel="0" collapsed="false">
      <c r="A75" s="0" t="s">
        <v>264</v>
      </c>
      <c r="B75" s="3" t="s">
        <v>265</v>
      </c>
      <c r="C75" s="0" t="s">
        <v>251</v>
      </c>
      <c r="E75" s="6" t="n">
        <v>89</v>
      </c>
      <c r="G75" s="7" t="s">
        <v>53</v>
      </c>
      <c r="H75" s="7" t="s">
        <v>266</v>
      </c>
      <c r="I75" s="7" t="s">
        <v>165</v>
      </c>
    </row>
    <row r="76" customFormat="false" ht="17.15" hidden="false" customHeight="false" outlineLevel="0" collapsed="false">
      <c r="A76" s="0" t="s">
        <v>267</v>
      </c>
      <c r="B76" s="3" t="s">
        <v>268</v>
      </c>
      <c r="C76" s="0" t="s">
        <v>251</v>
      </c>
      <c r="E76" s="6" t="n">
        <v>110</v>
      </c>
      <c r="G76" s="7" t="s">
        <v>53</v>
      </c>
      <c r="H76" s="7" t="s">
        <v>266</v>
      </c>
      <c r="I76" s="7" t="s">
        <v>165</v>
      </c>
    </row>
    <row r="77" customFormat="false" ht="17.15" hidden="false" customHeight="false" outlineLevel="0" collapsed="false">
      <c r="A77" s="0" t="s">
        <v>269</v>
      </c>
      <c r="B77" s="3" t="s">
        <v>270</v>
      </c>
      <c r="C77" s="0" t="s">
        <v>191</v>
      </c>
      <c r="E77" s="6" t="n">
        <v>38.7</v>
      </c>
      <c r="G77" s="7" t="s">
        <v>53</v>
      </c>
      <c r="H77" s="7" t="s">
        <v>271</v>
      </c>
      <c r="I77" s="3" t="s">
        <v>272</v>
      </c>
    </row>
    <row r="78" customFormat="false" ht="17.15" hidden="false" customHeight="false" outlineLevel="0" collapsed="false">
      <c r="A78" s="0" t="s">
        <v>273</v>
      </c>
      <c r="B78" s="3" t="s">
        <v>274</v>
      </c>
      <c r="C78" s="0" t="s">
        <v>251</v>
      </c>
      <c r="E78" s="6" t="n">
        <v>56.18</v>
      </c>
      <c r="G78" s="7" t="s">
        <v>53</v>
      </c>
      <c r="H78" s="7" t="s">
        <v>271</v>
      </c>
      <c r="I78" s="3" t="s">
        <v>275</v>
      </c>
    </row>
    <row r="79" customFormat="false" ht="17.15" hidden="false" customHeight="false" outlineLevel="0" collapsed="false">
      <c r="A79" s="0" t="s">
        <v>276</v>
      </c>
      <c r="B79" s="3" t="s">
        <v>277</v>
      </c>
      <c r="C79" s="0" t="s">
        <v>191</v>
      </c>
      <c r="E79" s="6" t="n">
        <v>49.1</v>
      </c>
      <c r="G79" s="7" t="s">
        <v>53</v>
      </c>
      <c r="H79" s="7" t="s">
        <v>271</v>
      </c>
      <c r="I79" s="7" t="s">
        <v>165</v>
      </c>
    </row>
    <row r="80" customFormat="false" ht="17.15" hidden="false" customHeight="false" outlineLevel="0" collapsed="false">
      <c r="A80" s="0" t="s">
        <v>278</v>
      </c>
      <c r="B80" s="3" t="s">
        <v>279</v>
      </c>
      <c r="C80" s="0" t="s">
        <v>251</v>
      </c>
      <c r="E80" s="6" t="n">
        <v>77.97</v>
      </c>
      <c r="G80" s="7" t="s">
        <v>53</v>
      </c>
      <c r="H80" s="7" t="s">
        <v>280</v>
      </c>
      <c r="I80" s="7" t="s">
        <v>281</v>
      </c>
    </row>
    <row r="81" customFormat="false" ht="17.15" hidden="false" customHeight="false" outlineLevel="0" collapsed="false">
      <c r="A81" s="0" t="s">
        <v>282</v>
      </c>
      <c r="B81" s="3" t="s">
        <v>283</v>
      </c>
      <c r="C81" s="0" t="s">
        <v>52</v>
      </c>
      <c r="E81" s="6" t="n">
        <v>0.498927641116677</v>
      </c>
      <c r="G81" s="7" t="s">
        <v>33</v>
      </c>
      <c r="H81" s="7" t="s">
        <v>284</v>
      </c>
      <c r="I81" s="3" t="s">
        <v>285</v>
      </c>
    </row>
    <row r="82" customFormat="false" ht="17.15" hidden="false" customHeight="false" outlineLevel="0" collapsed="false">
      <c r="A82" s="0" t="s">
        <v>286</v>
      </c>
      <c r="B82" s="3" t="s">
        <v>287</v>
      </c>
      <c r="C82" s="0" t="s">
        <v>52</v>
      </c>
      <c r="E82" s="6" t="n">
        <v>0.473981259060843</v>
      </c>
      <c r="G82" s="7" t="s">
        <v>33</v>
      </c>
      <c r="H82" s="7" t="s">
        <v>284</v>
      </c>
      <c r="I82" s="3" t="s">
        <v>38</v>
      </c>
    </row>
    <row r="83" customFormat="false" ht="17.15" hidden="false" customHeight="false" outlineLevel="0" collapsed="false">
      <c r="A83" s="0" t="s">
        <v>288</v>
      </c>
      <c r="B83" s="3" t="s">
        <v>289</v>
      </c>
      <c r="C83" s="0" t="s">
        <v>52</v>
      </c>
      <c r="E83" s="6" t="n">
        <v>0.449034877005009</v>
      </c>
      <c r="G83" s="7" t="s">
        <v>33</v>
      </c>
      <c r="H83" s="7" t="s">
        <v>284</v>
      </c>
      <c r="I83" s="3" t="s">
        <v>38</v>
      </c>
    </row>
    <row r="84" customFormat="false" ht="17.15" hidden="false" customHeight="false" outlineLevel="0" collapsed="false">
      <c r="A84" s="0" t="s">
        <v>290</v>
      </c>
      <c r="B84" s="3" t="s">
        <v>291</v>
      </c>
      <c r="C84" s="0" t="s">
        <v>52</v>
      </c>
      <c r="E84" s="6" t="n">
        <v>0.424088494949176</v>
      </c>
      <c r="G84" s="7" t="s">
        <v>33</v>
      </c>
      <c r="H84" s="7" t="s">
        <v>284</v>
      </c>
      <c r="I84" s="3" t="s">
        <v>38</v>
      </c>
    </row>
    <row r="85" customFormat="false" ht="17.15" hidden="false" customHeight="false" outlineLevel="0" collapsed="false">
      <c r="A85" s="5" t="s">
        <v>292</v>
      </c>
    </row>
    <row r="86" customFormat="false" ht="17.15" hidden="false" customHeight="false" outlineLevel="0" collapsed="false">
      <c r="A86" s="0" t="s">
        <v>293</v>
      </c>
      <c r="B86" s="3" t="s">
        <v>294</v>
      </c>
      <c r="C86" s="0" t="s">
        <v>251</v>
      </c>
      <c r="E86" s="6" t="n">
        <v>1360</v>
      </c>
      <c r="G86" s="7" t="s">
        <v>53</v>
      </c>
      <c r="H86" s="7" t="s">
        <v>295</v>
      </c>
      <c r="I86" s="7" t="s">
        <v>296</v>
      </c>
    </row>
    <row r="87" customFormat="false" ht="17.15" hidden="false" customHeight="false" outlineLevel="0" collapsed="false">
      <c r="A87" s="0" t="s">
        <v>297</v>
      </c>
      <c r="B87" s="3" t="s">
        <v>298</v>
      </c>
      <c r="C87" s="0" t="s">
        <v>251</v>
      </c>
      <c r="E87" s="0" t="n">
        <f aca="false">10.66+10.19+12.61+10.41</f>
        <v>43.87</v>
      </c>
      <c r="G87" s="0" t="s">
        <v>192</v>
      </c>
      <c r="H87" s="0" t="s">
        <v>299</v>
      </c>
      <c r="I87" s="0" t="s">
        <v>165</v>
      </c>
    </row>
    <row r="88" customFormat="false" ht="17.15" hidden="false" customHeight="false" outlineLevel="0" collapsed="false">
      <c r="A88" s="5" t="s">
        <v>300</v>
      </c>
    </row>
    <row r="89" customFormat="false" ht="17.15" hidden="false" customHeight="false" outlineLevel="0" collapsed="false">
      <c r="A89" s="0" t="s">
        <v>301</v>
      </c>
      <c r="B89" s="3" t="s">
        <v>302</v>
      </c>
      <c r="C89" s="3" t="s">
        <v>303</v>
      </c>
      <c r="E89" s="8" t="n">
        <v>0.3</v>
      </c>
      <c r="G89" s="7" t="s">
        <v>74</v>
      </c>
      <c r="H89" s="7" t="s">
        <v>304</v>
      </c>
      <c r="I89" s="3" t="s">
        <v>305</v>
      </c>
    </row>
    <row r="90" customFormat="false" ht="17.15" hidden="false" customHeight="false" outlineLevel="0" collapsed="false">
      <c r="A90" s="0" t="s">
        <v>306</v>
      </c>
      <c r="B90" s="3" t="s">
        <v>307</v>
      </c>
      <c r="C90" s="3" t="s">
        <v>303</v>
      </c>
      <c r="E90" s="8" t="n">
        <v>0.5</v>
      </c>
      <c r="G90" s="7" t="s">
        <v>74</v>
      </c>
      <c r="H90" s="7" t="s">
        <v>304</v>
      </c>
      <c r="I90" s="3" t="s">
        <v>305</v>
      </c>
    </row>
    <row r="91" customFormat="false" ht="17.15" hidden="false" customHeight="false" outlineLevel="0" collapsed="false">
      <c r="A91" s="0" t="s">
        <v>308</v>
      </c>
      <c r="B91" s="3" t="s">
        <v>309</v>
      </c>
      <c r="C91" s="3" t="s">
        <v>303</v>
      </c>
      <c r="E91" s="8" t="n">
        <v>0.2</v>
      </c>
      <c r="G91" s="7" t="s">
        <v>74</v>
      </c>
      <c r="H91" s="7" t="s">
        <v>304</v>
      </c>
      <c r="I91" s="3" t="s">
        <v>305</v>
      </c>
    </row>
    <row r="92" customFormat="false" ht="17.15" hidden="false" customHeight="false" outlineLevel="0" collapsed="false">
      <c r="A92" s="0" t="s">
        <v>310</v>
      </c>
      <c r="B92" s="3" t="s">
        <v>311</v>
      </c>
      <c r="C92" s="0" t="s">
        <v>52</v>
      </c>
      <c r="E92" s="8" t="n">
        <v>0.1</v>
      </c>
      <c r="G92" s="7" t="s">
        <v>74</v>
      </c>
      <c r="H92" s="7" t="s">
        <v>312</v>
      </c>
      <c r="I92" s="7" t="s">
        <v>313</v>
      </c>
    </row>
    <row r="93" customFormat="false" ht="17.15" hidden="false" customHeight="false" outlineLevel="0" collapsed="false">
      <c r="A93" s="0" t="s">
        <v>314</v>
      </c>
      <c r="B93" s="3" t="s">
        <v>315</v>
      </c>
      <c r="C93" s="0" t="s">
        <v>52</v>
      </c>
      <c r="E93" s="8" t="n">
        <v>0.04</v>
      </c>
      <c r="G93" s="7" t="s">
        <v>74</v>
      </c>
      <c r="H93" s="7" t="s">
        <v>316</v>
      </c>
      <c r="I93" s="7" t="s">
        <v>317</v>
      </c>
    </row>
    <row r="94" customFormat="false" ht="17.15" hidden="false" customHeight="false" outlineLevel="0" collapsed="false">
      <c r="A94" s="0" t="s">
        <v>318</v>
      </c>
      <c r="B94" s="0" t="s">
        <v>319</v>
      </c>
      <c r="C94" s="0" t="s">
        <v>52</v>
      </c>
      <c r="E94" s="9" t="n">
        <f aca="false">AVERAGE(0.1955,0.2391,0.2596)</f>
        <v>0.2314</v>
      </c>
      <c r="G94" s="7" t="s">
        <v>33</v>
      </c>
      <c r="H94" s="7" t="s">
        <v>320</v>
      </c>
      <c r="I94" s="7" t="s">
        <v>321</v>
      </c>
    </row>
    <row r="95" customFormat="false" ht="17.15" hidden="false" customHeight="false" outlineLevel="0" collapsed="false">
      <c r="A95" s="0" t="s">
        <v>322</v>
      </c>
      <c r="B95" s="3" t="s">
        <v>323</v>
      </c>
      <c r="C95" s="0" t="s">
        <v>52</v>
      </c>
      <c r="E95" s="8" t="n">
        <v>0.5</v>
      </c>
      <c r="G95" s="7" t="s">
        <v>74</v>
      </c>
      <c r="H95" s="7" t="s">
        <v>324</v>
      </c>
      <c r="I95" s="7" t="s">
        <v>325</v>
      </c>
    </row>
    <row r="96" customFormat="false" ht="17.15" hidden="false" customHeight="false" outlineLevel="0" collapsed="false">
      <c r="A96" s="0" t="s">
        <v>326</v>
      </c>
      <c r="B96" s="3" t="s">
        <v>327</v>
      </c>
      <c r="C96" s="0" t="s">
        <v>52</v>
      </c>
      <c r="E96" s="9" t="n">
        <f aca="false">tp_g+0.02</f>
        <v>0.06</v>
      </c>
      <c r="G96" s="7" t="s">
        <v>74</v>
      </c>
      <c r="H96" s="3" t="s">
        <v>328</v>
      </c>
      <c r="I96" s="7" t="s">
        <v>329</v>
      </c>
    </row>
    <row r="97" customFormat="false" ht="17.15" hidden="false" customHeight="false" outlineLevel="0" collapsed="false">
      <c r="A97" s="0" t="s">
        <v>330</v>
      </c>
      <c r="B97" s="3" t="s">
        <v>331</v>
      </c>
      <c r="C97" s="0" t="s">
        <v>52</v>
      </c>
      <c r="E97" s="9" t="n">
        <f aca="false">tp_g</f>
        <v>0.04</v>
      </c>
      <c r="G97" s="7" t="s">
        <v>74</v>
      </c>
      <c r="H97" s="3" t="s">
        <v>38</v>
      </c>
      <c r="I97" s="7" t="s">
        <v>165</v>
      </c>
    </row>
    <row r="98" customFormat="false" ht="17.15" hidden="false" customHeight="false" outlineLevel="0" collapsed="false">
      <c r="A98" s="0" t="s">
        <v>332</v>
      </c>
      <c r="B98" s="3" t="s">
        <v>333</v>
      </c>
      <c r="C98" s="0" t="s">
        <v>52</v>
      </c>
      <c r="E98" s="9" t="n">
        <f aca="false">tp_g-0.02</f>
        <v>0.02</v>
      </c>
      <c r="G98" s="7" t="s">
        <v>74</v>
      </c>
      <c r="H98" s="3" t="s">
        <v>38</v>
      </c>
      <c r="I98" s="7" t="s">
        <v>165</v>
      </c>
    </row>
    <row r="99" customFormat="false" ht="17.15" hidden="false" customHeight="false" outlineLevel="0" collapsed="false">
      <c r="A99" s="0" t="s">
        <v>334</v>
      </c>
      <c r="B99" s="3" t="s">
        <v>335</v>
      </c>
      <c r="C99" s="0" t="s">
        <v>52</v>
      </c>
      <c r="E99" s="9" t="n">
        <f aca="false">AVERAGE(0.0424,0.0302,0.0946,0.0923,0.0809,0.0929,0.0975,0.122,0.116)</f>
        <v>0.0854222222222222</v>
      </c>
      <c r="G99" s="7" t="s">
        <v>33</v>
      </c>
      <c r="H99" s="7" t="s">
        <v>336</v>
      </c>
      <c r="I99" s="7" t="s">
        <v>337</v>
      </c>
    </row>
    <row r="100" customFormat="false" ht="17.15" hidden="false" customHeight="false" outlineLevel="0" collapsed="false">
      <c r="A100" s="0" t="s">
        <v>338</v>
      </c>
      <c r="B100" s="3" t="s">
        <v>339</v>
      </c>
      <c r="C100" s="0" t="s">
        <v>251</v>
      </c>
      <c r="E100" s="6" t="n">
        <v>1523</v>
      </c>
      <c r="G100" s="7" t="s">
        <v>53</v>
      </c>
      <c r="H100" s="7" t="s">
        <v>340</v>
      </c>
      <c r="I100" s="3" t="s">
        <v>341</v>
      </c>
    </row>
    <row r="101" customFormat="false" ht="17.15" hidden="false" customHeight="false" outlineLevel="0" collapsed="false">
      <c r="A101" s="0" t="s">
        <v>342</v>
      </c>
      <c r="B101" s="3" t="s">
        <v>343</v>
      </c>
      <c r="C101" s="0" t="s">
        <v>251</v>
      </c>
      <c r="E101" s="0" t="n">
        <f aca="false">2/12*c_eps26+10/12*c_eps27</f>
        <v>74.3383333333333</v>
      </c>
      <c r="G101" s="0" t="s">
        <v>33</v>
      </c>
      <c r="H101" s="0" t="s">
        <v>344</v>
      </c>
      <c r="I101" s="3" t="s">
        <v>345</v>
      </c>
    </row>
    <row r="103" customFormat="false" ht="17.15" hidden="false" customHeight="false" outlineLevel="0" collapsed="false">
      <c r="A103" s="1" t="s">
        <v>346</v>
      </c>
    </row>
    <row r="104" customFormat="false" ht="17.15" hidden="false" customHeight="false" outlineLevel="0" collapsed="false">
      <c r="A104" s="1" t="s">
        <v>20</v>
      </c>
      <c r="B104" s="1" t="s">
        <v>21</v>
      </c>
      <c r="C104" s="1" t="s">
        <v>22</v>
      </c>
      <c r="D104" s="1" t="s">
        <v>347</v>
      </c>
      <c r="E104" s="1" t="s">
        <v>348</v>
      </c>
      <c r="F104" s="1" t="s">
        <v>349</v>
      </c>
      <c r="G104" s="1" t="s">
        <v>26</v>
      </c>
      <c r="H104" s="1" t="s">
        <v>350</v>
      </c>
    </row>
    <row r="105" customFormat="false" ht="17.15" hidden="false" customHeight="false" outlineLevel="0" collapsed="false">
      <c r="A105" s="0" t="s">
        <v>351</v>
      </c>
      <c r="B105" s="0" t="s">
        <v>352</v>
      </c>
      <c r="C105" s="0" t="s">
        <v>73</v>
      </c>
      <c r="D105" s="0" t="n">
        <f aca="false">E16</f>
        <v>1</v>
      </c>
      <c r="E105" s="0" t="n">
        <f aca="false">E18</f>
        <v>0.8</v>
      </c>
      <c r="F105" s="0" t="n">
        <f aca="false">E20</f>
        <v>0.6</v>
      </c>
      <c r="G105" s="0" t="s">
        <v>33</v>
      </c>
      <c r="H105" s="3" t="s">
        <v>353</v>
      </c>
    </row>
    <row r="106" customFormat="false" ht="17.15" hidden="false" customHeight="false" outlineLevel="0" collapsed="false">
      <c r="A106" s="0" t="s">
        <v>354</v>
      </c>
      <c r="B106" s="0" t="s">
        <v>355</v>
      </c>
      <c r="C106" s="0" t="s">
        <v>73</v>
      </c>
      <c r="D106" s="0" t="n">
        <f aca="false">E17</f>
        <v>1</v>
      </c>
      <c r="E106" s="0" t="n">
        <f aca="false">E19</f>
        <v>0.85</v>
      </c>
      <c r="F106" s="0" t="n">
        <f aca="false">E21</f>
        <v>0.6</v>
      </c>
      <c r="G106" s="0" t="s">
        <v>33</v>
      </c>
      <c r="H106" s="3" t="s">
        <v>356</v>
      </c>
    </row>
    <row r="107" customFormat="false" ht="17.15" hidden="false" customHeight="false" outlineLevel="0" collapsed="false">
      <c r="A107" s="0" t="s">
        <v>357</v>
      </c>
      <c r="B107" s="3" t="s">
        <v>358</v>
      </c>
      <c r="C107" s="0" t="s">
        <v>52</v>
      </c>
      <c r="D107" s="0" t="n">
        <f aca="false">E96</f>
        <v>0.06</v>
      </c>
      <c r="E107" s="0" t="n">
        <f aca="false">E97</f>
        <v>0.04</v>
      </c>
      <c r="F107" s="0" t="n">
        <f aca="false">E98</f>
        <v>0.02</v>
      </c>
      <c r="G107" s="0" t="s">
        <v>33</v>
      </c>
      <c r="H107" s="3" t="s">
        <v>359</v>
      </c>
    </row>
    <row r="108" customFormat="false" ht="17.15" hidden="false" customHeight="false" outlineLevel="0" collapsed="false">
      <c r="A108" s="0" t="s">
        <v>360</v>
      </c>
      <c r="B108" s="3" t="s">
        <v>361</v>
      </c>
      <c r="C108" s="3" t="s">
        <v>303</v>
      </c>
      <c r="D108" s="0" t="n">
        <f aca="false">E89</f>
        <v>0.3</v>
      </c>
      <c r="E108" s="0" t="n">
        <f aca="false">E90</f>
        <v>0.5</v>
      </c>
      <c r="F108" s="0" t="n">
        <f aca="false">E91</f>
        <v>0.2</v>
      </c>
      <c r="G108" s="0" t="s">
        <v>33</v>
      </c>
      <c r="H108" s="3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363</v>
      </c>
    </row>
    <row r="2" customFormat="false" ht="17.15" hidden="false" customHeight="false" outlineLevel="0" collapsed="false">
      <c r="A2" s="0" t="s">
        <v>364</v>
      </c>
    </row>
    <row r="3" customFormat="false" ht="17.15" hidden="false" customHeight="false" outlineLevel="0" collapsed="false">
      <c r="A3" s="4" t="s">
        <v>21</v>
      </c>
      <c r="B3" s="10" t="s">
        <v>365</v>
      </c>
      <c r="C3" s="10" t="s">
        <v>366</v>
      </c>
      <c r="D3" s="10" t="s">
        <v>367</v>
      </c>
      <c r="E3" s="10" t="s">
        <v>368</v>
      </c>
      <c r="F3" s="10" t="s">
        <v>369</v>
      </c>
      <c r="G3" s="4" t="s">
        <v>26</v>
      </c>
      <c r="H3" s="4" t="s">
        <v>370</v>
      </c>
      <c r="I3" s="4" t="s">
        <v>28</v>
      </c>
    </row>
    <row r="4" customFormat="false" ht="17.15" hidden="false" customHeight="false" outlineLevel="0" collapsed="false">
      <c r="A4" s="3" t="s">
        <v>371</v>
      </c>
      <c r="B4" s="11" t="n">
        <v>23.276</v>
      </c>
      <c r="C4" s="12" t="n">
        <f aca="false">8.551657+8.700121</f>
        <v>17.251778</v>
      </c>
      <c r="D4" s="12" t="n">
        <f aca="false">q3_rev</f>
        <v>9.790776</v>
      </c>
      <c r="E4" s="12" t="n">
        <f aca="false">D4*(1+q4g)</f>
        <v>11.16148464</v>
      </c>
      <c r="F4" s="12" t="n">
        <f aca="false">SUM(C4:E4)</f>
        <v>38.20403864</v>
      </c>
      <c r="G4" s="7" t="s">
        <v>372</v>
      </c>
      <c r="H4" s="7" t="s">
        <v>373</v>
      </c>
      <c r="I4" s="7" t="s">
        <v>374</v>
      </c>
    </row>
    <row r="5" customFormat="false" ht="17.15" hidden="false" customHeight="false" outlineLevel="0" collapsed="false">
      <c r="A5" s="3" t="s">
        <v>375</v>
      </c>
      <c r="B5" s="11" t="n">
        <v>6.372</v>
      </c>
      <c r="C5" s="12" t="n">
        <f aca="false">2.536523+2.472471</f>
        <v>5.008994</v>
      </c>
      <c r="D5" s="12" t="n">
        <f aca="false">D4*q_gm</f>
        <v>2.83932504</v>
      </c>
      <c r="E5" s="12" t="n">
        <f aca="false">E4*q_gm</f>
        <v>3.2368305456</v>
      </c>
      <c r="F5" s="12" t="n">
        <f aca="false">SUM(C5:E5)</f>
        <v>11.0851495856</v>
      </c>
      <c r="G5" s="7" t="s">
        <v>376</v>
      </c>
      <c r="H5" s="7" t="s">
        <v>373</v>
      </c>
      <c r="I5" s="7" t="s">
        <v>377</v>
      </c>
    </row>
    <row r="6" customFormat="false" ht="17.15" hidden="false" customHeight="false" outlineLevel="0" collapsed="false">
      <c r="A6" s="3" t="s">
        <v>378</v>
      </c>
      <c r="B6" s="13" t="n">
        <f aca="false">B5/B4</f>
        <v>0.273758377728132</v>
      </c>
      <c r="C6" s="13" t="n">
        <f aca="false">C5/C4</f>
        <v>0.290346537035197</v>
      </c>
      <c r="D6" s="13" t="n">
        <f aca="false">D5/D4</f>
        <v>0.29</v>
      </c>
      <c r="E6" s="13" t="n">
        <f aca="false">E5/E4</f>
        <v>0.29</v>
      </c>
      <c r="F6" s="13" t="n">
        <f aca="false">F5/F4</f>
        <v>0.290156485550031</v>
      </c>
      <c r="G6" s="7" t="s">
        <v>33</v>
      </c>
      <c r="H6" s="7" t="s">
        <v>165</v>
      </c>
      <c r="I6" s="7" t="s">
        <v>379</v>
      </c>
    </row>
    <row r="7" customFormat="false" ht="17.15" hidden="false" customHeight="false" outlineLevel="0" collapsed="false">
      <c r="A7" s="3" t="s">
        <v>380</v>
      </c>
      <c r="B7" s="12" t="n">
        <f aca="false">B5-B8</f>
        <v>3.113</v>
      </c>
      <c r="C7" s="12" t="n">
        <f aca="false">C5-C8</f>
        <v>2.099071</v>
      </c>
      <c r="D7" s="12" t="n">
        <f aca="false">D4*q_opx</f>
        <v>1.07698536</v>
      </c>
      <c r="E7" s="12" t="n">
        <f aca="false">E4*q_opx</f>
        <v>1.2277633104</v>
      </c>
      <c r="F7" s="12" t="n">
        <f aca="false">SUM(C7:E7)</f>
        <v>4.4038196704</v>
      </c>
      <c r="G7" s="7" t="s">
        <v>381</v>
      </c>
      <c r="H7" s="7" t="s">
        <v>373</v>
      </c>
      <c r="I7" s="3" t="s">
        <v>382</v>
      </c>
    </row>
    <row r="8" customFormat="false" ht="17.15" hidden="false" customHeight="false" outlineLevel="0" collapsed="false">
      <c r="A8" s="3" t="s">
        <v>383</v>
      </c>
      <c r="B8" s="11" t="n">
        <v>3.259</v>
      </c>
      <c r="C8" s="12" t="n">
        <f aca="false">1.519644+1.390279</f>
        <v>2.909923</v>
      </c>
      <c r="D8" s="12" t="n">
        <f aca="false">D5-D7</f>
        <v>1.76233968</v>
      </c>
      <c r="E8" s="12" t="n">
        <f aca="false">E5-E7</f>
        <v>2.0090672352</v>
      </c>
      <c r="F8" s="12" t="n">
        <f aca="false">SUM(C8:E8)</f>
        <v>6.6813299152</v>
      </c>
      <c r="G8" s="7" t="s">
        <v>384</v>
      </c>
      <c r="H8" s="7" t="s">
        <v>373</v>
      </c>
      <c r="I8" s="7" t="s">
        <v>385</v>
      </c>
    </row>
    <row r="9" customFormat="false" ht="15" hidden="false" customHeight="false" outlineLevel="0" collapsed="false">
      <c r="A9" s="3" t="s">
        <v>386</v>
      </c>
      <c r="B9" s="13" t="n">
        <f aca="false">B8/B4</f>
        <v>0.140015466575013</v>
      </c>
      <c r="C9" s="13" t="n">
        <f aca="false">C8/C4</f>
        <v>0.168673802781371</v>
      </c>
      <c r="D9" s="13" t="n">
        <f aca="false">D8/D4</f>
        <v>0.18</v>
      </c>
      <c r="E9" s="13" t="n">
        <f aca="false">E8/E4</f>
        <v>0.18</v>
      </c>
      <c r="F9" s="13" t="n">
        <f aca="false">F8/F4</f>
        <v>0.174885434970861</v>
      </c>
      <c r="G9" s="7" t="s">
        <v>33</v>
      </c>
      <c r="H9" s="7" t="s">
        <v>165</v>
      </c>
      <c r="I9" s="7" t="s">
        <v>165</v>
      </c>
    </row>
    <row r="10" customFormat="false" ht="17.15" hidden="false" customHeight="false" outlineLevel="0" collapsed="false">
      <c r="A10" s="3" t="s">
        <v>387</v>
      </c>
      <c r="B10" s="12" t="n">
        <f aca="false">B11-B8</f>
        <v>0.0184359999999999</v>
      </c>
      <c r="C10" s="12" t="n">
        <f aca="false">C11-C8</f>
        <v>-0.0226839999999999</v>
      </c>
      <c r="D10" s="12" t="n">
        <f aca="false">q_nop</f>
        <v>0</v>
      </c>
      <c r="E10" s="12" t="n">
        <f aca="false">q_nop</f>
        <v>0</v>
      </c>
      <c r="F10" s="12" t="n">
        <f aca="false">SUM(C10:E10)</f>
        <v>-0.0226839999999999</v>
      </c>
      <c r="G10" s="7" t="s">
        <v>33</v>
      </c>
      <c r="H10" s="7" t="s">
        <v>373</v>
      </c>
      <c r="I10" s="3" t="s">
        <v>382</v>
      </c>
    </row>
    <row r="11" customFormat="false" ht="17.15" hidden="false" customHeight="false" outlineLevel="0" collapsed="false">
      <c r="A11" s="3" t="s">
        <v>388</v>
      </c>
      <c r="B11" s="11" t="n">
        <v>3.277436</v>
      </c>
      <c r="C11" s="12" t="n">
        <f aca="false">1.570048+1.317191</f>
        <v>2.887239</v>
      </c>
      <c r="D11" s="12" t="n">
        <f aca="false">D8+D10</f>
        <v>1.76233968</v>
      </c>
      <c r="E11" s="12" t="n">
        <f aca="false">E8+E10</f>
        <v>2.0090672352</v>
      </c>
      <c r="F11" s="12" t="n">
        <f aca="false">SUM(C11:E11)</f>
        <v>6.6586459152</v>
      </c>
      <c r="G11" s="7" t="s">
        <v>389</v>
      </c>
      <c r="H11" s="7" t="s">
        <v>210</v>
      </c>
      <c r="I11" s="7" t="s">
        <v>390</v>
      </c>
    </row>
    <row r="12" customFormat="false" ht="17.15" hidden="false" customHeight="false" outlineLevel="0" collapsed="false">
      <c r="A12" s="3" t="s">
        <v>391</v>
      </c>
      <c r="B12" s="11" t="n">
        <v>2.572</v>
      </c>
      <c r="C12" s="12" t="n">
        <f aca="false">1.164+0.969</f>
        <v>2.133</v>
      </c>
      <c r="D12" s="12" t="n">
        <f aca="false">D11*q_nir</f>
        <v>1.3041313632</v>
      </c>
      <c r="E12" s="12" t="n">
        <f aca="false">E11*q_nir</f>
        <v>1.486709754048</v>
      </c>
      <c r="F12" s="12" t="n">
        <f aca="false">SUM(C12:E12)</f>
        <v>4.923841117248</v>
      </c>
      <c r="G12" s="7" t="s">
        <v>392</v>
      </c>
      <c r="H12" s="7" t="s">
        <v>373</v>
      </c>
      <c r="I12" s="7" t="s">
        <v>393</v>
      </c>
    </row>
    <row r="13" customFormat="false" ht="17.15" hidden="false" customHeight="false" outlineLevel="0" collapsed="false">
      <c r="A13" s="3" t="s">
        <v>394</v>
      </c>
      <c r="B13" s="13" t="n">
        <f aca="false">B12/B11</f>
        <v>0.78475979393648</v>
      </c>
      <c r="C13" s="13" t="n">
        <f aca="false">C12/C11</f>
        <v>0.738768075659826</v>
      </c>
      <c r="D13" s="13" t="n">
        <f aca="false">D12/D11</f>
        <v>0.74</v>
      </c>
      <c r="E13" s="13" t="n">
        <f aca="false">E12/E11</f>
        <v>0.74</v>
      </c>
      <c r="F13" s="13" t="n">
        <f aca="false">F12/F11</f>
        <v>0.739465828331271</v>
      </c>
      <c r="G13" s="7" t="s">
        <v>33</v>
      </c>
      <c r="H13" s="7" t="s">
        <v>165</v>
      </c>
      <c r="I13" s="7" t="s">
        <v>165</v>
      </c>
    </row>
    <row r="14" customFormat="false" ht="17.15" hidden="false" customHeight="false" outlineLevel="0" collapsed="false">
      <c r="A14" s="3" t="s">
        <v>395</v>
      </c>
      <c r="B14" s="12" t="n">
        <f aca="false">2.572/28.26</f>
        <v>0.0910120311394197</v>
      </c>
      <c r="C14" s="12" t="n">
        <f aca="false">2.133/23.02</f>
        <v>0.0926585577758471</v>
      </c>
      <c r="D14" s="12" t="n">
        <f aca="false">q_sh</f>
        <v>0.093076837</v>
      </c>
      <c r="E14" s="12" t="n">
        <f aca="false">q_sh</f>
        <v>0.093076837</v>
      </c>
      <c r="F14" s="12" t="n">
        <f aca="false">q_sh</f>
        <v>0.093076837</v>
      </c>
      <c r="G14" s="7" t="s">
        <v>396</v>
      </c>
      <c r="H14" s="7" t="s">
        <v>373</v>
      </c>
      <c r="I14" s="7" t="s">
        <v>397</v>
      </c>
    </row>
    <row r="15" customFormat="false" ht="17.15" hidden="false" customHeight="false" outlineLevel="0" collapsed="false">
      <c r="A15" s="0" t="s">
        <v>398</v>
      </c>
      <c r="B15" s="14" t="n">
        <f aca="false">B12/B14</f>
        <v>28.26</v>
      </c>
      <c r="C15" s="14" t="n">
        <f aca="false">C12/C14</f>
        <v>23.02</v>
      </c>
      <c r="D15" s="14" t="n">
        <f aca="false">D12/D14</f>
        <v>14.0113416531333</v>
      </c>
      <c r="E15" s="14" t="n">
        <f aca="false">E12/E14</f>
        <v>15.972929484572</v>
      </c>
      <c r="F15" s="14" t="n">
        <f aca="false">F12/F14</f>
        <v>52.9008212563992</v>
      </c>
      <c r="G15" s="7" t="s">
        <v>33</v>
      </c>
      <c r="H15" s="3" t="s">
        <v>399</v>
      </c>
      <c r="I15" s="7" t="s">
        <v>400</v>
      </c>
    </row>
    <row r="16" customFormat="false" ht="17.15" hidden="false" customHeight="false" outlineLevel="0" collapsed="false">
      <c r="A16" s="3" t="s">
        <v>401</v>
      </c>
      <c r="B16" s="15" t="n">
        <v>28.26</v>
      </c>
      <c r="C16" s="15" t="n">
        <v>23.02</v>
      </c>
      <c r="G16" s="7" t="s">
        <v>192</v>
      </c>
      <c r="H16" s="7" t="s">
        <v>402</v>
      </c>
      <c r="I16" s="7" t="s">
        <v>403</v>
      </c>
    </row>
    <row r="17" customFormat="false" ht="17.15" hidden="false" customHeight="false" outlineLevel="0" collapsed="false">
      <c r="A17" s="3" t="s">
        <v>404</v>
      </c>
      <c r="B17" s="12" t="n">
        <f aca="false">B4*lc_25</f>
        <v>7.91384</v>
      </c>
      <c r="F17" s="12" t="n">
        <f aca="false">F4*lc_26</f>
        <v>22.922423184</v>
      </c>
      <c r="G17" s="7" t="s">
        <v>405</v>
      </c>
      <c r="H17" s="3" t="s">
        <v>406</v>
      </c>
      <c r="I17" s="3" t="s">
        <v>407</v>
      </c>
    </row>
    <row r="18" customFormat="false" ht="17.15" hidden="false" customHeight="false" outlineLevel="0" collapsed="false">
      <c r="A18" s="3" t="s">
        <v>408</v>
      </c>
      <c r="B18" s="12" t="n">
        <f aca="false">B4*(srv_25-lc_25)</f>
        <v>5.35348</v>
      </c>
      <c r="F18" s="12" t="n">
        <f aca="false">F4*(srv_26-lc_26)</f>
        <v>5.3485654096</v>
      </c>
      <c r="G18" s="7" t="s">
        <v>405</v>
      </c>
      <c r="H18" s="3" t="s">
        <v>406</v>
      </c>
      <c r="I18" s="7" t="s">
        <v>165</v>
      </c>
    </row>
    <row r="19" customFormat="false" ht="17.15" hidden="false" customHeight="false" outlineLevel="0" collapsed="false">
      <c r="A19" s="3" t="s">
        <v>409</v>
      </c>
      <c r="B19" s="12" t="n">
        <f aca="false">B4*nb_25</f>
        <v>6.28452</v>
      </c>
      <c r="F19" s="12" t="n">
        <f aca="false">F4*nb_26</f>
        <v>5.730605796</v>
      </c>
      <c r="G19" s="7" t="s">
        <v>405</v>
      </c>
      <c r="H19" s="3" t="s">
        <v>406</v>
      </c>
      <c r="I19" s="7" t="s">
        <v>165</v>
      </c>
    </row>
    <row r="20" customFormat="false" ht="17.15" hidden="false" customHeight="false" outlineLevel="0" collapsed="false">
      <c r="A20" s="3" t="s">
        <v>410</v>
      </c>
      <c r="B20" s="12" t="n">
        <f aca="false">B4*(1-srv_25-nb_25)</f>
        <v>3.72416</v>
      </c>
      <c r="F20" s="12" t="n">
        <f aca="false">F4*(1-srv_26-nb_26)</f>
        <v>4.2024442504</v>
      </c>
      <c r="G20" s="7" t="s">
        <v>405</v>
      </c>
      <c r="H20" s="3" t="s">
        <v>406</v>
      </c>
      <c r="I20" s="7" t="s">
        <v>165</v>
      </c>
    </row>
    <row r="21" customFormat="false" ht="17.15" hidden="false" customHeight="false" outlineLevel="0" collapsed="false">
      <c r="A21" s="3" t="s">
        <v>411</v>
      </c>
      <c r="F21" s="12" t="n">
        <f aca="false">F4*lc_26_lo</f>
        <v>21.012221252</v>
      </c>
      <c r="G21" s="7" t="s">
        <v>33</v>
      </c>
      <c r="H21" s="7" t="s">
        <v>412</v>
      </c>
      <c r="I21" s="7" t="s">
        <v>165</v>
      </c>
    </row>
    <row r="22" customFormat="false" ht="17.15" hidden="false" customHeight="false" outlineLevel="0" collapsed="false">
      <c r="A22" s="3" t="s">
        <v>413</v>
      </c>
      <c r="F22" s="12" t="n">
        <f aca="false">F4*(srv_26-lc_26_lo)</f>
        <v>7.2587673416</v>
      </c>
      <c r="G22" s="7" t="s">
        <v>33</v>
      </c>
      <c r="H22" s="7" t="s">
        <v>412</v>
      </c>
      <c r="I22" s="7" t="s">
        <v>165</v>
      </c>
    </row>
    <row r="23" customFormat="false" ht="17.15" hidden="false" customHeight="false" outlineLevel="0" collapsed="false">
      <c r="A23" s="3" t="s">
        <v>414</v>
      </c>
      <c r="F23" s="12" t="n">
        <f aca="false">F4*lc_26_hi</f>
        <v>24.0685443432</v>
      </c>
      <c r="G23" s="7" t="s">
        <v>33</v>
      </c>
      <c r="H23" s="7" t="s">
        <v>412</v>
      </c>
      <c r="I23" s="7" t="s">
        <v>165</v>
      </c>
    </row>
    <row r="24" customFormat="false" ht="17.15" hidden="false" customHeight="false" outlineLevel="0" collapsed="false">
      <c r="A24" s="3" t="s">
        <v>415</v>
      </c>
      <c r="F24" s="12" t="n">
        <f aca="false">F4*(srv_26-lc_26_hi)</f>
        <v>4.2024442504</v>
      </c>
      <c r="G24" s="7" t="s">
        <v>33</v>
      </c>
      <c r="H24" s="7" t="s">
        <v>412</v>
      </c>
      <c r="I24" s="7" t="s">
        <v>165</v>
      </c>
    </row>
    <row r="26" customFormat="false" ht="17.15" hidden="false" customHeight="false" outlineLevel="0" collapsed="false">
      <c r="A26" s="3" t="s">
        <v>416</v>
      </c>
      <c r="B26" s="14" t="n">
        <f aca="false">(F7/B7-1)/(F4/B4-1)</f>
        <v>0.646535017702971</v>
      </c>
    </row>
    <row r="28" customFormat="false" ht="17.15" hidden="false" customHeight="false" outlineLevel="0" collapsed="false">
      <c r="A28" s="5" t="s">
        <v>417</v>
      </c>
    </row>
    <row r="29" customFormat="false" ht="17.15" hidden="false" customHeight="false" outlineLevel="0" collapsed="false">
      <c r="A29" s="0" t="s">
        <v>418</v>
      </c>
      <c r="B29" s="13" t="n">
        <f aca="false">F4/B4-1</f>
        <v>0.641348970613508</v>
      </c>
    </row>
    <row r="30" customFormat="false" ht="17.15" hidden="false" customHeight="false" outlineLevel="0" collapsed="false">
      <c r="A30" s="0" t="s">
        <v>419</v>
      </c>
      <c r="B30" s="13" t="n">
        <f aca="false">F17/B17-1</f>
        <v>1.8964981834356</v>
      </c>
    </row>
    <row r="31" customFormat="false" ht="17.15" hidden="false" customHeight="false" outlineLevel="0" collapsed="false">
      <c r="A31" s="0" t="s">
        <v>420</v>
      </c>
      <c r="B31" s="13" t="n">
        <f aca="false">(F17+F18)/(B17+B18)-1</f>
        <v>1.13087410219999</v>
      </c>
    </row>
    <row r="32" customFormat="false" ht="17.15" hidden="false" customHeight="false" outlineLevel="0" collapsed="false">
      <c r="A32" s="0" t="s">
        <v>421</v>
      </c>
      <c r="B32" s="13" t="n">
        <f aca="false">F4/c_rev26-1</f>
        <v>-0.0128155390180877</v>
      </c>
    </row>
    <row r="33" customFormat="false" ht="17.15" hidden="false" customHeight="false" outlineLevel="0" collapsed="false">
      <c r="A33" s="0" t="s">
        <v>422</v>
      </c>
      <c r="B33" s="13" t="n">
        <f aca="false">F15/c_eps26-1</f>
        <v>-0.0583691481595021</v>
      </c>
    </row>
    <row r="35" customFormat="false" ht="15" hidden="false" customHeight="false" outlineLevel="0" collapsed="false">
      <c r="A35" s="1" t="s">
        <v>423</v>
      </c>
      <c r="B35" s="16" t="n">
        <f aca="false">ROUND(B17+B18+B19+B20-B4,6)</f>
        <v>0</v>
      </c>
    </row>
    <row r="36" customFormat="false" ht="17.15" hidden="false" customHeight="false" outlineLevel="0" collapsed="false">
      <c r="A36" s="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425</v>
      </c>
    </row>
    <row r="3" customFormat="false" ht="15" hidden="false" customHeight="false" outlineLevel="0" collapsed="false">
      <c r="A3" s="4" t="s">
        <v>21</v>
      </c>
      <c r="B3" s="4" t="s">
        <v>22</v>
      </c>
      <c r="C3" s="10" t="s">
        <v>426</v>
      </c>
      <c r="D3" s="10" t="s">
        <v>427</v>
      </c>
      <c r="E3" s="10" t="s">
        <v>428</v>
      </c>
      <c r="F3" s="10" t="s">
        <v>429</v>
      </c>
      <c r="G3" s="4" t="s">
        <v>350</v>
      </c>
    </row>
    <row r="4" customFormat="false" ht="17.15" hidden="false" customHeight="false" outlineLevel="0" collapsed="false">
      <c r="A4" s="3" t="s">
        <v>430</v>
      </c>
      <c r="B4" s="0" t="s">
        <v>431</v>
      </c>
      <c r="C4" s="17" t="n">
        <f aca="false">PL!D103</f>
        <v>23.3995380420639</v>
      </c>
      <c r="D4" s="17" t="n">
        <f aca="false">PL!E103</f>
        <v>41.6467658260637</v>
      </c>
      <c r="E4" s="17" t="n">
        <f aca="false">PL!F103</f>
        <v>42.2337105529984</v>
      </c>
      <c r="F4" s="17" t="n">
        <f aca="false">PL!G103</f>
        <v>51.1178029756948</v>
      </c>
      <c r="G4" s="7" t="s">
        <v>432</v>
      </c>
    </row>
    <row r="5" customFormat="false" ht="17.15" hidden="false" customHeight="false" outlineLevel="0" collapsed="false">
      <c r="A5" s="3" t="s">
        <v>433</v>
      </c>
      <c r="B5" s="0" t="s">
        <v>52</v>
      </c>
      <c r="C5" s="13" t="n">
        <f aca="false">PL!D104</f>
        <v>0.55</v>
      </c>
      <c r="D5" s="13" t="n">
        <f aca="false">PL!E104</f>
        <v>0.75</v>
      </c>
      <c r="E5" s="13" t="n">
        <f aca="false">PL!F104</f>
        <v>0.85</v>
      </c>
      <c r="F5" s="13" t="n">
        <f aca="false">PL!G104</f>
        <v>0.9</v>
      </c>
      <c r="G5" s="3" t="s">
        <v>434</v>
      </c>
    </row>
    <row r="6" customFormat="false" ht="17.15" hidden="false" customHeight="false" outlineLevel="0" collapsed="false">
      <c r="A6" s="3" t="s">
        <v>435</v>
      </c>
      <c r="B6" s="0" t="s">
        <v>436</v>
      </c>
      <c r="C6" s="18" t="n">
        <f aca="false">PL!D105</f>
        <v>350.7208</v>
      </c>
      <c r="D6" s="18" t="n">
        <f aca="false">PL!E105</f>
        <v>326.5912</v>
      </c>
      <c r="E6" s="18" t="n">
        <f aca="false">PL!F105</f>
        <v>351.7136</v>
      </c>
      <c r="F6" s="18" t="n">
        <f aca="false">PL!G105</f>
        <v>351.7136</v>
      </c>
      <c r="G6" s="3" t="s">
        <v>437</v>
      </c>
    </row>
    <row r="7" customFormat="false" ht="17.15" hidden="false" customHeight="false" outlineLevel="0" collapsed="false">
      <c r="A7" s="0" t="s">
        <v>438</v>
      </c>
      <c r="B7" s="0" t="s">
        <v>32</v>
      </c>
      <c r="C7" s="19" t="n">
        <f aca="false">PL!D106</f>
        <v>4.51368758595869</v>
      </c>
      <c r="D7" s="19" t="n">
        <f aca="false">PL!E106</f>
        <v>10.2011004204398</v>
      </c>
      <c r="E7" s="19" t="n">
        <f aca="false">PL!F106</f>
        <v>12.6260448229601</v>
      </c>
      <c r="F7" s="19" t="n">
        <f aca="false">PL!G106</f>
        <v>16.1809438578051</v>
      </c>
      <c r="G7" s="3" t="s">
        <v>439</v>
      </c>
    </row>
    <row r="8" customFormat="false" ht="17.15" hidden="false" customHeight="false" outlineLevel="0" collapsed="false">
      <c r="A8" s="3" t="s">
        <v>440</v>
      </c>
      <c r="B8" s="0" t="s">
        <v>52</v>
      </c>
      <c r="C8" s="13" t="n">
        <f aca="false">PL!D110</f>
        <v>0.15870077644017</v>
      </c>
      <c r="D8" s="13" t="n">
        <f aca="false">PL!E110</f>
        <v>0.150765737618161</v>
      </c>
      <c r="E8" s="13" t="n">
        <f aca="false">PL!F110</f>
        <v>0.142830698796153</v>
      </c>
      <c r="F8" s="13" t="n">
        <f aca="false">PL!G110</f>
        <v>0.134895659974144</v>
      </c>
      <c r="G8" s="7" t="s">
        <v>441</v>
      </c>
    </row>
    <row r="9" customFormat="false" ht="17.15" hidden="false" customHeight="false" outlineLevel="0" collapsed="false">
      <c r="A9" s="3" t="s">
        <v>442</v>
      </c>
      <c r="B9" s="0" t="s">
        <v>52</v>
      </c>
      <c r="C9" s="13" t="n">
        <f aca="false">avsh_26</f>
        <v>0.498927641116677</v>
      </c>
      <c r="D9" s="13" t="n">
        <f aca="false">avsh_27</f>
        <v>0.473981259060843</v>
      </c>
      <c r="E9" s="13" t="n">
        <f aca="false">avsh_28</f>
        <v>0.449034877005009</v>
      </c>
      <c r="F9" s="13" t="n">
        <f aca="false">avsh_29</f>
        <v>0.424088494949176</v>
      </c>
      <c r="G9" s="3" t="s">
        <v>443</v>
      </c>
    </row>
    <row r="10" customFormat="false" ht="17.15" hidden="false" customHeight="false" outlineLevel="0" collapsed="false">
      <c r="A10" s="3" t="s">
        <v>444</v>
      </c>
      <c r="B10" s="0" t="s">
        <v>52</v>
      </c>
      <c r="C10" s="13" t="n">
        <f aca="false">C8+C9</f>
        <v>0.657628417556847</v>
      </c>
      <c r="D10" s="13" t="n">
        <f aca="false">D8+D9</f>
        <v>0.624746996679004</v>
      </c>
      <c r="E10" s="13" t="n">
        <f aca="false">E8+E9</f>
        <v>0.591865575801162</v>
      </c>
      <c r="F10" s="13" t="n">
        <f aca="false">F8+F9</f>
        <v>0.55898415492332</v>
      </c>
      <c r="G10" s="3" t="s">
        <v>445</v>
      </c>
    </row>
    <row r="11" customFormat="false" ht="17.15" hidden="false" customHeight="false" outlineLevel="0" collapsed="false">
      <c r="A11" s="3" t="s">
        <v>446</v>
      </c>
      <c r="B11" s="0" t="s">
        <v>52</v>
      </c>
      <c r="C11" s="13" t="n">
        <f aca="false">1-C10</f>
        <v>0.342371582443153</v>
      </c>
      <c r="D11" s="13" t="n">
        <f aca="false">1-D10</f>
        <v>0.375253003320996</v>
      </c>
      <c r="E11" s="13" t="n">
        <f aca="false">1-E10</f>
        <v>0.408134424198838</v>
      </c>
      <c r="F11" s="13" t="n">
        <f aca="false">1-F10</f>
        <v>0.44101584507668</v>
      </c>
    </row>
    <row r="12" customFormat="false" ht="15" hidden="false" customHeight="false" outlineLevel="0" collapsed="false">
      <c r="A12" s="3" t="s">
        <v>447</v>
      </c>
      <c r="B12" s="0" t="s">
        <v>32</v>
      </c>
      <c r="C12" s="20" t="n">
        <f aca="false">PL!D111/fx</f>
        <v>0.7163257245</v>
      </c>
      <c r="D12" s="20" t="n">
        <f aca="false">PL!E111/fx</f>
        <v>1.53797642940455</v>
      </c>
      <c r="E12" s="20" t="n">
        <f aca="false">PL!F111/fx</f>
        <v>1.80338680509494</v>
      </c>
      <c r="F12" s="20" t="n">
        <f aca="false">PL!G111/fx</f>
        <v>2.1827391007032</v>
      </c>
    </row>
    <row r="13" customFormat="false" ht="17.15" hidden="false" customHeight="false" outlineLevel="0" collapsed="false">
      <c r="A13" s="3" t="s">
        <v>448</v>
      </c>
      <c r="B13" s="0" t="s">
        <v>436</v>
      </c>
      <c r="C13" s="18" t="n">
        <f aca="false">PL!D119</f>
        <v>30.6128148005446</v>
      </c>
      <c r="D13" s="18" t="n">
        <f aca="false">PL!E119</f>
        <v>36.9290723757003</v>
      </c>
      <c r="E13" s="18" t="n">
        <f aca="false">PL!F119</f>
        <v>42.700174374494</v>
      </c>
      <c r="F13" s="18" t="n">
        <f aca="false">PL!G119</f>
        <v>42.700174374494</v>
      </c>
    </row>
    <row r="15" customFormat="false" ht="17.15" hidden="false" customHeight="false" outlineLevel="0" collapsed="false">
      <c r="A15" s="1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450</v>
      </c>
    </row>
    <row r="3" customFormat="false" ht="17.15" hidden="false" customHeight="false" outlineLevel="0" collapsed="false">
      <c r="A3" s="4" t="s">
        <v>451</v>
      </c>
      <c r="B3" s="4" t="s">
        <v>22</v>
      </c>
      <c r="C3" s="10" t="s">
        <v>365</v>
      </c>
      <c r="D3" s="10" t="s">
        <v>452</v>
      </c>
      <c r="E3" s="10" t="s">
        <v>453</v>
      </c>
      <c r="F3" s="10" t="s">
        <v>454</v>
      </c>
      <c r="G3" s="10" t="s">
        <v>455</v>
      </c>
      <c r="H3" s="4" t="s">
        <v>350</v>
      </c>
    </row>
    <row r="4" customFormat="false" ht="17.15" hidden="false" customHeight="false" outlineLevel="0" collapsed="false">
      <c r="A4" s="1" t="s">
        <v>456</v>
      </c>
    </row>
    <row r="5" customFormat="false" ht="15" hidden="false" customHeight="false" outlineLevel="0" collapsed="false">
      <c r="A5" s="3" t="s">
        <v>371</v>
      </c>
      <c r="B5" s="0" t="s">
        <v>191</v>
      </c>
      <c r="C5" s="19" t="n">
        <f aca="false">C78</f>
        <v>23.276</v>
      </c>
      <c r="D5" s="19" t="n">
        <f aca="false">D78</f>
        <v>38.20403864</v>
      </c>
      <c r="E5" s="19" t="n">
        <f aca="false">E78</f>
        <v>76.4908399924034</v>
      </c>
      <c r="F5" s="19" t="n">
        <f aca="false">F78</f>
        <v>108.647210224342</v>
      </c>
      <c r="G5" s="19" t="n">
        <f aca="false">G78</f>
        <v>121.494927489974</v>
      </c>
    </row>
    <row r="6" customFormat="false" ht="15" hidden="false" customHeight="false" outlineLevel="0" collapsed="false">
      <c r="A6" s="3" t="s">
        <v>457</v>
      </c>
      <c r="B6" s="0" t="s">
        <v>52</v>
      </c>
      <c r="D6" s="13" t="n">
        <f aca="false">D79</f>
        <v>0.641348970613508</v>
      </c>
      <c r="E6" s="13" t="n">
        <f aca="false">E79</f>
        <v>1.00216633411936</v>
      </c>
      <c r="F6" s="13" t="n">
        <f aca="false">F79</f>
        <v>0.420395046454343</v>
      </c>
      <c r="G6" s="13" t="n">
        <f aca="false">G79</f>
        <v>0.118251699598208</v>
      </c>
    </row>
    <row r="7" customFormat="false" ht="15" hidden="false" customHeight="false" outlineLevel="0" collapsed="false">
      <c r="A7" s="3" t="s">
        <v>458</v>
      </c>
      <c r="B7" s="0" t="s">
        <v>191</v>
      </c>
      <c r="C7" s="19" t="n">
        <f aca="false">C73</f>
        <v>7.91384</v>
      </c>
      <c r="D7" s="19" t="n">
        <f aca="false">D73</f>
        <v>22.922423184</v>
      </c>
      <c r="E7" s="19" t="n">
        <f aca="false">E73</f>
        <v>61.6485709807634</v>
      </c>
      <c r="F7" s="19" t="n">
        <f aca="false">F73</f>
        <v>94.0589980696575</v>
      </c>
      <c r="G7" s="19" t="n">
        <f aca="false">G73</f>
        <v>107.148069349398</v>
      </c>
    </row>
    <row r="8" customFormat="false" ht="15" hidden="false" customHeight="false" outlineLevel="0" collapsed="false">
      <c r="A8" s="3" t="s">
        <v>459</v>
      </c>
      <c r="B8" s="0" t="s">
        <v>191</v>
      </c>
      <c r="C8" s="19" t="n">
        <f aca="false">C75</f>
        <v>5.35348</v>
      </c>
      <c r="D8" s="19" t="n">
        <f aca="false">D75</f>
        <v>5.3485654096</v>
      </c>
      <c r="E8" s="19" t="n">
        <f aca="false">E75</f>
        <v>5.08113713912</v>
      </c>
      <c r="F8" s="19" t="n">
        <f aca="false">F75</f>
        <v>4.827080282164</v>
      </c>
      <c r="G8" s="19" t="n">
        <f aca="false">G75</f>
        <v>4.5857262680558</v>
      </c>
    </row>
    <row r="9" customFormat="false" ht="15" hidden="false" customHeight="false" outlineLevel="0" collapsed="false">
      <c r="A9" s="3" t="s">
        <v>460</v>
      </c>
      <c r="B9" s="0" t="s">
        <v>191</v>
      </c>
      <c r="C9" s="19" t="n">
        <f aca="false">C76</f>
        <v>6.28452</v>
      </c>
      <c r="D9" s="19" t="n">
        <f aca="false">D76</f>
        <v>5.730605796</v>
      </c>
      <c r="E9" s="19" t="n">
        <f aca="false">E76</f>
        <v>5.55868762212</v>
      </c>
      <c r="F9" s="19" t="n">
        <f aca="false">F76</f>
        <v>5.55868762212</v>
      </c>
      <c r="G9" s="19" t="n">
        <f aca="false">G76</f>
        <v>5.55868762212</v>
      </c>
    </row>
    <row r="10" customFormat="false" ht="15" hidden="false" customHeight="false" outlineLevel="0" collapsed="false">
      <c r="A10" s="3" t="s">
        <v>461</v>
      </c>
      <c r="B10" s="0" t="s">
        <v>191</v>
      </c>
      <c r="C10" s="19" t="n">
        <f aca="false">C77</f>
        <v>3.72416</v>
      </c>
      <c r="D10" s="19" t="n">
        <f aca="false">D77</f>
        <v>4.2024442504</v>
      </c>
      <c r="E10" s="19" t="n">
        <f aca="false">E77</f>
        <v>4.2024442504</v>
      </c>
      <c r="F10" s="19" t="n">
        <f aca="false">F77</f>
        <v>4.2024442504</v>
      </c>
      <c r="G10" s="19" t="n">
        <f aca="false">G77</f>
        <v>4.2024442504</v>
      </c>
    </row>
    <row r="11" customFormat="false" ht="17.15" hidden="false" customHeight="false" outlineLevel="0" collapsed="false">
      <c r="A11" s="3" t="s">
        <v>462</v>
      </c>
      <c r="B11" s="0" t="s">
        <v>52</v>
      </c>
      <c r="C11" s="13" t="n">
        <f aca="false">C80</f>
        <v>0.34</v>
      </c>
      <c r="D11" s="13" t="n">
        <f aca="false">D80</f>
        <v>0.6</v>
      </c>
      <c r="E11" s="13" t="n">
        <f aca="false">E80</f>
        <v>0.805960177543951</v>
      </c>
      <c r="F11" s="13" t="n">
        <f aca="false">F80</f>
        <v>0.865728607991302</v>
      </c>
      <c r="G11" s="13" t="n">
        <f aca="false">G80</f>
        <v>0.881913933058977</v>
      </c>
    </row>
    <row r="12" customFormat="false" ht="15" hidden="false" customHeight="false" outlineLevel="0" collapsed="false">
      <c r="A12" s="3" t="s">
        <v>378</v>
      </c>
      <c r="B12" s="0" t="s">
        <v>52</v>
      </c>
      <c r="C12" s="13" t="n">
        <f aca="false">C85</f>
        <v>0.273758377728132</v>
      </c>
      <c r="D12" s="13" t="n">
        <f aca="false">D85</f>
        <v>0.290156485550031</v>
      </c>
      <c r="E12" s="13" t="n">
        <f aca="false">E85</f>
        <v>0.300454494427229</v>
      </c>
      <c r="F12" s="13" t="n">
        <f aca="false">F85</f>
        <v>0.303442915949596</v>
      </c>
      <c r="G12" s="13" t="n">
        <f aca="false">G85</f>
        <v>0.30425218220298</v>
      </c>
    </row>
    <row r="13" customFormat="false" ht="15" hidden="false" customHeight="false" outlineLevel="0" collapsed="false">
      <c r="A13" s="3" t="s">
        <v>386</v>
      </c>
      <c r="B13" s="0" t="s">
        <v>52</v>
      </c>
      <c r="C13" s="13" t="n">
        <f aca="false">C89</f>
        <v>0.140015466575013</v>
      </c>
      <c r="D13" s="13" t="n">
        <f aca="false">D89</f>
        <v>0.174885434970861</v>
      </c>
      <c r="E13" s="13" t="n">
        <f aca="false">E89</f>
        <v>0.205377704173557</v>
      </c>
      <c r="F13" s="13" t="n">
        <f aca="false">F89</f>
        <v>0.218215099834717</v>
      </c>
      <c r="G13" s="13" t="n">
        <f aca="false">G89</f>
        <v>0.222178769465523</v>
      </c>
    </row>
    <row r="14" customFormat="false" ht="15" hidden="false" customHeight="false" outlineLevel="0" collapsed="false">
      <c r="A14" s="3" t="s">
        <v>391</v>
      </c>
      <c r="B14" s="0" t="s">
        <v>191</v>
      </c>
      <c r="C14" s="19" t="n">
        <f aca="false">C92</f>
        <v>2.572</v>
      </c>
      <c r="D14" s="19" t="n">
        <f aca="false">D92</f>
        <v>4.923841117248</v>
      </c>
      <c r="E14" s="19" t="n">
        <f aca="false">E92</f>
        <v>11.6250396998806</v>
      </c>
      <c r="F14" s="19" t="n">
        <f aca="false">F92</f>
        <v>17.5442617511425</v>
      </c>
      <c r="G14" s="19" t="n">
        <f aca="false">G92</f>
        <v>19.9752591796587</v>
      </c>
    </row>
    <row r="15" customFormat="false" ht="15" hidden="false" customHeight="false" outlineLevel="0" collapsed="false">
      <c r="A15" s="0" t="s">
        <v>398</v>
      </c>
      <c r="B15" s="0" t="s">
        <v>251</v>
      </c>
      <c r="C15" s="14" t="n">
        <f aca="false">C94</f>
        <v>28.26</v>
      </c>
      <c r="D15" s="14" t="n">
        <f aca="false">D94</f>
        <v>52.9008212563992</v>
      </c>
      <c r="E15" s="14" t="n">
        <f aca="false">E94</f>
        <v>124.897236246657</v>
      </c>
      <c r="F15" s="14" t="n">
        <f aca="false">F94</f>
        <v>188.492242717084</v>
      </c>
      <c r="G15" s="14" t="n">
        <f aca="false">G94</f>
        <v>214.610421061673</v>
      </c>
    </row>
    <row r="16" customFormat="false" ht="17.15" hidden="false" customHeight="false" outlineLevel="0" collapsed="false">
      <c r="A16" s="0" t="s">
        <v>463</v>
      </c>
      <c r="B16" s="0" t="s">
        <v>52</v>
      </c>
      <c r="D16" s="13" t="n">
        <f aca="false">D95</f>
        <v>0.871932811620636</v>
      </c>
      <c r="E16" s="13" t="n">
        <f aca="false">E95</f>
        <v>1.36096970293346</v>
      </c>
      <c r="F16" s="13" t="n">
        <f aca="false">F95</f>
        <v>0.509178652639156</v>
      </c>
      <c r="G16" s="13" t="n">
        <f aca="false">G95</f>
        <v>0.138563677571551</v>
      </c>
    </row>
    <row r="18" customFormat="false" ht="17.15" hidden="false" customHeight="false" outlineLevel="0" collapsed="false">
      <c r="A18" s="1" t="s">
        <v>464</v>
      </c>
    </row>
    <row r="19" customFormat="false" ht="15" hidden="false" customHeight="false" outlineLevel="0" collapsed="false">
      <c r="A19" s="3" t="s">
        <v>371</v>
      </c>
      <c r="B19" s="0" t="s">
        <v>191</v>
      </c>
      <c r="C19" s="19" t="n">
        <f aca="false">C116</f>
        <v>23.276</v>
      </c>
      <c r="D19" s="19" t="n">
        <f aca="false">D116</f>
        <v>38.20403864</v>
      </c>
      <c r="E19" s="19" t="n">
        <f aca="false">E116</f>
        <v>64.0575147525856</v>
      </c>
      <c r="F19" s="19" t="n">
        <f aca="false">F116</f>
        <v>72.296589917722</v>
      </c>
      <c r="G19" s="19" t="n">
        <f aca="false">G116</f>
        <v>84.1945093630781</v>
      </c>
    </row>
    <row r="20" customFormat="false" ht="15" hidden="false" customHeight="false" outlineLevel="0" collapsed="false">
      <c r="A20" s="3" t="s">
        <v>457</v>
      </c>
      <c r="B20" s="0" t="s">
        <v>52</v>
      </c>
      <c r="D20" s="13" t="n">
        <f aca="false">D117</f>
        <v>0.641348970613508</v>
      </c>
      <c r="E20" s="13" t="n">
        <f aca="false">E117</f>
        <v>0.676721023036468</v>
      </c>
      <c r="F20" s="13" t="n">
        <f aca="false">F117</f>
        <v>0.128619962809343</v>
      </c>
      <c r="G20" s="13" t="n">
        <f aca="false">G117</f>
        <v>0.1645709632902</v>
      </c>
    </row>
    <row r="21" customFormat="false" ht="15" hidden="false" customHeight="false" outlineLevel="0" collapsed="false">
      <c r="A21" s="3" t="s">
        <v>458</v>
      </c>
      <c r="B21" s="0" t="s">
        <v>191</v>
      </c>
      <c r="C21" s="19" t="n">
        <f aca="false">C111</f>
        <v>7.91384</v>
      </c>
      <c r="D21" s="19" t="n">
        <f aca="false">D111</f>
        <v>22.922423184</v>
      </c>
      <c r="E21" s="19" t="n">
        <f aca="false">E111</f>
        <v>49.2152457409455</v>
      </c>
      <c r="F21" s="19" t="n">
        <f aca="false">F111</f>
        <v>57.708377763038</v>
      </c>
      <c r="G21" s="19" t="n">
        <f aca="false">G111</f>
        <v>69.8476512225023</v>
      </c>
    </row>
    <row r="22" customFormat="false" ht="15" hidden="false" customHeight="false" outlineLevel="0" collapsed="false">
      <c r="A22" s="3" t="s">
        <v>459</v>
      </c>
      <c r="B22" s="0" t="s">
        <v>191</v>
      </c>
      <c r="C22" s="19" t="n">
        <f aca="false">C113</f>
        <v>5.35348</v>
      </c>
      <c r="D22" s="19" t="n">
        <f aca="false">D113</f>
        <v>5.3485654096</v>
      </c>
      <c r="E22" s="19" t="n">
        <f aca="false">E113</f>
        <v>5.08113713912</v>
      </c>
      <c r="F22" s="19" t="n">
        <f aca="false">F113</f>
        <v>4.827080282164</v>
      </c>
      <c r="G22" s="19" t="n">
        <f aca="false">G113</f>
        <v>4.5857262680558</v>
      </c>
    </row>
    <row r="23" customFormat="false" ht="15" hidden="false" customHeight="false" outlineLevel="0" collapsed="false">
      <c r="A23" s="3" t="s">
        <v>460</v>
      </c>
      <c r="B23" s="0" t="s">
        <v>191</v>
      </c>
      <c r="C23" s="19" t="n">
        <f aca="false">C114</f>
        <v>6.28452</v>
      </c>
      <c r="D23" s="19" t="n">
        <f aca="false">D114</f>
        <v>5.730605796</v>
      </c>
      <c r="E23" s="19" t="n">
        <f aca="false">E114</f>
        <v>5.55868762212</v>
      </c>
      <c r="F23" s="19" t="n">
        <f aca="false">F114</f>
        <v>5.55868762212</v>
      </c>
      <c r="G23" s="19" t="n">
        <f aca="false">G114</f>
        <v>5.55868762212</v>
      </c>
    </row>
    <row r="24" customFormat="false" ht="15" hidden="false" customHeight="false" outlineLevel="0" collapsed="false">
      <c r="A24" s="3" t="s">
        <v>461</v>
      </c>
      <c r="B24" s="0" t="s">
        <v>191</v>
      </c>
      <c r="C24" s="19" t="n">
        <f aca="false">C115</f>
        <v>3.72416</v>
      </c>
      <c r="D24" s="19" t="n">
        <f aca="false">D115</f>
        <v>4.2024442504</v>
      </c>
      <c r="E24" s="19" t="n">
        <f aca="false">E115</f>
        <v>4.2024442504</v>
      </c>
      <c r="F24" s="19" t="n">
        <f aca="false">F115</f>
        <v>4.2024442504</v>
      </c>
      <c r="G24" s="19" t="n">
        <f aca="false">G115</f>
        <v>4.2024442504</v>
      </c>
    </row>
    <row r="25" customFormat="false" ht="17.15" hidden="false" customHeight="false" outlineLevel="0" collapsed="false">
      <c r="A25" s="3" t="s">
        <v>462</v>
      </c>
      <c r="B25" s="0" t="s">
        <v>52</v>
      </c>
      <c r="C25" s="13" t="n">
        <f aca="false">C118</f>
        <v>0.34</v>
      </c>
      <c r="D25" s="13" t="n">
        <f aca="false">D118</f>
        <v>0.6</v>
      </c>
      <c r="E25" s="13" t="n">
        <f aca="false">E118</f>
        <v>0.768297770074807</v>
      </c>
      <c r="F25" s="13" t="n">
        <f aca="false">F118</f>
        <v>0.798217147291645</v>
      </c>
      <c r="G25" s="13" t="n">
        <f aca="false">G118</f>
        <v>0.829598649019892</v>
      </c>
    </row>
    <row r="26" customFormat="false" ht="15" hidden="false" customHeight="false" outlineLevel="0" collapsed="false">
      <c r="A26" s="3" t="s">
        <v>378</v>
      </c>
      <c r="B26" s="0" t="s">
        <v>52</v>
      </c>
      <c r="C26" s="13" t="n">
        <f aca="false">C123</f>
        <v>0.273758377728132</v>
      </c>
      <c r="D26" s="13" t="n">
        <f aca="false">D123</f>
        <v>0.290156485550031</v>
      </c>
      <c r="E26" s="13" t="n">
        <f aca="false">E123</f>
        <v>0.298571374053772</v>
      </c>
      <c r="F26" s="13" t="n">
        <f aca="false">F123</f>
        <v>0.300067342914614</v>
      </c>
      <c r="G26" s="13" t="n">
        <f aca="false">G123</f>
        <v>0.301636418001026</v>
      </c>
    </row>
    <row r="27" customFormat="false" ht="15" hidden="false" customHeight="false" outlineLevel="0" collapsed="false">
      <c r="A27" s="3" t="s">
        <v>386</v>
      </c>
      <c r="B27" s="0" t="s">
        <v>52</v>
      </c>
      <c r="C27" s="13" t="n">
        <f aca="false">C127</f>
        <v>0.140015466575013</v>
      </c>
      <c r="D27" s="13" t="n">
        <f aca="false">D127</f>
        <v>0.174885434970861</v>
      </c>
      <c r="E27" s="13" t="n">
        <f aca="false">E127</f>
        <v>0.199583425893516</v>
      </c>
      <c r="F27" s="13" t="n">
        <f aca="false">F127</f>
        <v>0.205027702706255</v>
      </c>
      <c r="G27" s="13" t="n">
        <f aca="false">G127</f>
        <v>0.211297451235082</v>
      </c>
    </row>
    <row r="28" customFormat="false" ht="15" hidden="false" customHeight="false" outlineLevel="0" collapsed="false">
      <c r="A28" s="3" t="s">
        <v>391</v>
      </c>
      <c r="B28" s="0" t="s">
        <v>191</v>
      </c>
      <c r="C28" s="19" t="n">
        <f aca="false">C130</f>
        <v>2.572</v>
      </c>
      <c r="D28" s="19" t="n">
        <f aca="false">D130</f>
        <v>4.923841117248</v>
      </c>
      <c r="E28" s="19" t="n">
        <f aca="false">E130</f>
        <v>9.46076550392362</v>
      </c>
      <c r="F28" s="19" t="n">
        <f aca="false">F130</f>
        <v>10.9688747708018</v>
      </c>
      <c r="G28" s="19" t="n">
        <f aca="false">G130</f>
        <v>13.1646630749409</v>
      </c>
    </row>
    <row r="29" customFormat="false" ht="15" hidden="false" customHeight="false" outlineLevel="0" collapsed="false">
      <c r="A29" s="0" t="s">
        <v>398</v>
      </c>
      <c r="B29" s="0" t="s">
        <v>251</v>
      </c>
      <c r="C29" s="14" t="n">
        <f aca="false">C132</f>
        <v>28.26</v>
      </c>
      <c r="D29" s="14" t="n">
        <f aca="false">D132</f>
        <v>52.9008212563992</v>
      </c>
      <c r="E29" s="14" t="n">
        <f aca="false">E132</f>
        <v>101.644682059013</v>
      </c>
      <c r="F29" s="14" t="n">
        <f aca="false">F132</f>
        <v>117.847523877523</v>
      </c>
      <c r="G29" s="14" t="n">
        <f aca="false">G132</f>
        <v>141.438659705861</v>
      </c>
    </row>
    <row r="30" customFormat="false" ht="17.15" hidden="false" customHeight="false" outlineLevel="0" collapsed="false">
      <c r="A30" s="0" t="s">
        <v>463</v>
      </c>
      <c r="B30" s="0" t="s">
        <v>52</v>
      </c>
      <c r="D30" s="13" t="n">
        <f aca="false">D133</f>
        <v>0.871932811620636</v>
      </c>
      <c r="E30" s="13" t="n">
        <f aca="false">E133</f>
        <v>0.921419736876353</v>
      </c>
      <c r="F30" s="13" t="n">
        <f aca="false">F133</f>
        <v>0.159406685035448</v>
      </c>
      <c r="G30" s="13" t="n">
        <f aca="false">G133</f>
        <v>0.2001835511865</v>
      </c>
    </row>
    <row r="32" customFormat="false" ht="17.15" hidden="false" customHeight="false" outlineLevel="0" collapsed="false">
      <c r="A32" s="1" t="s">
        <v>465</v>
      </c>
    </row>
    <row r="33" customFormat="false" ht="15" hidden="false" customHeight="false" outlineLevel="0" collapsed="false">
      <c r="A33" s="3" t="s">
        <v>371</v>
      </c>
      <c r="B33" s="0" t="s">
        <v>191</v>
      </c>
      <c r="C33" s="19" t="n">
        <f aca="false">C154</f>
        <v>23.276</v>
      </c>
      <c r="D33" s="19" t="n">
        <f aca="false">D154</f>
        <v>38.20403864</v>
      </c>
      <c r="E33" s="19" t="n">
        <f aca="false">E154</f>
        <v>50.0700238577905</v>
      </c>
      <c r="F33" s="19" t="n">
        <f aca="false">F154</f>
        <v>44.2910536503653</v>
      </c>
      <c r="G33" s="19" t="n">
        <f aca="false">G154</f>
        <v>48.1830905667015</v>
      </c>
    </row>
    <row r="34" customFormat="false" ht="15" hidden="false" customHeight="false" outlineLevel="0" collapsed="false">
      <c r="A34" s="3" t="s">
        <v>457</v>
      </c>
      <c r="B34" s="0" t="s">
        <v>52</v>
      </c>
      <c r="D34" s="13" t="n">
        <f aca="false">D155</f>
        <v>0.641348970613508</v>
      </c>
      <c r="E34" s="13" t="n">
        <f aca="false">E155</f>
        <v>0.310595048068208</v>
      </c>
      <c r="F34" s="13" t="n">
        <f aca="false">F155</f>
        <v>-0.115417764206358</v>
      </c>
      <c r="G34" s="13" t="n">
        <f aca="false">G155</f>
        <v>0.0878741099062572</v>
      </c>
    </row>
    <row r="35" customFormat="false" ht="15" hidden="false" customHeight="false" outlineLevel="0" collapsed="false">
      <c r="A35" s="3" t="s">
        <v>458</v>
      </c>
      <c r="B35" s="0" t="s">
        <v>191</v>
      </c>
      <c r="C35" s="19" t="n">
        <f aca="false">C149</f>
        <v>7.91384</v>
      </c>
      <c r="D35" s="19" t="n">
        <f aca="false">D149</f>
        <v>22.922423184</v>
      </c>
      <c r="E35" s="19" t="n">
        <f aca="false">E149</f>
        <v>35.2277548461505</v>
      </c>
      <c r="F35" s="19" t="n">
        <f aca="false">F149</f>
        <v>29.7028414956813</v>
      </c>
      <c r="G35" s="19" t="n">
        <f aca="false">G149</f>
        <v>33.8362324261257</v>
      </c>
    </row>
    <row r="36" customFormat="false" ht="15" hidden="false" customHeight="false" outlineLevel="0" collapsed="false">
      <c r="A36" s="3" t="s">
        <v>459</v>
      </c>
      <c r="B36" s="0" t="s">
        <v>191</v>
      </c>
      <c r="C36" s="19" t="n">
        <f aca="false">C151</f>
        <v>5.35348</v>
      </c>
      <c r="D36" s="19" t="n">
        <f aca="false">D151</f>
        <v>5.3485654096</v>
      </c>
      <c r="E36" s="19" t="n">
        <f aca="false">E151</f>
        <v>5.08113713912</v>
      </c>
      <c r="F36" s="19" t="n">
        <f aca="false">F151</f>
        <v>4.827080282164</v>
      </c>
      <c r="G36" s="19" t="n">
        <f aca="false">G151</f>
        <v>4.5857262680558</v>
      </c>
    </row>
    <row r="37" customFormat="false" ht="15" hidden="false" customHeight="false" outlineLevel="0" collapsed="false">
      <c r="A37" s="3" t="s">
        <v>460</v>
      </c>
      <c r="B37" s="0" t="s">
        <v>191</v>
      </c>
      <c r="C37" s="19" t="n">
        <f aca="false">C152</f>
        <v>6.28452</v>
      </c>
      <c r="D37" s="19" t="n">
        <f aca="false">D152</f>
        <v>5.730605796</v>
      </c>
      <c r="E37" s="19" t="n">
        <f aca="false">E152</f>
        <v>5.55868762212</v>
      </c>
      <c r="F37" s="19" t="n">
        <f aca="false">F152</f>
        <v>5.55868762212</v>
      </c>
      <c r="G37" s="19" t="n">
        <f aca="false">G152</f>
        <v>5.55868762212</v>
      </c>
    </row>
    <row r="38" customFormat="false" ht="15" hidden="false" customHeight="false" outlineLevel="0" collapsed="false">
      <c r="A38" s="3" t="s">
        <v>461</v>
      </c>
      <c r="B38" s="0" t="s">
        <v>191</v>
      </c>
      <c r="C38" s="19" t="n">
        <f aca="false">C153</f>
        <v>3.72416</v>
      </c>
      <c r="D38" s="19" t="n">
        <f aca="false">D153</f>
        <v>4.2024442504</v>
      </c>
      <c r="E38" s="19" t="n">
        <f aca="false">E153</f>
        <v>4.2024442504</v>
      </c>
      <c r="F38" s="19" t="n">
        <f aca="false">F153</f>
        <v>4.2024442504</v>
      </c>
      <c r="G38" s="19" t="n">
        <f aca="false">G153</f>
        <v>4.2024442504</v>
      </c>
    </row>
    <row r="39" customFormat="false" ht="17.15" hidden="false" customHeight="false" outlineLevel="0" collapsed="false">
      <c r="A39" s="3" t="s">
        <v>462</v>
      </c>
      <c r="B39" s="0" t="s">
        <v>52</v>
      </c>
      <c r="C39" s="13" t="n">
        <f aca="false">C156</f>
        <v>0.34</v>
      </c>
      <c r="D39" s="13" t="n">
        <f aca="false">D156</f>
        <v>0.6</v>
      </c>
      <c r="E39" s="13" t="n">
        <f aca="false">E156</f>
        <v>0.703569763541651</v>
      </c>
      <c r="F39" s="13" t="n">
        <f aca="false">F156</f>
        <v>0.670628468903817</v>
      </c>
      <c r="G39" s="13" t="n">
        <f aca="false">G156</f>
        <v>0.702242882890317</v>
      </c>
    </row>
    <row r="40" customFormat="false" ht="15" hidden="false" customHeight="false" outlineLevel="0" collapsed="false">
      <c r="A40" s="3" t="s">
        <v>378</v>
      </c>
      <c r="B40" s="0" t="s">
        <v>52</v>
      </c>
      <c r="C40" s="13" t="n">
        <f aca="false">C161</f>
        <v>0.273758377728132</v>
      </c>
      <c r="D40" s="13" t="n">
        <f aca="false">D161</f>
        <v>0.290156485550031</v>
      </c>
      <c r="E40" s="13" t="n">
        <f aca="false">E161</f>
        <v>0.295334973727114</v>
      </c>
      <c r="F40" s="13" t="n">
        <f aca="false">F161</f>
        <v>0.293687908995222</v>
      </c>
      <c r="G40" s="13" t="n">
        <f aca="false">G161</f>
        <v>0.295268629694547</v>
      </c>
    </row>
    <row r="41" customFormat="false" ht="15" hidden="false" customHeight="false" outlineLevel="0" collapsed="false">
      <c r="A41" s="3" t="s">
        <v>386</v>
      </c>
      <c r="B41" s="0" t="s">
        <v>52</v>
      </c>
      <c r="C41" s="13" t="n">
        <f aca="false">C165</f>
        <v>0.140015466575013</v>
      </c>
      <c r="D41" s="13" t="n">
        <f aca="false">D165</f>
        <v>0.174885434970861</v>
      </c>
      <c r="E41" s="13" t="n">
        <f aca="false">E165</f>
        <v>0.189625164922739</v>
      </c>
      <c r="F41" s="13" t="n">
        <f aca="false">F165</f>
        <v>0.174185386191864</v>
      </c>
      <c r="G41" s="13" t="n">
        <f aca="false">G165</f>
        <v>0.179144634061333</v>
      </c>
    </row>
    <row r="42" customFormat="false" ht="15" hidden="false" customHeight="false" outlineLevel="0" collapsed="false">
      <c r="A42" s="3" t="s">
        <v>391</v>
      </c>
      <c r="B42" s="0" t="s">
        <v>191</v>
      </c>
      <c r="C42" s="19" t="n">
        <f aca="false">C168</f>
        <v>2.572</v>
      </c>
      <c r="D42" s="19" t="n">
        <f aca="false">D168</f>
        <v>4.923841117248</v>
      </c>
      <c r="E42" s="19" t="n">
        <f aca="false">E168</f>
        <v>7.02595703347204</v>
      </c>
      <c r="F42" s="19" t="n">
        <f aca="false">F168</f>
        <v>5.70899217085075</v>
      </c>
      <c r="G42" s="19" t="n">
        <f aca="false">G168</f>
        <v>6.38748917436168</v>
      </c>
    </row>
    <row r="43" customFormat="false" ht="15" hidden="false" customHeight="false" outlineLevel="0" collapsed="false">
      <c r="A43" s="0" t="s">
        <v>398</v>
      </c>
      <c r="B43" s="0" t="s">
        <v>251</v>
      </c>
      <c r="C43" s="14" t="n">
        <f aca="false">C170</f>
        <v>28.26</v>
      </c>
      <c r="D43" s="14" t="n">
        <f aca="false">D170</f>
        <v>52.9008212563992</v>
      </c>
      <c r="E43" s="14" t="n">
        <f aca="false">E170</f>
        <v>75.4855585979146</v>
      </c>
      <c r="F43" s="14" t="n">
        <f aca="false">F170</f>
        <v>61.3363362449753</v>
      </c>
      <c r="G43" s="14" t="n">
        <f aca="false">G170</f>
        <v>68.6259802141931</v>
      </c>
    </row>
    <row r="44" customFormat="false" ht="17.15" hidden="false" customHeight="false" outlineLevel="0" collapsed="false">
      <c r="A44" s="0" t="s">
        <v>463</v>
      </c>
      <c r="B44" s="0" t="s">
        <v>52</v>
      </c>
      <c r="D44" s="13" t="n">
        <f aca="false">D171</f>
        <v>0.871932811620636</v>
      </c>
      <c r="E44" s="13" t="n">
        <f aca="false">E171</f>
        <v>0.426926025062105</v>
      </c>
      <c r="F44" s="13" t="n">
        <f aca="false">F171</f>
        <v>-0.187442772044747</v>
      </c>
      <c r="G44" s="13" t="n">
        <f aca="false">G171</f>
        <v>0.118847071988507</v>
      </c>
    </row>
    <row r="46" customFormat="false" ht="17.15" hidden="false" customHeight="false" outlineLevel="0" collapsed="false">
      <c r="A46" s="1" t="s">
        <v>466</v>
      </c>
    </row>
    <row r="47" customFormat="false" ht="17.15" hidden="false" customHeight="false" outlineLevel="0" collapsed="false">
      <c r="A47" s="3" t="s">
        <v>467</v>
      </c>
      <c r="D47" s="21" t="n">
        <f aca="false">D116-a26_rev</f>
        <v>0</v>
      </c>
    </row>
    <row r="48" customFormat="false" ht="17.15" hidden="false" customHeight="false" outlineLevel="0" collapsed="false">
      <c r="A48" s="3" t="s">
        <v>468</v>
      </c>
      <c r="D48" s="21" t="n">
        <f aca="false">D111-a26_lc</f>
        <v>0</v>
      </c>
    </row>
    <row r="49" customFormat="false" ht="17.15" hidden="false" customHeight="false" outlineLevel="0" collapsed="false">
      <c r="A49" s="3" t="s">
        <v>469</v>
      </c>
      <c r="D49" s="21" t="n">
        <f aca="false">D121*D116+d_lc*D111-a26_gp</f>
        <v>0</v>
      </c>
    </row>
    <row r="60" customFormat="false" ht="17.15" hidden="false" customHeight="false" outlineLevel="0" collapsed="false">
      <c r="A60" s="1" t="s">
        <v>470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0" t="s">
        <v>365</v>
      </c>
      <c r="D61" s="10" t="s">
        <v>452</v>
      </c>
      <c r="E61" s="10" t="s">
        <v>453</v>
      </c>
      <c r="F61" s="10" t="s">
        <v>454</v>
      </c>
      <c r="G61" s="10" t="s">
        <v>455</v>
      </c>
      <c r="H61" s="4" t="s">
        <v>350</v>
      </c>
    </row>
    <row r="62" customFormat="false" ht="17.15" hidden="false" customHeight="false" outlineLevel="0" collapsed="false">
      <c r="A62" s="5" t="s">
        <v>471</v>
      </c>
    </row>
    <row r="63" customFormat="false" ht="17.15" hidden="false" customHeight="false" outlineLevel="0" collapsed="false">
      <c r="A63" s="0" t="s">
        <v>472</v>
      </c>
      <c r="B63" s="0" t="s">
        <v>32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3" t="s">
        <v>473</v>
      </c>
      <c r="B64" s="0" t="s">
        <v>32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3" t="s">
        <v>474</v>
      </c>
      <c r="B65" s="0" t="s">
        <v>431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3" t="s">
        <v>475</v>
      </c>
      <c r="B66" s="0" t="s">
        <v>52</v>
      </c>
      <c r="D66" s="13" t="n">
        <f aca="false">lpenA_26</f>
        <v>0.55</v>
      </c>
      <c r="E66" s="13" t="n">
        <f aca="false">lpenA_27</f>
        <v>0.85</v>
      </c>
      <c r="F66" s="13" t="n">
        <f aca="false">lpenA_28</f>
        <v>0.95</v>
      </c>
      <c r="G66" s="13" t="n">
        <f aca="false">lpenA_29</f>
        <v>0.95</v>
      </c>
    </row>
    <row r="67" customFormat="false" ht="17.15" hidden="false" customHeight="false" outlineLevel="0" collapsed="false">
      <c r="A67" s="3" t="s">
        <v>476</v>
      </c>
      <c r="B67" s="0" t="s">
        <v>436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3" t="s">
        <v>477</v>
      </c>
    </row>
    <row r="68" customFormat="false" ht="17.15" hidden="false" customHeight="false" outlineLevel="0" collapsed="false">
      <c r="A68" s="0" t="s">
        <v>478</v>
      </c>
      <c r="B68" s="0" t="s">
        <v>32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479</v>
      </c>
      <c r="B69" s="0" t="s">
        <v>191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3" t="s">
        <v>480</v>
      </c>
      <c r="B70" s="0" t="s">
        <v>52</v>
      </c>
      <c r="D70" s="13" t="n">
        <f aca="false">a26_lc/D69</f>
        <v>0.15870077644017</v>
      </c>
      <c r="H70" s="7" t="s">
        <v>481</v>
      </c>
    </row>
    <row r="71" customFormat="false" ht="17.15" hidden="false" customHeight="false" outlineLevel="0" collapsed="false">
      <c r="A71" s="3" t="s">
        <v>482</v>
      </c>
      <c r="B71" s="0" t="s">
        <v>73</v>
      </c>
      <c r="D71" s="14" t="n">
        <f aca="false">1</f>
        <v>1</v>
      </c>
      <c r="E71" s="14" t="n">
        <f aca="false">relA_27</f>
        <v>1.05</v>
      </c>
      <c r="F71" s="14" t="n">
        <f aca="false">relA_28</f>
        <v>1.05</v>
      </c>
      <c r="G71" s="14" t="n">
        <f aca="false">relA_29</f>
        <v>1.05</v>
      </c>
    </row>
    <row r="72" customFormat="false" ht="15" hidden="false" customHeight="false" outlineLevel="0" collapsed="false">
      <c r="A72" s="3" t="s">
        <v>440</v>
      </c>
      <c r="B72" s="0" t="s">
        <v>52</v>
      </c>
      <c r="D72" s="13" t="n">
        <f aca="false">$D$70*D71</f>
        <v>0.15870077644017</v>
      </c>
      <c r="E72" s="13" t="n">
        <f aca="false">$D$70*E71</f>
        <v>0.166635815262178</v>
      </c>
      <c r="F72" s="13" t="n">
        <f aca="false">$D$70*F71</f>
        <v>0.166635815262178</v>
      </c>
      <c r="G72" s="13" t="n">
        <f aca="false">$D$70*G71</f>
        <v>0.166635815262178</v>
      </c>
    </row>
    <row r="73" customFormat="false" ht="15" hidden="false" customHeight="false" outlineLevel="0" collapsed="false">
      <c r="A73" s="3" t="s">
        <v>483</v>
      </c>
      <c r="B73" s="0" t="s">
        <v>191</v>
      </c>
      <c r="C73" s="19" t="n">
        <f aca="false">a25_lc</f>
        <v>7.91384</v>
      </c>
      <c r="D73" s="19" t="n">
        <f aca="false">D69*D72</f>
        <v>22.922423184</v>
      </c>
      <c r="E73" s="19" t="n">
        <f aca="false">E69*E72</f>
        <v>61.6485709807634</v>
      </c>
      <c r="F73" s="19" t="n">
        <f aca="false">F69*F72</f>
        <v>94.0589980696575</v>
      </c>
      <c r="G73" s="19" t="n">
        <f aca="false">G69*G72</f>
        <v>107.148069349398</v>
      </c>
    </row>
    <row r="74" customFormat="false" ht="17.15" hidden="false" customHeight="false" outlineLevel="0" collapsed="false">
      <c r="A74" s="5" t="s">
        <v>484</v>
      </c>
    </row>
    <row r="75" customFormat="false" ht="17.15" hidden="false" customHeight="false" outlineLevel="0" collapsed="false">
      <c r="A75" s="3" t="s">
        <v>485</v>
      </c>
      <c r="B75" s="0" t="s">
        <v>191</v>
      </c>
      <c r="C75" s="19" t="n">
        <f aca="false">a25_sair</f>
        <v>5.35348</v>
      </c>
      <c r="D75" s="19" t="n">
        <f aca="false">a26_sair</f>
        <v>5.3485654096</v>
      </c>
      <c r="E75" s="19" t="n">
        <f aca="false">D75*(1+g_sair_27)</f>
        <v>5.08113713912</v>
      </c>
      <c r="F75" s="19" t="n">
        <f aca="false">E75*(1+g_sair_28)</f>
        <v>4.827080282164</v>
      </c>
      <c r="G75" s="19" t="n">
        <f aca="false">F75*(1+g_sair_29)</f>
        <v>4.5857262680558</v>
      </c>
    </row>
    <row r="76" customFormat="false" ht="15" hidden="false" customHeight="false" outlineLevel="0" collapsed="false">
      <c r="A76" s="3" t="s">
        <v>486</v>
      </c>
      <c r="B76" s="0" t="s">
        <v>191</v>
      </c>
      <c r="C76" s="19" t="n">
        <f aca="false">a25_nb</f>
        <v>6.28452</v>
      </c>
      <c r="D76" s="19" t="n">
        <f aca="false">a26_nb</f>
        <v>5.730605796</v>
      </c>
      <c r="E76" s="19" t="n">
        <f aca="false">D76*(1+g_nb_27)</f>
        <v>5.55868762212</v>
      </c>
      <c r="F76" s="19" t="n">
        <f aca="false">E76*(1+g_nb_28)</f>
        <v>5.55868762212</v>
      </c>
      <c r="G76" s="19" t="n">
        <f aca="false">F76*(1+g_nb_29)</f>
        <v>5.55868762212</v>
      </c>
    </row>
    <row r="77" customFormat="false" ht="15" hidden="false" customHeight="false" outlineLevel="0" collapsed="false">
      <c r="A77" s="3" t="s">
        <v>487</v>
      </c>
      <c r="B77" s="0" t="s">
        <v>191</v>
      </c>
      <c r="C77" s="19" t="n">
        <f aca="false">a25_oth</f>
        <v>3.72416</v>
      </c>
      <c r="D77" s="19" t="n">
        <f aca="false">a26_oth</f>
        <v>4.2024442504</v>
      </c>
      <c r="E77" s="19" t="n">
        <f aca="false">D77*(1+g_oth_27)</f>
        <v>4.2024442504</v>
      </c>
      <c r="F77" s="19" t="n">
        <f aca="false">E77*(1+g_oth_28)</f>
        <v>4.2024442504</v>
      </c>
      <c r="G77" s="19" t="n">
        <f aca="false">F77*(1+g_oth_29)</f>
        <v>4.2024442504</v>
      </c>
    </row>
    <row r="78" customFormat="false" ht="15" hidden="false" customHeight="false" outlineLevel="0" collapsed="false">
      <c r="A78" s="3" t="s">
        <v>371</v>
      </c>
      <c r="B78" s="0" t="s">
        <v>191</v>
      </c>
      <c r="C78" s="19" t="n">
        <f aca="false">C73+C75+C76+C77</f>
        <v>23.276</v>
      </c>
      <c r="D78" s="19" t="n">
        <f aca="false">D73+D75+D76+D77</f>
        <v>38.20403864</v>
      </c>
      <c r="E78" s="19" t="n">
        <f aca="false">E73+E75+E76+E77</f>
        <v>76.4908399924034</v>
      </c>
      <c r="F78" s="19" t="n">
        <f aca="false">F73+F75+F76+F77</f>
        <v>108.647210224342</v>
      </c>
      <c r="G78" s="19" t="n">
        <f aca="false">G73+G75+G76+G77</f>
        <v>121.494927489974</v>
      </c>
    </row>
    <row r="79" customFormat="false" ht="15" hidden="false" customHeight="false" outlineLevel="0" collapsed="false">
      <c r="A79" s="3" t="s">
        <v>488</v>
      </c>
      <c r="B79" s="0" t="s">
        <v>52</v>
      </c>
      <c r="D79" s="13" t="n">
        <f aca="false">D78/C78-1</f>
        <v>0.641348970613508</v>
      </c>
      <c r="E79" s="13" t="n">
        <f aca="false">E78/D78-1</f>
        <v>1.00216633411936</v>
      </c>
      <c r="F79" s="13" t="n">
        <f aca="false">F78/E78-1</f>
        <v>0.420395046454343</v>
      </c>
      <c r="G79" s="13" t="n">
        <f aca="false">G78/F78-1</f>
        <v>0.118251699598208</v>
      </c>
    </row>
    <row r="80" customFormat="false" ht="17.15" hidden="false" customHeight="false" outlineLevel="0" collapsed="false">
      <c r="A80" s="3" t="s">
        <v>489</v>
      </c>
      <c r="B80" s="0" t="s">
        <v>52</v>
      </c>
      <c r="C80" s="13" t="n">
        <f aca="false">C73/C78</f>
        <v>0.34</v>
      </c>
      <c r="D80" s="13" t="n">
        <f aca="false">D73/D78</f>
        <v>0.6</v>
      </c>
      <c r="E80" s="13" t="n">
        <f aca="false">E73/E78</f>
        <v>0.805960177543951</v>
      </c>
      <c r="F80" s="13" t="n">
        <f aca="false">F73/F78</f>
        <v>0.865728607991302</v>
      </c>
      <c r="G80" s="13" t="n">
        <f aca="false">G73/G78</f>
        <v>0.881913933058977</v>
      </c>
    </row>
    <row r="81" customFormat="false" ht="17.15" hidden="false" customHeight="false" outlineLevel="0" collapsed="false">
      <c r="A81" s="3" t="s">
        <v>448</v>
      </c>
      <c r="B81" s="0" t="s">
        <v>436</v>
      </c>
      <c r="D81" s="18" t="n">
        <f aca="false">D73/fx/D65*1000</f>
        <v>30.6128148005446</v>
      </c>
      <c r="E81" s="18" t="n">
        <f aca="false">E73/fx/E65*1000</f>
        <v>46.2585222390351</v>
      </c>
      <c r="F81" s="18" t="n">
        <f aca="false">F73/fx/F65*1000</f>
        <v>55.6776783510558</v>
      </c>
      <c r="G81" s="18" t="n">
        <f aca="false">G73/fx/G65*1000</f>
        <v>55.6776783510558</v>
      </c>
    </row>
    <row r="82" customFormat="false" ht="17.15" hidden="false" customHeight="false" outlineLevel="0" collapsed="false">
      <c r="A82" s="5" t="s">
        <v>490</v>
      </c>
    </row>
    <row r="83" customFormat="false" ht="17.15" hidden="false" customHeight="false" outlineLevel="0" collapsed="false">
      <c r="A83" s="3" t="s">
        <v>491</v>
      </c>
      <c r="B83" s="0" t="s">
        <v>52</v>
      </c>
      <c r="D83" s="13" t="n">
        <f aca="false">a26_gp/D78-d_lc*D80</f>
        <v>0.260156485550031</v>
      </c>
      <c r="H83" s="7" t="s">
        <v>492</v>
      </c>
    </row>
    <row r="84" customFormat="false" ht="15" hidden="false" customHeight="false" outlineLevel="0" collapsed="false">
      <c r="A84" s="3" t="s">
        <v>375</v>
      </c>
      <c r="B84" s="0" t="s">
        <v>191</v>
      </c>
      <c r="C84" s="19" t="n">
        <f aca="false">a25_gp</f>
        <v>6.372</v>
      </c>
      <c r="D84" s="19" t="n">
        <f aca="false">a26_gp</f>
        <v>11.0851495856</v>
      </c>
      <c r="E84" s="19" t="n">
        <f aca="false">$D$83*E78+d_lc*E73</f>
        <v>22.9820166582316</v>
      </c>
      <c r="F84" s="19" t="n">
        <f aca="false">$D$83*F78+d_lc*F73</f>
        <v>32.968226280263</v>
      </c>
      <c r="G84" s="19" t="n">
        <f aca="false">$D$83*G78+d_lc*G73</f>
        <v>36.9650968154174</v>
      </c>
    </row>
    <row r="85" customFormat="false" ht="15" hidden="false" customHeight="false" outlineLevel="0" collapsed="false">
      <c r="A85" s="3" t="s">
        <v>378</v>
      </c>
      <c r="B85" s="0" t="s">
        <v>52</v>
      </c>
      <c r="C85" s="13" t="n">
        <f aca="false">C84/C78</f>
        <v>0.273758377728132</v>
      </c>
      <c r="D85" s="13" t="n">
        <f aca="false">D84/D78</f>
        <v>0.290156485550031</v>
      </c>
      <c r="E85" s="13" t="n">
        <f aca="false">E84/E78</f>
        <v>0.300454494427229</v>
      </c>
      <c r="F85" s="13" t="n">
        <f aca="false">F84/F78</f>
        <v>0.303442915949596</v>
      </c>
      <c r="G85" s="13" t="n">
        <f aca="false">G84/G78</f>
        <v>0.30425218220298</v>
      </c>
    </row>
    <row r="86" customFormat="false" ht="15" hidden="false" customHeight="false" outlineLevel="0" collapsed="false">
      <c r="A86" s="3" t="s">
        <v>493</v>
      </c>
      <c r="B86" s="0" t="s">
        <v>191</v>
      </c>
      <c r="C86" s="19" t="n">
        <f aca="false">a25_opx</f>
        <v>3.113</v>
      </c>
      <c r="D86" s="19" t="n">
        <f aca="false">a26_opx</f>
        <v>4.4038196704</v>
      </c>
      <c r="E86" s="19" t="n">
        <f aca="false">D86*(1+MAX(0,phi*E79))</f>
        <v>7.27250355028489</v>
      </c>
      <c r="F86" s="19" t="n">
        <f aca="false">E86*(1+MAX(0,phi*F79))</f>
        <v>9.25976445439479</v>
      </c>
      <c r="G86" s="19" t="n">
        <f aca="false">F86*(1+MAX(0,phi*G79))</f>
        <v>9.97150332939211</v>
      </c>
    </row>
    <row r="87" customFormat="false" ht="15" hidden="false" customHeight="false" outlineLevel="0" collapsed="false">
      <c r="A87" s="3" t="s">
        <v>380</v>
      </c>
      <c r="B87" s="0" t="s">
        <v>191</v>
      </c>
      <c r="C87" s="19" t="n">
        <f aca="false">C86</f>
        <v>3.113</v>
      </c>
      <c r="D87" s="19" t="n">
        <f aca="false">D86</f>
        <v>4.4038196704</v>
      </c>
      <c r="E87" s="19" t="n">
        <f aca="false">E86+0*E78</f>
        <v>7.27250355028489</v>
      </c>
      <c r="F87" s="19" t="n">
        <f aca="false">F86+0*F78</f>
        <v>9.25976445439479</v>
      </c>
      <c r="G87" s="19" t="n">
        <f aca="false">G86+0*G78</f>
        <v>9.97150332939211</v>
      </c>
    </row>
    <row r="88" customFormat="false" ht="15" hidden="false" customHeight="false" outlineLevel="0" collapsed="false">
      <c r="A88" s="3" t="s">
        <v>383</v>
      </c>
      <c r="B88" s="0" t="s">
        <v>191</v>
      </c>
      <c r="C88" s="19" t="n">
        <f aca="false">C84-C87</f>
        <v>3.259</v>
      </c>
      <c r="D88" s="19" t="n">
        <f aca="false">D84-D87</f>
        <v>6.6813299152</v>
      </c>
      <c r="E88" s="19" t="n">
        <f aca="false">E84-E87</f>
        <v>15.7095131079467</v>
      </c>
      <c r="F88" s="19" t="n">
        <f aca="false">F84-F87</f>
        <v>23.7084618258682</v>
      </c>
      <c r="G88" s="19" t="n">
        <f aca="false">G84-G87</f>
        <v>26.9935934860252</v>
      </c>
    </row>
    <row r="89" customFormat="false" ht="15" hidden="false" customHeight="false" outlineLevel="0" collapsed="false">
      <c r="A89" s="3" t="s">
        <v>386</v>
      </c>
      <c r="B89" s="0" t="s">
        <v>52</v>
      </c>
      <c r="C89" s="13" t="n">
        <f aca="false">C88/C78</f>
        <v>0.140015466575013</v>
      </c>
      <c r="D89" s="13" t="n">
        <f aca="false">D88/D78</f>
        <v>0.174885434970861</v>
      </c>
      <c r="E89" s="13" t="n">
        <f aca="false">E88/E78</f>
        <v>0.205377704173557</v>
      </c>
      <c r="F89" s="13" t="n">
        <f aca="false">F88/F78</f>
        <v>0.218215099834717</v>
      </c>
      <c r="G89" s="13" t="n">
        <f aca="false">G88/G78</f>
        <v>0.222178769465523</v>
      </c>
    </row>
    <row r="90" customFormat="false" ht="15" hidden="false" customHeight="false" outlineLevel="0" collapsed="false">
      <c r="A90" s="3" t="s">
        <v>387</v>
      </c>
      <c r="B90" s="0" t="s">
        <v>191</v>
      </c>
      <c r="C90" s="19" t="n">
        <f aca="false">a25_nop</f>
        <v>0.0184359999999999</v>
      </c>
      <c r="D90" s="19" t="n">
        <f aca="false">a26_nop</f>
        <v>-0.0226839999999999</v>
      </c>
      <c r="E90" s="19" t="n">
        <f aca="false">nop_f</f>
        <v>0</v>
      </c>
      <c r="F90" s="19" t="n">
        <f aca="false">nop_f</f>
        <v>0</v>
      </c>
      <c r="G90" s="19" t="n">
        <f aca="false">nop_f</f>
        <v>0</v>
      </c>
    </row>
    <row r="91" customFormat="false" ht="17.15" hidden="false" customHeight="false" outlineLevel="0" collapsed="false">
      <c r="A91" s="3" t="s">
        <v>234</v>
      </c>
      <c r="B91" s="0" t="s">
        <v>52</v>
      </c>
      <c r="C91" s="13" t="n">
        <f aca="false">a25_ni/(a25_oi+a25_nop)</f>
        <v>0.78475979393648</v>
      </c>
      <c r="D91" s="13" t="n">
        <f aca="false">a26_ni/(a26_oi+a26_nop)</f>
        <v>0.739465828331271</v>
      </c>
      <c r="E91" s="13" t="n">
        <f aca="false">nir_f</f>
        <v>0.74</v>
      </c>
      <c r="F91" s="13" t="n">
        <f aca="false">nir_f</f>
        <v>0.74</v>
      </c>
      <c r="G91" s="13" t="n">
        <f aca="false">nir_f</f>
        <v>0.74</v>
      </c>
    </row>
    <row r="92" customFormat="false" ht="15" hidden="false" customHeight="false" outlineLevel="0" collapsed="false">
      <c r="A92" s="3" t="s">
        <v>391</v>
      </c>
      <c r="B92" s="0" t="s">
        <v>191</v>
      </c>
      <c r="C92" s="19" t="n">
        <f aca="false">a25_ni</f>
        <v>2.572</v>
      </c>
      <c r="D92" s="19" t="n">
        <f aca="false">a26_ni</f>
        <v>4.923841117248</v>
      </c>
      <c r="E92" s="19" t="n">
        <f aca="false">(E88+E90)*E91</f>
        <v>11.6250396998806</v>
      </c>
      <c r="F92" s="19" t="n">
        <f aca="false">(F88+F90)*F91</f>
        <v>17.5442617511425</v>
      </c>
      <c r="G92" s="19" t="n">
        <f aca="false">(G88+G90)*G91</f>
        <v>19.9752591796587</v>
      </c>
    </row>
    <row r="93" customFormat="false" ht="15" hidden="false" customHeight="false" outlineLevel="0" collapsed="false">
      <c r="A93" s="3" t="s">
        <v>494</v>
      </c>
      <c r="B93" s="3" t="s">
        <v>217</v>
      </c>
      <c r="C93" s="21" t="n">
        <f aca="false">a25_sh</f>
        <v>0.0910120311394197</v>
      </c>
      <c r="D93" s="21" t="n">
        <f aca="false">a26_sh</f>
        <v>0.093076837</v>
      </c>
      <c r="E93" s="21" t="n">
        <f aca="false">D93*(1+sh_g)</f>
        <v>0.093076837</v>
      </c>
      <c r="F93" s="21" t="n">
        <f aca="false">E93*(1+sh_g)</f>
        <v>0.093076837</v>
      </c>
      <c r="G93" s="21" t="n">
        <f aca="false">F93*(1+sh_g)</f>
        <v>0.093076837</v>
      </c>
    </row>
    <row r="94" customFormat="false" ht="15" hidden="false" customHeight="false" outlineLevel="0" collapsed="false">
      <c r="A94" s="0" t="s">
        <v>398</v>
      </c>
      <c r="B94" s="0" t="s">
        <v>251</v>
      </c>
      <c r="C94" s="20" t="n">
        <f aca="false">C92/C93</f>
        <v>28.26</v>
      </c>
      <c r="D94" s="20" t="n">
        <f aca="false">D92/D93</f>
        <v>52.9008212563992</v>
      </c>
      <c r="E94" s="20" t="n">
        <f aca="false">E92/E93</f>
        <v>124.897236246657</v>
      </c>
      <c r="F94" s="20" t="n">
        <f aca="false">F92/F93</f>
        <v>188.492242717084</v>
      </c>
      <c r="G94" s="20" t="n">
        <f aca="false">G92/G93</f>
        <v>214.610421061673</v>
      </c>
    </row>
    <row r="95" customFormat="false" ht="17.15" hidden="false" customHeight="false" outlineLevel="0" collapsed="false">
      <c r="A95" s="0" t="s">
        <v>495</v>
      </c>
      <c r="B95" s="0" t="s">
        <v>52</v>
      </c>
      <c r="D95" s="13" t="n">
        <f aca="false">D94/C94-1</f>
        <v>0.871932811620636</v>
      </c>
      <c r="E95" s="13" t="n">
        <f aca="false">E94/D94-1</f>
        <v>1.36096970293346</v>
      </c>
      <c r="F95" s="13" t="n">
        <f aca="false">F94/E94-1</f>
        <v>0.509178652639156</v>
      </c>
      <c r="G95" s="13" t="n">
        <f aca="false">G94/F94-1</f>
        <v>0.138563677571551</v>
      </c>
    </row>
    <row r="98" customFormat="false" ht="17.15" hidden="false" customHeight="false" outlineLevel="0" collapsed="false">
      <c r="A98" s="1" t="s">
        <v>496</v>
      </c>
    </row>
    <row r="99" customFormat="false" ht="17.15" hidden="false" customHeight="false" outlineLevel="0" collapsed="false">
      <c r="A99" s="4" t="s">
        <v>21</v>
      </c>
      <c r="B99" s="4" t="s">
        <v>22</v>
      </c>
      <c r="C99" s="10" t="s">
        <v>365</v>
      </c>
      <c r="D99" s="10" t="s">
        <v>452</v>
      </c>
      <c r="E99" s="10" t="s">
        <v>453</v>
      </c>
      <c r="F99" s="10" t="s">
        <v>454</v>
      </c>
      <c r="G99" s="10" t="s">
        <v>455</v>
      </c>
      <c r="H99" s="4" t="s">
        <v>350</v>
      </c>
    </row>
    <row r="100" customFormat="false" ht="17.15" hidden="false" customHeight="false" outlineLevel="0" collapsed="false">
      <c r="A100" s="5" t="s">
        <v>471</v>
      </c>
    </row>
    <row r="101" customFormat="false" ht="17.15" hidden="false" customHeight="false" outlineLevel="0" collapsed="false">
      <c r="A101" s="0" t="s">
        <v>472</v>
      </c>
      <c r="B101" s="0" t="s">
        <v>32</v>
      </c>
      <c r="D101" s="20" t="n">
        <f aca="false">itc_26*1</f>
        <v>781.872916666666</v>
      </c>
      <c r="E101" s="20" t="n">
        <f aca="false">itc_27*1*1</f>
        <v>1565.35</v>
      </c>
      <c r="F101" s="20" t="n">
        <f aca="false">itc_28*um28_B*1</f>
        <v>1587.41111111111</v>
      </c>
      <c r="G101" s="20" t="n">
        <f aca="false">itc_29*um29_B*1</f>
        <v>1921.33173611111</v>
      </c>
    </row>
    <row r="102" customFormat="false" ht="17.15" hidden="false" customHeight="false" outlineLevel="0" collapsed="false">
      <c r="A102" s="3" t="s">
        <v>473</v>
      </c>
      <c r="B102" s="0" t="s">
        <v>32</v>
      </c>
      <c r="D102" s="20" t="n">
        <f aca="false">itpg_gb*(1-vr26)+itpg_vr*vr26</f>
        <v>33.41403216</v>
      </c>
      <c r="E102" s="20" t="n">
        <f aca="false">itpg_vr</f>
        <v>37.586352</v>
      </c>
      <c r="F102" s="20" t="n">
        <f aca="false">itpg_vr</f>
        <v>37.586352</v>
      </c>
      <c r="G102" s="20" t="n">
        <f aca="false">itpg_vr</f>
        <v>37.586352</v>
      </c>
    </row>
    <row r="103" customFormat="false" ht="17.15" hidden="false" customHeight="false" outlineLevel="0" collapsed="false">
      <c r="A103" s="3" t="s">
        <v>474</v>
      </c>
      <c r="B103" s="0" t="s">
        <v>431</v>
      </c>
      <c r="D103" s="17" t="n">
        <f aca="false">D101/D102</f>
        <v>23.3995380420639</v>
      </c>
      <c r="E103" s="17" t="n">
        <f aca="false">E101/E102</f>
        <v>41.6467658260637</v>
      </c>
      <c r="F103" s="17" t="n">
        <f aca="false">F101/F102</f>
        <v>42.2337105529984</v>
      </c>
      <c r="G103" s="17" t="n">
        <f aca="false">G101/G102</f>
        <v>51.1178029756948</v>
      </c>
    </row>
    <row r="104" customFormat="false" ht="17.15" hidden="false" customHeight="false" outlineLevel="0" collapsed="false">
      <c r="A104" s="3" t="s">
        <v>475</v>
      </c>
      <c r="B104" s="0" t="s">
        <v>52</v>
      </c>
      <c r="D104" s="13" t="n">
        <f aca="false">lpenB_26</f>
        <v>0.55</v>
      </c>
      <c r="E104" s="13" t="n">
        <f aca="false">lpenB_27</f>
        <v>0.75</v>
      </c>
      <c r="F104" s="13" t="n">
        <f aca="false">lpenB_28</f>
        <v>0.85</v>
      </c>
      <c r="G104" s="13" t="n">
        <f aca="false">lpenB_29</f>
        <v>0.9</v>
      </c>
    </row>
    <row r="105" customFormat="false" ht="17.15" hidden="false" customHeight="false" outlineLevel="0" collapsed="false">
      <c r="A105" s="3" t="s">
        <v>476</v>
      </c>
      <c r="B105" s="0" t="s">
        <v>436</v>
      </c>
      <c r="D105" s="18" t="n">
        <f aca="false">((1-vr26)*racks_gb*(cool_gb+mani)+vr26*racks_vr*(cool_vr+mani))/1000</f>
        <v>350.7208</v>
      </c>
      <c r="E105" s="18" t="n">
        <f aca="false">racks_vr*(cool_vr+mani)*lcadj_27/1000</f>
        <v>326.5912</v>
      </c>
      <c r="F105" s="18" t="n">
        <f aca="false">racks_vr*(cool_vr+mani)*lcadj_28/1000</f>
        <v>351.7136</v>
      </c>
      <c r="G105" s="18" t="n">
        <f aca="false">racks_vr*(cool_vr+mani)*lcadj_29/1000</f>
        <v>351.7136</v>
      </c>
      <c r="H105" s="3" t="s">
        <v>477</v>
      </c>
    </row>
    <row r="106" customFormat="false" ht="17.15" hidden="false" customHeight="false" outlineLevel="0" collapsed="false">
      <c r="A106" s="0" t="s">
        <v>478</v>
      </c>
      <c r="B106" s="0" t="s">
        <v>32</v>
      </c>
      <c r="D106" s="20" t="n">
        <f aca="false">D103*D104*D105/1000</f>
        <v>4.51368758595869</v>
      </c>
      <c r="E106" s="20" t="n">
        <f aca="false">E103*E104*E105/1000</f>
        <v>10.2011004204398</v>
      </c>
      <c r="F106" s="20" t="n">
        <f aca="false">F103*F104*F105/1000</f>
        <v>12.6260448229601</v>
      </c>
      <c r="G106" s="20" t="n">
        <f aca="false">G103*G104*G105/1000</f>
        <v>16.1809438578051</v>
      </c>
    </row>
    <row r="107" customFormat="false" ht="17.15" hidden="false" customHeight="false" outlineLevel="0" collapsed="false">
      <c r="A107" s="0" t="s">
        <v>479</v>
      </c>
      <c r="B107" s="0" t="s">
        <v>191</v>
      </c>
      <c r="D107" s="19" t="n">
        <f aca="false">D106*fx</f>
        <v>144.438002750678</v>
      </c>
      <c r="E107" s="19" t="n">
        <f aca="false">E106*fx</f>
        <v>326.435213454075</v>
      </c>
      <c r="F107" s="19" t="n">
        <f aca="false">F106*fx</f>
        <v>404.033434334723</v>
      </c>
      <c r="G107" s="19" t="n">
        <f aca="false">G106*fx</f>
        <v>517.790203449763</v>
      </c>
    </row>
    <row r="108" customFormat="false" ht="17.15" hidden="false" customHeight="false" outlineLevel="0" collapsed="false">
      <c r="A108" s="3" t="s">
        <v>480</v>
      </c>
      <c r="B108" s="0" t="s">
        <v>52</v>
      </c>
      <c r="D108" s="13" t="n">
        <f aca="false">a26_lc/D107</f>
        <v>0.15870077644017</v>
      </c>
      <c r="H108" s="7" t="s">
        <v>481</v>
      </c>
    </row>
    <row r="109" customFormat="false" ht="17.15" hidden="false" customHeight="false" outlineLevel="0" collapsed="false">
      <c r="A109" s="3" t="s">
        <v>482</v>
      </c>
      <c r="B109" s="0" t="s">
        <v>73</v>
      </c>
      <c r="D109" s="14" t="n">
        <f aca="false">1</f>
        <v>1</v>
      </c>
      <c r="E109" s="14" t="n">
        <f aca="false">relB_27</f>
        <v>0.95</v>
      </c>
      <c r="F109" s="14" t="n">
        <f aca="false">relB_28</f>
        <v>0.9</v>
      </c>
      <c r="G109" s="14" t="n">
        <f aca="false">relB_29</f>
        <v>0.85</v>
      </c>
    </row>
    <row r="110" customFormat="false" ht="15" hidden="false" customHeight="false" outlineLevel="0" collapsed="false">
      <c r="A110" s="3" t="s">
        <v>440</v>
      </c>
      <c r="B110" s="0" t="s">
        <v>52</v>
      </c>
      <c r="D110" s="13" t="n">
        <f aca="false">$D$108*D109</f>
        <v>0.15870077644017</v>
      </c>
      <c r="E110" s="13" t="n">
        <f aca="false">$D$108*E109</f>
        <v>0.150765737618161</v>
      </c>
      <c r="F110" s="13" t="n">
        <f aca="false">$D$108*F109</f>
        <v>0.142830698796153</v>
      </c>
      <c r="G110" s="13" t="n">
        <f aca="false">$D$108*G109</f>
        <v>0.134895659974144</v>
      </c>
    </row>
    <row r="111" customFormat="false" ht="15" hidden="false" customHeight="false" outlineLevel="0" collapsed="false">
      <c r="A111" s="3" t="s">
        <v>483</v>
      </c>
      <c r="B111" s="0" t="s">
        <v>191</v>
      </c>
      <c r="C111" s="19" t="n">
        <f aca="false">a25_lc</f>
        <v>7.91384</v>
      </c>
      <c r="D111" s="19" t="n">
        <f aca="false">D107*D110</f>
        <v>22.922423184</v>
      </c>
      <c r="E111" s="19" t="n">
        <f aca="false">E107*E110</f>
        <v>49.2152457409455</v>
      </c>
      <c r="F111" s="19" t="n">
        <f aca="false">F107*F110</f>
        <v>57.708377763038</v>
      </c>
      <c r="G111" s="19" t="n">
        <f aca="false">G107*G110</f>
        <v>69.8476512225023</v>
      </c>
    </row>
    <row r="112" customFormat="false" ht="17.15" hidden="false" customHeight="false" outlineLevel="0" collapsed="false">
      <c r="A112" s="5" t="s">
        <v>484</v>
      </c>
    </row>
    <row r="113" customFormat="false" ht="17.15" hidden="false" customHeight="false" outlineLevel="0" collapsed="false">
      <c r="A113" s="3" t="s">
        <v>485</v>
      </c>
      <c r="B113" s="0" t="s">
        <v>191</v>
      </c>
      <c r="C113" s="19" t="n">
        <f aca="false">a25_sair</f>
        <v>5.35348</v>
      </c>
      <c r="D113" s="19" t="n">
        <f aca="false">a26_sair</f>
        <v>5.3485654096</v>
      </c>
      <c r="E113" s="19" t="n">
        <f aca="false">D113*(1+g_sair_27)</f>
        <v>5.08113713912</v>
      </c>
      <c r="F113" s="19" t="n">
        <f aca="false">E113*(1+g_sair_28)</f>
        <v>4.827080282164</v>
      </c>
      <c r="G113" s="19" t="n">
        <f aca="false">F113*(1+g_sair_29)</f>
        <v>4.5857262680558</v>
      </c>
    </row>
    <row r="114" customFormat="false" ht="15" hidden="false" customHeight="false" outlineLevel="0" collapsed="false">
      <c r="A114" s="3" t="s">
        <v>486</v>
      </c>
      <c r="B114" s="0" t="s">
        <v>191</v>
      </c>
      <c r="C114" s="19" t="n">
        <f aca="false">a25_nb</f>
        <v>6.28452</v>
      </c>
      <c r="D114" s="19" t="n">
        <f aca="false">a26_nb</f>
        <v>5.730605796</v>
      </c>
      <c r="E114" s="19" t="n">
        <f aca="false">D114*(1+g_nb_27)</f>
        <v>5.55868762212</v>
      </c>
      <c r="F114" s="19" t="n">
        <f aca="false">E114*(1+g_nb_28)</f>
        <v>5.55868762212</v>
      </c>
      <c r="G114" s="19" t="n">
        <f aca="false">F114*(1+g_nb_29)</f>
        <v>5.55868762212</v>
      </c>
    </row>
    <row r="115" customFormat="false" ht="15" hidden="false" customHeight="false" outlineLevel="0" collapsed="false">
      <c r="A115" s="3" t="s">
        <v>487</v>
      </c>
      <c r="B115" s="0" t="s">
        <v>191</v>
      </c>
      <c r="C115" s="19" t="n">
        <f aca="false">a25_oth</f>
        <v>3.72416</v>
      </c>
      <c r="D115" s="19" t="n">
        <f aca="false">a26_oth</f>
        <v>4.2024442504</v>
      </c>
      <c r="E115" s="19" t="n">
        <f aca="false">D115*(1+g_oth_27)</f>
        <v>4.2024442504</v>
      </c>
      <c r="F115" s="19" t="n">
        <f aca="false">E115*(1+g_oth_28)</f>
        <v>4.2024442504</v>
      </c>
      <c r="G115" s="19" t="n">
        <f aca="false">F115*(1+g_oth_29)</f>
        <v>4.2024442504</v>
      </c>
    </row>
    <row r="116" customFormat="false" ht="15" hidden="false" customHeight="false" outlineLevel="0" collapsed="false">
      <c r="A116" s="3" t="s">
        <v>371</v>
      </c>
      <c r="B116" s="0" t="s">
        <v>191</v>
      </c>
      <c r="C116" s="19" t="n">
        <f aca="false">C111+C113+C114+C115</f>
        <v>23.276</v>
      </c>
      <c r="D116" s="19" t="n">
        <f aca="false">D111+D113+D114+D115</f>
        <v>38.20403864</v>
      </c>
      <c r="E116" s="19" t="n">
        <f aca="false">E111+E113+E114+E115</f>
        <v>64.0575147525856</v>
      </c>
      <c r="F116" s="19" t="n">
        <f aca="false">F111+F113+F114+F115</f>
        <v>72.296589917722</v>
      </c>
      <c r="G116" s="19" t="n">
        <f aca="false">G111+G113+G114+G115</f>
        <v>84.1945093630781</v>
      </c>
    </row>
    <row r="117" customFormat="false" ht="15" hidden="false" customHeight="false" outlineLevel="0" collapsed="false">
      <c r="A117" s="3" t="s">
        <v>488</v>
      </c>
      <c r="B117" s="0" t="s">
        <v>52</v>
      </c>
      <c r="D117" s="13" t="n">
        <f aca="false">D116/C116-1</f>
        <v>0.641348970613508</v>
      </c>
      <c r="E117" s="13" t="n">
        <f aca="false">E116/D116-1</f>
        <v>0.676721023036468</v>
      </c>
      <c r="F117" s="13" t="n">
        <f aca="false">F116/E116-1</f>
        <v>0.128619962809343</v>
      </c>
      <c r="G117" s="13" t="n">
        <f aca="false">G116/F116-1</f>
        <v>0.1645709632902</v>
      </c>
    </row>
    <row r="118" customFormat="false" ht="17.15" hidden="false" customHeight="false" outlineLevel="0" collapsed="false">
      <c r="A118" s="3" t="s">
        <v>489</v>
      </c>
      <c r="B118" s="0" t="s">
        <v>52</v>
      </c>
      <c r="C118" s="13" t="n">
        <f aca="false">C111/C116</f>
        <v>0.34</v>
      </c>
      <c r="D118" s="13" t="n">
        <f aca="false">D111/D116</f>
        <v>0.6</v>
      </c>
      <c r="E118" s="13" t="n">
        <f aca="false">E111/E116</f>
        <v>0.768297770074807</v>
      </c>
      <c r="F118" s="13" t="n">
        <f aca="false">F111/F116</f>
        <v>0.798217147291645</v>
      </c>
      <c r="G118" s="13" t="n">
        <f aca="false">G111/G116</f>
        <v>0.829598649019892</v>
      </c>
    </row>
    <row r="119" customFormat="false" ht="17.15" hidden="false" customHeight="false" outlineLevel="0" collapsed="false">
      <c r="A119" s="3" t="s">
        <v>448</v>
      </c>
      <c r="B119" s="0" t="s">
        <v>436</v>
      </c>
      <c r="D119" s="18" t="n">
        <f aca="false">D111/fx/D103*1000</f>
        <v>30.6128148005446</v>
      </c>
      <c r="E119" s="18" t="n">
        <f aca="false">E111/fx/E103*1000</f>
        <v>36.9290723757003</v>
      </c>
      <c r="F119" s="18" t="n">
        <f aca="false">F111/fx/F103*1000</f>
        <v>42.700174374494</v>
      </c>
      <c r="G119" s="18" t="n">
        <f aca="false">G111/fx/G103*1000</f>
        <v>42.700174374494</v>
      </c>
    </row>
    <row r="120" customFormat="false" ht="17.15" hidden="false" customHeight="false" outlineLevel="0" collapsed="false">
      <c r="A120" s="5" t="s">
        <v>490</v>
      </c>
    </row>
    <row r="121" customFormat="false" ht="17.15" hidden="false" customHeight="false" outlineLevel="0" collapsed="false">
      <c r="A121" s="3" t="s">
        <v>491</v>
      </c>
      <c r="B121" s="0" t="s">
        <v>52</v>
      </c>
      <c r="D121" s="13" t="n">
        <f aca="false">a26_gp/D116-d_lc*D118</f>
        <v>0.260156485550031</v>
      </c>
      <c r="H121" s="7" t="s">
        <v>492</v>
      </c>
    </row>
    <row r="122" customFormat="false" ht="15" hidden="false" customHeight="false" outlineLevel="0" collapsed="false">
      <c r="A122" s="3" t="s">
        <v>375</v>
      </c>
      <c r="B122" s="0" t="s">
        <v>191</v>
      </c>
      <c r="C122" s="19" t="n">
        <f aca="false">a25_gp</f>
        <v>6.372</v>
      </c>
      <c r="D122" s="19" t="n">
        <f aca="false">a26_gp</f>
        <v>11.0851495856</v>
      </c>
      <c r="E122" s="19" t="n">
        <f aca="false">$D$121*E116+d_lc*E111</f>
        <v>19.1257401981492</v>
      </c>
      <c r="F122" s="19" t="n">
        <f aca="false">$D$121*F116+d_lc*F111</f>
        <v>21.6938456383983</v>
      </c>
      <c r="G122" s="19" t="n">
        <f aca="false">$D$121*G116+d_lc*G111</f>
        <v>25.3961302196327</v>
      </c>
    </row>
    <row r="123" customFormat="false" ht="15" hidden="false" customHeight="false" outlineLevel="0" collapsed="false">
      <c r="A123" s="3" t="s">
        <v>378</v>
      </c>
      <c r="B123" s="0" t="s">
        <v>52</v>
      </c>
      <c r="C123" s="13" t="n">
        <f aca="false">C122/C116</f>
        <v>0.273758377728132</v>
      </c>
      <c r="D123" s="13" t="n">
        <f aca="false">D122/D116</f>
        <v>0.290156485550031</v>
      </c>
      <c r="E123" s="13" t="n">
        <f aca="false">E122/E116</f>
        <v>0.298571374053772</v>
      </c>
      <c r="F123" s="13" t="n">
        <f aca="false">F122/F116</f>
        <v>0.300067342914614</v>
      </c>
      <c r="G123" s="13" t="n">
        <f aca="false">G122/G116</f>
        <v>0.301636418001026</v>
      </c>
    </row>
    <row r="124" customFormat="false" ht="15" hidden="false" customHeight="false" outlineLevel="0" collapsed="false">
      <c r="A124" s="3" t="s">
        <v>493</v>
      </c>
      <c r="B124" s="0" t="s">
        <v>191</v>
      </c>
      <c r="C124" s="19" t="n">
        <f aca="false">a25_opx</f>
        <v>3.113</v>
      </c>
      <c r="D124" s="19" t="n">
        <f aca="false">a26_opx</f>
        <v>4.4038196704</v>
      </c>
      <c r="E124" s="19" t="n">
        <f aca="false">D124*(1+MAX(0,phi*E117))</f>
        <v>6.34092194960378</v>
      </c>
      <c r="F124" s="19" t="n">
        <f aca="false">E124*(1+MAX(0,phi*F117))</f>
        <v>6.87104189407152</v>
      </c>
      <c r="G124" s="19" t="n">
        <f aca="false">F124*(1+MAX(0,phi*G117))</f>
        <v>7.60604498322606</v>
      </c>
    </row>
    <row r="125" customFormat="false" ht="15" hidden="false" customHeight="false" outlineLevel="0" collapsed="false">
      <c r="A125" s="3" t="s">
        <v>380</v>
      </c>
      <c r="B125" s="0" t="s">
        <v>191</v>
      </c>
      <c r="C125" s="19" t="n">
        <f aca="false">C124</f>
        <v>3.113</v>
      </c>
      <c r="D125" s="19" t="n">
        <f aca="false">D124</f>
        <v>4.4038196704</v>
      </c>
      <c r="E125" s="19" t="n">
        <f aca="false">E124+0*E116</f>
        <v>6.34092194960378</v>
      </c>
      <c r="F125" s="19" t="n">
        <f aca="false">F124+0*F116</f>
        <v>6.87104189407152</v>
      </c>
      <c r="G125" s="19" t="n">
        <f aca="false">G124+0*G116</f>
        <v>7.60604498322606</v>
      </c>
    </row>
    <row r="126" customFormat="false" ht="15" hidden="false" customHeight="false" outlineLevel="0" collapsed="false">
      <c r="A126" s="3" t="s">
        <v>383</v>
      </c>
      <c r="B126" s="0" t="s">
        <v>191</v>
      </c>
      <c r="C126" s="19" t="n">
        <f aca="false">C122-C125</f>
        <v>3.259</v>
      </c>
      <c r="D126" s="19" t="n">
        <f aca="false">D122-D125</f>
        <v>6.6813299152</v>
      </c>
      <c r="E126" s="19" t="n">
        <f aca="false">E122-E125</f>
        <v>12.7848182485454</v>
      </c>
      <c r="F126" s="19" t="n">
        <f aca="false">F122-F125</f>
        <v>14.8228037443268</v>
      </c>
      <c r="G126" s="19" t="n">
        <f aca="false">G122-G125</f>
        <v>17.7900852364067</v>
      </c>
    </row>
    <row r="127" customFormat="false" ht="15" hidden="false" customHeight="false" outlineLevel="0" collapsed="false">
      <c r="A127" s="3" t="s">
        <v>386</v>
      </c>
      <c r="B127" s="0" t="s">
        <v>52</v>
      </c>
      <c r="C127" s="13" t="n">
        <f aca="false">C126/C116</f>
        <v>0.140015466575013</v>
      </c>
      <c r="D127" s="13" t="n">
        <f aca="false">D126/D116</f>
        <v>0.174885434970861</v>
      </c>
      <c r="E127" s="13" t="n">
        <f aca="false">E126/E116</f>
        <v>0.199583425893516</v>
      </c>
      <c r="F127" s="13" t="n">
        <f aca="false">F126/F116</f>
        <v>0.205027702706255</v>
      </c>
      <c r="G127" s="13" t="n">
        <f aca="false">G126/G116</f>
        <v>0.211297451235082</v>
      </c>
    </row>
    <row r="128" customFormat="false" ht="15" hidden="false" customHeight="false" outlineLevel="0" collapsed="false">
      <c r="A128" s="3" t="s">
        <v>387</v>
      </c>
      <c r="B128" s="0" t="s">
        <v>191</v>
      </c>
      <c r="C128" s="19" t="n">
        <f aca="false">a25_nop</f>
        <v>0.0184359999999999</v>
      </c>
      <c r="D128" s="19" t="n">
        <f aca="false">a26_nop</f>
        <v>-0.0226839999999999</v>
      </c>
      <c r="E128" s="19" t="n">
        <f aca="false">nop_f</f>
        <v>0</v>
      </c>
      <c r="F128" s="19" t="n">
        <f aca="false">nop_f</f>
        <v>0</v>
      </c>
      <c r="G128" s="19" t="n">
        <f aca="false">nop_f</f>
        <v>0</v>
      </c>
    </row>
    <row r="129" customFormat="false" ht="17.15" hidden="false" customHeight="false" outlineLevel="0" collapsed="false">
      <c r="A129" s="3" t="s">
        <v>234</v>
      </c>
      <c r="B129" s="0" t="s">
        <v>52</v>
      </c>
      <c r="C129" s="13" t="n">
        <f aca="false">a25_ni/(a25_oi+a25_nop)</f>
        <v>0.78475979393648</v>
      </c>
      <c r="D129" s="13" t="n">
        <f aca="false">a26_ni/(a26_oi+a26_nop)</f>
        <v>0.739465828331271</v>
      </c>
      <c r="E129" s="13" t="n">
        <f aca="false">nir_f</f>
        <v>0.74</v>
      </c>
      <c r="F129" s="13" t="n">
        <f aca="false">nir_f</f>
        <v>0.74</v>
      </c>
      <c r="G129" s="13" t="n">
        <f aca="false">nir_f</f>
        <v>0.74</v>
      </c>
    </row>
    <row r="130" customFormat="false" ht="15" hidden="false" customHeight="false" outlineLevel="0" collapsed="false">
      <c r="A130" s="3" t="s">
        <v>391</v>
      </c>
      <c r="B130" s="0" t="s">
        <v>191</v>
      </c>
      <c r="C130" s="19" t="n">
        <f aca="false">a25_ni</f>
        <v>2.572</v>
      </c>
      <c r="D130" s="19" t="n">
        <f aca="false">a26_ni</f>
        <v>4.923841117248</v>
      </c>
      <c r="E130" s="19" t="n">
        <f aca="false">(E126+E128)*E129</f>
        <v>9.46076550392362</v>
      </c>
      <c r="F130" s="19" t="n">
        <f aca="false">(F126+F128)*F129</f>
        <v>10.9688747708018</v>
      </c>
      <c r="G130" s="19" t="n">
        <f aca="false">(G126+G128)*G129</f>
        <v>13.1646630749409</v>
      </c>
    </row>
    <row r="131" customFormat="false" ht="15" hidden="false" customHeight="false" outlineLevel="0" collapsed="false">
      <c r="A131" s="3" t="s">
        <v>494</v>
      </c>
      <c r="B131" s="3" t="s">
        <v>217</v>
      </c>
      <c r="C131" s="21" t="n">
        <f aca="false">a25_sh</f>
        <v>0.0910120311394197</v>
      </c>
      <c r="D131" s="21" t="n">
        <f aca="false">a26_sh</f>
        <v>0.093076837</v>
      </c>
      <c r="E131" s="21" t="n">
        <f aca="false">D131*(1+sh_g)</f>
        <v>0.093076837</v>
      </c>
      <c r="F131" s="21" t="n">
        <f aca="false">E131*(1+sh_g)</f>
        <v>0.093076837</v>
      </c>
      <c r="G131" s="21" t="n">
        <f aca="false">F131*(1+sh_g)</f>
        <v>0.093076837</v>
      </c>
    </row>
    <row r="132" customFormat="false" ht="15" hidden="false" customHeight="false" outlineLevel="0" collapsed="false">
      <c r="A132" s="0" t="s">
        <v>398</v>
      </c>
      <c r="B132" s="0" t="s">
        <v>251</v>
      </c>
      <c r="C132" s="20" t="n">
        <f aca="false">C130/C131</f>
        <v>28.26</v>
      </c>
      <c r="D132" s="20" t="n">
        <f aca="false">D130/D131</f>
        <v>52.9008212563992</v>
      </c>
      <c r="E132" s="20" t="n">
        <f aca="false">E130/E131</f>
        <v>101.644682059013</v>
      </c>
      <c r="F132" s="20" t="n">
        <f aca="false">F130/F131</f>
        <v>117.847523877523</v>
      </c>
      <c r="G132" s="20" t="n">
        <f aca="false">G130/G131</f>
        <v>141.438659705861</v>
      </c>
    </row>
    <row r="133" customFormat="false" ht="17.15" hidden="false" customHeight="false" outlineLevel="0" collapsed="false">
      <c r="A133" s="0" t="s">
        <v>495</v>
      </c>
      <c r="B133" s="0" t="s">
        <v>52</v>
      </c>
      <c r="D133" s="13" t="n">
        <f aca="false">D132/C132-1</f>
        <v>0.871932811620636</v>
      </c>
      <c r="E133" s="13" t="n">
        <f aca="false">E132/D132-1</f>
        <v>0.921419736876353</v>
      </c>
      <c r="F133" s="13" t="n">
        <f aca="false">F132/E132-1</f>
        <v>0.159406685035448</v>
      </c>
      <c r="G133" s="13" t="n">
        <f aca="false">G132/F132-1</f>
        <v>0.2001835511865</v>
      </c>
    </row>
    <row r="136" customFormat="false" ht="17.15" hidden="false" customHeight="false" outlineLevel="0" collapsed="false">
      <c r="A136" s="1" t="s">
        <v>497</v>
      </c>
    </row>
    <row r="137" customFormat="false" ht="17.15" hidden="false" customHeight="false" outlineLevel="0" collapsed="false">
      <c r="A137" s="4" t="s">
        <v>21</v>
      </c>
      <c r="B137" s="4" t="s">
        <v>22</v>
      </c>
      <c r="C137" s="10" t="s">
        <v>365</v>
      </c>
      <c r="D137" s="10" t="s">
        <v>452</v>
      </c>
      <c r="E137" s="10" t="s">
        <v>453</v>
      </c>
      <c r="F137" s="10" t="s">
        <v>454</v>
      </c>
      <c r="G137" s="10" t="s">
        <v>455</v>
      </c>
      <c r="H137" s="4" t="s">
        <v>350</v>
      </c>
    </row>
    <row r="138" customFormat="false" ht="17.15" hidden="false" customHeight="false" outlineLevel="0" collapsed="false">
      <c r="A138" s="5" t="s">
        <v>471</v>
      </c>
    </row>
    <row r="139" customFormat="false" ht="17.15" hidden="false" customHeight="false" outlineLevel="0" collapsed="false">
      <c r="A139" s="0" t="s">
        <v>472</v>
      </c>
      <c r="B139" s="0" t="s">
        <v>32</v>
      </c>
      <c r="D139" s="20" t="n">
        <f aca="false">itc_26*1</f>
        <v>781.872916666666</v>
      </c>
      <c r="E139" s="20" t="n">
        <f aca="false">itc_27*1*1</f>
        <v>1565.35</v>
      </c>
      <c r="F139" s="20" t="n">
        <f aca="false">itc_28*um28_C*1</f>
        <v>1190.55833333333</v>
      </c>
      <c r="G139" s="20" t="n">
        <f aca="false">itc_29*um29_C*1</f>
        <v>1356.23416666667</v>
      </c>
    </row>
    <row r="140" customFormat="false" ht="17.15" hidden="false" customHeight="false" outlineLevel="0" collapsed="false">
      <c r="A140" s="3" t="s">
        <v>473</v>
      </c>
      <c r="B140" s="0" t="s">
        <v>32</v>
      </c>
      <c r="D140" s="20" t="n">
        <f aca="false">itpg_gb*(1-vr26)+itpg_vr*vr26</f>
        <v>33.41403216</v>
      </c>
      <c r="E140" s="20" t="n">
        <f aca="false">itpg_vr</f>
        <v>37.586352</v>
      </c>
      <c r="F140" s="20" t="n">
        <f aca="false">itpg_vr</f>
        <v>37.586352</v>
      </c>
      <c r="G140" s="20" t="n">
        <f aca="false">itpg_vr</f>
        <v>37.586352</v>
      </c>
    </row>
    <row r="141" customFormat="false" ht="17.15" hidden="false" customHeight="false" outlineLevel="0" collapsed="false">
      <c r="A141" s="3" t="s">
        <v>474</v>
      </c>
      <c r="B141" s="0" t="s">
        <v>431</v>
      </c>
      <c r="D141" s="17" t="n">
        <f aca="false">D139/D140</f>
        <v>23.3995380420639</v>
      </c>
      <c r="E141" s="17" t="n">
        <f aca="false">E139/E140</f>
        <v>41.6467658260637</v>
      </c>
      <c r="F141" s="17" t="n">
        <f aca="false">F139/F140</f>
        <v>31.6752829147488</v>
      </c>
      <c r="G141" s="17" t="n">
        <f aca="false">G139/G140</f>
        <v>36.0831550416669</v>
      </c>
    </row>
    <row r="142" customFormat="false" ht="17.15" hidden="false" customHeight="false" outlineLevel="0" collapsed="false">
      <c r="A142" s="3" t="s">
        <v>475</v>
      </c>
      <c r="B142" s="0" t="s">
        <v>52</v>
      </c>
      <c r="D142" s="13" t="n">
        <f aca="false">lpenC_26</f>
        <v>0.55</v>
      </c>
      <c r="E142" s="13" t="n">
        <f aca="false">lpenC_27</f>
        <v>0.6</v>
      </c>
      <c r="F142" s="13" t="n">
        <f aca="false">lpenC_28</f>
        <v>0.7</v>
      </c>
      <c r="G142" s="13" t="n">
        <f aca="false">lpenC_29</f>
        <v>0.75</v>
      </c>
    </row>
    <row r="143" customFormat="false" ht="17.15" hidden="false" customHeight="false" outlineLevel="0" collapsed="false">
      <c r="A143" s="3" t="s">
        <v>476</v>
      </c>
      <c r="B143" s="0" t="s">
        <v>436</v>
      </c>
      <c r="D143" s="18" t="n">
        <f aca="false">((1-vr26)*racks_gb*(cool_gb+mani)+vr26*racks_vr*(cool_vr+mani))/1000</f>
        <v>350.7208</v>
      </c>
      <c r="E143" s="18" t="n">
        <f aca="false">racks_vr*(cool_vr+mani)*lcadj_27/1000</f>
        <v>326.5912</v>
      </c>
      <c r="F143" s="18" t="n">
        <f aca="false">racks_vr*(cool_vr+mani)*lcadj_28/1000</f>
        <v>351.7136</v>
      </c>
      <c r="G143" s="18" t="n">
        <f aca="false">racks_vr*(cool_vr+mani)*lcadj_29/1000</f>
        <v>351.7136</v>
      </c>
      <c r="H143" s="3" t="s">
        <v>477</v>
      </c>
    </row>
    <row r="144" customFormat="false" ht="17.15" hidden="false" customHeight="false" outlineLevel="0" collapsed="false">
      <c r="A144" s="0" t="s">
        <v>478</v>
      </c>
      <c r="B144" s="0" t="s">
        <v>32</v>
      </c>
      <c r="D144" s="20" t="n">
        <f aca="false">D141*D142*D143/1000</f>
        <v>4.51368758595869</v>
      </c>
      <c r="E144" s="20" t="n">
        <f aca="false">E141*E142*E143/1000</f>
        <v>8.16088033635188</v>
      </c>
      <c r="F144" s="20" t="n">
        <f aca="false">F141*F142*F143/1000</f>
        <v>7.79843944947535</v>
      </c>
      <c r="G144" s="20" t="n">
        <f aca="false">G141*G142*G143/1000</f>
        <v>9.51820226929712</v>
      </c>
    </row>
    <row r="145" customFormat="false" ht="17.15" hidden="false" customHeight="false" outlineLevel="0" collapsed="false">
      <c r="A145" s="0" t="s">
        <v>479</v>
      </c>
      <c r="B145" s="0" t="s">
        <v>191</v>
      </c>
      <c r="D145" s="19" t="n">
        <f aca="false">D144*fx</f>
        <v>144.438002750678</v>
      </c>
      <c r="E145" s="19" t="n">
        <f aca="false">E144*fx</f>
        <v>261.14817076326</v>
      </c>
      <c r="F145" s="19" t="n">
        <f aca="false">F144*fx</f>
        <v>249.550062383211</v>
      </c>
      <c r="G145" s="19" t="n">
        <f aca="false">G144*fx</f>
        <v>304.582472617508</v>
      </c>
    </row>
    <row r="146" customFormat="false" ht="17.15" hidden="false" customHeight="false" outlineLevel="0" collapsed="false">
      <c r="A146" s="3" t="s">
        <v>480</v>
      </c>
      <c r="B146" s="0" t="s">
        <v>52</v>
      </c>
      <c r="D146" s="13" t="n">
        <f aca="false">a26_lc/D145</f>
        <v>0.15870077644017</v>
      </c>
      <c r="H146" s="7" t="s">
        <v>481</v>
      </c>
    </row>
    <row r="147" customFormat="false" ht="17.15" hidden="false" customHeight="false" outlineLevel="0" collapsed="false">
      <c r="A147" s="3" t="s">
        <v>482</v>
      </c>
      <c r="B147" s="0" t="s">
        <v>73</v>
      </c>
      <c r="D147" s="14" t="n">
        <f aca="false">1</f>
        <v>1</v>
      </c>
      <c r="E147" s="14" t="n">
        <f aca="false">relC_27</f>
        <v>0.85</v>
      </c>
      <c r="F147" s="14" t="n">
        <f aca="false">relC_28</f>
        <v>0.75</v>
      </c>
      <c r="G147" s="14" t="n">
        <f aca="false">relC_29</f>
        <v>0.7</v>
      </c>
    </row>
    <row r="148" customFormat="false" ht="15" hidden="false" customHeight="false" outlineLevel="0" collapsed="false">
      <c r="A148" s="3" t="s">
        <v>440</v>
      </c>
      <c r="B148" s="0" t="s">
        <v>52</v>
      </c>
      <c r="D148" s="13" t="n">
        <f aca="false">$D$146*D147</f>
        <v>0.15870077644017</v>
      </c>
      <c r="E148" s="13" t="n">
        <f aca="false">$D$146*E147</f>
        <v>0.134895659974144</v>
      </c>
      <c r="F148" s="13" t="n">
        <f aca="false">$D$146*F147</f>
        <v>0.119025582330127</v>
      </c>
      <c r="G148" s="13" t="n">
        <f aca="false">$D$146*G147</f>
        <v>0.111090543508119</v>
      </c>
    </row>
    <row r="149" customFormat="false" ht="15" hidden="false" customHeight="false" outlineLevel="0" collapsed="false">
      <c r="A149" s="3" t="s">
        <v>483</v>
      </c>
      <c r="B149" s="0" t="s">
        <v>191</v>
      </c>
      <c r="C149" s="19" t="n">
        <f aca="false">a25_lc</f>
        <v>7.91384</v>
      </c>
      <c r="D149" s="19" t="n">
        <f aca="false">D145*D148</f>
        <v>22.922423184</v>
      </c>
      <c r="E149" s="19" t="n">
        <f aca="false">E145*E148</f>
        <v>35.2277548461505</v>
      </c>
      <c r="F149" s="19" t="n">
        <f aca="false">F145*F148</f>
        <v>29.7028414956813</v>
      </c>
      <c r="G149" s="19" t="n">
        <f aca="false">G145*G148</f>
        <v>33.8362324261257</v>
      </c>
    </row>
    <row r="150" customFormat="false" ht="17.15" hidden="false" customHeight="false" outlineLevel="0" collapsed="false">
      <c r="A150" s="5" t="s">
        <v>484</v>
      </c>
    </row>
    <row r="151" customFormat="false" ht="17.15" hidden="false" customHeight="false" outlineLevel="0" collapsed="false">
      <c r="A151" s="3" t="s">
        <v>485</v>
      </c>
      <c r="B151" s="0" t="s">
        <v>191</v>
      </c>
      <c r="C151" s="19" t="n">
        <f aca="false">a25_sair</f>
        <v>5.35348</v>
      </c>
      <c r="D151" s="19" t="n">
        <f aca="false">a26_sair</f>
        <v>5.3485654096</v>
      </c>
      <c r="E151" s="19" t="n">
        <f aca="false">D151*(1+g_sair_27)</f>
        <v>5.08113713912</v>
      </c>
      <c r="F151" s="19" t="n">
        <f aca="false">E151*(1+g_sair_28)</f>
        <v>4.827080282164</v>
      </c>
      <c r="G151" s="19" t="n">
        <f aca="false">F151*(1+g_sair_29)</f>
        <v>4.5857262680558</v>
      </c>
    </row>
    <row r="152" customFormat="false" ht="15" hidden="false" customHeight="false" outlineLevel="0" collapsed="false">
      <c r="A152" s="3" t="s">
        <v>486</v>
      </c>
      <c r="B152" s="0" t="s">
        <v>191</v>
      </c>
      <c r="C152" s="19" t="n">
        <f aca="false">a25_nb</f>
        <v>6.28452</v>
      </c>
      <c r="D152" s="19" t="n">
        <f aca="false">a26_nb</f>
        <v>5.730605796</v>
      </c>
      <c r="E152" s="19" t="n">
        <f aca="false">D152*(1+g_nb_27)</f>
        <v>5.55868762212</v>
      </c>
      <c r="F152" s="19" t="n">
        <f aca="false">E152*(1+g_nb_28)</f>
        <v>5.55868762212</v>
      </c>
      <c r="G152" s="19" t="n">
        <f aca="false">F152*(1+g_nb_29)</f>
        <v>5.55868762212</v>
      </c>
    </row>
    <row r="153" customFormat="false" ht="15" hidden="false" customHeight="false" outlineLevel="0" collapsed="false">
      <c r="A153" s="3" t="s">
        <v>487</v>
      </c>
      <c r="B153" s="0" t="s">
        <v>191</v>
      </c>
      <c r="C153" s="19" t="n">
        <f aca="false">a25_oth</f>
        <v>3.72416</v>
      </c>
      <c r="D153" s="19" t="n">
        <f aca="false">a26_oth</f>
        <v>4.2024442504</v>
      </c>
      <c r="E153" s="19" t="n">
        <f aca="false">D153*(1+g_oth_27)</f>
        <v>4.2024442504</v>
      </c>
      <c r="F153" s="19" t="n">
        <f aca="false">E153*(1+g_oth_28)</f>
        <v>4.2024442504</v>
      </c>
      <c r="G153" s="19" t="n">
        <f aca="false">F153*(1+g_oth_29)</f>
        <v>4.2024442504</v>
      </c>
    </row>
    <row r="154" customFormat="false" ht="15" hidden="false" customHeight="false" outlineLevel="0" collapsed="false">
      <c r="A154" s="3" t="s">
        <v>371</v>
      </c>
      <c r="B154" s="0" t="s">
        <v>191</v>
      </c>
      <c r="C154" s="19" t="n">
        <f aca="false">C149+C151+C152+C153</f>
        <v>23.276</v>
      </c>
      <c r="D154" s="19" t="n">
        <f aca="false">D149+D151+D152+D153</f>
        <v>38.20403864</v>
      </c>
      <c r="E154" s="19" t="n">
        <f aca="false">E149+E151+E152+E153</f>
        <v>50.0700238577905</v>
      </c>
      <c r="F154" s="19" t="n">
        <f aca="false">F149+F151+F152+F153</f>
        <v>44.2910536503653</v>
      </c>
      <c r="G154" s="19" t="n">
        <f aca="false">G149+G151+G152+G153</f>
        <v>48.1830905667015</v>
      </c>
    </row>
    <row r="155" customFormat="false" ht="15" hidden="false" customHeight="false" outlineLevel="0" collapsed="false">
      <c r="A155" s="3" t="s">
        <v>488</v>
      </c>
      <c r="B155" s="0" t="s">
        <v>52</v>
      </c>
      <c r="D155" s="13" t="n">
        <f aca="false">D154/C154-1</f>
        <v>0.641348970613508</v>
      </c>
      <c r="E155" s="13" t="n">
        <f aca="false">E154/D154-1</f>
        <v>0.310595048068208</v>
      </c>
      <c r="F155" s="13" t="n">
        <f aca="false">F154/E154-1</f>
        <v>-0.115417764206358</v>
      </c>
      <c r="G155" s="13" t="n">
        <f aca="false">G154/F154-1</f>
        <v>0.0878741099062572</v>
      </c>
    </row>
    <row r="156" customFormat="false" ht="17.15" hidden="false" customHeight="false" outlineLevel="0" collapsed="false">
      <c r="A156" s="3" t="s">
        <v>489</v>
      </c>
      <c r="B156" s="0" t="s">
        <v>52</v>
      </c>
      <c r="C156" s="13" t="n">
        <f aca="false">C149/C154</f>
        <v>0.34</v>
      </c>
      <c r="D156" s="13" t="n">
        <f aca="false">D149/D154</f>
        <v>0.6</v>
      </c>
      <c r="E156" s="13" t="n">
        <f aca="false">E149/E154</f>
        <v>0.703569763541651</v>
      </c>
      <c r="F156" s="13" t="n">
        <f aca="false">F149/F154</f>
        <v>0.670628468903817</v>
      </c>
      <c r="G156" s="13" t="n">
        <f aca="false">G149/G154</f>
        <v>0.702242882890317</v>
      </c>
    </row>
    <row r="157" customFormat="false" ht="17.15" hidden="false" customHeight="false" outlineLevel="0" collapsed="false">
      <c r="A157" s="3" t="s">
        <v>448</v>
      </c>
      <c r="B157" s="0" t="s">
        <v>436</v>
      </c>
      <c r="D157" s="18" t="n">
        <f aca="false">D149/fx/D141*1000</f>
        <v>30.6128148005446</v>
      </c>
      <c r="E157" s="18" t="n">
        <f aca="false">E149/fx/E141*1000</f>
        <v>26.4334412794486</v>
      </c>
      <c r="F157" s="18" t="n">
        <f aca="false">F149/fx/F141*1000</f>
        <v>29.3040412373978</v>
      </c>
      <c r="G157" s="18" t="n">
        <f aca="false">G149/fx/G141*1000</f>
        <v>29.3040412373978</v>
      </c>
    </row>
    <row r="158" customFormat="false" ht="17.15" hidden="false" customHeight="false" outlineLevel="0" collapsed="false">
      <c r="A158" s="5" t="s">
        <v>490</v>
      </c>
    </row>
    <row r="159" customFormat="false" ht="17.15" hidden="false" customHeight="false" outlineLevel="0" collapsed="false">
      <c r="A159" s="3" t="s">
        <v>491</v>
      </c>
      <c r="B159" s="0" t="s">
        <v>52</v>
      </c>
      <c r="D159" s="13" t="n">
        <f aca="false">a26_gp/D154-d_lc*D156</f>
        <v>0.260156485550031</v>
      </c>
      <c r="H159" s="7" t="s">
        <v>492</v>
      </c>
    </row>
    <row r="160" customFormat="false" ht="15" hidden="false" customHeight="false" outlineLevel="0" collapsed="false">
      <c r="A160" s="3" t="s">
        <v>375</v>
      </c>
      <c r="B160" s="0" t="s">
        <v>191</v>
      </c>
      <c r="C160" s="19" t="n">
        <f aca="false">a25_gp</f>
        <v>6.372</v>
      </c>
      <c r="D160" s="19" t="n">
        <f aca="false">a26_gp</f>
        <v>11.0851495856</v>
      </c>
      <c r="E160" s="19" t="n">
        <f aca="false">$D$159*E154+d_lc*E149</f>
        <v>14.7874291805565</v>
      </c>
      <c r="F160" s="19" t="n">
        <f aca="false">$D$159*F154+d_lc*F149</f>
        <v>13.007746933771</v>
      </c>
      <c r="G160" s="19" t="n">
        <f aca="false">$D$159*G154+d_lc*G149</f>
        <v>14.2269551260782</v>
      </c>
    </row>
    <row r="161" customFormat="false" ht="15" hidden="false" customHeight="false" outlineLevel="0" collapsed="false">
      <c r="A161" s="3" t="s">
        <v>378</v>
      </c>
      <c r="B161" s="0" t="s">
        <v>52</v>
      </c>
      <c r="C161" s="13" t="n">
        <f aca="false">C160/C154</f>
        <v>0.273758377728132</v>
      </c>
      <c r="D161" s="13" t="n">
        <f aca="false">D160/D154</f>
        <v>0.290156485550031</v>
      </c>
      <c r="E161" s="13" t="n">
        <f aca="false">E160/E154</f>
        <v>0.295334973727114</v>
      </c>
      <c r="F161" s="13" t="n">
        <f aca="false">F160/F154</f>
        <v>0.293687908995222</v>
      </c>
      <c r="G161" s="13" t="n">
        <f aca="false">G160/G154</f>
        <v>0.295268629694547</v>
      </c>
    </row>
    <row r="162" customFormat="false" ht="15" hidden="false" customHeight="false" outlineLevel="0" collapsed="false">
      <c r="A162" s="3" t="s">
        <v>493</v>
      </c>
      <c r="B162" s="0" t="s">
        <v>191</v>
      </c>
      <c r="C162" s="19" t="n">
        <f aca="false">a25_opx</f>
        <v>3.113</v>
      </c>
      <c r="D162" s="19" t="n">
        <f aca="false">a26_opx</f>
        <v>4.4038196704</v>
      </c>
      <c r="E162" s="19" t="n">
        <f aca="false">D162*(1+MAX(0,phi*E155))</f>
        <v>5.29289264883754</v>
      </c>
      <c r="F162" s="19" t="n">
        <f aca="false">E162*(1+MAX(0,phi*F155))</f>
        <v>5.29289264883754</v>
      </c>
      <c r="G162" s="19" t="n">
        <f aca="false">F162*(1+MAX(0,phi*G155))</f>
        <v>5.59521299856243</v>
      </c>
    </row>
    <row r="163" customFormat="false" ht="15" hidden="false" customHeight="false" outlineLevel="0" collapsed="false">
      <c r="A163" s="3" t="s">
        <v>380</v>
      </c>
      <c r="B163" s="0" t="s">
        <v>191</v>
      </c>
      <c r="C163" s="19" t="n">
        <f aca="false">C162</f>
        <v>3.113</v>
      </c>
      <c r="D163" s="19" t="n">
        <f aca="false">D162</f>
        <v>4.4038196704</v>
      </c>
      <c r="E163" s="19" t="n">
        <f aca="false">E162+0*E154</f>
        <v>5.29289264883754</v>
      </c>
      <c r="F163" s="19" t="n">
        <f aca="false">F162+0*F154</f>
        <v>5.29289264883754</v>
      </c>
      <c r="G163" s="19" t="n">
        <f aca="false">G162+0*G154</f>
        <v>5.59521299856243</v>
      </c>
    </row>
    <row r="164" customFormat="false" ht="15" hidden="false" customHeight="false" outlineLevel="0" collapsed="false">
      <c r="A164" s="3" t="s">
        <v>383</v>
      </c>
      <c r="B164" s="0" t="s">
        <v>191</v>
      </c>
      <c r="C164" s="19" t="n">
        <f aca="false">C160-C163</f>
        <v>3.259</v>
      </c>
      <c r="D164" s="19" t="n">
        <f aca="false">D160-D163</f>
        <v>6.6813299152</v>
      </c>
      <c r="E164" s="19" t="n">
        <f aca="false">E160-E163</f>
        <v>9.49453653171898</v>
      </c>
      <c r="F164" s="19" t="n">
        <f aca="false">F160-F163</f>
        <v>7.71485428493345</v>
      </c>
      <c r="G164" s="19" t="n">
        <f aca="false">G160-G163</f>
        <v>8.63174212751578</v>
      </c>
    </row>
    <row r="165" customFormat="false" ht="15" hidden="false" customHeight="false" outlineLevel="0" collapsed="false">
      <c r="A165" s="3" t="s">
        <v>386</v>
      </c>
      <c r="B165" s="0" t="s">
        <v>52</v>
      </c>
      <c r="C165" s="13" t="n">
        <f aca="false">C164/C154</f>
        <v>0.140015466575013</v>
      </c>
      <c r="D165" s="13" t="n">
        <f aca="false">D164/D154</f>
        <v>0.174885434970861</v>
      </c>
      <c r="E165" s="13" t="n">
        <f aca="false">E164/E154</f>
        <v>0.189625164922739</v>
      </c>
      <c r="F165" s="13" t="n">
        <f aca="false">F164/F154</f>
        <v>0.174185386191864</v>
      </c>
      <c r="G165" s="13" t="n">
        <f aca="false">G164/G154</f>
        <v>0.179144634061333</v>
      </c>
    </row>
    <row r="166" customFormat="false" ht="15" hidden="false" customHeight="false" outlineLevel="0" collapsed="false">
      <c r="A166" s="3" t="s">
        <v>387</v>
      </c>
      <c r="B166" s="0" t="s">
        <v>191</v>
      </c>
      <c r="C166" s="19" t="n">
        <f aca="false">a25_nop</f>
        <v>0.0184359999999999</v>
      </c>
      <c r="D166" s="19" t="n">
        <f aca="false">a26_nop</f>
        <v>-0.0226839999999999</v>
      </c>
      <c r="E166" s="19" t="n">
        <f aca="false">nop_f</f>
        <v>0</v>
      </c>
      <c r="F166" s="19" t="n">
        <f aca="false">nop_f</f>
        <v>0</v>
      </c>
      <c r="G166" s="19" t="n">
        <f aca="false">nop_f</f>
        <v>0</v>
      </c>
    </row>
    <row r="167" customFormat="false" ht="17.15" hidden="false" customHeight="false" outlineLevel="0" collapsed="false">
      <c r="A167" s="3" t="s">
        <v>234</v>
      </c>
      <c r="B167" s="0" t="s">
        <v>52</v>
      </c>
      <c r="C167" s="13" t="n">
        <f aca="false">a25_ni/(a25_oi+a25_nop)</f>
        <v>0.78475979393648</v>
      </c>
      <c r="D167" s="13" t="n">
        <f aca="false">a26_ni/(a26_oi+a26_nop)</f>
        <v>0.739465828331271</v>
      </c>
      <c r="E167" s="13" t="n">
        <f aca="false">nir_f</f>
        <v>0.74</v>
      </c>
      <c r="F167" s="13" t="n">
        <f aca="false">nir_f</f>
        <v>0.74</v>
      </c>
      <c r="G167" s="13" t="n">
        <f aca="false">nir_f</f>
        <v>0.74</v>
      </c>
    </row>
    <row r="168" customFormat="false" ht="15" hidden="false" customHeight="false" outlineLevel="0" collapsed="false">
      <c r="A168" s="3" t="s">
        <v>391</v>
      </c>
      <c r="B168" s="0" t="s">
        <v>191</v>
      </c>
      <c r="C168" s="19" t="n">
        <f aca="false">a25_ni</f>
        <v>2.572</v>
      </c>
      <c r="D168" s="19" t="n">
        <f aca="false">a26_ni</f>
        <v>4.923841117248</v>
      </c>
      <c r="E168" s="19" t="n">
        <f aca="false">(E164+E166)*E167</f>
        <v>7.02595703347204</v>
      </c>
      <c r="F168" s="19" t="n">
        <f aca="false">(F164+F166)*F167</f>
        <v>5.70899217085075</v>
      </c>
      <c r="G168" s="19" t="n">
        <f aca="false">(G164+G166)*G167</f>
        <v>6.38748917436168</v>
      </c>
    </row>
    <row r="169" customFormat="false" ht="15" hidden="false" customHeight="false" outlineLevel="0" collapsed="false">
      <c r="A169" s="3" t="s">
        <v>494</v>
      </c>
      <c r="B169" s="3" t="s">
        <v>217</v>
      </c>
      <c r="C169" s="21" t="n">
        <f aca="false">a25_sh</f>
        <v>0.0910120311394197</v>
      </c>
      <c r="D169" s="21" t="n">
        <f aca="false">a26_sh</f>
        <v>0.093076837</v>
      </c>
      <c r="E169" s="21" t="n">
        <f aca="false">D169*(1+sh_g)</f>
        <v>0.093076837</v>
      </c>
      <c r="F169" s="21" t="n">
        <f aca="false">E169*(1+sh_g)</f>
        <v>0.093076837</v>
      </c>
      <c r="G169" s="21" t="n">
        <f aca="false">F169*(1+sh_g)</f>
        <v>0.093076837</v>
      </c>
    </row>
    <row r="170" customFormat="false" ht="15" hidden="false" customHeight="false" outlineLevel="0" collapsed="false">
      <c r="A170" s="0" t="s">
        <v>398</v>
      </c>
      <c r="B170" s="0" t="s">
        <v>251</v>
      </c>
      <c r="C170" s="20" t="n">
        <f aca="false">C168/C169</f>
        <v>28.26</v>
      </c>
      <c r="D170" s="20" t="n">
        <f aca="false">D168/D169</f>
        <v>52.9008212563992</v>
      </c>
      <c r="E170" s="20" t="n">
        <f aca="false">E168/E169</f>
        <v>75.4855585979146</v>
      </c>
      <c r="F170" s="20" t="n">
        <f aca="false">F168/F169</f>
        <v>61.3363362449753</v>
      </c>
      <c r="G170" s="20" t="n">
        <f aca="false">G168/G169</f>
        <v>68.6259802141931</v>
      </c>
    </row>
    <row r="171" customFormat="false" ht="17.15" hidden="false" customHeight="false" outlineLevel="0" collapsed="false">
      <c r="A171" s="0" t="s">
        <v>495</v>
      </c>
      <c r="B171" s="0" t="s">
        <v>52</v>
      </c>
      <c r="D171" s="13" t="n">
        <f aca="false">D170/C170-1</f>
        <v>0.871932811620636</v>
      </c>
      <c r="E171" s="13" t="n">
        <f aca="false">E170/D170-1</f>
        <v>0.426926025062105</v>
      </c>
      <c r="F171" s="13" t="n">
        <f aca="false">F170/E170-1</f>
        <v>-0.187442772044747</v>
      </c>
      <c r="G171" s="13" t="n">
        <f aca="false">G170/F170-1</f>
        <v>0.118847071988507</v>
      </c>
    </row>
    <row r="174" customFormat="false" ht="17.15" hidden="false" customHeight="false" outlineLevel="0" collapsed="false">
      <c r="A174" s="1" t="s">
        <v>498</v>
      </c>
    </row>
    <row r="175" customFormat="false" ht="17.15" hidden="false" customHeight="false" outlineLevel="0" collapsed="false">
      <c r="A175" s="1" t="s">
        <v>499</v>
      </c>
    </row>
    <row r="176" customFormat="false" ht="17.15" hidden="false" customHeight="false" outlineLevel="0" collapsed="false">
      <c r="A176" s="4" t="s">
        <v>21</v>
      </c>
      <c r="B176" s="4" t="s">
        <v>22</v>
      </c>
      <c r="C176" s="10" t="s">
        <v>365</v>
      </c>
      <c r="D176" s="10" t="s">
        <v>452</v>
      </c>
      <c r="E176" s="10" t="s">
        <v>453</v>
      </c>
      <c r="F176" s="10" t="s">
        <v>454</v>
      </c>
      <c r="G176" s="10" t="s">
        <v>455</v>
      </c>
      <c r="H176" s="10" t="s">
        <v>500</v>
      </c>
      <c r="I176" s="10" t="s">
        <v>501</v>
      </c>
      <c r="J176" s="10" t="s">
        <v>502</v>
      </c>
      <c r="K176" s="4" t="s">
        <v>350</v>
      </c>
    </row>
    <row r="177" customFormat="false" ht="17.15" hidden="false" customHeight="false" outlineLevel="0" collapsed="false">
      <c r="A177" s="3" t="s">
        <v>503</v>
      </c>
      <c r="B177" s="0" t="s">
        <v>191</v>
      </c>
      <c r="C177" s="19" t="n">
        <f aca="false">C78</f>
        <v>23.276</v>
      </c>
      <c r="D177" s="19" t="n">
        <f aca="false">D78</f>
        <v>38.20403864</v>
      </c>
      <c r="E177" s="19" t="n">
        <f aca="false">E78</f>
        <v>76.4908399924034</v>
      </c>
      <c r="F177" s="19" t="n">
        <f aca="false">F78</f>
        <v>108.647210224342</v>
      </c>
      <c r="G177" s="19" t="n">
        <f aca="false">G78</f>
        <v>121.494927489974</v>
      </c>
      <c r="H177" s="22" t="n">
        <f aca="false">G177*(1+H178)</f>
        <v>133.502813818607</v>
      </c>
      <c r="I177" s="22" t="n">
        <f aca="false">H177*(1+I178)</f>
        <v>144.105237916416</v>
      </c>
      <c r="J177" s="22" t="n">
        <f aca="false">I177*(1+J178)</f>
        <v>152.751552191401</v>
      </c>
      <c r="K177" s="7" t="s">
        <v>504</v>
      </c>
    </row>
    <row r="178" customFormat="false" ht="15" hidden="false" customHeight="false" outlineLevel="0" collapsed="false">
      <c r="A178" s="3" t="s">
        <v>457</v>
      </c>
      <c r="B178" s="0" t="s">
        <v>52</v>
      </c>
      <c r="C178" s="13"/>
      <c r="D178" s="13" t="n">
        <f aca="false">D177/C177-1</f>
        <v>0.641348970613508</v>
      </c>
      <c r="E178" s="13" t="n">
        <f aca="false">E177/D177-1</f>
        <v>1.00216633411936</v>
      </c>
      <c r="F178" s="13" t="n">
        <f aca="false">F177/E177-1</f>
        <v>0.420395046454343</v>
      </c>
      <c r="G178" s="13" t="n">
        <f aca="false">G177/F177-1</f>
        <v>0.118251699598208</v>
      </c>
      <c r="H178" s="23" t="n">
        <f aca="false">$G$178+($C$184-$G$178)*1/3</f>
        <v>0.0988344663988054</v>
      </c>
      <c r="I178" s="23" t="n">
        <f aca="false">$G$178+($C$184-$G$178)*2/3</f>
        <v>0.0794172331994027</v>
      </c>
      <c r="J178" s="23" t="n">
        <f aca="false">$G$178+($C$184-$G$178)*3/3</f>
        <v>0.06</v>
      </c>
    </row>
    <row r="179" customFormat="false" ht="15" hidden="false" customHeight="false" outlineLevel="0" collapsed="false">
      <c r="A179" s="3" t="s">
        <v>505</v>
      </c>
      <c r="B179" s="0" t="s">
        <v>191</v>
      </c>
      <c r="C179" s="19" t="n">
        <f aca="false">C92</f>
        <v>2.572</v>
      </c>
      <c r="D179" s="19" t="n">
        <f aca="false">D92</f>
        <v>4.923841117248</v>
      </c>
      <c r="E179" s="19" t="n">
        <f aca="false">E92</f>
        <v>11.6250396998806</v>
      </c>
      <c r="F179" s="19" t="n">
        <f aca="false">F92</f>
        <v>17.5442617511425</v>
      </c>
      <c r="G179" s="19" t="n">
        <f aca="false">G92</f>
        <v>19.9752591796587</v>
      </c>
      <c r="H179" s="22" t="n">
        <f aca="false">H177*H180</f>
        <v>21.9495032618581</v>
      </c>
      <c r="I179" s="22" t="n">
        <f aca="false">I177*I180</f>
        <v>23.6926720810161</v>
      </c>
      <c r="J179" s="22" t="n">
        <f aca="false">J177*J180</f>
        <v>25.1142324058771</v>
      </c>
    </row>
    <row r="180" customFormat="false" ht="15" hidden="false" customHeight="false" outlineLevel="0" collapsed="false">
      <c r="A180" s="3" t="s">
        <v>506</v>
      </c>
      <c r="B180" s="0" t="s">
        <v>52</v>
      </c>
      <c r="C180" s="13" t="n">
        <f aca="false">C179/C177</f>
        <v>0.110500085925417</v>
      </c>
      <c r="D180" s="13" t="n">
        <f aca="false">D179/D177</f>
        <v>0.128882738383912</v>
      </c>
      <c r="E180" s="13" t="n">
        <f aca="false">E179/E177</f>
        <v>0.151979501088432</v>
      </c>
      <c r="F180" s="13" t="n">
        <f aca="false">F179/F177</f>
        <v>0.161479173877691</v>
      </c>
      <c r="G180" s="13" t="n">
        <f aca="false">G179/G177</f>
        <v>0.164412289404487</v>
      </c>
      <c r="H180" s="23" t="n">
        <f aca="false">$G$180+($C$185-$G$180)*1/3</f>
        <v>0.164412289404487</v>
      </c>
      <c r="I180" s="23" t="n">
        <f aca="false">$G$180+($C$185-$G$180)*2/3</f>
        <v>0.164412289404487</v>
      </c>
      <c r="J180" s="23" t="n">
        <f aca="false">$G$180+($C$185-$G$180)*3/3</f>
        <v>0.164412289404487</v>
      </c>
    </row>
    <row r="181" customFormat="false" ht="17.15" hidden="false" customHeight="false" outlineLevel="0" collapsed="false">
      <c r="A181" s="3" t="s">
        <v>507</v>
      </c>
      <c r="B181" s="3" t="s">
        <v>217</v>
      </c>
      <c r="C181" s="21" t="n">
        <f aca="false">C93</f>
        <v>0.0910120311394197</v>
      </c>
      <c r="D181" s="21" t="n">
        <f aca="false">D93</f>
        <v>0.093076837</v>
      </c>
      <c r="E181" s="21" t="n">
        <f aca="false">E93</f>
        <v>0.093076837</v>
      </c>
      <c r="F181" s="21" t="n">
        <f aca="false">F93</f>
        <v>0.093076837</v>
      </c>
      <c r="G181" s="21" t="n">
        <f aca="false">G93</f>
        <v>0.093076837</v>
      </c>
      <c r="H181" s="24" t="n">
        <f aca="false">G181*(1+sh_g)</f>
        <v>0.093076837</v>
      </c>
      <c r="I181" s="24" t="n">
        <f aca="false">H181*(1+sh_g)</f>
        <v>0.093076837</v>
      </c>
      <c r="J181" s="24" t="n">
        <f aca="false">I181*(1+sh_g)</f>
        <v>0.093076837</v>
      </c>
      <c r="K181" s="7" t="s">
        <v>508</v>
      </c>
    </row>
    <row r="182" customFormat="false" ht="17.15" hidden="false" customHeight="false" outlineLevel="0" collapsed="false">
      <c r="A182" s="0" t="s">
        <v>509</v>
      </c>
      <c r="B182" s="0" t="s">
        <v>251</v>
      </c>
      <c r="C182" s="14" t="n">
        <f aca="false">C94</f>
        <v>28.26</v>
      </c>
      <c r="D182" s="14" t="n">
        <f aca="false">D94</f>
        <v>52.9008212563992</v>
      </c>
      <c r="E182" s="14" t="n">
        <f aca="false">E94</f>
        <v>124.897236246657</v>
      </c>
      <c r="F182" s="14" t="n">
        <f aca="false">F94</f>
        <v>188.492242717084</v>
      </c>
      <c r="G182" s="14" t="n">
        <f aca="false">G94</f>
        <v>214.610421061673</v>
      </c>
      <c r="H182" s="25" t="n">
        <f aca="false">H179/H181</f>
        <v>235.821327510926</v>
      </c>
      <c r="I182" s="25" t="n">
        <f aca="false">I179/I181</f>
        <v>254.549604871254</v>
      </c>
      <c r="J182" s="25" t="n">
        <f aca="false">J179/J181</f>
        <v>269.822581163529</v>
      </c>
    </row>
    <row r="183" customFormat="false" ht="17.15" hidden="false" customHeight="false" outlineLevel="0" collapsed="false">
      <c r="A183" s="0" t="s">
        <v>463</v>
      </c>
      <c r="B183" s="0" t="s">
        <v>52</v>
      </c>
      <c r="C183" s="13"/>
      <c r="D183" s="13" t="n">
        <f aca="false">D182/C182-1</f>
        <v>0.871932811620636</v>
      </c>
      <c r="E183" s="13" t="n">
        <f aca="false">E182/D182-1</f>
        <v>1.36096970293346</v>
      </c>
      <c r="F183" s="13" t="n">
        <f aca="false">F182/E182-1</f>
        <v>0.509178652639156</v>
      </c>
      <c r="G183" s="13" t="n">
        <f aca="false">G182/F182-1</f>
        <v>0.138563677571551</v>
      </c>
      <c r="H183" s="23" t="n">
        <f aca="false">H182/G182-1</f>
        <v>0.0988344663988057</v>
      </c>
      <c r="I183" s="23" t="n">
        <f aca="false">I182/H182-1</f>
        <v>0.0794172331994025</v>
      </c>
      <c r="J183" s="23" t="n">
        <f aca="false">J182/I182-1</f>
        <v>0.0600000000000001</v>
      </c>
    </row>
    <row r="184" customFormat="false" ht="17.15" hidden="false" customHeight="false" outlineLevel="0" collapsed="false">
      <c r="A184" s="3" t="s">
        <v>510</v>
      </c>
      <c r="B184" s="0" t="s">
        <v>52</v>
      </c>
      <c r="C184" s="13" t="n">
        <f aca="false">fade_gA</f>
        <v>0.06</v>
      </c>
      <c r="K184" s="7" t="s">
        <v>511</v>
      </c>
    </row>
    <row r="185" customFormat="false" ht="17.15" hidden="false" customHeight="false" outlineLevel="0" collapsed="false">
      <c r="A185" s="3" t="s">
        <v>512</v>
      </c>
      <c r="B185" s="0" t="s">
        <v>52</v>
      </c>
      <c r="C185" s="13" t="n">
        <f aca="false">G180</f>
        <v>0.164412289404487</v>
      </c>
      <c r="K185" s="3" t="s">
        <v>513</v>
      </c>
    </row>
    <row r="187" customFormat="false" ht="17.15" hidden="false" customHeight="false" outlineLevel="0" collapsed="false">
      <c r="A187" s="1" t="s">
        <v>514</v>
      </c>
    </row>
    <row r="188" customFormat="false" ht="17.15" hidden="false" customHeight="false" outlineLevel="0" collapsed="false">
      <c r="A188" s="4" t="s">
        <v>21</v>
      </c>
      <c r="B188" s="4" t="s">
        <v>22</v>
      </c>
      <c r="C188" s="10" t="s">
        <v>365</v>
      </c>
      <c r="D188" s="10" t="s">
        <v>452</v>
      </c>
      <c r="E188" s="10" t="s">
        <v>453</v>
      </c>
      <c r="F188" s="10" t="s">
        <v>454</v>
      </c>
      <c r="G188" s="10" t="s">
        <v>455</v>
      </c>
      <c r="H188" s="10" t="s">
        <v>500</v>
      </c>
      <c r="I188" s="10" t="s">
        <v>501</v>
      </c>
      <c r="J188" s="10" t="s">
        <v>502</v>
      </c>
      <c r="K188" s="4" t="s">
        <v>350</v>
      </c>
    </row>
    <row r="189" customFormat="false" ht="17.15" hidden="false" customHeight="false" outlineLevel="0" collapsed="false">
      <c r="A189" s="3" t="s">
        <v>503</v>
      </c>
      <c r="B189" s="0" t="s">
        <v>191</v>
      </c>
      <c r="C189" s="19" t="n">
        <f aca="false">C116</f>
        <v>23.276</v>
      </c>
      <c r="D189" s="19" t="n">
        <f aca="false">D116</f>
        <v>38.20403864</v>
      </c>
      <c r="E189" s="19" t="n">
        <f aca="false">E116</f>
        <v>64.0575147525856</v>
      </c>
      <c r="F189" s="19" t="n">
        <f aca="false">F116</f>
        <v>72.296589917722</v>
      </c>
      <c r="G189" s="19" t="n">
        <f aca="false">G116</f>
        <v>84.1945093630781</v>
      </c>
      <c r="H189" s="22" t="n">
        <f aca="false">G189*(1+H190)</f>
        <v>94.5544171610041</v>
      </c>
      <c r="I189" s="22" t="n">
        <f aca="false">H189*(1+I190)</f>
        <v>102.262838790474</v>
      </c>
      <c r="J189" s="22" t="n">
        <f aca="false">I189*(1+J190)</f>
        <v>106.353352342093</v>
      </c>
      <c r="K189" s="7" t="s">
        <v>504</v>
      </c>
    </row>
    <row r="190" customFormat="false" ht="15" hidden="false" customHeight="false" outlineLevel="0" collapsed="false">
      <c r="A190" s="3" t="s">
        <v>457</v>
      </c>
      <c r="B190" s="0" t="s">
        <v>52</v>
      </c>
      <c r="C190" s="13"/>
      <c r="D190" s="13" t="n">
        <f aca="false">D189/C189-1</f>
        <v>0.641348970613508</v>
      </c>
      <c r="E190" s="13" t="n">
        <f aca="false">E189/D189-1</f>
        <v>0.676721023036468</v>
      </c>
      <c r="F190" s="13" t="n">
        <f aca="false">F189/E189-1</f>
        <v>0.128619962809343</v>
      </c>
      <c r="G190" s="13" t="n">
        <f aca="false">G189/F189-1</f>
        <v>0.1645709632902</v>
      </c>
      <c r="H190" s="23" t="n">
        <f aca="false">$G$190+($C$196-$G$190)*1/3</f>
        <v>0.123047308860133</v>
      </c>
      <c r="I190" s="23" t="n">
        <f aca="false">$G$190+($C$196-$G$190)*2/3</f>
        <v>0.0815236544300666</v>
      </c>
      <c r="J190" s="23" t="n">
        <f aca="false">$G$190+($C$196-$G$190)*3/3</f>
        <v>0.04</v>
      </c>
    </row>
    <row r="191" customFormat="false" ht="15" hidden="false" customHeight="false" outlineLevel="0" collapsed="false">
      <c r="A191" s="3" t="s">
        <v>505</v>
      </c>
      <c r="B191" s="0" t="s">
        <v>191</v>
      </c>
      <c r="C191" s="19" t="n">
        <f aca="false">C130</f>
        <v>2.572</v>
      </c>
      <c r="D191" s="19" t="n">
        <f aca="false">D130</f>
        <v>4.923841117248</v>
      </c>
      <c r="E191" s="19" t="n">
        <f aca="false">E130</f>
        <v>9.46076550392362</v>
      </c>
      <c r="F191" s="19" t="n">
        <f aca="false">F130</f>
        <v>10.9688747708018</v>
      </c>
      <c r="G191" s="19" t="n">
        <f aca="false">G130</f>
        <v>13.1646630749409</v>
      </c>
      <c r="H191" s="22" t="n">
        <f aca="false">H189*H192</f>
        <v>13.6666242711056</v>
      </c>
      <c r="I191" s="22" t="n">
        <f aca="false">I189*I192</f>
        <v>13.5717257283741</v>
      </c>
      <c r="J191" s="22" t="n">
        <f aca="false">J189*J192</f>
        <v>12.8571809925929</v>
      </c>
    </row>
    <row r="192" customFormat="false" ht="15" hidden="false" customHeight="false" outlineLevel="0" collapsed="false">
      <c r="A192" s="3" t="s">
        <v>506</v>
      </c>
      <c r="B192" s="0" t="s">
        <v>52</v>
      </c>
      <c r="C192" s="13" t="n">
        <f aca="false">C191/C189</f>
        <v>0.110500085925417</v>
      </c>
      <c r="D192" s="13" t="n">
        <f aca="false">D191/D189</f>
        <v>0.128882738383912</v>
      </c>
      <c r="E192" s="13" t="n">
        <f aca="false">E191/E189</f>
        <v>0.147691735161202</v>
      </c>
      <c r="F192" s="13" t="n">
        <f aca="false">F191/F189</f>
        <v>0.151720500002629</v>
      </c>
      <c r="G192" s="13" t="n">
        <f aca="false">G191/G189</f>
        <v>0.156360113913961</v>
      </c>
      <c r="H192" s="23" t="n">
        <f aca="false">$G$192+($C$197-$G$192)*1/3</f>
        <v>0.144537131965338</v>
      </c>
      <c r="I192" s="23" t="n">
        <f aca="false">$G$192+($C$197-$G$192)*2/3</f>
        <v>0.132714150016715</v>
      </c>
      <c r="J192" s="23" t="n">
        <f aca="false">$G$192+($C$197-$G$192)*3/3</f>
        <v>0.120891168068092</v>
      </c>
    </row>
    <row r="193" customFormat="false" ht="17.15" hidden="false" customHeight="false" outlineLevel="0" collapsed="false">
      <c r="A193" s="3" t="s">
        <v>507</v>
      </c>
      <c r="B193" s="3" t="s">
        <v>217</v>
      </c>
      <c r="C193" s="21" t="n">
        <f aca="false">C131</f>
        <v>0.0910120311394197</v>
      </c>
      <c r="D193" s="21" t="n">
        <f aca="false">D131</f>
        <v>0.093076837</v>
      </c>
      <c r="E193" s="21" t="n">
        <f aca="false">E131</f>
        <v>0.093076837</v>
      </c>
      <c r="F193" s="21" t="n">
        <f aca="false">F131</f>
        <v>0.093076837</v>
      </c>
      <c r="G193" s="21" t="n">
        <f aca="false">G131</f>
        <v>0.093076837</v>
      </c>
      <c r="H193" s="24" t="n">
        <f aca="false">G193*(1+sh_g)</f>
        <v>0.093076837</v>
      </c>
      <c r="I193" s="24" t="n">
        <f aca="false">H193*(1+sh_g)</f>
        <v>0.093076837</v>
      </c>
      <c r="J193" s="24" t="n">
        <f aca="false">I193*(1+sh_g)</f>
        <v>0.093076837</v>
      </c>
      <c r="K193" s="7" t="s">
        <v>508</v>
      </c>
    </row>
    <row r="194" customFormat="false" ht="17.15" hidden="false" customHeight="false" outlineLevel="0" collapsed="false">
      <c r="A194" s="0" t="s">
        <v>509</v>
      </c>
      <c r="B194" s="0" t="s">
        <v>251</v>
      </c>
      <c r="C194" s="14" t="n">
        <f aca="false">C132</f>
        <v>28.26</v>
      </c>
      <c r="D194" s="14" t="n">
        <f aca="false">D132</f>
        <v>52.9008212563992</v>
      </c>
      <c r="E194" s="14" t="n">
        <f aca="false">E132</f>
        <v>101.644682059013</v>
      </c>
      <c r="F194" s="14" t="n">
        <f aca="false">F132</f>
        <v>117.847523877523</v>
      </c>
      <c r="G194" s="14" t="n">
        <f aca="false">G132</f>
        <v>141.438659705861</v>
      </c>
      <c r="H194" s="25" t="n">
        <f aca="false">H191/H193</f>
        <v>146.831636222293</v>
      </c>
      <c r="I194" s="25" t="n">
        <f aca="false">I191/I193</f>
        <v>145.812064159143</v>
      </c>
      <c r="J194" s="25" t="n">
        <f aca="false">J191/J193</f>
        <v>138.135130146214</v>
      </c>
    </row>
    <row r="195" customFormat="false" ht="17.15" hidden="false" customHeight="false" outlineLevel="0" collapsed="false">
      <c r="A195" s="0" t="s">
        <v>463</v>
      </c>
      <c r="B195" s="0" t="s">
        <v>52</v>
      </c>
      <c r="C195" s="13"/>
      <c r="D195" s="13" t="n">
        <f aca="false">D194/C194-1</f>
        <v>0.871932811620636</v>
      </c>
      <c r="E195" s="13" t="n">
        <f aca="false">E194/D194-1</f>
        <v>0.921419736876353</v>
      </c>
      <c r="F195" s="13" t="n">
        <f aca="false">F194/E194-1</f>
        <v>0.159406685035448</v>
      </c>
      <c r="G195" s="13" t="n">
        <f aca="false">G194/F194-1</f>
        <v>0.2001835511865</v>
      </c>
      <c r="H195" s="23" t="n">
        <f aca="false">H194/G194-1</f>
        <v>0.0381294373663239</v>
      </c>
      <c r="I195" s="23" t="n">
        <f aca="false">I194/H194-1</f>
        <v>-0.00694381735014049</v>
      </c>
      <c r="J195" s="23" t="n">
        <f aca="false">J194/I194-1</f>
        <v>-0.0526495119399054</v>
      </c>
    </row>
    <row r="196" customFormat="false" ht="17.15" hidden="false" customHeight="false" outlineLevel="0" collapsed="false">
      <c r="A196" s="3" t="s">
        <v>510</v>
      </c>
      <c r="B196" s="0" t="s">
        <v>52</v>
      </c>
      <c r="C196" s="13" t="n">
        <f aca="false">fade_gB</f>
        <v>0.04</v>
      </c>
      <c r="K196" s="7" t="s">
        <v>515</v>
      </c>
    </row>
    <row r="197" customFormat="false" ht="17.15" hidden="false" customHeight="false" outlineLevel="0" collapsed="false">
      <c r="A197" s="3" t="s">
        <v>512</v>
      </c>
      <c r="B197" s="0" t="s">
        <v>52</v>
      </c>
      <c r="C197" s="13" t="n">
        <f aca="false">(G192+nim10)/2</f>
        <v>0.120891168068092</v>
      </c>
      <c r="K197" s="3" t="s">
        <v>516</v>
      </c>
    </row>
    <row r="199" customFormat="false" ht="17.15" hidden="false" customHeight="false" outlineLevel="0" collapsed="false">
      <c r="A199" s="1" t="s">
        <v>517</v>
      </c>
    </row>
    <row r="200" customFormat="false" ht="17.15" hidden="false" customHeight="false" outlineLevel="0" collapsed="false">
      <c r="A200" s="4" t="s">
        <v>21</v>
      </c>
      <c r="B200" s="4" t="s">
        <v>22</v>
      </c>
      <c r="C200" s="10" t="s">
        <v>365</v>
      </c>
      <c r="D200" s="10" t="s">
        <v>452</v>
      </c>
      <c r="E200" s="10" t="s">
        <v>453</v>
      </c>
      <c r="F200" s="10" t="s">
        <v>454</v>
      </c>
      <c r="G200" s="10" t="s">
        <v>455</v>
      </c>
      <c r="H200" s="10" t="s">
        <v>500</v>
      </c>
      <c r="I200" s="10" t="s">
        <v>501</v>
      </c>
      <c r="J200" s="10" t="s">
        <v>502</v>
      </c>
      <c r="K200" s="4" t="s">
        <v>350</v>
      </c>
    </row>
    <row r="201" customFormat="false" ht="17.15" hidden="false" customHeight="false" outlineLevel="0" collapsed="false">
      <c r="A201" s="3" t="s">
        <v>503</v>
      </c>
      <c r="B201" s="0" t="s">
        <v>191</v>
      </c>
      <c r="C201" s="19" t="n">
        <f aca="false">C154</f>
        <v>23.276</v>
      </c>
      <c r="D201" s="19" t="n">
        <f aca="false">D154</f>
        <v>38.20403864</v>
      </c>
      <c r="E201" s="19" t="n">
        <f aca="false">E154</f>
        <v>50.0700238577905</v>
      </c>
      <c r="F201" s="19" t="n">
        <f aca="false">F154</f>
        <v>44.2910536503653</v>
      </c>
      <c r="G201" s="19" t="n">
        <f aca="false">G154</f>
        <v>48.1830905667015</v>
      </c>
      <c r="H201" s="22" t="n">
        <f aca="false">G201*(1+H202)</f>
        <v>51.3270086345338</v>
      </c>
      <c r="I201" s="22" t="n">
        <f aca="false">H201*(1+I202)</f>
        <v>53.5148071489644</v>
      </c>
      <c r="J201" s="22" t="n">
        <f aca="false">I201*(1+J202)</f>
        <v>54.5851032919437</v>
      </c>
      <c r="K201" s="7" t="s">
        <v>504</v>
      </c>
    </row>
    <row r="202" customFormat="false" ht="15" hidden="false" customHeight="false" outlineLevel="0" collapsed="false">
      <c r="A202" s="3" t="s">
        <v>457</v>
      </c>
      <c r="B202" s="0" t="s">
        <v>52</v>
      </c>
      <c r="C202" s="13"/>
      <c r="D202" s="13" t="n">
        <f aca="false">D201/C201-1</f>
        <v>0.641348970613508</v>
      </c>
      <c r="E202" s="13" t="n">
        <f aca="false">E201/D201-1</f>
        <v>0.310595048068208</v>
      </c>
      <c r="F202" s="13" t="n">
        <f aca="false">F201/E201-1</f>
        <v>-0.115417764206358</v>
      </c>
      <c r="G202" s="13" t="n">
        <f aca="false">G201/F201-1</f>
        <v>0.0878741099062572</v>
      </c>
      <c r="H202" s="23" t="n">
        <f aca="false">$G$202+($C$208-$G$202)*1/3</f>
        <v>0.0652494066041715</v>
      </c>
      <c r="I202" s="23" t="n">
        <f aca="false">$G$202+($C$208-$G$202)*2/3</f>
        <v>0.0426247033020857</v>
      </c>
      <c r="J202" s="23" t="n">
        <f aca="false">$G$202+($C$208-$G$202)*3/3</f>
        <v>0.02</v>
      </c>
    </row>
    <row r="203" customFormat="false" ht="15" hidden="false" customHeight="false" outlineLevel="0" collapsed="false">
      <c r="A203" s="3" t="s">
        <v>505</v>
      </c>
      <c r="B203" s="0" t="s">
        <v>191</v>
      </c>
      <c r="C203" s="19" t="n">
        <f aca="false">C168</f>
        <v>2.572</v>
      </c>
      <c r="D203" s="19" t="n">
        <f aca="false">D168</f>
        <v>4.923841117248</v>
      </c>
      <c r="E203" s="19" t="n">
        <f aca="false">E168</f>
        <v>7.02595703347204</v>
      </c>
      <c r="F203" s="19" t="n">
        <f aca="false">F168</f>
        <v>5.70899217085075</v>
      </c>
      <c r="G203" s="19" t="n">
        <f aca="false">G168</f>
        <v>6.38748917436168</v>
      </c>
      <c r="H203" s="22" t="n">
        <f aca="false">H201*H204</f>
        <v>5.99766841431325</v>
      </c>
      <c r="I203" s="22" t="n">
        <f aca="false">I201*I204</f>
        <v>5.41233549971792</v>
      </c>
      <c r="J203" s="22" t="n">
        <f aca="false">J201*J204</f>
        <v>4.66278082342737</v>
      </c>
    </row>
    <row r="204" customFormat="false" ht="15" hidden="false" customHeight="false" outlineLevel="0" collapsed="false">
      <c r="A204" s="3" t="s">
        <v>506</v>
      </c>
      <c r="B204" s="0" t="s">
        <v>52</v>
      </c>
      <c r="C204" s="13" t="n">
        <f aca="false">C203/C201</f>
        <v>0.110500085925417</v>
      </c>
      <c r="D204" s="13" t="n">
        <f aca="false">D203/D201</f>
        <v>0.128882738383912</v>
      </c>
      <c r="E204" s="13" t="n">
        <f aca="false">E203/E201</f>
        <v>0.140322622042827</v>
      </c>
      <c r="F204" s="13" t="n">
        <f aca="false">F203/F201</f>
        <v>0.128897185781979</v>
      </c>
      <c r="G204" s="13" t="n">
        <f aca="false">G203/G201</f>
        <v>0.132567029205386</v>
      </c>
      <c r="H204" s="23" t="n">
        <f aca="false">$G$204+($C$209-$G$204)*1/3</f>
        <v>0.116852093544331</v>
      </c>
      <c r="I204" s="23" t="n">
        <f aca="false">$G$204+($C$209-$G$204)*2/3</f>
        <v>0.101137157883277</v>
      </c>
      <c r="J204" s="23" t="n">
        <f aca="false">$G$204+($C$209-$G$204)*3/3</f>
        <v>0.0854222222222222</v>
      </c>
    </row>
    <row r="205" customFormat="false" ht="17.15" hidden="false" customHeight="false" outlineLevel="0" collapsed="false">
      <c r="A205" s="3" t="s">
        <v>507</v>
      </c>
      <c r="B205" s="3" t="s">
        <v>217</v>
      </c>
      <c r="C205" s="21" t="n">
        <f aca="false">C169</f>
        <v>0.0910120311394197</v>
      </c>
      <c r="D205" s="21" t="n">
        <f aca="false">D169</f>
        <v>0.093076837</v>
      </c>
      <c r="E205" s="21" t="n">
        <f aca="false">E169</f>
        <v>0.093076837</v>
      </c>
      <c r="F205" s="21" t="n">
        <f aca="false">F169</f>
        <v>0.093076837</v>
      </c>
      <c r="G205" s="21" t="n">
        <f aca="false">G169</f>
        <v>0.093076837</v>
      </c>
      <c r="H205" s="24" t="n">
        <f aca="false">G205*(1+sh_g)</f>
        <v>0.093076837</v>
      </c>
      <c r="I205" s="24" t="n">
        <f aca="false">H205*(1+sh_g)</f>
        <v>0.093076837</v>
      </c>
      <c r="J205" s="24" t="n">
        <f aca="false">I205*(1+sh_g)</f>
        <v>0.093076837</v>
      </c>
      <c r="K205" s="7" t="s">
        <v>508</v>
      </c>
    </row>
    <row r="206" customFormat="false" ht="17.15" hidden="false" customHeight="false" outlineLevel="0" collapsed="false">
      <c r="A206" s="0" t="s">
        <v>509</v>
      </c>
      <c r="B206" s="0" t="s">
        <v>251</v>
      </c>
      <c r="C206" s="14" t="n">
        <f aca="false">C170</f>
        <v>28.26</v>
      </c>
      <c r="D206" s="14" t="n">
        <f aca="false">D170</f>
        <v>52.9008212563992</v>
      </c>
      <c r="E206" s="14" t="n">
        <f aca="false">E170</f>
        <v>75.4855585979146</v>
      </c>
      <c r="F206" s="14" t="n">
        <f aca="false">F170</f>
        <v>61.3363362449753</v>
      </c>
      <c r="G206" s="14" t="n">
        <f aca="false">G170</f>
        <v>68.6259802141931</v>
      </c>
      <c r="H206" s="25" t="n">
        <f aca="false">H203/H205</f>
        <v>64.4378194148696</v>
      </c>
      <c r="I206" s="25" t="n">
        <f aca="false">I203/I205</f>
        <v>58.1491128637936</v>
      </c>
      <c r="J206" s="25" t="n">
        <f aca="false">J203/J205</f>
        <v>50.0960386463</v>
      </c>
    </row>
    <row r="207" customFormat="false" ht="17.15" hidden="false" customHeight="false" outlineLevel="0" collapsed="false">
      <c r="A207" s="0" t="s">
        <v>463</v>
      </c>
      <c r="B207" s="0" t="s">
        <v>52</v>
      </c>
      <c r="C207" s="13"/>
      <c r="D207" s="13" t="n">
        <f aca="false">D206/C206-1</f>
        <v>0.871932811620636</v>
      </c>
      <c r="E207" s="13" t="n">
        <f aca="false">E206/D206-1</f>
        <v>0.426926025062105</v>
      </c>
      <c r="F207" s="13" t="n">
        <f aca="false">F206/E206-1</f>
        <v>-0.187442772044747</v>
      </c>
      <c r="G207" s="13" t="n">
        <f aca="false">G206/F206-1</f>
        <v>0.118847071988507</v>
      </c>
      <c r="H207" s="23" t="n">
        <f aca="false">H206/G206-1</f>
        <v>-0.061028793851127</v>
      </c>
      <c r="I207" s="23" t="n">
        <f aca="false">I206/H206-1</f>
        <v>-0.0975934103323303</v>
      </c>
      <c r="J207" s="23" t="n">
        <f aca="false">J206/I206-1</f>
        <v>-0.13849006151404</v>
      </c>
    </row>
    <row r="208" customFormat="false" ht="17.15" hidden="false" customHeight="false" outlineLevel="0" collapsed="false">
      <c r="A208" s="3" t="s">
        <v>510</v>
      </c>
      <c r="B208" s="0" t="s">
        <v>52</v>
      </c>
      <c r="C208" s="13" t="n">
        <f aca="false">fade_gC</f>
        <v>0.02</v>
      </c>
      <c r="K208" s="7" t="s">
        <v>518</v>
      </c>
    </row>
    <row r="209" customFormat="false" ht="17.15" hidden="false" customHeight="false" outlineLevel="0" collapsed="false">
      <c r="A209" s="3" t="s">
        <v>512</v>
      </c>
      <c r="B209" s="0" t="s">
        <v>52</v>
      </c>
      <c r="C209" s="13" t="n">
        <f aca="false">nim10</f>
        <v>0.0854222222222222</v>
      </c>
      <c r="K209" s="3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520</v>
      </c>
    </row>
    <row r="2" customFormat="false" ht="17.15" hidden="false" customHeight="false" outlineLevel="0" collapsed="false">
      <c r="A2" s="3" t="s">
        <v>521</v>
      </c>
    </row>
    <row r="3" customFormat="false" ht="17.15" hidden="false" customHeight="false" outlineLevel="0" collapsed="false">
      <c r="A3" s="3" t="s">
        <v>522</v>
      </c>
    </row>
    <row r="4" customFormat="false" ht="17.15" hidden="false" customHeight="false" outlineLevel="0" collapsed="false">
      <c r="A4" s="5" t="s">
        <v>523</v>
      </c>
    </row>
    <row r="5" customFormat="false" ht="17.15" hidden="false" customHeight="false" outlineLevel="0" collapsed="false">
      <c r="A5" s="5" t="s">
        <v>524</v>
      </c>
    </row>
    <row r="6" customFormat="false" ht="17.15" hidden="false" customHeight="false" outlineLevel="0" collapsed="false">
      <c r="A6" s="4" t="s">
        <v>21</v>
      </c>
      <c r="B6" s="10" t="s">
        <v>525</v>
      </c>
      <c r="C6" s="10" t="s">
        <v>526</v>
      </c>
      <c r="D6" s="10" t="s">
        <v>527</v>
      </c>
      <c r="E6" s="4" t="s">
        <v>350</v>
      </c>
    </row>
    <row r="7" customFormat="false" ht="17.15" hidden="false" customHeight="false" outlineLevel="0" collapsed="false">
      <c r="A7" s="3" t="s">
        <v>528</v>
      </c>
      <c r="E7" s="0" t="s">
        <v>529</v>
      </c>
    </row>
    <row r="8" customFormat="false" ht="15" hidden="false" customHeight="false" outlineLevel="0" collapsed="false">
      <c r="A8" s="0" t="s">
        <v>530</v>
      </c>
      <c r="B8" s="14" t="n">
        <f aca="false">PL!E182</f>
        <v>124.897236246657</v>
      </c>
      <c r="C8" s="14" t="n">
        <f aca="false">PL!E194</f>
        <v>101.644682059013</v>
      </c>
      <c r="D8" s="14" t="n">
        <f aca="false">PL!E206</f>
        <v>75.4855585979146</v>
      </c>
    </row>
    <row r="9" customFormat="false" ht="15" hidden="false" customHeight="false" outlineLevel="0" collapsed="false">
      <c r="A9" s="0" t="s">
        <v>531</v>
      </c>
      <c r="B9" s="14" t="n">
        <f aca="false">PL!F182</f>
        <v>188.492242717084</v>
      </c>
      <c r="C9" s="14" t="n">
        <f aca="false">PL!F194</f>
        <v>117.847523877523</v>
      </c>
      <c r="D9" s="14" t="n">
        <f aca="false">PL!F206</f>
        <v>61.3363362449753</v>
      </c>
    </row>
    <row r="10" customFormat="false" ht="15" hidden="false" customHeight="false" outlineLevel="0" collapsed="false">
      <c r="A10" s="0" t="s">
        <v>532</v>
      </c>
      <c r="B10" s="14" t="n">
        <f aca="false">PL!G182</f>
        <v>214.610421061673</v>
      </c>
      <c r="C10" s="14" t="n">
        <f aca="false">PL!G194</f>
        <v>141.438659705861</v>
      </c>
      <c r="D10" s="14" t="n">
        <f aca="false">PL!G206</f>
        <v>68.6259802141931</v>
      </c>
    </row>
    <row r="11" customFormat="false" ht="15" hidden="false" customHeight="false" outlineLevel="0" collapsed="false">
      <c r="A11" s="0" t="s">
        <v>533</v>
      </c>
      <c r="B11" s="14" t="n">
        <f aca="false">PL!H182</f>
        <v>235.821327510926</v>
      </c>
      <c r="C11" s="14" t="n">
        <f aca="false">PL!H194</f>
        <v>146.831636222293</v>
      </c>
      <c r="D11" s="14" t="n">
        <f aca="false">PL!H206</f>
        <v>64.4378194148696</v>
      </c>
    </row>
    <row r="12" customFormat="false" ht="15" hidden="false" customHeight="false" outlineLevel="0" collapsed="false">
      <c r="A12" s="0" t="s">
        <v>534</v>
      </c>
      <c r="B12" s="14" t="n">
        <f aca="false">PL!I182</f>
        <v>254.549604871254</v>
      </c>
      <c r="C12" s="14" t="n">
        <f aca="false">PL!I194</f>
        <v>145.812064159143</v>
      </c>
      <c r="D12" s="14" t="n">
        <f aca="false">PL!I206</f>
        <v>58.1491128637936</v>
      </c>
    </row>
    <row r="13" customFormat="false" ht="15" hidden="false" customHeight="false" outlineLevel="0" collapsed="false">
      <c r="A13" s="0" t="s">
        <v>535</v>
      </c>
      <c r="B13" s="14" t="n">
        <f aca="false">PL!J182</f>
        <v>269.822581163529</v>
      </c>
      <c r="C13" s="14" t="n">
        <f aca="false">PL!J194</f>
        <v>138.135130146214</v>
      </c>
      <c r="D13" s="14" t="n">
        <f aca="false">PL!J206</f>
        <v>50.0960386463</v>
      </c>
    </row>
    <row r="14" customFormat="false" ht="17.15" hidden="false" customHeight="false" outlineLevel="0" collapsed="false">
      <c r="A14" s="3" t="s">
        <v>536</v>
      </c>
    </row>
    <row r="15" customFormat="false" ht="17.15" hidden="false" customHeight="false" outlineLevel="0" collapsed="false">
      <c r="A15" s="3" t="s">
        <v>537</v>
      </c>
      <c r="B15" s="13" t="n">
        <f aca="false">MIN(tp_g/tp_roe,0.8)</f>
        <v>0.17286084701815</v>
      </c>
      <c r="E15" s="7" t="s">
        <v>538</v>
      </c>
    </row>
    <row r="16" customFormat="false" ht="15" hidden="false" customHeight="false" outlineLevel="0" collapsed="false">
      <c r="A16" s="0" t="s">
        <v>530</v>
      </c>
      <c r="B16" s="14" t="n">
        <f aca="false">B8*(1-$B$15)</f>
        <v>103.307394198834</v>
      </c>
      <c r="C16" s="14" t="n">
        <f aca="false">C8*(1-$B$15)</f>
        <v>84.0742962234018</v>
      </c>
      <c r="D16" s="14" t="n">
        <f aca="false">D8*(1-$B$15)</f>
        <v>62.4370610010408</v>
      </c>
    </row>
    <row r="17" customFormat="false" ht="15" hidden="false" customHeight="false" outlineLevel="0" collapsed="false">
      <c r="A17" s="0" t="s">
        <v>531</v>
      </c>
      <c r="B17" s="14" t="n">
        <f aca="false">B9*(1-$B$15)</f>
        <v>155.909313984658</v>
      </c>
      <c r="C17" s="14" t="n">
        <f aca="false">C9*(1-$B$15)</f>
        <v>97.4763010810626</v>
      </c>
      <c r="D17" s="14" t="n">
        <f aca="false">D9*(1-$B$15)</f>
        <v>50.7336852086788</v>
      </c>
    </row>
    <row r="18" customFormat="false" ht="15" hidden="false" customHeight="false" outlineLevel="0" collapsed="false">
      <c r="A18" s="0" t="s">
        <v>532</v>
      </c>
      <c r="B18" s="14" t="n">
        <f aca="false">B10*(1-$B$15)</f>
        <v>177.51268189803</v>
      </c>
      <c r="C18" s="14" t="n">
        <f aca="false">C10*(1-$B$15)</f>
        <v>116.989453187994</v>
      </c>
      <c r="D18" s="14" t="n">
        <f aca="false">D10*(1-$B$15)</f>
        <v>56.7632351469168</v>
      </c>
    </row>
    <row r="19" customFormat="false" ht="15" hidden="false" customHeight="false" outlineLevel="0" collapsed="false">
      <c r="A19" s="0" t="s">
        <v>533</v>
      </c>
      <c r="B19" s="14" t="n">
        <f aca="false">B11*(1-$B$15)</f>
        <v>195.057053092443</v>
      </c>
      <c r="C19" s="14" t="n">
        <f aca="false">C11*(1-$B$15)</f>
        <v>121.450195215846</v>
      </c>
      <c r="D19" s="14" t="n">
        <f aca="false">D11*(1-$B$15)</f>
        <v>53.2990433708126</v>
      </c>
    </row>
    <row r="20" customFormat="false" ht="15" hidden="false" customHeight="false" outlineLevel="0" collapsed="false">
      <c r="A20" s="0" t="s">
        <v>534</v>
      </c>
      <c r="B20" s="14" t="n">
        <f aca="false">B12*(1-$B$15)</f>
        <v>210.547944565074</v>
      </c>
      <c r="C20" s="14" t="n">
        <f aca="false">C12*(1-$B$15)</f>
        <v>120.606867243129</v>
      </c>
      <c r="D20" s="14" t="n">
        <f aca="false">D12*(1-$B$15)</f>
        <v>48.0974079608042</v>
      </c>
    </row>
    <row r="21" customFormat="false" ht="15" hidden="false" customHeight="false" outlineLevel="0" collapsed="false">
      <c r="A21" s="0" t="s">
        <v>535</v>
      </c>
      <c r="B21" s="14" t="n">
        <f aca="false">B13*(1-$B$15)</f>
        <v>223.180821238978</v>
      </c>
      <c r="C21" s="14" t="n">
        <f aca="false">C13*(1-$B$15)</f>
        <v>114.256974546177</v>
      </c>
      <c r="D21" s="14" t="n">
        <f aca="false">D13*(1-$B$15)</f>
        <v>41.4363949736466</v>
      </c>
    </row>
    <row r="22" customFormat="false" ht="17.15" hidden="false" customHeight="false" outlineLevel="0" collapsed="false">
      <c r="A22" s="0" t="s">
        <v>539</v>
      </c>
      <c r="B22" s="18" t="n">
        <f aca="false">MAX(0,SUMPRODUCT(B16:B21,1/(1+tp_r)^{1;2;3;4;5;6})+B21*(1+tp_g)/(tp_r-tp_g)/(1+tp_r)^6)</f>
        <v>2929.72353776533</v>
      </c>
      <c r="C22" s="18" t="n">
        <f aca="false">MAX(0,SUMPRODUCT(C16:C21,1/(1+tp_r)^{1;2;3;4;5;6})+C21*(1+tp_g)/(tp_r-tp_g)/(1+tp_r)^6)</f>
        <v>1585.13536909461</v>
      </c>
      <c r="D22" s="18" t="n">
        <f aca="false">MAX(0,SUMPRODUCT(D16:D21,1/(1+tp_r)^{1;2;3;4;5;6})+D21*(1+tp_g)/(tp_r-tp_g)/(1+tp_r)^6)</f>
        <v>636.417711852116</v>
      </c>
      <c r="E22" s="7" t="s">
        <v>540</v>
      </c>
    </row>
    <row r="23" customFormat="false" ht="17.15" hidden="false" customHeight="false" outlineLevel="0" collapsed="false">
      <c r="A23" s="0" t="s">
        <v>541</v>
      </c>
      <c r="B23" s="18" t="n">
        <f aca="false">B22*(1+tp_r)</f>
        <v>3222.69589154186</v>
      </c>
      <c r="C23" s="18" t="n">
        <f aca="false">C22*(1+tp_r)</f>
        <v>1743.64890600407</v>
      </c>
      <c r="D23" s="18" t="n">
        <f aca="false">D22*(1+tp_r)</f>
        <v>700.059483037328</v>
      </c>
    </row>
    <row r="24" customFormat="false" ht="17.15" hidden="false" customHeight="false" outlineLevel="0" collapsed="false">
      <c r="A24" s="0" t="s">
        <v>542</v>
      </c>
      <c r="B24" s="26" t="n">
        <f aca="false">tp_wA*B23+tp_wB*C23+tp_wC*D23</f>
        <v>1978.64511707206</v>
      </c>
      <c r="E24" s="7" t="s">
        <v>543</v>
      </c>
    </row>
    <row r="26" customFormat="false" ht="17.15" hidden="false" customHeight="false" outlineLevel="0" collapsed="false">
      <c r="A26" s="5" t="s">
        <v>544</v>
      </c>
    </row>
    <row r="27" customFormat="false" ht="17.15" hidden="false" customHeight="false" outlineLevel="0" collapsed="false">
      <c r="A27" s="4" t="s">
        <v>545</v>
      </c>
      <c r="B27" s="4" t="s">
        <v>546</v>
      </c>
      <c r="C27" s="4" t="s">
        <v>547</v>
      </c>
      <c r="D27" s="4" t="s">
        <v>548</v>
      </c>
      <c r="E27" s="4" t="s">
        <v>549</v>
      </c>
      <c r="F27" s="4" t="s">
        <v>26</v>
      </c>
    </row>
    <row r="28" customFormat="false" ht="17.15" hidden="false" customHeight="false" outlineLevel="0" collapsed="false">
      <c r="A28" s="3" t="s">
        <v>550</v>
      </c>
      <c r="B28" s="0" t="s">
        <v>551</v>
      </c>
      <c r="C28" s="27" t="n">
        <v>27.04</v>
      </c>
      <c r="D28" s="7" t="s">
        <v>552</v>
      </c>
      <c r="E28" s="7" t="s">
        <v>553</v>
      </c>
      <c r="F28" s="7" t="s">
        <v>554</v>
      </c>
    </row>
    <row r="29" customFormat="false" ht="17.15" hidden="false" customHeight="false" outlineLevel="0" collapsed="false">
      <c r="A29" s="3" t="s">
        <v>555</v>
      </c>
      <c r="B29" s="0" t="s">
        <v>556</v>
      </c>
      <c r="C29" s="27" t="n">
        <v>59.27</v>
      </c>
      <c r="D29" s="7" t="s">
        <v>557</v>
      </c>
      <c r="E29" s="7" t="s">
        <v>553</v>
      </c>
      <c r="F29" s="7" t="s">
        <v>554</v>
      </c>
    </row>
    <row r="30" customFormat="false" ht="17.15" hidden="false" customHeight="false" outlineLevel="0" collapsed="false">
      <c r="A30" s="0" t="s">
        <v>558</v>
      </c>
      <c r="B30" s="0" t="s">
        <v>559</v>
      </c>
      <c r="C30" s="27" t="n">
        <v>24.53</v>
      </c>
      <c r="D30" s="7" t="s">
        <v>560</v>
      </c>
      <c r="E30" s="7" t="s">
        <v>553</v>
      </c>
      <c r="F30" s="7" t="s">
        <v>554</v>
      </c>
    </row>
    <row r="31" customFormat="false" ht="17.15" hidden="false" customHeight="false" outlineLevel="0" collapsed="false">
      <c r="A31" s="3" t="s">
        <v>561</v>
      </c>
      <c r="B31" s="0" t="s">
        <v>562</v>
      </c>
      <c r="C31" s="27" t="n">
        <v>30.51</v>
      </c>
      <c r="D31" s="7" t="s">
        <v>563</v>
      </c>
      <c r="E31" s="7" t="s">
        <v>553</v>
      </c>
      <c r="F31" s="7" t="s">
        <v>554</v>
      </c>
    </row>
    <row r="32" customFormat="false" ht="17.15" hidden="false" customHeight="false" outlineLevel="0" collapsed="false">
      <c r="A32" s="3" t="s">
        <v>564</v>
      </c>
    </row>
    <row r="33" customFormat="false" ht="17.15" hidden="false" customHeight="false" outlineLevel="0" collapsed="false">
      <c r="A33" s="3" t="s">
        <v>565</v>
      </c>
      <c r="B33" s="17" t="n">
        <f aca="false">MEDIAN(C28:C31)</f>
        <v>28.775</v>
      </c>
      <c r="E33" s="3" t="s">
        <v>566</v>
      </c>
    </row>
    <row r="34" customFormat="false" ht="17.15" hidden="false" customHeight="false" outlineLevel="0" collapsed="false">
      <c r="A34" s="0" t="s">
        <v>567</v>
      </c>
      <c r="B34" s="14" t="n">
        <f aca="false">tp_wA*(2/12*B8+10/12*B9)+tp_wB*(2/12*C8+10/12*C9)+tp_wC*(2/12*D8+10/12*D9)</f>
        <v>123.680355606249</v>
      </c>
      <c r="E34" s="3" t="s">
        <v>568</v>
      </c>
    </row>
    <row r="35" customFormat="false" ht="17.15" hidden="false" customHeight="false" outlineLevel="0" collapsed="false">
      <c r="A35" s="0" t="s">
        <v>569</v>
      </c>
      <c r="B35" s="26" t="n">
        <f aca="false">B33*B34</f>
        <v>3558.90223256982</v>
      </c>
      <c r="E35" s="3" t="s">
        <v>570</v>
      </c>
    </row>
    <row r="37" customFormat="false" ht="17.15" hidden="false" customHeight="false" outlineLevel="0" collapsed="false">
      <c r="A37" s="5" t="s">
        <v>571</v>
      </c>
    </row>
    <row r="38" customFormat="false" ht="15" hidden="false" customHeight="false" outlineLevel="0" collapsed="false">
      <c r="A38" s="4" t="s">
        <v>21</v>
      </c>
      <c r="B38" s="4" t="s">
        <v>572</v>
      </c>
      <c r="C38" s="4"/>
      <c r="D38" s="4"/>
      <c r="E38" s="4" t="s">
        <v>350</v>
      </c>
    </row>
    <row r="39" customFormat="false" ht="17.15" hidden="false" customHeight="false" outlineLevel="0" collapsed="false">
      <c r="A39" s="1" t="s">
        <v>573</v>
      </c>
      <c r="B39" s="26" t="n">
        <f aca="false">tp_w_dcf*B24+(1-tp_w_dcf)*tp_comp_adj</f>
        <v>2290.21860398203</v>
      </c>
      <c r="E39" s="7" t="s">
        <v>574</v>
      </c>
    </row>
    <row r="40" customFormat="false" ht="17.15" hidden="false" customHeight="false" outlineLevel="0" collapsed="false">
      <c r="A40" s="0" t="s">
        <v>575</v>
      </c>
      <c r="B40" s="18" t="n">
        <f aca="false">B35</f>
        <v>3558.90223256982</v>
      </c>
      <c r="E40" s="3" t="s">
        <v>576</v>
      </c>
    </row>
    <row r="41" customFormat="false" ht="17.15" hidden="false" customHeight="false" outlineLevel="0" collapsed="false">
      <c r="A41" s="3" t="s">
        <v>577</v>
      </c>
      <c r="B41" s="18" t="n">
        <f aca="false">cons_tp</f>
        <v>1523</v>
      </c>
      <c r="E41" s="7" t="s">
        <v>578</v>
      </c>
    </row>
    <row r="42" customFormat="false" ht="17.15" hidden="false" customHeight="false" outlineLevel="0" collapsed="false">
      <c r="A42" s="3" t="s">
        <v>579</v>
      </c>
      <c r="B42" s="13" t="n">
        <f aca="false">B39/px-1</f>
        <v>0.683984267633848</v>
      </c>
      <c r="E42" s="3" t="s">
        <v>580</v>
      </c>
    </row>
    <row r="43" customFormat="false" ht="17.15" hidden="false" customHeight="false" outlineLevel="0" collapsed="false">
      <c r="A43" s="3" t="s">
        <v>581</v>
      </c>
      <c r="B43" s="13" t="n">
        <f aca="false">B40/px-1</f>
        <v>1.61683987688957</v>
      </c>
    </row>
    <row r="44" customFormat="false" ht="17.15" hidden="false" customHeight="false" outlineLevel="0" collapsed="false">
      <c r="A44" s="3" t="s">
        <v>582</v>
      </c>
      <c r="B44" s="13" t="n">
        <f aca="false">B34/cons_feps-1</f>
        <v>0.663749374789802</v>
      </c>
      <c r="E44" s="3" t="s">
        <v>583</v>
      </c>
    </row>
    <row r="45" customFormat="false" ht="17.15" hidden="false" customHeight="false" outlineLevel="0" collapsed="false">
      <c r="A45" s="3" t="s">
        <v>584</v>
      </c>
      <c r="B45" s="13" t="n">
        <f aca="false">(cons_tp/cons_feps)/B33-1</f>
        <v>-0.288013513095247</v>
      </c>
      <c r="E45" s="0" t="str">
        <f aca="false">"共識目標價 ÷ 共識前瞻 EPS 隱含 "&amp;TEXT(cons_tp/cons_feps,"0.0")&amp;"x，同業中位數 "&amp;TEXT(B33,"0.0")&amp;"x"</f>
        <v>共識目標價 ÷ 共識前瞻 EPS 隱含 20.5x，同業中位數 28.8x</v>
      </c>
    </row>
    <row r="46" customFormat="false" ht="17.15" hidden="false" customHeight="false" outlineLevel="0" collapsed="false">
      <c r="A46" s="3" t="s">
        <v>585</v>
      </c>
      <c r="B46" s="28" t="str">
        <f aca="false">TEXT(D23,"#,##0")&amp;"～"&amp;TEXT(B23,"#,##0")</f>
        <v>700～3,223</v>
      </c>
      <c r="E46" s="7" t="s">
        <v>586</v>
      </c>
    </row>
    <row r="47" customFormat="false" ht="17.15" hidden="false" customHeight="false" outlineLevel="0" collapsed="false">
      <c r="A47" s="3" t="s">
        <v>587</v>
      </c>
      <c r="B47" s="29" t="n">
        <f aca="false">IF(px/B9&lt;MIN($B$99:$B$108),0,IF(px/B9&gt;MAX($B$99:$B$108),1,PERCENTRANK($B$99:$B$108,px/B9)))</f>
        <v>0</v>
      </c>
      <c r="C47" s="29" t="n">
        <f aca="false">IF(px/C9&lt;MIN($B$99:$B$108),0,IF(px/C9&gt;MAX($B$99:$B$108),1,PERCENTRANK($B$99:$B$108,px/C9)))</f>
        <v>0.0343</v>
      </c>
      <c r="D47" s="29" t="n">
        <f aca="false">IF(px/D9&lt;MIN($B$99:$B$108),0,IF(px/D9&gt;MAX($B$99:$B$108),1,PERCENTRANK($B$99:$B$108,px/D9)))</f>
        <v>0.559</v>
      </c>
      <c r="E47" s="3" t="s">
        <v>588</v>
      </c>
    </row>
    <row r="48" customFormat="false" ht="17.15" hidden="false" customHeight="false" outlineLevel="0" collapsed="false">
      <c r="A48" s="3" t="s">
        <v>589</v>
      </c>
      <c r="B48" s="0" t="s">
        <v>590</v>
      </c>
    </row>
    <row r="60" customFormat="false" ht="17.15" hidden="false" customHeight="false" outlineLevel="0" collapsed="false">
      <c r="A60" s="5" t="s">
        <v>591</v>
      </c>
    </row>
    <row r="61" customFormat="false" ht="15" hidden="false" customHeight="false" outlineLevel="0" collapsed="false">
      <c r="A61" s="4" t="s">
        <v>21</v>
      </c>
      <c r="B61" s="10" t="s">
        <v>592</v>
      </c>
      <c r="C61" s="10" t="s">
        <v>593</v>
      </c>
      <c r="D61" s="10" t="s">
        <v>594</v>
      </c>
      <c r="E61" s="4" t="s">
        <v>350</v>
      </c>
    </row>
    <row r="62" customFormat="false" ht="17.15" hidden="false" customHeight="false" outlineLevel="0" collapsed="false">
      <c r="A62" s="3" t="s">
        <v>595</v>
      </c>
      <c r="B62" s="18" t="n">
        <f aca="false">px</f>
        <v>1360</v>
      </c>
    </row>
    <row r="63" customFormat="false" ht="17.15" hidden="false" customHeight="false" outlineLevel="0" collapsed="false">
      <c r="A63" s="3" t="s">
        <v>596</v>
      </c>
      <c r="B63" s="17" t="n">
        <f aca="false">px/PL!D15</f>
        <v>25.708485571677</v>
      </c>
      <c r="C63" s="17" t="n">
        <f aca="false">px/PL!D29</f>
        <v>25.708485571677</v>
      </c>
      <c r="D63" s="17" t="n">
        <f aca="false">px/PL!D43</f>
        <v>25.708485571677</v>
      </c>
    </row>
    <row r="64" customFormat="false" ht="17.15" hidden="false" customHeight="false" outlineLevel="0" collapsed="false">
      <c r="A64" s="3" t="s">
        <v>597</v>
      </c>
      <c r="B64" s="17" t="n">
        <f aca="false">px/PL!E15</f>
        <v>10.8889519165513</v>
      </c>
      <c r="C64" s="17" t="n">
        <f aca="false">px/PL!E29</f>
        <v>13.3799424864195</v>
      </c>
      <c r="D64" s="17" t="n">
        <f aca="false">px/PL!E43</f>
        <v>18.0166912090331</v>
      </c>
    </row>
    <row r="65" customFormat="false" ht="17.15" hidden="false" customHeight="false" outlineLevel="0" collapsed="false">
      <c r="A65" s="3" t="s">
        <v>598</v>
      </c>
      <c r="B65" s="17" t="n">
        <f aca="false">px/PL!F15</f>
        <v>7.21515103431222</v>
      </c>
      <c r="C65" s="17" t="n">
        <f aca="false">px/PL!F29</f>
        <v>11.5403358106482</v>
      </c>
      <c r="D65" s="17" t="n">
        <f aca="false">px/PL!F43</f>
        <v>22.1728274504073</v>
      </c>
    </row>
    <row r="66" customFormat="false" ht="17.15" hidden="false" customHeight="false" outlineLevel="0" collapsed="false">
      <c r="A66" s="3" t="s">
        <v>599</v>
      </c>
      <c r="B66" s="17" t="n">
        <f aca="false">px/PL!G15</f>
        <v>6.33706412424947</v>
      </c>
      <c r="C66" s="17" t="n">
        <f aca="false">px/PL!G29</f>
        <v>9.61547573222401</v>
      </c>
      <c r="D66" s="17" t="n">
        <f aca="false">px/PL!G43</f>
        <v>19.8175675706957</v>
      </c>
    </row>
    <row r="67" customFormat="false" ht="17.15" hidden="false" customHeight="false" outlineLevel="0" collapsed="false">
      <c r="A67" s="3" t="s">
        <v>600</v>
      </c>
      <c r="B67" s="14" t="n">
        <f aca="false">2/12*PL!D29+10/12*PL!E29</f>
        <v>93.5207052585778</v>
      </c>
    </row>
    <row r="68" customFormat="false" ht="17.15" hidden="false" customHeight="false" outlineLevel="0" collapsed="false">
      <c r="A68" s="3" t="s">
        <v>601</v>
      </c>
      <c r="B68" s="17" t="n">
        <f aca="false">px/B67</f>
        <v>14.542234216901</v>
      </c>
    </row>
    <row r="69" customFormat="false" ht="17.15" hidden="false" customHeight="false" outlineLevel="0" collapsed="false">
      <c r="A69" s="3" t="s">
        <v>602</v>
      </c>
      <c r="B69" s="17" t="n">
        <f aca="false">px/eps_ttm</f>
        <v>31.0006838386141</v>
      </c>
    </row>
    <row r="70" customFormat="false" ht="17.15" hidden="false" customHeight="false" outlineLevel="0" collapsed="false">
      <c r="A70" s="3" t="s">
        <v>603</v>
      </c>
      <c r="B70" s="27" t="n">
        <v>17.27</v>
      </c>
      <c r="E70" s="7" t="s">
        <v>604</v>
      </c>
    </row>
    <row r="72" customFormat="false" ht="17.15" hidden="false" customHeight="false" outlineLevel="0" collapsed="false">
      <c r="A72" s="5" t="s">
        <v>605</v>
      </c>
    </row>
    <row r="73" customFormat="false" ht="17.15" hidden="false" customHeight="false" outlineLevel="0" collapsed="false">
      <c r="A73" s="4" t="s">
        <v>606</v>
      </c>
      <c r="B73" s="4" t="s">
        <v>607</v>
      </c>
      <c r="C73" s="10" t="s">
        <v>608</v>
      </c>
      <c r="D73" s="4" t="s">
        <v>609</v>
      </c>
      <c r="E73" s="4" t="s">
        <v>610</v>
      </c>
      <c r="F73" s="4" t="s">
        <v>350</v>
      </c>
    </row>
    <row r="74" customFormat="false" ht="17.15" hidden="false" customHeight="false" outlineLevel="0" collapsed="false">
      <c r="A74" s="0" t="s">
        <v>592</v>
      </c>
      <c r="B74" s="0" t="n">
        <f aca="false">INDEX({2026,2027,2028,2029},MATCH(MAX(PL!D78:G78),PL!D78:G78,0))</f>
        <v>2029</v>
      </c>
      <c r="C74" s="0" t="str">
        <f aca="false">IF(B74=2029,"中段",IF(2027&lt;B74,"中段",IF(2027=B74,"見頂","谷底")))</f>
        <v>中段</v>
      </c>
      <c r="D74" s="17" t="n">
        <f aca="false">IF(C74="見頂",pe_peak,IF(C74="谷底",pe_trough,pe_mid))</f>
        <v>19.95</v>
      </c>
      <c r="E74" s="0" t="str">
        <f aca="false">IF(B74=2029,"是：營收到觀測期末仍在增加","否")</f>
        <v>是：營收到觀測期末仍在增加</v>
      </c>
      <c r="F74" s="7" t="s">
        <v>611</v>
      </c>
    </row>
    <row r="75" customFormat="false" ht="15" hidden="false" customHeight="false" outlineLevel="0" collapsed="false">
      <c r="A75" s="0" t="s">
        <v>593</v>
      </c>
      <c r="B75" s="0" t="n">
        <f aca="false">INDEX({2026,2027,2028,2029},MATCH(MAX(PL!D116:G116),PL!D116:G116,0))</f>
        <v>2029</v>
      </c>
      <c r="C75" s="0" t="str">
        <f aca="false">IF(B75=2029,"中段",IF(2027&lt;B75,"中段",IF(2027=B75,"見頂","谷底")))</f>
        <v>中段</v>
      </c>
      <c r="D75" s="17" t="n">
        <f aca="false">IF(C75="見頂",pe_peak,IF(C75="谷底",pe_trough,pe_mid))</f>
        <v>19.95</v>
      </c>
      <c r="E75" s="0" t="str">
        <f aca="false">IF(B75=2029,"是：營收到觀測期末仍在增加","否")</f>
        <v>是：營收到觀測期末仍在增加</v>
      </c>
      <c r="F75" s="3" t="s">
        <v>38</v>
      </c>
    </row>
    <row r="76" customFormat="false" ht="15" hidden="false" customHeight="false" outlineLevel="0" collapsed="false">
      <c r="A76" s="0" t="s">
        <v>594</v>
      </c>
      <c r="B76" s="0" t="n">
        <f aca="false">INDEX({2026,2027,2028,2029},MATCH(MAX(PL!D154:G154),PL!D154:G154,0))</f>
        <v>2027</v>
      </c>
      <c r="C76" s="0" t="str">
        <f aca="false">IF(B76=2029,"中段",IF(2027&lt;B76,"中段",IF(2027=B76,"見頂","谷底")))</f>
        <v>見頂</v>
      </c>
      <c r="D76" s="17" t="n">
        <f aca="false">IF(C76="見頂",pe_peak,IF(C76="谷底",pe_trough,pe_mid))</f>
        <v>16.61</v>
      </c>
      <c r="E76" s="0" t="str">
        <f aca="false">IF(B76=2029,"是：營收到觀測期末仍在增加","否")</f>
        <v>否</v>
      </c>
      <c r="F76" s="3" t="s">
        <v>38</v>
      </c>
    </row>
    <row r="78" customFormat="false" ht="17.15" hidden="false" customHeight="false" outlineLevel="0" collapsed="false">
      <c r="A78" s="5" t="s">
        <v>612</v>
      </c>
    </row>
    <row r="79" customFormat="false" ht="17.15" hidden="false" customHeight="false" outlineLevel="0" collapsed="false">
      <c r="A79" s="4" t="s">
        <v>606</v>
      </c>
      <c r="B79" s="10" t="s">
        <v>613</v>
      </c>
      <c r="C79" s="4" t="s">
        <v>614</v>
      </c>
      <c r="D79" s="4" t="s">
        <v>615</v>
      </c>
      <c r="E79" s="4" t="s">
        <v>616</v>
      </c>
      <c r="F79" s="4" t="s">
        <v>617</v>
      </c>
      <c r="G79" s="4" t="s">
        <v>618</v>
      </c>
    </row>
    <row r="80" customFormat="false" ht="15" hidden="false" customHeight="false" outlineLevel="0" collapsed="false">
      <c r="A80" s="9" t="s">
        <v>592</v>
      </c>
      <c r="B80" s="30" t="n">
        <f aca="false">PL!E15</f>
        <v>124.897236246657</v>
      </c>
      <c r="C80" s="30" t="n">
        <f aca="false">B80</f>
        <v>124.897236246657</v>
      </c>
      <c r="D80" s="31" t="n">
        <f aca="false">D74</f>
        <v>19.95</v>
      </c>
      <c r="E80" s="26" t="n">
        <f aca="false">C80*D80</f>
        <v>2491.69986312081</v>
      </c>
      <c r="F80" s="32" t="n">
        <f aca="false">E80/px-1</f>
        <v>0.83213225229471</v>
      </c>
      <c r="G80" s="31" t="n">
        <f aca="false">px/C80</f>
        <v>10.8889519165513</v>
      </c>
    </row>
    <row r="81" customFormat="false" ht="15" hidden="false" customHeight="false" outlineLevel="0" collapsed="false">
      <c r="A81" s="9" t="s">
        <v>593</v>
      </c>
      <c r="B81" s="30" t="n">
        <f aca="false">PL!E29</f>
        <v>101.644682059013</v>
      </c>
      <c r="C81" s="30" t="n">
        <f aca="false">B81</f>
        <v>101.644682059013</v>
      </c>
      <c r="D81" s="31" t="n">
        <f aca="false">D75</f>
        <v>19.95</v>
      </c>
      <c r="E81" s="26" t="n">
        <f aca="false">C81*D81</f>
        <v>2027.81140707732</v>
      </c>
      <c r="F81" s="32" t="n">
        <f aca="false">E81/px-1</f>
        <v>0.491037799321558</v>
      </c>
      <c r="G81" s="31" t="n">
        <f aca="false">px/C81</f>
        <v>13.3799424864195</v>
      </c>
    </row>
    <row r="82" customFormat="false" ht="15" hidden="false" customHeight="false" outlineLevel="0" collapsed="false">
      <c r="A82" s="9" t="s">
        <v>594</v>
      </c>
      <c r="B82" s="30" t="n">
        <f aca="false">PL!E43</f>
        <v>75.4855585979146</v>
      </c>
      <c r="C82" s="30" t="n">
        <f aca="false">B82</f>
        <v>75.4855585979146</v>
      </c>
      <c r="D82" s="31" t="n">
        <f aca="false">D76</f>
        <v>16.61</v>
      </c>
      <c r="E82" s="26" t="n">
        <f aca="false">C82*D82</f>
        <v>1253.81512831136</v>
      </c>
      <c r="F82" s="32" t="n">
        <f aca="false">E82/px-1</f>
        <v>-0.0780771115357642</v>
      </c>
      <c r="G82" s="31" t="n">
        <f aca="false">px/C82</f>
        <v>18.0166912090331</v>
      </c>
    </row>
    <row r="84" customFormat="false" ht="17.15" hidden="false" customHeight="false" outlineLevel="0" collapsed="false">
      <c r="A84" s="5" t="s">
        <v>619</v>
      </c>
    </row>
    <row r="85" customFormat="false" ht="17.15" hidden="false" customHeight="false" outlineLevel="0" collapsed="false">
      <c r="A85" s="10" t="s">
        <v>620</v>
      </c>
      <c r="B85" s="4" t="s">
        <v>621</v>
      </c>
      <c r="C85" s="4" t="s">
        <v>622</v>
      </c>
      <c r="D85" s="4" t="s">
        <v>623</v>
      </c>
      <c r="E85" s="4" t="s">
        <v>624</v>
      </c>
    </row>
    <row r="86" customFormat="false" ht="15" hidden="false" customHeight="false" outlineLevel="0" collapsed="false">
      <c r="A86" s="15" t="n">
        <v>1</v>
      </c>
      <c r="B86" s="17" t="n">
        <f aca="false">px*A86/PL!F15</f>
        <v>7.21515103431222</v>
      </c>
      <c r="C86" s="17" t="n">
        <f aca="false">px*A86/PL!F43</f>
        <v>22.1728274504073</v>
      </c>
      <c r="D86" s="17" t="n">
        <f aca="false">pe_mid</f>
        <v>19.95</v>
      </c>
      <c r="E86" s="17" t="n">
        <f aca="false">pe_trough</f>
        <v>31.65</v>
      </c>
    </row>
    <row r="87" customFormat="false" ht="15" hidden="false" customHeight="false" outlineLevel="0" collapsed="false">
      <c r="A87" s="15" t="n">
        <v>1.1</v>
      </c>
      <c r="B87" s="17" t="n">
        <f aca="false">px*A87/PL!F15</f>
        <v>7.93666613774345</v>
      </c>
      <c r="C87" s="17" t="n">
        <f aca="false">px*A87/PL!F43</f>
        <v>24.390110195448</v>
      </c>
      <c r="D87" s="17" t="n">
        <f aca="false">pe_mid</f>
        <v>19.95</v>
      </c>
      <c r="E87" s="17" t="n">
        <f aca="false">pe_trough</f>
        <v>31.65</v>
      </c>
    </row>
    <row r="88" customFormat="false" ht="15" hidden="false" customHeight="false" outlineLevel="0" collapsed="false">
      <c r="A88" s="15" t="n">
        <v>1.21</v>
      </c>
      <c r="B88" s="17" t="n">
        <f aca="false">px*A88/PL!F15</f>
        <v>8.73033275151779</v>
      </c>
      <c r="C88" s="17" t="n">
        <f aca="false">px*A88/PL!F43</f>
        <v>26.8291212149928</v>
      </c>
      <c r="D88" s="17" t="n">
        <f aca="false">pe_mid</f>
        <v>19.95</v>
      </c>
      <c r="E88" s="17" t="n">
        <f aca="false">pe_trough</f>
        <v>31.65</v>
      </c>
    </row>
    <row r="89" customFormat="false" ht="15" hidden="false" customHeight="false" outlineLevel="0" collapsed="false">
      <c r="A89" s="15" t="n">
        <v>1.5</v>
      </c>
      <c r="B89" s="17" t="n">
        <f aca="false">px*A89/PL!F15</f>
        <v>10.8227265514683</v>
      </c>
      <c r="C89" s="17" t="n">
        <f aca="false">px*A89/PL!F43</f>
        <v>33.259241175611</v>
      </c>
      <c r="D89" s="17" t="n">
        <f aca="false">pe_mid</f>
        <v>19.95</v>
      </c>
      <c r="E89" s="17" t="n">
        <f aca="false">pe_trough</f>
        <v>31.65</v>
      </c>
    </row>
    <row r="90" customFormat="false" ht="15" hidden="false" customHeight="false" outlineLevel="0" collapsed="false">
      <c r="A90" s="15" t="n">
        <v>2</v>
      </c>
      <c r="B90" s="17" t="n">
        <f aca="false">px*A90/PL!F15</f>
        <v>14.4303020686244</v>
      </c>
      <c r="C90" s="17" t="n">
        <f aca="false">px*A90/PL!F43</f>
        <v>44.3456549008146</v>
      </c>
      <c r="D90" s="17" t="n">
        <f aca="false">pe_mid</f>
        <v>19.95</v>
      </c>
      <c r="E90" s="17" t="n">
        <f aca="false">pe_trough</f>
        <v>31.65</v>
      </c>
    </row>
    <row r="91" customFormat="false" ht="17.15" hidden="false" customHeight="false" outlineLevel="0" collapsed="false">
      <c r="A91" s="3" t="s">
        <v>625</v>
      </c>
    </row>
    <row r="94" customFormat="false" ht="17.15" hidden="false" customHeight="false" outlineLevel="0" collapsed="false">
      <c r="A94" s="5" t="s">
        <v>626</v>
      </c>
    </row>
    <row r="95" customFormat="false" ht="17.15" hidden="false" customHeight="false" outlineLevel="0" collapsed="false">
      <c r="A95" s="3" t="s">
        <v>627</v>
      </c>
    </row>
    <row r="97" customFormat="false" ht="17.15" hidden="false" customHeight="false" outlineLevel="0" collapsed="false">
      <c r="A97" s="5" t="s">
        <v>628</v>
      </c>
    </row>
    <row r="98" customFormat="false" ht="17.15" hidden="false" customHeight="false" outlineLevel="0" collapsed="false">
      <c r="A98" s="4" t="s">
        <v>629</v>
      </c>
      <c r="B98" s="10" t="s">
        <v>630</v>
      </c>
      <c r="C98" s="10" t="s">
        <v>631</v>
      </c>
      <c r="D98" s="4" t="s">
        <v>632</v>
      </c>
    </row>
    <row r="99" customFormat="false" ht="17.15" hidden="false" customHeight="false" outlineLevel="0" collapsed="false">
      <c r="A99" s="0" t="s">
        <v>633</v>
      </c>
      <c r="D99" s="0" t="s">
        <v>634</v>
      </c>
    </row>
    <row r="100" customFormat="false" ht="17.15" hidden="false" customHeight="false" outlineLevel="0" collapsed="false">
      <c r="A100" s="0" t="s">
        <v>635</v>
      </c>
      <c r="B100" s="14" t="n">
        <f aca="false">73/3.66</f>
        <v>19.9453551912568</v>
      </c>
      <c r="D100" s="7" t="s">
        <v>636</v>
      </c>
    </row>
    <row r="101" customFormat="false" ht="15" hidden="false" customHeight="false" outlineLevel="0" collapsed="false">
      <c r="A101" s="0" t="s">
        <v>637</v>
      </c>
      <c r="B101" s="14" t="n">
        <f aca="false">97.9/2.9</f>
        <v>33.7586206896552</v>
      </c>
    </row>
    <row r="102" customFormat="false" ht="15" hidden="false" customHeight="false" outlineLevel="0" collapsed="false">
      <c r="A102" s="0" t="s">
        <v>638</v>
      </c>
      <c r="B102" s="14" t="n">
        <f aca="false">220/11.71</f>
        <v>18.7873612297182</v>
      </c>
    </row>
    <row r="103" customFormat="false" ht="15" hidden="false" customHeight="false" outlineLevel="0" collapsed="false">
      <c r="A103" s="0" t="s">
        <v>639</v>
      </c>
      <c r="B103" s="14" t="n">
        <f aca="false">214/12.88</f>
        <v>16.6149068322981</v>
      </c>
    </row>
    <row r="104" customFormat="false" ht="15" hidden="false" customHeight="false" outlineLevel="0" collapsed="false">
      <c r="A104" s="0" t="s">
        <v>640</v>
      </c>
      <c r="B104" s="14" t="n">
        <f aca="false">202/13.12</f>
        <v>15.3963414634146</v>
      </c>
      <c r="C104" s="15" t="n">
        <v>15.35</v>
      </c>
    </row>
    <row r="105" customFormat="false" ht="15" hidden="false" customHeight="false" outlineLevel="0" collapsed="false">
      <c r="A105" s="0" t="s">
        <v>641</v>
      </c>
      <c r="B105" s="14" t="n">
        <f aca="false">148/14.68</f>
        <v>10.0817438692098</v>
      </c>
      <c r="C105" s="15" t="n">
        <v>10.08</v>
      </c>
    </row>
    <row r="106" customFormat="false" ht="15" hidden="false" customHeight="false" outlineLevel="0" collapsed="false">
      <c r="A106" s="0" t="s">
        <v>642</v>
      </c>
      <c r="B106" s="14" t="n">
        <f aca="false">352.5/14.28</f>
        <v>24.6848739495798</v>
      </c>
      <c r="C106" s="15" t="n">
        <v>24.65</v>
      </c>
    </row>
    <row r="107" customFormat="false" ht="15" hidden="false" customHeight="false" outlineLevel="0" collapsed="false">
      <c r="A107" s="0" t="s">
        <v>643</v>
      </c>
      <c r="B107" s="14" t="n">
        <f aca="false">672/21.23</f>
        <v>31.6533207724918</v>
      </c>
      <c r="C107" s="15" t="n">
        <v>31.96</v>
      </c>
    </row>
    <row r="108" customFormat="false" ht="15" hidden="false" customHeight="false" outlineLevel="0" collapsed="false">
      <c r="A108" s="0" t="s">
        <v>644</v>
      </c>
      <c r="B108" s="14" t="n">
        <f aca="false">1010/28.26</f>
        <v>35.7395612172682</v>
      </c>
      <c r="C108" s="15" t="n">
        <v>35.83</v>
      </c>
    </row>
    <row r="109" customFormat="false" ht="17.15" hidden="false" customHeight="false" outlineLevel="0" collapsed="false">
      <c r="A109" s="0" t="s">
        <v>645</v>
      </c>
      <c r="B109" s="14" t="n">
        <f aca="false">PERCENTILE(B99:B108,0.25)</f>
        <v>16.6149068322981</v>
      </c>
      <c r="C109" s="14" t="n">
        <f aca="false">PERCENTILE(C99:C108,0.25)</f>
        <v>15.35</v>
      </c>
    </row>
    <row r="110" customFormat="false" ht="15" hidden="false" customHeight="false" outlineLevel="0" collapsed="false">
      <c r="A110" s="3" t="s">
        <v>646</v>
      </c>
      <c r="B110" s="14" t="n">
        <f aca="false">MEDIAN(B99:B108)</f>
        <v>19.9453551912568</v>
      </c>
      <c r="C110" s="14" t="n">
        <f aca="false">MEDIAN(C99:C108)</f>
        <v>24.65</v>
      </c>
    </row>
    <row r="111" customFormat="false" ht="17.15" hidden="false" customHeight="false" outlineLevel="0" collapsed="false">
      <c r="A111" s="0" t="s">
        <v>647</v>
      </c>
      <c r="B111" s="14" t="n">
        <f aca="false">PERCENTILE(B99:B108,0.75)</f>
        <v>31.6533207724918</v>
      </c>
      <c r="C111" s="14" t="n">
        <f aca="false">PERCENTILE(C99:C108,0.75)</f>
        <v>31.96</v>
      </c>
    </row>
    <row r="112" customFormat="false" ht="15" hidden="false" customHeight="false" outlineLevel="0" collapsed="false">
      <c r="A112" s="3" t="s">
        <v>648</v>
      </c>
      <c r="B112" s="14" t="n">
        <f aca="false">MIN(B99:B108)</f>
        <v>10.0817438692098</v>
      </c>
      <c r="C112" s="14" t="n">
        <f aca="false">MIN(C99:C108)</f>
        <v>10.08</v>
      </c>
    </row>
    <row r="113" customFormat="false" ht="15" hidden="false" customHeight="false" outlineLevel="0" collapsed="false">
      <c r="A113" s="3" t="s">
        <v>649</v>
      </c>
      <c r="B113" s="14" t="n">
        <f aca="false">MAX(B99:B108)</f>
        <v>35.7395612172682</v>
      </c>
      <c r="C113" s="14" t="n">
        <f aca="false">MAX(C99:C108)</f>
        <v>35.83</v>
      </c>
    </row>
    <row r="114" customFormat="false" ht="17.15" hidden="false" customHeight="false" outlineLevel="0" collapsed="false">
      <c r="A114" s="1" t="s">
        <v>650</v>
      </c>
      <c r="B114" s="14" t="n">
        <f aca="false">ROUND(AVERAGE(B109),2)</f>
        <v>16.61</v>
      </c>
    </row>
    <row r="115" customFormat="false" ht="17.15" hidden="false" customHeight="false" outlineLevel="0" collapsed="false">
      <c r="A115" s="1" t="s">
        <v>651</v>
      </c>
      <c r="B115" s="14" t="n">
        <f aca="false">ROUND(AVERAGE(B110),2)</f>
        <v>19.95</v>
      </c>
    </row>
    <row r="116" customFormat="false" ht="17.15" hidden="false" customHeight="false" outlineLevel="0" collapsed="false">
      <c r="A116" s="1" t="s">
        <v>652</v>
      </c>
      <c r="B116" s="14" t="n">
        <f aca="false">ROUND(AVERAGE(B111),2)</f>
        <v>31.65</v>
      </c>
    </row>
    <row r="117" customFormat="false" ht="17.15" hidden="false" customHeight="false" outlineLevel="0" collapsed="false">
      <c r="A117" s="1" t="s">
        <v>653</v>
      </c>
      <c r="B117" s="14" t="n">
        <f aca="false">ROUND(MIN(B112),2)</f>
        <v>10.08</v>
      </c>
    </row>
    <row r="118" customFormat="false" ht="17.15" hidden="false" customHeight="false" outlineLevel="0" collapsed="false">
      <c r="A118" s="1" t="s">
        <v>654</v>
      </c>
      <c r="B118" s="14" t="n">
        <f aca="false">ROUND(MAX(B113),2)</f>
        <v>35.74</v>
      </c>
    </row>
    <row r="120" customFormat="false" ht="17.15" hidden="false" customHeight="false" outlineLevel="0" collapsed="false">
      <c r="A120" s="5" t="s">
        <v>655</v>
      </c>
    </row>
    <row r="121" customFormat="false" ht="17.15" hidden="false" customHeight="false" outlineLevel="0" collapsed="false">
      <c r="A121" s="4" t="s">
        <v>656</v>
      </c>
      <c r="B121" s="4" t="s">
        <v>657</v>
      </c>
      <c r="C121" s="4" t="s">
        <v>658</v>
      </c>
      <c r="D121" s="4" t="s">
        <v>24</v>
      </c>
      <c r="E121" s="4" t="s">
        <v>659</v>
      </c>
      <c r="F121" s="4" t="s">
        <v>616</v>
      </c>
      <c r="G121" s="4" t="s">
        <v>660</v>
      </c>
      <c r="H121" s="4" t="s">
        <v>661</v>
      </c>
    </row>
    <row r="122" customFormat="false" ht="17.15" hidden="false" customHeight="false" outlineLevel="0" collapsed="false">
      <c r="A122" s="3" t="s">
        <v>662</v>
      </c>
      <c r="B122" s="0" t="s">
        <v>663</v>
      </c>
      <c r="C122" s="14" t="n">
        <f aca="false">B114</f>
        <v>16.61</v>
      </c>
      <c r="D122" s="7" t="s">
        <v>664</v>
      </c>
      <c r="E122" s="20" t="n">
        <f aca="false">C81</f>
        <v>101.644682059013</v>
      </c>
      <c r="F122" s="19" t="n">
        <f aca="false">C122*E122</f>
        <v>1688.31816900021</v>
      </c>
      <c r="G122" s="13" t="n">
        <f aca="false">F122/px-1</f>
        <v>0.24141041838251</v>
      </c>
      <c r="H122" s="14" t="n">
        <f aca="false">px/E122</f>
        <v>13.3799424864195</v>
      </c>
    </row>
    <row r="123" customFormat="false" ht="17.15" hidden="false" customHeight="false" outlineLevel="0" collapsed="false">
      <c r="A123" s="3" t="s">
        <v>665</v>
      </c>
      <c r="B123" s="3" t="s">
        <v>666</v>
      </c>
      <c r="C123" s="14" t="n">
        <f aca="false">B115</f>
        <v>19.95</v>
      </c>
      <c r="D123" s="7" t="s">
        <v>664</v>
      </c>
      <c r="E123" s="20" t="n">
        <f aca="false">C81</f>
        <v>101.644682059013</v>
      </c>
      <c r="F123" s="19" t="n">
        <f aca="false">C123*E123</f>
        <v>2027.81140707732</v>
      </c>
      <c r="G123" s="13" t="n">
        <f aca="false">F123/px-1</f>
        <v>0.491037799321558</v>
      </c>
      <c r="H123" s="14" t="n">
        <f aca="false">px/E123</f>
        <v>13.3799424864195</v>
      </c>
    </row>
    <row r="124" customFormat="false" ht="17.15" hidden="false" customHeight="false" outlineLevel="0" collapsed="false">
      <c r="A124" s="3" t="s">
        <v>667</v>
      </c>
      <c r="B124" s="0" t="s">
        <v>668</v>
      </c>
      <c r="C124" s="14" t="n">
        <f aca="false">B116</f>
        <v>31.65</v>
      </c>
      <c r="D124" s="7" t="s">
        <v>664</v>
      </c>
      <c r="E124" s="20" t="n">
        <f aca="false">C81</f>
        <v>101.644682059013</v>
      </c>
      <c r="F124" s="19" t="n">
        <f aca="false">C124*E124</f>
        <v>3217.05418716778</v>
      </c>
      <c r="G124" s="13" t="n">
        <f aca="false">F124/px-1</f>
        <v>1.36548101997631</v>
      </c>
      <c r="H124" s="14" t="n">
        <f aca="false">px/E124</f>
        <v>13.3799424864195</v>
      </c>
    </row>
    <row r="128" customFormat="false" ht="17.15" hidden="false" customHeight="false" outlineLevel="0" collapsed="false">
      <c r="A128" s="5" t="s">
        <v>669</v>
      </c>
    </row>
    <row r="129" customFormat="false" ht="17.15" hidden="false" customHeight="false" outlineLevel="0" collapsed="false">
      <c r="A129" s="3" t="s">
        <v>670</v>
      </c>
      <c r="B129" s="0" t="str">
        <f aca="false">IF(B42&gt;0.5,"大於 50%",IF(B42&gt;0.25,"25%–50%",IF(B42&gt;=0,"0%–25%",IF(B42&gt;=-0.25,"0%～−25%",IF(B42&gt;=-0.5,"−25%～−50%","小於 −50%")))))</f>
        <v>大於 50%</v>
      </c>
      <c r="E129" s="3" t="s">
        <v>671</v>
      </c>
    </row>
    <row r="130" customFormat="false" ht="17.15" hidden="false" customHeight="false" outlineLevel="0" collapsed="false">
      <c r="A130" s="3" t="s">
        <v>672</v>
      </c>
      <c r="B130" s="0" t="str">
        <f aca="false">IF(B42&gt;0.5,"強力買進",IF(B42&gt;0.25,"買進",IF(B42&gt;=-0.25,"中立",IF(B42&gt;=-0.5,"放空","強力放空"))))</f>
        <v>強力買進</v>
      </c>
      <c r="E130" s="3" t="s">
        <v>673</v>
      </c>
    </row>
    <row r="133" customFormat="false" ht="17.15" hidden="false" customHeight="false" outlineLevel="0" collapsed="false">
      <c r="A133" s="5" t="s">
        <v>674</v>
      </c>
    </row>
    <row r="134" customFormat="false" ht="17.15" hidden="false" customHeight="false" outlineLevel="0" collapsed="false">
      <c r="A134" s="3" t="s">
        <v>675</v>
      </c>
    </row>
    <row r="135" customFormat="false" ht="17.15" hidden="false" customHeight="false" outlineLevel="0" collapsed="false">
      <c r="A135" s="4" t="s">
        <v>676</v>
      </c>
      <c r="B135" s="4" t="s">
        <v>546</v>
      </c>
      <c r="C135" s="4" t="s">
        <v>677</v>
      </c>
      <c r="D135" s="10" t="s">
        <v>678</v>
      </c>
      <c r="E135" s="10" t="s">
        <v>679</v>
      </c>
      <c r="F135" s="10" t="s">
        <v>680</v>
      </c>
      <c r="G135" s="10" t="s">
        <v>681</v>
      </c>
      <c r="H135" s="10" t="s">
        <v>682</v>
      </c>
      <c r="I135" s="10" t="s">
        <v>683</v>
      </c>
      <c r="J135" s="10" t="s">
        <v>684</v>
      </c>
      <c r="K135" s="10" t="s">
        <v>685</v>
      </c>
      <c r="L135" s="10" t="s">
        <v>686</v>
      </c>
      <c r="M135" s="10" t="s">
        <v>687</v>
      </c>
      <c r="N135" s="4" t="s">
        <v>688</v>
      </c>
      <c r="O135" s="10" t="s">
        <v>689</v>
      </c>
      <c r="P135" s="4" t="s">
        <v>690</v>
      </c>
      <c r="Q135" s="4" t="s">
        <v>549</v>
      </c>
    </row>
    <row r="136" customFormat="false" ht="17.15" hidden="false" customHeight="false" outlineLevel="0" collapsed="false">
      <c r="A136" s="3" t="s">
        <v>691</v>
      </c>
      <c r="B136" s="0" t="s">
        <v>692</v>
      </c>
      <c r="C136" s="3" t="s">
        <v>693</v>
      </c>
      <c r="D136" s="15" t="n">
        <v>9.6235</v>
      </c>
      <c r="E136" s="15" t="n">
        <v>10.687</v>
      </c>
      <c r="F136" s="15" t="n">
        <v>16.4315</v>
      </c>
      <c r="G136" s="15" t="n">
        <v>12.6885</v>
      </c>
      <c r="H136" s="15" t="n">
        <v>12.307</v>
      </c>
      <c r="I136" s="15" t="n">
        <v>11.567</v>
      </c>
      <c r="J136" s="15" t="n">
        <v>16.6985</v>
      </c>
      <c r="K136" s="15" t="n">
        <v>22.0355</v>
      </c>
      <c r="L136" s="15" t="n">
        <v>18.3915</v>
      </c>
      <c r="M136" s="15" t="n">
        <v>17.794</v>
      </c>
      <c r="N136" s="7" t="n">
        <f aca="false">COUNT(D136:M136)</f>
        <v>10</v>
      </c>
      <c r="O136" s="14" t="n">
        <f aca="false">IF(N136&gt;0,MEDIAN(D136:M136),"")</f>
        <v>14.56</v>
      </c>
      <c r="P136" s="14" t="n">
        <f aca="false">IF(N136&gt;=7,O136,"")</f>
        <v>14.56</v>
      </c>
      <c r="Q136" s="7" t="s">
        <v>694</v>
      </c>
    </row>
    <row r="137" customFormat="false" ht="17.15" hidden="false" customHeight="false" outlineLevel="0" collapsed="false">
      <c r="A137" s="3" t="s">
        <v>550</v>
      </c>
      <c r="B137" s="0" t="s">
        <v>551</v>
      </c>
      <c r="C137" s="3" t="s">
        <v>695</v>
      </c>
      <c r="D137" s="15" t="n">
        <v>9.037</v>
      </c>
      <c r="E137" s="15" t="n">
        <v>10.857</v>
      </c>
      <c r="F137" s="15" t="n">
        <v>12.449</v>
      </c>
      <c r="G137" s="15" t="n">
        <v>11.1545</v>
      </c>
      <c r="H137" s="15" t="n">
        <v>9.6675</v>
      </c>
      <c r="I137" s="15" t="n">
        <v>9.83</v>
      </c>
      <c r="J137" s="15" t="n">
        <v>13.495</v>
      </c>
      <c r="K137" s="15" t="n">
        <v>23.8015</v>
      </c>
      <c r="L137" s="15" t="n">
        <v>18.857</v>
      </c>
      <c r="M137" s="15" t="n">
        <v>21.7485</v>
      </c>
      <c r="N137" s="7" t="n">
        <f aca="false">COUNT(D137:M137)</f>
        <v>10</v>
      </c>
      <c r="O137" s="14" t="n">
        <f aca="false">IF(N137&gt;0,MEDIAN(D137:M137),"")</f>
        <v>11.80175</v>
      </c>
      <c r="P137" s="14" t="n">
        <f aca="false">IF(N137&gt;=7,O137,"")</f>
        <v>11.80175</v>
      </c>
      <c r="Q137" s="7" t="s">
        <v>696</v>
      </c>
    </row>
    <row r="138" customFormat="false" ht="17.15" hidden="false" customHeight="false" outlineLevel="0" collapsed="false">
      <c r="A138" s="3" t="s">
        <v>555</v>
      </c>
      <c r="B138" s="0" t="s">
        <v>556</v>
      </c>
      <c r="C138" s="3" t="s">
        <v>695</v>
      </c>
      <c r="E138" s="15" t="n">
        <v>15.734</v>
      </c>
      <c r="F138" s="15" t="n">
        <v>14.88</v>
      </c>
      <c r="G138" s="15" t="n">
        <v>26.158</v>
      </c>
      <c r="H138" s="15" t="n">
        <v>26.307</v>
      </c>
      <c r="I138" s="15" t="n">
        <v>25.784</v>
      </c>
      <c r="J138" s="15" t="n">
        <v>22.105</v>
      </c>
      <c r="K138" s="15" t="n">
        <v>40.7155</v>
      </c>
      <c r="L138" s="15" t="n">
        <v>40.5715</v>
      </c>
      <c r="M138" s="15" t="n">
        <v>46.7975</v>
      </c>
      <c r="N138" s="7" t="n">
        <f aca="false">COUNT(D138:M138)</f>
        <v>9</v>
      </c>
      <c r="O138" s="14" t="n">
        <f aca="false">IF(N138&gt;0,MEDIAN(D138:M138),"")</f>
        <v>26.158</v>
      </c>
      <c r="P138" s="14" t="n">
        <f aca="false">IF(N138&gt;=7,O138,"")</f>
        <v>26.158</v>
      </c>
      <c r="Q138" s="7" t="s">
        <v>697</v>
      </c>
    </row>
    <row r="139" customFormat="false" ht="17.15" hidden="false" customHeight="false" outlineLevel="0" collapsed="false">
      <c r="A139" s="0" t="s">
        <v>558</v>
      </c>
      <c r="B139" s="0" t="s">
        <v>559</v>
      </c>
      <c r="C139" s="3" t="s">
        <v>695</v>
      </c>
      <c r="G139" s="15" t="n">
        <v>15.7025</v>
      </c>
      <c r="H139" s="15" t="n">
        <v>19.634</v>
      </c>
      <c r="I139" s="15" t="n">
        <v>14.244</v>
      </c>
      <c r="J139" s="15" t="n">
        <v>13.886</v>
      </c>
      <c r="K139" s="15" t="n">
        <v>29.9615</v>
      </c>
      <c r="L139" s="15" t="n">
        <v>32.341</v>
      </c>
      <c r="M139" s="15" t="n">
        <v>34.732</v>
      </c>
      <c r="N139" s="7" t="n">
        <f aca="false">COUNT(D139:M139)</f>
        <v>7</v>
      </c>
      <c r="O139" s="14" t="n">
        <f aca="false">IF(N139&gt;0,MEDIAN(D139:M139),"")</f>
        <v>19.634</v>
      </c>
      <c r="P139" s="14" t="n">
        <f aca="false">IF(N139&gt;=7,O139,"")</f>
        <v>19.634</v>
      </c>
      <c r="Q139" s="7" t="s">
        <v>698</v>
      </c>
    </row>
    <row r="140" customFormat="false" ht="17.15" hidden="false" customHeight="false" outlineLevel="0" collapsed="false">
      <c r="A140" s="3" t="s">
        <v>561</v>
      </c>
      <c r="B140" s="0" t="s">
        <v>562</v>
      </c>
      <c r="C140" s="3" t="s">
        <v>695</v>
      </c>
      <c r="D140" s="15" t="n">
        <v>19.0835</v>
      </c>
      <c r="E140" s="15" t="n">
        <v>16.964</v>
      </c>
      <c r="F140" s="15" t="n">
        <v>17.317</v>
      </c>
      <c r="G140" s="15" t="n">
        <v>17.4535</v>
      </c>
      <c r="H140" s="15" t="n">
        <v>22.492</v>
      </c>
      <c r="I140" s="15" t="n">
        <v>20.004</v>
      </c>
      <c r="J140" s="15" t="n">
        <v>20.3925</v>
      </c>
      <c r="K140" s="15" t="n">
        <v>22.412</v>
      </c>
      <c r="L140" s="15" t="n">
        <v>22.3245</v>
      </c>
      <c r="M140" s="15" t="n">
        <v>32.9855</v>
      </c>
      <c r="N140" s="7" t="n">
        <f aca="false">COUNT(D140:M140)</f>
        <v>10</v>
      </c>
      <c r="O140" s="14" t="n">
        <f aca="false">IF(N140&gt;0,MEDIAN(D140:M140),"")</f>
        <v>20.19825</v>
      </c>
      <c r="P140" s="14" t="n">
        <f aca="false">IF(N140&gt;=7,O140,"")</f>
        <v>20.19825</v>
      </c>
      <c r="Q140" s="7" t="s">
        <v>699</v>
      </c>
    </row>
    <row r="142" customFormat="false" ht="17.15" hidden="false" customHeight="false" outlineLevel="0" collapsed="false">
      <c r="A142" s="3" t="s">
        <v>700</v>
      </c>
      <c r="B142" s="14" t="n">
        <f aca="false">P136</f>
        <v>14.56</v>
      </c>
      <c r="E142" s="3" t="s">
        <v>701</v>
      </c>
    </row>
    <row r="143" customFormat="false" ht="15" hidden="false" customHeight="false" outlineLevel="0" collapsed="false">
      <c r="A143" s="3" t="s">
        <v>702</v>
      </c>
      <c r="B143" s="33" t="n">
        <f aca="false">COUNT(P137:P140)</f>
        <v>4</v>
      </c>
    </row>
    <row r="144" customFormat="false" ht="17.15" hidden="false" customHeight="false" outlineLevel="0" collapsed="false">
      <c r="A144" s="3" t="s">
        <v>703</v>
      </c>
      <c r="B144" s="14" t="n">
        <f aca="false">IF(B143&gt;0,MEDIAN(P137:P140),"")</f>
        <v>19.916125</v>
      </c>
    </row>
    <row r="145" customFormat="false" ht="17.15" hidden="false" customHeight="false" outlineLevel="0" collapsed="false">
      <c r="A145" s="3" t="s">
        <v>704</v>
      </c>
      <c r="B145" s="14" t="n">
        <f aca="false">IF(AND(ISNUMBER(B142),B143&gt;=2),B142/B144,"")</f>
        <v>0.731065907650208</v>
      </c>
      <c r="E145" s="3" t="s">
        <v>705</v>
      </c>
    </row>
    <row r="146" customFormat="false" ht="17.15" hidden="false" customHeight="false" outlineLevel="0" collapsed="false">
      <c r="A146" s="3" t="s">
        <v>706</v>
      </c>
      <c r="B146" s="15" t="n">
        <v>0.5</v>
      </c>
      <c r="E146" s="7" t="s">
        <v>707</v>
      </c>
    </row>
    <row r="147" customFormat="false" ht="17.15" hidden="false" customHeight="false" outlineLevel="0" collapsed="false">
      <c r="A147" s="3" t="s">
        <v>708</v>
      </c>
      <c r="B147" s="15" t="n">
        <v>2</v>
      </c>
      <c r="E147" s="7" t="s">
        <v>709</v>
      </c>
    </row>
    <row r="148" customFormat="false" ht="17.15" hidden="false" customHeight="false" outlineLevel="0" collapsed="false">
      <c r="A148" s="1" t="s">
        <v>710</v>
      </c>
      <c r="B148" s="30" t="n">
        <f aca="false">IF(ISNUMBER(B145),MIN(MAX(B145,B146),B147),1)</f>
        <v>0.731065907650208</v>
      </c>
      <c r="E148" s="3" t="s">
        <v>711</v>
      </c>
    </row>
    <row r="149" customFormat="false" ht="17.15" hidden="false" customHeight="false" outlineLevel="0" collapsed="false">
      <c r="A149" s="5" t="s">
        <v>712</v>
      </c>
      <c r="B149" s="26" t="n">
        <f aca="false">Val!$B$35*B148</f>
        <v>2601.79209089201</v>
      </c>
      <c r="E149" s="3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714</v>
      </c>
    </row>
    <row r="3" customFormat="false" ht="17.15" hidden="false" customHeight="false" outlineLevel="0" collapsed="false">
      <c r="A3" s="4" t="s">
        <v>21</v>
      </c>
      <c r="B3" s="4" t="s">
        <v>715</v>
      </c>
      <c r="C3" s="4" t="s">
        <v>716</v>
      </c>
      <c r="D3" s="4" t="s">
        <v>717</v>
      </c>
      <c r="E3" s="4" t="s">
        <v>718</v>
      </c>
      <c r="F3" s="4" t="s">
        <v>719</v>
      </c>
      <c r="G3" s="4" t="s">
        <v>720</v>
      </c>
      <c r="H3" s="4" t="s">
        <v>721</v>
      </c>
      <c r="I3" s="4" t="s">
        <v>722</v>
      </c>
      <c r="J3" s="4" t="s">
        <v>350</v>
      </c>
    </row>
    <row r="4" customFormat="false" ht="17.15" hidden="false" customHeight="false" outlineLevel="0" collapsed="false">
      <c r="A4" s="5" t="s">
        <v>723</v>
      </c>
    </row>
    <row r="5" customFormat="false" ht="17.15" hidden="false" customHeight="false" outlineLevel="0" collapsed="false">
      <c r="A5" s="0" t="s">
        <v>724</v>
      </c>
      <c r="B5" s="19" t="n">
        <f aca="false">c_rev26</f>
        <v>38.7</v>
      </c>
      <c r="C5" s="19" t="n">
        <f aca="false">PL!D78</f>
        <v>38.20403864</v>
      </c>
      <c r="D5" s="13" t="n">
        <f aca="false">C5/B5-1</f>
        <v>-0.0128155390180877</v>
      </c>
      <c r="E5" s="19" t="n">
        <f aca="false">PL!D116</f>
        <v>38.20403864</v>
      </c>
      <c r="F5" s="13" t="n">
        <f aca="false">E5/B5-1</f>
        <v>-0.0128155390180877</v>
      </c>
      <c r="G5" s="19" t="n">
        <f aca="false">PL!D154</f>
        <v>38.20403864</v>
      </c>
      <c r="H5" s="13" t="n">
        <f aca="false">G5/B5-1</f>
        <v>-0.0128155390180877</v>
      </c>
      <c r="I5" s="7" t="s">
        <v>725</v>
      </c>
      <c r="J5" s="3" t="s">
        <v>726</v>
      </c>
    </row>
    <row r="6" customFormat="false" ht="17.15" hidden="false" customHeight="false" outlineLevel="0" collapsed="false">
      <c r="A6" s="0" t="s">
        <v>727</v>
      </c>
      <c r="B6" s="19" t="n">
        <f aca="false">b_rev26</f>
        <v>39.016</v>
      </c>
      <c r="C6" s="19" t="n">
        <f aca="false">PL!D78</f>
        <v>38.20403864</v>
      </c>
      <c r="D6" s="13" t="n">
        <f aca="false">C6/B6-1</f>
        <v>-0.0208109842116052</v>
      </c>
      <c r="E6" s="19" t="n">
        <f aca="false">PL!D116</f>
        <v>38.20403864</v>
      </c>
      <c r="F6" s="13" t="n">
        <f aca="false">E6/B6-1</f>
        <v>-0.0208109842116052</v>
      </c>
      <c r="G6" s="19" t="n">
        <f aca="false">PL!D154</f>
        <v>38.20403864</v>
      </c>
      <c r="H6" s="13" t="n">
        <f aca="false">G6/B6-1</f>
        <v>-0.0208109842116052</v>
      </c>
      <c r="I6" s="3" t="s">
        <v>728</v>
      </c>
      <c r="J6" s="3" t="s">
        <v>729</v>
      </c>
    </row>
    <row r="7" customFormat="false" ht="17.15" hidden="false" customHeight="false" outlineLevel="0" collapsed="false">
      <c r="A7" s="0" t="s">
        <v>730</v>
      </c>
      <c r="B7" s="20" t="n">
        <f aca="false">c_eps26</f>
        <v>56.18</v>
      </c>
      <c r="C7" s="20" t="n">
        <f aca="false">PL!D94</f>
        <v>52.9008212563992</v>
      </c>
      <c r="D7" s="13" t="n">
        <f aca="false">C7/B7-1</f>
        <v>-0.0583691481595021</v>
      </c>
      <c r="E7" s="20" t="n">
        <f aca="false">PL!D132</f>
        <v>52.9008212563992</v>
      </c>
      <c r="F7" s="13" t="n">
        <f aca="false">E7/B7-1</f>
        <v>-0.0583691481595021</v>
      </c>
      <c r="G7" s="20" t="n">
        <f aca="false">PL!D170</f>
        <v>52.9008212563992</v>
      </c>
      <c r="H7" s="13" t="n">
        <f aca="false">G7/B7-1</f>
        <v>-0.0583691481595021</v>
      </c>
      <c r="I7" s="7" t="s">
        <v>725</v>
      </c>
      <c r="J7" s="7" t="s">
        <v>731</v>
      </c>
    </row>
    <row r="8" customFormat="false" ht="17.15" hidden="false" customHeight="false" outlineLevel="0" collapsed="false">
      <c r="A8" s="0" t="s">
        <v>732</v>
      </c>
      <c r="B8" s="20" t="n">
        <f aca="false">b_eps26</f>
        <v>55.69</v>
      </c>
      <c r="C8" s="20" t="n">
        <f aca="false">PL!D94</f>
        <v>52.9008212563992</v>
      </c>
      <c r="D8" s="13" t="n">
        <f aca="false">C8/B8-1</f>
        <v>-0.0500840140707637</v>
      </c>
      <c r="E8" s="20" t="n">
        <f aca="false">PL!D132</f>
        <v>52.9008212563992</v>
      </c>
      <c r="F8" s="13" t="n">
        <f aca="false">E8/B8-1</f>
        <v>-0.0500840140707637</v>
      </c>
      <c r="G8" s="20" t="n">
        <f aca="false">PL!D170</f>
        <v>52.9008212563992</v>
      </c>
      <c r="H8" s="13" t="n">
        <f aca="false">G8/B8-1</f>
        <v>-0.0500840140707637</v>
      </c>
      <c r="I8" s="3" t="s">
        <v>728</v>
      </c>
    </row>
    <row r="9" customFormat="false" ht="17.15" hidden="false" customHeight="false" outlineLevel="0" collapsed="false">
      <c r="A9" s="0" t="s">
        <v>733</v>
      </c>
      <c r="B9" s="20" t="n">
        <f aca="false">u_eps26</f>
        <v>58.8</v>
      </c>
      <c r="C9" s="20" t="n">
        <f aca="false">PL!D94</f>
        <v>52.9008212563992</v>
      </c>
      <c r="D9" s="13" t="n">
        <f aca="false">C9/B9-1</f>
        <v>-0.100326169108858</v>
      </c>
      <c r="E9" s="20" t="n">
        <f aca="false">PL!D132</f>
        <v>52.9008212563992</v>
      </c>
      <c r="F9" s="13" t="n">
        <f aca="false">E9/B9-1</f>
        <v>-0.100326169108858</v>
      </c>
      <c r="G9" s="20" t="n">
        <f aca="false">PL!D170</f>
        <v>52.9008212563992</v>
      </c>
      <c r="H9" s="13" t="n">
        <f aca="false">G9/B9-1</f>
        <v>-0.100326169108858</v>
      </c>
      <c r="I9" s="3" t="s">
        <v>734</v>
      </c>
    </row>
    <row r="10" customFormat="false" ht="17.15" hidden="false" customHeight="false" outlineLevel="0" collapsed="false">
      <c r="A10" s="0" t="s">
        <v>735</v>
      </c>
      <c r="B10" s="19" t="n">
        <f aca="false">c_rev27</f>
        <v>49.1</v>
      </c>
      <c r="C10" s="19" t="n">
        <f aca="false">PL!E78</f>
        <v>76.4908399924034</v>
      </c>
      <c r="D10" s="13" t="n">
        <f aca="false">C10/B10-1</f>
        <v>0.557858248317787</v>
      </c>
      <c r="E10" s="19" t="n">
        <f aca="false">PL!E116</f>
        <v>64.0575147525856</v>
      </c>
      <c r="F10" s="13" t="n">
        <f aca="false">E10/B10-1</f>
        <v>0.304633701681987</v>
      </c>
      <c r="G10" s="19" t="n">
        <f aca="false">PL!E154</f>
        <v>50.0700238577905</v>
      </c>
      <c r="H10" s="13" t="n">
        <f aca="false">G10/B10-1</f>
        <v>0.0197560867167104</v>
      </c>
      <c r="I10" s="7" t="s">
        <v>725</v>
      </c>
    </row>
    <row r="11" customFormat="false" ht="17.15" hidden="false" customHeight="false" outlineLevel="0" collapsed="false">
      <c r="A11" s="0" t="s">
        <v>736</v>
      </c>
      <c r="B11" s="19" t="n">
        <f aca="false">b_rev27</f>
        <v>50.486</v>
      </c>
      <c r="C11" s="19" t="n">
        <f aca="false">PL!E78</f>
        <v>76.4908399924034</v>
      </c>
      <c r="D11" s="13" t="n">
        <f aca="false">C11/B11-1</f>
        <v>0.515090123844301</v>
      </c>
      <c r="E11" s="19" t="n">
        <f aca="false">PL!E116</f>
        <v>64.0575147525856</v>
      </c>
      <c r="F11" s="13" t="n">
        <f aca="false">E11/B11-1</f>
        <v>0.26881739002071</v>
      </c>
      <c r="G11" s="19" t="n">
        <f aca="false">PL!E154</f>
        <v>50.0700238577905</v>
      </c>
      <c r="H11" s="13" t="n">
        <f aca="false">G11/B11-1</f>
        <v>-0.00823943553083062</v>
      </c>
      <c r="I11" s="3" t="s">
        <v>728</v>
      </c>
    </row>
    <row r="12" customFormat="false" ht="17.15" hidden="false" customHeight="false" outlineLevel="0" collapsed="false">
      <c r="A12" s="0" t="s">
        <v>737</v>
      </c>
      <c r="B12" s="20" t="n">
        <f aca="false">c_eps27</f>
        <v>77.97</v>
      </c>
      <c r="C12" s="20" t="n">
        <f aca="false">PL!E94</f>
        <v>124.897236246657</v>
      </c>
      <c r="D12" s="13" t="n">
        <f aca="false">C12/B12-1</f>
        <v>0.601862719592881</v>
      </c>
      <c r="E12" s="20" t="n">
        <f aca="false">PL!E132</f>
        <v>101.644682059013</v>
      </c>
      <c r="F12" s="13" t="n">
        <f aca="false">E12/B12-1</f>
        <v>0.30363834883947</v>
      </c>
      <c r="G12" s="20" t="n">
        <f aca="false">PL!E170</f>
        <v>75.4855585979146</v>
      </c>
      <c r="H12" s="13" t="n">
        <f aca="false">G12/B12-1</f>
        <v>-0.0318640682581179</v>
      </c>
      <c r="I12" s="7" t="s">
        <v>725</v>
      </c>
    </row>
    <row r="13" customFormat="false" ht="17.15" hidden="false" customHeight="false" outlineLevel="0" collapsed="false">
      <c r="A13" s="0" t="s">
        <v>738</v>
      </c>
      <c r="B13" s="20" t="n">
        <f aca="false">b_eps27</f>
        <v>81.55</v>
      </c>
      <c r="C13" s="20" t="n">
        <f aca="false">PL!E94</f>
        <v>124.897236246657</v>
      </c>
      <c r="D13" s="13" t="n">
        <f aca="false">C13/B13-1</f>
        <v>0.531541830124549</v>
      </c>
      <c r="E13" s="20" t="n">
        <f aca="false">PL!E132</f>
        <v>101.644682059013</v>
      </c>
      <c r="F13" s="13" t="n">
        <f aca="false">E13/B13-1</f>
        <v>0.246409344684408</v>
      </c>
      <c r="G13" s="20" t="n">
        <f aca="false">PL!E170</f>
        <v>75.4855585979146</v>
      </c>
      <c r="H13" s="13" t="n">
        <f aca="false">G13/B13-1</f>
        <v>-0.0743647014357505</v>
      </c>
      <c r="I13" s="3" t="s">
        <v>728</v>
      </c>
    </row>
    <row r="14" customFormat="false" ht="17.15" hidden="false" customHeight="false" outlineLevel="0" collapsed="false">
      <c r="A14" s="0" t="s">
        <v>739</v>
      </c>
      <c r="B14" s="20" t="n">
        <f aca="false">u_eps27</f>
        <v>89</v>
      </c>
      <c r="C14" s="20" t="n">
        <f aca="false">PL!E94</f>
        <v>124.897236246657</v>
      </c>
      <c r="D14" s="13" t="n">
        <f aca="false">C14/B14-1</f>
        <v>0.403339733108505</v>
      </c>
      <c r="E14" s="20" t="n">
        <f aca="false">PL!E132</f>
        <v>101.644682059013</v>
      </c>
      <c r="F14" s="13" t="n">
        <f aca="false">E14/B14-1</f>
        <v>0.142075079314758</v>
      </c>
      <c r="G14" s="20" t="n">
        <f aca="false">PL!E170</f>
        <v>75.4855585979146</v>
      </c>
      <c r="H14" s="13" t="n">
        <f aca="false">G14/B14-1</f>
        <v>-0.151847656203207</v>
      </c>
      <c r="I14" s="3" t="s">
        <v>734</v>
      </c>
    </row>
    <row r="15" customFormat="false" ht="17.15" hidden="false" customHeight="false" outlineLevel="0" collapsed="false">
      <c r="A15" s="0" t="s">
        <v>740</v>
      </c>
      <c r="B15" s="20" t="n">
        <f aca="false">u_eps28</f>
        <v>110</v>
      </c>
      <c r="C15" s="20" t="n">
        <f aca="false">PL!F94</f>
        <v>188.492242717084</v>
      </c>
      <c r="D15" s="13" t="n">
        <f aca="false">C15/B15-1</f>
        <v>0.713565842882583</v>
      </c>
      <c r="E15" s="20" t="n">
        <f aca="false">PL!F132</f>
        <v>117.847523877523</v>
      </c>
      <c r="F15" s="13" t="n">
        <f aca="false">E15/B15-1</f>
        <v>0.0713411261592993</v>
      </c>
      <c r="G15" s="20" t="n">
        <f aca="false">PL!F170</f>
        <v>61.3363362449753</v>
      </c>
      <c r="H15" s="13" t="n">
        <f aca="false">G15/B15-1</f>
        <v>-0.442396943227498</v>
      </c>
      <c r="I15" s="3" t="s">
        <v>734</v>
      </c>
      <c r="J15" s="7" t="s">
        <v>741</v>
      </c>
    </row>
    <row r="16" customFormat="false" ht="17.15" hidden="false" customHeight="false" outlineLevel="0" collapsed="false">
      <c r="A16" s="5" t="s">
        <v>742</v>
      </c>
    </row>
    <row r="17" customFormat="false" ht="17.15" hidden="false" customHeight="false" outlineLevel="0" collapsed="false">
      <c r="A17" s="0" t="s">
        <v>743</v>
      </c>
      <c r="B17" s="13" t="n">
        <f aca="false">b_lc27</f>
        <v>0.72</v>
      </c>
      <c r="C17" s="13" t="n">
        <f aca="false">PL!E80</f>
        <v>0.805960177543951</v>
      </c>
      <c r="D17" s="13" t="n">
        <f aca="false">C17-B17</f>
        <v>0.0859601775439509</v>
      </c>
      <c r="E17" s="13" t="n">
        <f aca="false">PL!E118</f>
        <v>0.768297770074807</v>
      </c>
      <c r="F17" s="13" t="n">
        <f aca="false">E17-B17</f>
        <v>0.0482977700748071</v>
      </c>
      <c r="G17" s="13" t="n">
        <f aca="false">PL!E156</f>
        <v>0.703569763541651</v>
      </c>
      <c r="H17" s="13" t="n">
        <f aca="false">G17-B17</f>
        <v>-0.0164302364583488</v>
      </c>
      <c r="I17" s="3" t="s">
        <v>728</v>
      </c>
    </row>
    <row r="18" customFormat="false" ht="17.15" hidden="false" customHeight="false" outlineLevel="0" collapsed="false">
      <c r="A18" s="0" t="s">
        <v>744</v>
      </c>
      <c r="C18" s="13" t="n">
        <f aca="false">PL!D70</f>
        <v>0.15870077644017</v>
      </c>
      <c r="E18" s="13" t="n">
        <f aca="false">PL!D108</f>
        <v>0.15870077644017</v>
      </c>
      <c r="G18" s="13" t="n">
        <f aca="false">PL!D146</f>
        <v>0.15870077644017</v>
      </c>
      <c r="I18" s="7" t="s">
        <v>165</v>
      </c>
      <c r="J18" s="3" t="s">
        <v>745</v>
      </c>
    </row>
    <row r="19" customFormat="false" ht="17.15" hidden="false" customHeight="false" outlineLevel="0" collapsed="false">
      <c r="A19" s="0" t="s">
        <v>746</v>
      </c>
      <c r="C19" s="13" t="n">
        <f aca="false">avsh_26+PL!D72</f>
        <v>0.657628417556847</v>
      </c>
      <c r="E19" s="13" t="n">
        <f aca="false">avsh_26+PL!D110</f>
        <v>0.657628417556847</v>
      </c>
      <c r="G19" s="13" t="n">
        <f aca="false">avsh_26+PL!D148</f>
        <v>0.657628417556847</v>
      </c>
      <c r="I19" s="3" t="s">
        <v>747</v>
      </c>
      <c r="J19" s="3" t="s">
        <v>748</v>
      </c>
    </row>
    <row r="20" customFormat="false" ht="17.15" hidden="false" customHeight="false" outlineLevel="0" collapsed="false">
      <c r="A20" s="0" t="s">
        <v>749</v>
      </c>
      <c r="C20" s="13" t="n">
        <f aca="false">avsh_27+PL!E72</f>
        <v>0.640617074323021</v>
      </c>
      <c r="E20" s="13" t="n">
        <f aca="false">avsh_27+PL!E110</f>
        <v>0.624746996679004</v>
      </c>
      <c r="G20" s="13" t="n">
        <f aca="false">avsh_27+PL!E148</f>
        <v>0.608876919034987</v>
      </c>
      <c r="I20" s="3" t="s">
        <v>747</v>
      </c>
      <c r="J20" s="7" t="s">
        <v>165</v>
      </c>
    </row>
    <row r="21" customFormat="false" ht="17.15" hidden="false" customHeight="false" outlineLevel="0" collapsed="false">
      <c r="A21" s="0" t="s">
        <v>750</v>
      </c>
      <c r="C21" s="13" t="n">
        <f aca="false">avsh_28+PL!F72</f>
        <v>0.615670692267187</v>
      </c>
      <c r="E21" s="13" t="n">
        <f aca="false">avsh_28+PL!F110</f>
        <v>0.591865575801162</v>
      </c>
      <c r="G21" s="13" t="n">
        <f aca="false">avsh_28+PL!F148</f>
        <v>0.568060459335136</v>
      </c>
      <c r="I21" s="3" t="s">
        <v>747</v>
      </c>
      <c r="J21" s="7" t="s">
        <v>165</v>
      </c>
    </row>
    <row r="22" customFormat="false" ht="17.15" hidden="false" customHeight="false" outlineLevel="0" collapsed="false">
      <c r="A22" s="0" t="s">
        <v>751</v>
      </c>
      <c r="C22" s="13" t="n">
        <f aca="false">avsh_29+PL!G72</f>
        <v>0.590724310211354</v>
      </c>
      <c r="E22" s="13" t="n">
        <f aca="false">avsh_29+PL!G110</f>
        <v>0.55898415492332</v>
      </c>
      <c r="G22" s="13" t="n">
        <f aca="false">avsh_29+PL!G148</f>
        <v>0.535179038457295</v>
      </c>
      <c r="I22" s="3" t="s">
        <v>747</v>
      </c>
      <c r="J22" s="7" t="s">
        <v>165</v>
      </c>
    </row>
    <row r="23" customFormat="false" ht="17.15" hidden="false" customHeight="false" outlineLevel="0" collapsed="false">
      <c r="A23" s="0" t="s">
        <v>752</v>
      </c>
      <c r="C23" s="18" t="n">
        <f aca="false">PL!E81</f>
        <v>46.2585222390351</v>
      </c>
      <c r="E23" s="18" t="n">
        <f aca="false">PL!E119</f>
        <v>36.9290723757003</v>
      </c>
      <c r="G23" s="18" t="n">
        <f aca="false">PL!E157</f>
        <v>26.4334412794486</v>
      </c>
      <c r="I23" s="7" t="s">
        <v>165</v>
      </c>
    </row>
    <row r="24" customFormat="false" ht="17.15" hidden="false" customHeight="false" outlineLevel="0" collapsed="false">
      <c r="A24" s="5" t="s">
        <v>753</v>
      </c>
    </row>
    <row r="25" customFormat="false" ht="17.15" hidden="false" customHeight="false" outlineLevel="0" collapsed="false">
      <c r="A25" s="3" t="s">
        <v>754</v>
      </c>
      <c r="C25" s="13" t="n">
        <f aca="false">PL!D83</f>
        <v>0.260156485550031</v>
      </c>
      <c r="E25" s="13" t="n">
        <f aca="false">PL!D121</f>
        <v>0.260156485550031</v>
      </c>
      <c r="G25" s="13" t="n">
        <f aca="false">PL!D159</f>
        <v>0.260156485550031</v>
      </c>
      <c r="I25" s="7" t="s">
        <v>755</v>
      </c>
      <c r="J25" s="3" t="s">
        <v>756</v>
      </c>
    </row>
    <row r="26" customFormat="false" ht="17.15" hidden="false" customHeight="false" outlineLevel="0" collapsed="false">
      <c r="A26" s="0" t="s">
        <v>757</v>
      </c>
      <c r="B26" s="13" t="n">
        <f aca="false">a26_gp/a26_rev</f>
        <v>0.290156485550031</v>
      </c>
      <c r="C26" s="13" t="n">
        <f aca="false">PL!E85</f>
        <v>0.300454494427229</v>
      </c>
      <c r="D26" s="13" t="n">
        <f aca="false">C26-B26</f>
        <v>0.0102980088771976</v>
      </c>
      <c r="E26" s="13" t="n">
        <f aca="false">PL!E123</f>
        <v>0.298571374053772</v>
      </c>
      <c r="F26" s="13" t="n">
        <f aca="false">E26-B26</f>
        <v>0.00841488850374039</v>
      </c>
      <c r="G26" s="13" t="n">
        <f aca="false">PL!E161</f>
        <v>0.295334973727114</v>
      </c>
      <c r="H26" s="13" t="n">
        <f aca="false">G26-B26</f>
        <v>0.00517848817708261</v>
      </c>
      <c r="I26" s="3" t="s">
        <v>758</v>
      </c>
      <c r="J26" s="3" t="s">
        <v>759</v>
      </c>
    </row>
    <row r="27" customFormat="false" ht="17.15" hidden="false" customHeight="false" outlineLevel="0" collapsed="false">
      <c r="A27" s="0" t="s">
        <v>760</v>
      </c>
      <c r="C27" s="14" t="n">
        <f aca="false">Q!E15</f>
        <v>15.972929484572</v>
      </c>
      <c r="E27" s="14" t="n">
        <f aca="false">Q!E15</f>
        <v>15.972929484572</v>
      </c>
      <c r="G27" s="14" t="n">
        <f aca="false">Q!E15</f>
        <v>15.972929484572</v>
      </c>
      <c r="I27" s="7" t="s">
        <v>165</v>
      </c>
      <c r="J27" s="3" t="s">
        <v>761</v>
      </c>
    </row>
    <row r="28" customFormat="false" ht="17.15" hidden="false" customHeight="false" outlineLevel="0" collapsed="false">
      <c r="A28" s="5" t="s">
        <v>762</v>
      </c>
    </row>
    <row r="29" customFormat="false" ht="17.15" hidden="false" customHeight="false" outlineLevel="0" collapsed="false">
      <c r="A29" s="0" t="s">
        <v>763</v>
      </c>
      <c r="B29" s="20" t="n">
        <f aca="false">cons_feps</f>
        <v>74.3383333333333</v>
      </c>
      <c r="C29" s="20" t="n">
        <f aca="false">Val!B34</f>
        <v>123.680355606249</v>
      </c>
      <c r="D29" s="13" t="n">
        <f aca="false">C29/B29-1</f>
        <v>0.663749374789802</v>
      </c>
      <c r="I29" s="7" t="s">
        <v>764</v>
      </c>
      <c r="J29" s="3" t="s">
        <v>765</v>
      </c>
    </row>
    <row r="30" customFormat="false" ht="17.15" hidden="false" customHeight="false" outlineLevel="0" collapsed="false">
      <c r="A30" s="3" t="s">
        <v>766</v>
      </c>
      <c r="B30" s="20" t="n">
        <f aca="false">cons_tp</f>
        <v>1523</v>
      </c>
      <c r="C30" s="20" t="n">
        <f aca="false">Val!B39</f>
        <v>2290.21860398203</v>
      </c>
      <c r="D30" s="13" t="n">
        <f aca="false">C30/B30-1</f>
        <v>0.503754828615911</v>
      </c>
      <c r="I30" s="7" t="s">
        <v>725</v>
      </c>
      <c r="J30" s="3" t="s">
        <v>765</v>
      </c>
    </row>
    <row r="31" customFormat="false" ht="17.15" hidden="false" customHeight="false" outlineLevel="0" collapsed="false">
      <c r="A31" s="0" t="s">
        <v>767</v>
      </c>
      <c r="B31" s="20" t="n">
        <f aca="false">cons_tp</f>
        <v>1523</v>
      </c>
      <c r="C31" s="20" t="n">
        <f aca="false">Val!B35</f>
        <v>3558.90223256982</v>
      </c>
      <c r="D31" s="13" t="n">
        <f aca="false">C31/B31-1</f>
        <v>1.33677099971755</v>
      </c>
      <c r="I31" s="3" t="s">
        <v>38</v>
      </c>
      <c r="J31" s="3" t="s">
        <v>765</v>
      </c>
    </row>
    <row r="32" customFormat="false" ht="17.15" hidden="false" customHeight="false" outlineLevel="0" collapsed="false">
      <c r="A32" s="5" t="s">
        <v>768</v>
      </c>
    </row>
    <row r="33" customFormat="false" ht="17.15" hidden="false" customHeight="false" outlineLevel="0" collapsed="false">
      <c r="A33" s="0" t="s">
        <v>769</v>
      </c>
      <c r="J33" s="3" t="s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771</v>
      </c>
    </row>
    <row r="3" customFormat="false" ht="17.15" hidden="false" customHeight="false" outlineLevel="0" collapsed="false">
      <c r="A3" s="4" t="s">
        <v>772</v>
      </c>
      <c r="B3" s="4" t="s">
        <v>773</v>
      </c>
      <c r="C3" s="10" t="s">
        <v>774</v>
      </c>
      <c r="D3" s="10" t="s">
        <v>775</v>
      </c>
      <c r="E3" s="10" t="s">
        <v>776</v>
      </c>
      <c r="F3" s="10" t="s">
        <v>613</v>
      </c>
      <c r="G3" s="10" t="s">
        <v>777</v>
      </c>
      <c r="H3" s="10" t="s">
        <v>778</v>
      </c>
      <c r="I3" s="10" t="s">
        <v>779</v>
      </c>
      <c r="J3" s="10" t="s">
        <v>780</v>
      </c>
      <c r="K3" s="10" t="s">
        <v>781</v>
      </c>
      <c r="L3" s="10" t="s">
        <v>782</v>
      </c>
    </row>
    <row r="4" customFormat="false" ht="17.15" hidden="false" customHeight="false" outlineLevel="0" collapsed="false">
      <c r="A4" s="3" t="s">
        <v>783</v>
      </c>
      <c r="B4" s="0" t="s">
        <v>784</v>
      </c>
      <c r="C4" s="19" t="n">
        <f aca="false">PL!E116</f>
        <v>64.0575147525856</v>
      </c>
      <c r="D4" s="19" t="n">
        <f aca="false">PL!E111</f>
        <v>49.2152457409455</v>
      </c>
      <c r="E4" s="13" t="n">
        <f aca="false">PL!E123</f>
        <v>0.298571374053772</v>
      </c>
      <c r="F4" s="14" t="n">
        <f aca="false">PL!E132</f>
        <v>101.644682059013</v>
      </c>
      <c r="G4" s="13" t="n">
        <f aca="false">F4/F$4-1</f>
        <v>0</v>
      </c>
      <c r="H4" s="19" t="n">
        <f aca="false">PL!F116</f>
        <v>72.296589917722</v>
      </c>
      <c r="I4" s="19" t="n">
        <f aca="false">PL!F111</f>
        <v>57.708377763038</v>
      </c>
      <c r="J4" s="13" t="n">
        <f aca="false">PL!F123</f>
        <v>0.300067342914614</v>
      </c>
      <c r="K4" s="14" t="n">
        <f aca="false">PL!F132</f>
        <v>117.847523877523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785</v>
      </c>
      <c r="B5" s="3" t="s">
        <v>786</v>
      </c>
      <c r="C5" s="19" t="n">
        <f aca="false">E68</f>
        <v>58.8769625693281</v>
      </c>
      <c r="D5" s="19" t="n">
        <f aca="false">E63</f>
        <v>44.0346935576881</v>
      </c>
      <c r="E5" s="13" t="n">
        <f aca="false">E75</f>
        <v>0.297552006341238</v>
      </c>
      <c r="F5" s="14" t="n">
        <f aca="false">E84</f>
        <v>91.956117814162</v>
      </c>
      <c r="G5" s="13" t="n">
        <f aca="false">F5/F$4-1</f>
        <v>-0.0953179649794806</v>
      </c>
      <c r="H5" s="19" t="n">
        <f aca="false">F68</f>
        <v>62.6785269572157</v>
      </c>
      <c r="I5" s="19" t="n">
        <f aca="false">F63</f>
        <v>48.0903148025317</v>
      </c>
      <c r="J5" s="13" t="n">
        <f aca="false">F75</f>
        <v>0.298519157055823</v>
      </c>
      <c r="K5" s="14" t="n">
        <f aca="false">F84</f>
        <v>99.4450181699463</v>
      </c>
      <c r="L5" s="13" t="n">
        <f aca="false">K5/K$4-1</f>
        <v>-0.15615521736971</v>
      </c>
    </row>
    <row r="6" customFormat="false" ht="17.15" hidden="false" customHeight="false" outlineLevel="0" collapsed="false">
      <c r="A6" s="3" t="s">
        <v>787</v>
      </c>
      <c r="B6" s="3" t="s">
        <v>788</v>
      </c>
      <c r="C6" s="19" t="n">
        <f aca="false">E106</f>
        <v>69.238066935843</v>
      </c>
      <c r="D6" s="19" t="n">
        <f aca="false">E101</f>
        <v>54.395797924203</v>
      </c>
      <c r="E6" s="13" t="n">
        <f aca="false">E113</f>
        <v>0.299438198870109</v>
      </c>
      <c r="F6" s="14" t="n">
        <f aca="false">E122</f>
        <v>111.333246303865</v>
      </c>
      <c r="G6" s="13" t="n">
        <f aca="false">F6/F$4-1</f>
        <v>0.0953179649794798</v>
      </c>
      <c r="H6" s="19" t="n">
        <f aca="false">F106</f>
        <v>81.9146528782284</v>
      </c>
      <c r="I6" s="19" t="n">
        <f aca="false">F101</f>
        <v>67.3264407235443</v>
      </c>
      <c r="J6" s="13" t="n">
        <f aca="false">F113</f>
        <v>0.301251966247258</v>
      </c>
      <c r="K6" s="14" t="n">
        <f aca="false">F122</f>
        <v>136.326377111679</v>
      </c>
      <c r="L6" s="13" t="n">
        <f aca="false">K6/K$4-1</f>
        <v>0.156803067439595</v>
      </c>
    </row>
    <row r="7" customFormat="false" ht="17.15" hidden="false" customHeight="false" outlineLevel="0" collapsed="false">
      <c r="A7" s="3" t="s">
        <v>789</v>
      </c>
      <c r="B7" s="3" t="s">
        <v>790</v>
      </c>
      <c r="C7" s="19" t="n">
        <f aca="false">E144</f>
        <v>52.7001503508289</v>
      </c>
      <c r="D7" s="19" t="n">
        <f aca="false">E139</f>
        <v>37.8578813391889</v>
      </c>
      <c r="E7" s="13" t="n">
        <f aca="false">E151</f>
        <v>0.296074676567672</v>
      </c>
      <c r="F7" s="14" t="n">
        <f aca="false">E160</f>
        <v>80.4043681376084</v>
      </c>
      <c r="G7" s="13" t="n">
        <f aca="false">F7/F$4-1</f>
        <v>-0.20896630783963</v>
      </c>
      <c r="H7" s="19" t="n">
        <f aca="false">F144</f>
        <v>55.8084819854254</v>
      </c>
      <c r="I7" s="19" t="n">
        <f aca="false">F139</f>
        <v>41.2202698307414</v>
      </c>
      <c r="J7" s="13" t="n">
        <f aca="false">F151</f>
        <v>0.297086597572704</v>
      </c>
      <c r="K7" s="14" t="n">
        <f aca="false">F160</f>
        <v>86.496762235723</v>
      </c>
      <c r="L7" s="13" t="n">
        <f aca="false">K7/K$4-1</f>
        <v>-0.266028174460265</v>
      </c>
    </row>
    <row r="8" customFormat="false" ht="17.15" hidden="false" customHeight="false" outlineLevel="0" collapsed="false">
      <c r="A8" s="3" t="s">
        <v>791</v>
      </c>
      <c r="B8" s="3" t="s">
        <v>792</v>
      </c>
      <c r="C8" s="19" t="n">
        <f aca="false">E182</f>
        <v>75.4148791543422</v>
      </c>
      <c r="D8" s="19" t="n">
        <f aca="false">E177</f>
        <v>60.5726101427022</v>
      </c>
      <c r="E8" s="13" t="n">
        <f aca="false">E189</f>
        <v>0.3003160739641</v>
      </c>
      <c r="F8" s="14" t="n">
        <f aca="false">E198</f>
        <v>122.884995980419</v>
      </c>
      <c r="G8" s="13" t="n">
        <f aca="false">F8/F$4-1</f>
        <v>0.20896630783963</v>
      </c>
      <c r="H8" s="19" t="n">
        <f aca="false">F182</f>
        <v>88.7846978500186</v>
      </c>
      <c r="I8" s="19" t="n">
        <f aca="false">F177</f>
        <v>74.1964856953346</v>
      </c>
      <c r="J8" s="13" t="n">
        <f aca="false">F189</f>
        <v>0.301940986422396</v>
      </c>
      <c r="K8" s="14" t="n">
        <f aca="false">F198</f>
        <v>149.365356489321</v>
      </c>
      <c r="L8" s="13" t="n">
        <f aca="false">K8/K$4-1</f>
        <v>0.267445862032314</v>
      </c>
    </row>
    <row r="9" customFormat="false" ht="17.15" hidden="false" customHeight="false" outlineLevel="0" collapsed="false">
      <c r="A9" s="3" t="s">
        <v>793</v>
      </c>
      <c r="B9" s="0" t="s">
        <v>794</v>
      </c>
      <c r="C9" s="19" t="n">
        <f aca="false">E220</f>
        <v>62.963842625009</v>
      </c>
      <c r="D9" s="19" t="n">
        <f aca="false">E215</f>
        <v>48.121573613369</v>
      </c>
      <c r="E9" s="13" t="n">
        <f aca="false">E227</f>
        <v>0.298370142473708</v>
      </c>
      <c r="F9" s="14" t="n">
        <f aca="false">E236</f>
        <v>99.5993184962115</v>
      </c>
      <c r="G9" s="13" t="n">
        <f aca="false">F9/F$4-1</f>
        <v>-0.0201226814956685</v>
      </c>
      <c r="H9" s="19" t="n">
        <f aca="false">F220</f>
        <v>72.6737688573497</v>
      </c>
      <c r="I9" s="19" t="n">
        <f aca="false">F215</f>
        <v>58.0855567026657</v>
      </c>
      <c r="J9" s="13" t="n">
        <f aca="false">F227</f>
        <v>0.30011970585355</v>
      </c>
      <c r="K9" s="14" t="n">
        <f aca="false">F236</f>
        <v>118.655712451849</v>
      </c>
      <c r="L9" s="13" t="n">
        <f aca="false">K9/K$4-1</f>
        <v>0.00685791731327168</v>
      </c>
    </row>
    <row r="10" customFormat="false" ht="17.15" hidden="false" customHeight="false" outlineLevel="0" collapsed="false">
      <c r="A10" s="3" t="s">
        <v>795</v>
      </c>
      <c r="B10" s="0" t="s">
        <v>796</v>
      </c>
      <c r="C10" s="19" t="n">
        <f aca="false">E258</f>
        <v>62.0384277478288</v>
      </c>
      <c r="D10" s="19" t="n">
        <f aca="false">E253</f>
        <v>47.1961587361888</v>
      </c>
      <c r="E10" s="13" t="n">
        <f aca="false">E265</f>
        <v>0.298194327940259</v>
      </c>
      <c r="F10" s="14" t="n">
        <f aca="false">E274</f>
        <v>97.8686262507636</v>
      </c>
      <c r="G10" s="13" t="n">
        <f aca="false">F10/F$4-1</f>
        <v>-0.037149565838157</v>
      </c>
      <c r="H10" s="19" t="n">
        <f aca="false">F258</f>
        <v>69.1631033423534</v>
      </c>
      <c r="I10" s="19" t="n">
        <f aca="false">F253</f>
        <v>54.5748911876694</v>
      </c>
      <c r="J10" s="13" t="n">
        <f aca="false">F265</f>
        <v>0.299610246696005</v>
      </c>
      <c r="K10" s="14" t="n">
        <f aca="false">F274</f>
        <v>111.864733622282</v>
      </c>
      <c r="L10" s="13" t="n">
        <f aca="false">K10/K$4-1</f>
        <v>-0.0507672122280556</v>
      </c>
    </row>
    <row r="11" customFormat="false" ht="17.15" hidden="false" customHeight="false" outlineLevel="0" collapsed="false">
      <c r="A11" s="0" t="s">
        <v>797</v>
      </c>
      <c r="B11" s="0" t="s">
        <v>798</v>
      </c>
      <c r="C11" s="19" t="n">
        <f aca="false">E296</f>
        <v>54.2144656043964</v>
      </c>
      <c r="D11" s="19" t="n">
        <f aca="false">E291</f>
        <v>39.3721965927564</v>
      </c>
      <c r="E11" s="13" t="n">
        <f aca="false">E303</f>
        <v>0.29646800882507</v>
      </c>
      <c r="F11" s="14" t="n">
        <f aca="false">E312</f>
        <v>83.2364099937957</v>
      </c>
      <c r="G11" s="13" t="n">
        <f aca="false">F11/F$4-1</f>
        <v>-0.181104133461013</v>
      </c>
      <c r="H11" s="19" t="n">
        <f aca="false">F296</f>
        <v>60.7549143651144</v>
      </c>
      <c r="I11" s="19" t="n">
        <f aca="false">F291</f>
        <v>46.1667022104304</v>
      </c>
      <c r="J11" s="13" t="n">
        <f aca="false">F303</f>
        <v>0.298150697781972</v>
      </c>
      <c r="K11" s="14" t="n">
        <f aca="false">F312</f>
        <v>95.9719233562461</v>
      </c>
      <c r="L11" s="13" t="n">
        <f aca="false">K11/K$4-1</f>
        <v>-0.185626305937593</v>
      </c>
    </row>
    <row r="12" customFormat="false" ht="17.15" hidden="false" customHeight="false" outlineLevel="0" collapsed="false">
      <c r="A12" s="0" t="s">
        <v>799</v>
      </c>
      <c r="B12" s="0" t="s">
        <v>800</v>
      </c>
      <c r="C12" s="19" t="n">
        <f aca="false">E334</f>
        <v>73.9005639007747</v>
      </c>
      <c r="D12" s="19" t="n">
        <f aca="false">E329</f>
        <v>59.0582948891346</v>
      </c>
      <c r="E12" s="13" t="n">
        <f aca="false">E341</f>
        <v>0.300114431587109</v>
      </c>
      <c r="F12" s="14" t="n">
        <f aca="false">E350</f>
        <v>120.052954124231</v>
      </c>
      <c r="G12" s="13" t="n">
        <f aca="false">F12/F$4-1</f>
        <v>0.181104133461012</v>
      </c>
      <c r="H12" s="19" t="n">
        <f aca="false">F334</f>
        <v>83.8382654703296</v>
      </c>
      <c r="I12" s="19" t="n">
        <f aca="false">F329</f>
        <v>69.2500533156456</v>
      </c>
      <c r="J12" s="13" t="n">
        <f aca="false">F341</f>
        <v>0.301456274451409</v>
      </c>
      <c r="K12" s="14" t="n">
        <f aca="false">F350</f>
        <v>139.740056002895</v>
      </c>
      <c r="L12" s="13" t="n">
        <f aca="false">K12/K$4-1</f>
        <v>0.185769979758967</v>
      </c>
    </row>
    <row r="13" customFormat="false" ht="17.15" hidden="false" customHeight="false" outlineLevel="0" collapsed="false">
      <c r="A13" s="3" t="s">
        <v>801</v>
      </c>
      <c r="B13" s="0" t="s">
        <v>802</v>
      </c>
      <c r="C13" s="19" t="n">
        <f aca="false">E372</f>
        <v>63.2552299411455</v>
      </c>
      <c r="D13" s="19" t="n">
        <f aca="false">E367</f>
        <v>49.2152457409455</v>
      </c>
      <c r="E13" s="13" t="n">
        <f aca="false">E379</f>
        <v>0.299058601459449</v>
      </c>
      <c r="F13" s="14" t="n">
        <f aca="false">E388</f>
        <v>100.463190263632</v>
      </c>
      <c r="G13" s="13" t="n">
        <f aca="false">F13/F$4-1</f>
        <v>-0.0116237443164553</v>
      </c>
      <c r="H13" s="19" t="n">
        <f aca="false">F372</f>
        <v>70.892591497702</v>
      </c>
      <c r="I13" s="19" t="n">
        <f aca="false">F367</f>
        <v>57.708377763038</v>
      </c>
      <c r="J13" s="13" t="n">
        <f aca="false">F379</f>
        <v>0.300857760918776</v>
      </c>
      <c r="K13" s="14" t="n">
        <f aca="false">F388</f>
        <v>115.717235620476</v>
      </c>
      <c r="L13" s="13" t="n">
        <f aca="false">K13/K$4-1</f>
        <v>-0.0180766484263289</v>
      </c>
    </row>
    <row r="14" customFormat="false" ht="17.15" hidden="false" customHeight="false" outlineLevel="0" collapsed="false">
      <c r="A14" s="3" t="s">
        <v>803</v>
      </c>
      <c r="B14" s="0" t="s">
        <v>804</v>
      </c>
      <c r="C14" s="19" t="n">
        <f aca="false">E410</f>
        <v>64.5923712935455</v>
      </c>
      <c r="D14" s="19" t="n">
        <f aca="false">E405</f>
        <v>49.2152457409455</v>
      </c>
      <c r="E14" s="13" t="n">
        <f aca="false">E417</f>
        <v>0.29825327992013</v>
      </c>
      <c r="F14" s="14" t="n">
        <f aca="false">E426</f>
        <v>102.432343255934</v>
      </c>
      <c r="G14" s="13" t="n">
        <f aca="false">F14/F$4-1</f>
        <v>0.0077491628776365</v>
      </c>
      <c r="H14" s="19" t="n">
        <f aca="false">F410</f>
        <v>73.366302999642</v>
      </c>
      <c r="I14" s="19" t="n">
        <f aca="false">F405</f>
        <v>57.708377763038</v>
      </c>
      <c r="J14" s="13" t="n">
        <f aca="false">F417</f>
        <v>0.299485424997423</v>
      </c>
      <c r="K14" s="14" t="n">
        <f aca="false">F426</f>
        <v>119.476887074437</v>
      </c>
      <c r="L14" s="13" t="n">
        <f aca="false">K14/K$4-1</f>
        <v>0.0138260282719891</v>
      </c>
    </row>
    <row r="15" customFormat="false" ht="17.15" hidden="false" customHeight="false" outlineLevel="0" collapsed="false">
      <c r="A15" s="3" t="s">
        <v>805</v>
      </c>
      <c r="B15" s="3" t="s">
        <v>806</v>
      </c>
      <c r="C15" s="19" t="n">
        <f aca="false">E448</f>
        <v>63.0260057093055</v>
      </c>
      <c r="D15" s="19" t="n">
        <f aca="false">E443</f>
        <v>49.2152457409455</v>
      </c>
      <c r="E15" s="13" t="n">
        <f aca="false">E455</f>
        <v>0.299200087621167</v>
      </c>
      <c r="F15" s="14" t="n">
        <f aca="false">E464</f>
        <v>100.125621179237</v>
      </c>
      <c r="G15" s="13" t="n">
        <f aca="false">F15/F$4-1</f>
        <v>-0.0149448141211567</v>
      </c>
      <c r="H15" s="19" t="n">
        <f aca="false">F448</f>
        <v>70.495269495846</v>
      </c>
      <c r="I15" s="19" t="n">
        <f aca="false">F443</f>
        <v>57.708377763038</v>
      </c>
      <c r="J15" s="13" t="n">
        <f aca="false">F455</f>
        <v>0.30108715946315</v>
      </c>
      <c r="K15" s="14" t="n">
        <f aca="false">F464</f>
        <v>115.11481523193</v>
      </c>
      <c r="L15" s="13" t="n">
        <f aca="false">K15/K$4-1</f>
        <v>-0.0231885113549992</v>
      </c>
    </row>
    <row r="16" customFormat="false" ht="17.15" hidden="false" customHeight="false" outlineLevel="0" collapsed="false">
      <c r="A16" s="3" t="s">
        <v>807</v>
      </c>
      <c r="B16" s="3" t="s">
        <v>808</v>
      </c>
      <c r="C16" s="19" t="n">
        <f aca="false">E486</f>
        <v>64.8521587562975</v>
      </c>
      <c r="D16" s="19" t="n">
        <f aca="false">E481</f>
        <v>49.2152457409455</v>
      </c>
      <c r="E16" s="13" t="n">
        <f aca="false">E493</f>
        <v>0.298100670203843</v>
      </c>
      <c r="F16" s="14" t="n">
        <f aca="false">E502</f>
        <v>102.814921551582</v>
      </c>
      <c r="G16" s="13" t="n">
        <f aca="false">F16/F$4-1</f>
        <v>0.0115130419896312</v>
      </c>
      <c r="H16" s="19" t="n">
        <f aca="false">F486</f>
        <v>73.7551819089586</v>
      </c>
      <c r="I16" s="19" t="n">
        <f aca="false">F481</f>
        <v>57.708377763038</v>
      </c>
      <c r="J16" s="13" t="n">
        <f aca="false">F493</f>
        <v>0.299278060651203</v>
      </c>
      <c r="K16" s="14" t="n">
        <f aca="false">F502</f>
        <v>120.064966609529</v>
      </c>
      <c r="L16" s="13" t="n">
        <f aca="false">K16/K$4-1</f>
        <v>0.018816201300168</v>
      </c>
    </row>
    <row r="17" customFormat="false" ht="17.15" hidden="false" customHeight="false" outlineLevel="0" collapsed="false">
      <c r="A17" s="3" t="s">
        <v>809</v>
      </c>
      <c r="B17" s="3" t="s">
        <v>810</v>
      </c>
      <c r="C17" s="19" t="n">
        <f aca="false">E524</f>
        <v>64.0575147525856</v>
      </c>
      <c r="D17" s="19" t="n">
        <f aca="false">E519</f>
        <v>49.2152457409455</v>
      </c>
      <c r="E17" s="13" t="n">
        <f aca="false">E531</f>
        <v>0.293522440951527</v>
      </c>
      <c r="F17" s="14" t="n">
        <f aca="false">E540</f>
        <v>99.0733402874344</v>
      </c>
      <c r="G17" s="13" t="n">
        <f aca="false">F17/F$4-1</f>
        <v>-0.0252973566298942</v>
      </c>
      <c r="H17" s="19" t="n">
        <f aca="false">F524</f>
        <v>72.296589917722</v>
      </c>
      <c r="I17" s="19" t="n">
        <f aca="false">F519</f>
        <v>57.708377763038</v>
      </c>
      <c r="J17" s="13" t="n">
        <f aca="false">F531</f>
        <v>0.294120828495864</v>
      </c>
      <c r="K17" s="14" t="n">
        <f aca="false">F540</f>
        <v>114.429536987451</v>
      </c>
      <c r="L17" s="13" t="n">
        <f aca="false">K17/K$4-1</f>
        <v>-0.0290034680204607</v>
      </c>
    </row>
    <row r="18" customFormat="false" ht="17.15" hidden="false" customHeight="false" outlineLevel="0" collapsed="false">
      <c r="A18" s="3" t="s">
        <v>811</v>
      </c>
      <c r="B18" s="3" t="s">
        <v>812</v>
      </c>
      <c r="C18" s="19" t="n">
        <f aca="false">E562</f>
        <v>64.0575147525856</v>
      </c>
      <c r="D18" s="19" t="n">
        <f aca="false">E557</f>
        <v>49.2152457409455</v>
      </c>
      <c r="E18" s="13" t="n">
        <f aca="false">E569</f>
        <v>0.303620307156016</v>
      </c>
      <c r="F18" s="14" t="n">
        <f aca="false">E578</f>
        <v>104.216023830592</v>
      </c>
      <c r="G18" s="13" t="n">
        <f aca="false">F18/F$4-1</f>
        <v>0.0252973566298933</v>
      </c>
      <c r="H18" s="19" t="n">
        <f aca="false">F562</f>
        <v>72.296589917722</v>
      </c>
      <c r="I18" s="19" t="n">
        <f aca="false">F557</f>
        <v>57.708377763038</v>
      </c>
      <c r="J18" s="13" t="n">
        <f aca="false">F569</f>
        <v>0.306013857333363</v>
      </c>
      <c r="K18" s="14" t="n">
        <f aca="false">F578</f>
        <v>121.265510767595</v>
      </c>
      <c r="L18" s="13" t="n">
        <f aca="false">K18/K$4-1</f>
        <v>0.0290034680204605</v>
      </c>
    </row>
    <row r="19" customFormat="false" ht="17.15" hidden="false" customHeight="false" outlineLevel="0" collapsed="false">
      <c r="A19" s="3" t="s">
        <v>813</v>
      </c>
      <c r="B19" s="3" t="s">
        <v>814</v>
      </c>
      <c r="C19" s="19" t="n">
        <f aca="false">E600</f>
        <v>64.0575147525856</v>
      </c>
      <c r="D19" s="19" t="n">
        <f aca="false">E595</f>
        <v>49.2152457409455</v>
      </c>
      <c r="E19" s="13" t="n">
        <f aca="false">E607</f>
        <v>0.298571374053772</v>
      </c>
      <c r="F19" s="14" t="n">
        <f aca="false">E616</f>
        <v>91.4589983927511</v>
      </c>
      <c r="G19" s="13" t="n">
        <f aca="false">F19/F$4-1</f>
        <v>-0.100208721793716</v>
      </c>
      <c r="H19" s="19" t="n">
        <f aca="false">F600</f>
        <v>72.296589917722</v>
      </c>
      <c r="I19" s="19" t="n">
        <f aca="false">F595</f>
        <v>57.708377763038</v>
      </c>
      <c r="J19" s="13" t="n">
        <f aca="false">F607</f>
        <v>0.300067342914614</v>
      </c>
      <c r="K19" s="14" t="n">
        <f aca="false">F616</f>
        <v>106.351757956918</v>
      </c>
      <c r="L19" s="13" t="n">
        <f aca="false">K19/K$4-1</f>
        <v>-0.0975477934738125</v>
      </c>
    </row>
    <row r="20" customFormat="false" ht="17.15" hidden="false" customHeight="false" outlineLevel="0" collapsed="false">
      <c r="A20" s="3" t="s">
        <v>815</v>
      </c>
      <c r="B20" s="3" t="s">
        <v>816</v>
      </c>
      <c r="C20" s="19" t="n">
        <f aca="false">E638</f>
        <v>64.0575147525856</v>
      </c>
      <c r="D20" s="19" t="n">
        <f aca="false">E633</f>
        <v>49.2152457409455</v>
      </c>
      <c r="E20" s="13" t="n">
        <f aca="false">E645</f>
        <v>0.298571374053772</v>
      </c>
      <c r="F20" s="14" t="n">
        <f aca="false">E654</f>
        <v>98.897528489851</v>
      </c>
      <c r="G20" s="13" t="n">
        <f aca="false">F20/F$4-1</f>
        <v>-0.027027027027027</v>
      </c>
      <c r="H20" s="19" t="n">
        <f aca="false">F638</f>
        <v>72.296589917722</v>
      </c>
      <c r="I20" s="19" t="n">
        <f aca="false">F633</f>
        <v>57.708377763038</v>
      </c>
      <c r="J20" s="13" t="n">
        <f aca="false">F645</f>
        <v>0.300067342914614</v>
      </c>
      <c r="K20" s="14" t="n">
        <f aca="false">F654</f>
        <v>114.662455664617</v>
      </c>
      <c r="L20" s="13" t="n">
        <f aca="false">K20/K$4-1</f>
        <v>-0.027027027027027</v>
      </c>
    </row>
    <row r="21" customFormat="false" ht="17.15" hidden="false" customHeight="false" outlineLevel="0" collapsed="false">
      <c r="A21" s="3" t="s">
        <v>817</v>
      </c>
      <c r="C21" s="19" t="n">
        <f aca="false">E676</f>
        <v>64.0575147525856</v>
      </c>
      <c r="D21" s="19" t="n">
        <f aca="false">E671</f>
        <v>49.2152457409455</v>
      </c>
      <c r="E21" s="13" t="n">
        <f aca="false">E683</f>
        <v>0.298571374053772</v>
      </c>
      <c r="F21" s="14" t="n">
        <f aca="false">E692</f>
        <v>107.138989197339</v>
      </c>
      <c r="G21" s="13" t="n">
        <f aca="false">F21/F$4-1</f>
        <v>0.0540540540540542</v>
      </c>
      <c r="H21" s="19" t="n">
        <f aca="false">F676</f>
        <v>72.296589917722</v>
      </c>
      <c r="I21" s="19" t="n">
        <f aca="false">F671</f>
        <v>57.708377763038</v>
      </c>
      <c r="J21" s="13" t="n">
        <f aca="false">F683</f>
        <v>0.300067342914614</v>
      </c>
      <c r="K21" s="14" t="n">
        <f aca="false">F692</f>
        <v>124.217660303335</v>
      </c>
      <c r="L21" s="13" t="n">
        <f aca="false">K21/K$4-1</f>
        <v>0.0540540540540539</v>
      </c>
    </row>
    <row r="22" customFormat="false" ht="17.15" hidden="false" customHeight="false" outlineLevel="0" collapsed="false">
      <c r="A22" s="0" t="s">
        <v>818</v>
      </c>
      <c r="B22" s="0" t="s">
        <v>819</v>
      </c>
      <c r="C22" s="19" t="n">
        <f aca="false">E714</f>
        <v>61.7709361095734</v>
      </c>
      <c r="D22" s="19" t="n">
        <f aca="false">E709</f>
        <v>45.1139752625334</v>
      </c>
      <c r="E22" s="13" t="n">
        <f aca="false">E721</f>
        <v>0.299173639169419</v>
      </c>
      <c r="F22" s="14" t="n">
        <f aca="false">E730</f>
        <v>97.8747529201853</v>
      </c>
      <c r="G22" s="13" t="n">
        <f aca="false">F22/F$4-1</f>
        <v>-0.0370892904819108</v>
      </c>
      <c r="H22" s="19" t="n">
        <f aca="false">F714</f>
        <v>69.2115156810989</v>
      </c>
      <c r="I22" s="19" t="n">
        <f aca="false">F709</f>
        <v>52.8993462827849</v>
      </c>
      <c r="J22" s="13" t="n">
        <f aca="false">F721</f>
        <v>0.300872197026808</v>
      </c>
      <c r="K22" s="14" t="n">
        <f aca="false">F730</f>
        <v>112.66678296296</v>
      </c>
      <c r="L22" s="13" t="n">
        <f aca="false">K22/K$4-1</f>
        <v>-0.0439613896338426</v>
      </c>
    </row>
    <row r="23" customFormat="false" ht="17.15" hidden="false" customHeight="false" outlineLevel="0" collapsed="false">
      <c r="A23" s="0" t="s">
        <v>820</v>
      </c>
      <c r="B23" s="0" t="s">
        <v>821</v>
      </c>
      <c r="C23" s="19" t="n">
        <f aca="false">E752</f>
        <v>65.4294619383928</v>
      </c>
      <c r="D23" s="19" t="n">
        <f aca="false">E747</f>
        <v>51.6760080279928</v>
      </c>
      <c r="E23" s="13" t="n">
        <f aca="false">E759</f>
        <v>0.298146347224769</v>
      </c>
      <c r="F23" s="14" t="n">
        <f aca="false">E768</f>
        <v>103.863009313771</v>
      </c>
      <c r="G23" s="13" t="n">
        <f aca="false">F23/F$4-1</f>
        <v>0.02182433167994</v>
      </c>
      <c r="H23" s="19" t="n">
        <f aca="false">F752</f>
        <v>74.1476344596959</v>
      </c>
      <c r="I23" s="19" t="n">
        <f aca="false">F747</f>
        <v>60.5937966511899</v>
      </c>
      <c r="J23" s="13" t="n">
        <f aca="false">F759</f>
        <v>0.299516721411046</v>
      </c>
      <c r="K23" s="14" t="n">
        <f aca="false">F768</f>
        <v>120.899284184769</v>
      </c>
      <c r="L23" s="13" t="n">
        <f aca="false">K23/K$4-1</f>
        <v>0.025895837322961</v>
      </c>
    </row>
    <row r="24" customFormat="false" ht="17.15" hidden="false" customHeight="false" outlineLevel="0" collapsed="false">
      <c r="A24" s="3" t="s">
        <v>822</v>
      </c>
      <c r="B24" s="3" t="s">
        <v>823</v>
      </c>
      <c r="C24" s="19" t="n">
        <f aca="false">PL!E78</f>
        <v>76.4908399924034</v>
      </c>
      <c r="D24" s="19" t="n">
        <f aca="false">PL!E73</f>
        <v>61.6485709807634</v>
      </c>
      <c r="E24" s="13" t="n">
        <f aca="false">PL!E85</f>
        <v>0.300454494427229</v>
      </c>
      <c r="F24" s="14" t="n">
        <f aca="false">PL!E94</f>
        <v>124.897236246657</v>
      </c>
      <c r="G24" s="13" t="n">
        <f aca="false">F24/F$4-1</f>
        <v>0.228763115950752</v>
      </c>
      <c r="H24" s="19" t="n">
        <f aca="false">PL!F78</f>
        <v>108.647210224342</v>
      </c>
      <c r="I24" s="19" t="n">
        <f aca="false">PL!F73</f>
        <v>94.0589980696575</v>
      </c>
      <c r="J24" s="13" t="n">
        <f aca="false">PL!F85</f>
        <v>0.303442915949596</v>
      </c>
      <c r="K24" s="14" t="n">
        <f aca="false">PL!F94</f>
        <v>188.492242717084</v>
      </c>
      <c r="L24" s="13" t="n">
        <f aca="false">K24/K$4-1</f>
        <v>0.599458660777473</v>
      </c>
    </row>
    <row r="25" customFormat="false" ht="17.15" hidden="false" customHeight="false" outlineLevel="0" collapsed="false">
      <c r="A25" s="3" t="s">
        <v>824</v>
      </c>
      <c r="B25" s="3" t="s">
        <v>825</v>
      </c>
      <c r="C25" s="19" t="n">
        <f aca="false">PL!E154</f>
        <v>50.0700238577905</v>
      </c>
      <c r="D25" s="19" t="n">
        <f aca="false">PL!E149</f>
        <v>35.2277548461505</v>
      </c>
      <c r="E25" s="13" t="n">
        <f aca="false">PL!E161</f>
        <v>0.295334973727114</v>
      </c>
      <c r="F25" s="14" t="n">
        <f aca="false">PL!E170</f>
        <v>75.4855585979146</v>
      </c>
      <c r="G25" s="13" t="n">
        <f aca="false">F25/F$4-1</f>
        <v>-0.257358505444597</v>
      </c>
      <c r="H25" s="19" t="n">
        <f aca="false">PL!F154</f>
        <v>44.2910536503653</v>
      </c>
      <c r="I25" s="19" t="n">
        <f aca="false">PL!F149</f>
        <v>29.7028414956813</v>
      </c>
      <c r="J25" s="13" t="n">
        <f aca="false">PL!F161</f>
        <v>0.293687908995222</v>
      </c>
      <c r="K25" s="14" t="n">
        <f aca="false">PL!F170</f>
        <v>61.3363362449753</v>
      </c>
      <c r="L25" s="13" t="n">
        <f aca="false">K25/K$4-1</f>
        <v>-0.479528001719229</v>
      </c>
    </row>
    <row r="27" customFormat="false" ht="17.15" hidden="false" customHeight="false" outlineLevel="0" collapsed="false">
      <c r="A27" s="3" t="s">
        <v>826</v>
      </c>
    </row>
    <row r="29" customFormat="false" ht="17.15" hidden="false" customHeight="false" outlineLevel="0" collapsed="false">
      <c r="A29" s="1" t="s">
        <v>827</v>
      </c>
    </row>
    <row r="30" customFormat="false" ht="17.15" hidden="false" customHeight="false" outlineLevel="0" collapsed="false">
      <c r="A30" s="4" t="s">
        <v>772</v>
      </c>
      <c r="B30" s="4" t="s">
        <v>773</v>
      </c>
      <c r="C30" s="10" t="s">
        <v>828</v>
      </c>
      <c r="D30" s="10" t="s">
        <v>712</v>
      </c>
      <c r="E30" s="4" t="s">
        <v>829</v>
      </c>
      <c r="F30" s="4" t="s">
        <v>830</v>
      </c>
    </row>
    <row r="31" customFormat="false" ht="17.15" hidden="false" customHeight="false" outlineLevel="0" collapsed="false">
      <c r="A31" s="3" t="s">
        <v>24</v>
      </c>
      <c r="B31" s="0" t="s">
        <v>831</v>
      </c>
      <c r="C31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1" s="18" t="n">
        <f aca="false">tp_comp_adj</f>
        <v>2601.79209089201</v>
      </c>
      <c r="E31" s="18" t="n">
        <f aca="false">tp_w_dcf*C31+(1-tp_w_dcf)*D31</f>
        <v>2290.21860398203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832</v>
      </c>
      <c r="B32" s="0" t="s">
        <v>833</v>
      </c>
      <c r="C32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1708.92791299924</v>
      </c>
      <c r="D32" s="18" t="n">
        <f aca="false">tp_comp_adj</f>
        <v>2601.79209089201</v>
      </c>
      <c r="E32" s="18" t="n">
        <f aca="false">tp_w_dcf*C32+(1-tp_w_dcf)*D32</f>
        <v>2155.36000194562</v>
      </c>
      <c r="F32" s="13" t="n">
        <f aca="false">E32/E$31-1</f>
        <v>-0.0588845980911725</v>
      </c>
    </row>
    <row r="33" customFormat="false" ht="17.15" hidden="false" customHeight="false" outlineLevel="0" collapsed="false">
      <c r="A33" s="3" t="s">
        <v>834</v>
      </c>
      <c r="B33" s="0" t="s">
        <v>835</v>
      </c>
      <c r="C33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2356.13790643385</v>
      </c>
      <c r="D33" s="18" t="n">
        <f aca="false">tp_comp_adj</f>
        <v>2601.79209089201</v>
      </c>
      <c r="E33" s="18" t="n">
        <f aca="false">tp_w_dcf*C33+(1-tp_w_dcf)*D33</f>
        <v>2478.96499866293</v>
      </c>
      <c r="F33" s="13" t="n">
        <f aca="false">E33/E$31-1</f>
        <v>0.0824141391362037</v>
      </c>
    </row>
    <row r="34" customFormat="false" ht="17.15" hidden="false" customHeight="false" outlineLevel="0" collapsed="false">
      <c r="A34" s="3" t="s">
        <v>836</v>
      </c>
      <c r="B34" s="0" t="s">
        <v>837</v>
      </c>
      <c r="C34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2160.89048972836</v>
      </c>
      <c r="D34" s="18" t="n">
        <f aca="false">tp_comp_adj</f>
        <v>2601.79209089201</v>
      </c>
      <c r="E34" s="18" t="n">
        <f aca="false">tp_w_dcf*C34+(1-tp_w_dcf)*D34</f>
        <v>2381.34129031018</v>
      </c>
      <c r="F34" s="13" t="n">
        <f aca="false">E34/E$31-1</f>
        <v>0.0397877679317227</v>
      </c>
    </row>
    <row r="35" customFormat="false" ht="17.15" hidden="false" customHeight="false" outlineLevel="0" collapsed="false">
      <c r="A35" s="3" t="s">
        <v>838</v>
      </c>
      <c r="B35" s="0" t="s">
        <v>839</v>
      </c>
      <c r="C35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1855.51274468027</v>
      </c>
      <c r="D35" s="18" t="n">
        <f aca="false">tp_comp_adj</f>
        <v>2601.79209089201</v>
      </c>
      <c r="E35" s="18" t="n">
        <f aca="false">tp_w_dcf*C35+(1-tp_w_dcf)*D35</f>
        <v>2228.65241778614</v>
      </c>
      <c r="F35" s="13" t="n">
        <f aca="false">E35/E$31-1</f>
        <v>-0.0268822312808251</v>
      </c>
    </row>
    <row r="36" customFormat="false" ht="17.15" hidden="false" customHeight="false" outlineLevel="0" collapsed="false">
      <c r="A36" s="0" t="s">
        <v>840</v>
      </c>
      <c r="C36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6" s="18" t="n">
        <f aca="false">tp_comp_adj</f>
        <v>2601.79209089201</v>
      </c>
      <c r="E36" s="18" t="n">
        <f aca="false">0.3*C36+(1-0.3)*D36</f>
        <v>2414.84799874602</v>
      </c>
      <c r="F36" s="13" t="n">
        <f aca="false">E36/E$31-1</f>
        <v>0.0544181217230946</v>
      </c>
    </row>
    <row r="37" customFormat="false" ht="17.15" hidden="false" customHeight="false" outlineLevel="0" collapsed="false">
      <c r="A37" s="0" t="s">
        <v>841</v>
      </c>
      <c r="C37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7" s="18" t="n">
        <f aca="false">tp_comp_adj</f>
        <v>2601.79209089201</v>
      </c>
      <c r="E37" s="18" t="n">
        <f aca="false">0.7*C37+(1-0.7)*D37</f>
        <v>2165.58920921804</v>
      </c>
      <c r="F37" s="13" t="n">
        <f aca="false">E37/E$31-1</f>
        <v>-0.0544181217230945</v>
      </c>
    </row>
    <row r="50" customFormat="false" ht="17.15" hidden="false" customHeight="false" outlineLevel="0" collapsed="false">
      <c r="A50" s="1" t="s">
        <v>842</v>
      </c>
    </row>
    <row r="51" customFormat="false" ht="17.15" hidden="false" customHeight="false" outlineLevel="0" collapsed="false">
      <c r="A51" s="4" t="s">
        <v>21</v>
      </c>
      <c r="B51" s="4" t="s">
        <v>22</v>
      </c>
      <c r="C51" s="10" t="s">
        <v>365</v>
      </c>
      <c r="D51" s="10" t="s">
        <v>452</v>
      </c>
      <c r="E51" s="10" t="s">
        <v>453</v>
      </c>
      <c r="F51" s="10" t="s">
        <v>454</v>
      </c>
      <c r="G51" s="10" t="s">
        <v>455</v>
      </c>
      <c r="H51" s="4" t="s">
        <v>350</v>
      </c>
    </row>
    <row r="52" customFormat="false" ht="17.15" hidden="false" customHeight="false" outlineLevel="0" collapsed="false">
      <c r="A52" s="5" t="s">
        <v>471</v>
      </c>
    </row>
    <row r="53" customFormat="false" ht="17.15" hidden="false" customHeight="false" outlineLevel="0" collapsed="false">
      <c r="A53" s="0" t="s">
        <v>472</v>
      </c>
      <c r="B53" s="0" t="s">
        <v>32</v>
      </c>
      <c r="D53" s="20" t="n">
        <f aca="false">itc_26*1</f>
        <v>781.872916666666</v>
      </c>
      <c r="E53" s="20" t="n">
        <f aca="false">itc_27*1*1</f>
        <v>1565.35</v>
      </c>
      <c r="F53" s="20" t="n">
        <f aca="false">itc_28*um28_B*1</f>
        <v>1587.41111111111</v>
      </c>
      <c r="G53" s="20" t="n">
        <f aca="false">itc_29*um29_B*1</f>
        <v>1921.33173611111</v>
      </c>
    </row>
    <row r="54" customFormat="false" ht="17.15" hidden="false" customHeight="false" outlineLevel="0" collapsed="false">
      <c r="A54" s="3" t="s">
        <v>473</v>
      </c>
      <c r="B54" s="0" t="s">
        <v>32</v>
      </c>
      <c r="D54" s="20" t="n">
        <f aca="false">itpg_gb*(1-vr26)+itpg_vr*vr26</f>
        <v>33.41403216</v>
      </c>
      <c r="E54" s="20" t="n">
        <f aca="false">itpg_vr</f>
        <v>37.586352</v>
      </c>
      <c r="F54" s="20" t="n">
        <f aca="false">itpg_vr</f>
        <v>37.586352</v>
      </c>
      <c r="G54" s="20" t="n">
        <f aca="false">itpg_vr</f>
        <v>37.586352</v>
      </c>
    </row>
    <row r="55" customFormat="false" ht="17.15" hidden="false" customHeight="false" outlineLevel="0" collapsed="false">
      <c r="A55" s="3" t="s">
        <v>474</v>
      </c>
      <c r="B55" s="0" t="s">
        <v>431</v>
      </c>
      <c r="D55" s="17" t="n">
        <f aca="false">D53/D54</f>
        <v>23.3995380420639</v>
      </c>
      <c r="E55" s="17" t="n">
        <f aca="false">E53/E54</f>
        <v>41.6467658260637</v>
      </c>
      <c r="F55" s="17" t="n">
        <f aca="false">F53/F54</f>
        <v>42.2337105529984</v>
      </c>
      <c r="G55" s="17" t="n">
        <f aca="false">G53/G54</f>
        <v>51.1178029756948</v>
      </c>
    </row>
    <row r="56" customFormat="false" ht="17.15" hidden="false" customHeight="false" outlineLevel="0" collapsed="false">
      <c r="A56" s="3" t="s">
        <v>475</v>
      </c>
      <c r="B56" s="0" t="s">
        <v>52</v>
      </c>
      <c r="D56" s="13" t="n">
        <f aca="false">lpenB_26</f>
        <v>0.55</v>
      </c>
      <c r="E56" s="13" t="n">
        <f aca="false">lpenB_27</f>
        <v>0.75</v>
      </c>
      <c r="F56" s="13" t="n">
        <f aca="false">lpenB_28</f>
        <v>0.85</v>
      </c>
      <c r="G56" s="13" t="n">
        <f aca="false">lpenB_29</f>
        <v>0.9</v>
      </c>
    </row>
    <row r="57" customFormat="false" ht="17.15" hidden="false" customHeight="false" outlineLevel="0" collapsed="false">
      <c r="A57" s="3" t="s">
        <v>476</v>
      </c>
      <c r="B57" s="0" t="s">
        <v>436</v>
      </c>
      <c r="D57" s="18" t="n">
        <f aca="false">((1-vr26)*racks_gb*(cool_gb+mani)+vr26*racks_vr*(cool_vr+mani))/1000</f>
        <v>350.7208</v>
      </c>
      <c r="E57" s="18" t="n">
        <f aca="false">racks_vr*(cool_vr+mani)*lcadj_27/1000</f>
        <v>326.5912</v>
      </c>
      <c r="F57" s="18" t="n">
        <f aca="false">racks_vr*(cool_vr+mani)*lcadj_28/1000</f>
        <v>351.7136</v>
      </c>
      <c r="G57" s="18" t="n">
        <f aca="false">racks_vr*(cool_vr+mani)*lcadj_29/1000</f>
        <v>351.7136</v>
      </c>
      <c r="H57" s="3" t="s">
        <v>477</v>
      </c>
    </row>
    <row r="58" customFormat="false" ht="17.15" hidden="false" customHeight="false" outlineLevel="0" collapsed="false">
      <c r="A58" s="0" t="s">
        <v>478</v>
      </c>
      <c r="B58" s="0" t="s">
        <v>32</v>
      </c>
      <c r="D58" s="20" t="n">
        <f aca="false">D55*D56*D57/1000</f>
        <v>4.51368758595869</v>
      </c>
      <c r="E58" s="20" t="n">
        <f aca="false">E55*E56*E57/1000</f>
        <v>10.2011004204398</v>
      </c>
      <c r="F58" s="20" t="n">
        <f aca="false">F55*F56*F57/1000</f>
        <v>12.6260448229601</v>
      </c>
      <c r="G58" s="20" t="n">
        <f aca="false">G55*G56*G57/1000</f>
        <v>16.1809438578051</v>
      </c>
    </row>
    <row r="59" customFormat="false" ht="17.15" hidden="false" customHeight="false" outlineLevel="0" collapsed="false">
      <c r="A59" s="0" t="s">
        <v>479</v>
      </c>
      <c r="B59" s="0" t="s">
        <v>191</v>
      </c>
      <c r="D59" s="19" t="n">
        <f aca="false">D58*fx</f>
        <v>144.438002750678</v>
      </c>
      <c r="E59" s="19" t="n">
        <f aca="false">E58*fx</f>
        <v>326.435213454075</v>
      </c>
      <c r="F59" s="19" t="n">
        <f aca="false">F58*fx</f>
        <v>404.033434334723</v>
      </c>
      <c r="G59" s="19" t="n">
        <f aca="false">G58*fx</f>
        <v>517.790203449763</v>
      </c>
    </row>
    <row r="60" customFormat="false" ht="17.15" hidden="false" customHeight="false" outlineLevel="0" collapsed="false">
      <c r="A60" s="3" t="s">
        <v>480</v>
      </c>
      <c r="B60" s="0" t="s">
        <v>52</v>
      </c>
      <c r="D60" s="13" t="n">
        <f aca="false">a26_lc/D59</f>
        <v>0.15870077644017</v>
      </c>
      <c r="H60" s="7" t="s">
        <v>481</v>
      </c>
    </row>
    <row r="61" customFormat="false" ht="17.15" hidden="false" customHeight="false" outlineLevel="0" collapsed="false">
      <c r="A61" s="3" t="s">
        <v>482</v>
      </c>
      <c r="B61" s="0" t="s">
        <v>73</v>
      </c>
      <c r="D61" s="14" t="n">
        <f aca="false">1</f>
        <v>1</v>
      </c>
      <c r="E61" s="14" t="n">
        <f aca="false">RLO_27</f>
        <v>0.85</v>
      </c>
      <c r="F61" s="14" t="n">
        <f aca="false">RLO_28</f>
        <v>0.75</v>
      </c>
      <c r="G61" s="14" t="n">
        <f aca="false">RLO_29</f>
        <v>0.7</v>
      </c>
    </row>
    <row r="62" customFormat="false" ht="15" hidden="false" customHeight="false" outlineLevel="0" collapsed="false">
      <c r="A62" s="3" t="s">
        <v>440</v>
      </c>
      <c r="B62" s="0" t="s">
        <v>52</v>
      </c>
      <c r="D62" s="13" t="n">
        <f aca="false">$D$60*D61</f>
        <v>0.15870077644017</v>
      </c>
      <c r="E62" s="13" t="n">
        <f aca="false">$D$60*E61</f>
        <v>0.134895659974144</v>
      </c>
      <c r="F62" s="13" t="n">
        <f aca="false">$D$60*F61</f>
        <v>0.119025582330127</v>
      </c>
      <c r="G62" s="13" t="n">
        <f aca="false">$D$60*G61</f>
        <v>0.111090543508119</v>
      </c>
    </row>
    <row r="63" customFormat="false" ht="15" hidden="false" customHeight="false" outlineLevel="0" collapsed="false">
      <c r="A63" s="3" t="s">
        <v>483</v>
      </c>
      <c r="B63" s="0" t="s">
        <v>191</v>
      </c>
      <c r="C63" s="19" t="n">
        <f aca="false">a25_lc</f>
        <v>7.91384</v>
      </c>
      <c r="D63" s="19" t="n">
        <f aca="false">D59*D62</f>
        <v>22.922423184</v>
      </c>
      <c r="E63" s="19" t="n">
        <f aca="false">E59*E62</f>
        <v>44.0346935576881</v>
      </c>
      <c r="F63" s="19" t="n">
        <f aca="false">F59*F62</f>
        <v>48.0903148025317</v>
      </c>
      <c r="G63" s="19" t="n">
        <f aca="false">G59*G62</f>
        <v>57.5215951244136</v>
      </c>
    </row>
    <row r="64" customFormat="false" ht="17.15" hidden="false" customHeight="false" outlineLevel="0" collapsed="false">
      <c r="A64" s="5" t="s">
        <v>484</v>
      </c>
    </row>
    <row r="65" customFormat="false" ht="17.15" hidden="false" customHeight="false" outlineLevel="0" collapsed="false">
      <c r="A65" s="3" t="s">
        <v>485</v>
      </c>
      <c r="B65" s="0" t="s">
        <v>191</v>
      </c>
      <c r="C65" s="19" t="n">
        <f aca="false">a25_sair</f>
        <v>5.35348</v>
      </c>
      <c r="D65" s="19" t="n">
        <f aca="false">a26_sair</f>
        <v>5.3485654096</v>
      </c>
      <c r="E65" s="19" t="n">
        <f aca="false">D65*(1+g_sair_27)</f>
        <v>5.08113713912</v>
      </c>
      <c r="F65" s="19" t="n">
        <f aca="false">E65*(1+g_sair_28)</f>
        <v>4.827080282164</v>
      </c>
      <c r="G65" s="19" t="n">
        <f aca="false">F65*(1+g_sair_29)</f>
        <v>4.5857262680558</v>
      </c>
    </row>
    <row r="66" customFormat="false" ht="15" hidden="false" customHeight="false" outlineLevel="0" collapsed="false">
      <c r="A66" s="3" t="s">
        <v>486</v>
      </c>
      <c r="B66" s="0" t="s">
        <v>191</v>
      </c>
      <c r="C66" s="19" t="n">
        <f aca="false">a25_nb</f>
        <v>6.28452</v>
      </c>
      <c r="D66" s="19" t="n">
        <f aca="false">a26_nb</f>
        <v>5.730605796</v>
      </c>
      <c r="E66" s="19" t="n">
        <f aca="false">D66*(1+g_nb_27)</f>
        <v>5.55868762212</v>
      </c>
      <c r="F66" s="19" t="n">
        <f aca="false">E66*(1+g_nb_28)</f>
        <v>5.55868762212</v>
      </c>
      <c r="G66" s="19" t="n">
        <f aca="false">F66*(1+g_nb_29)</f>
        <v>5.55868762212</v>
      </c>
    </row>
    <row r="67" customFormat="false" ht="15" hidden="false" customHeight="false" outlineLevel="0" collapsed="false">
      <c r="A67" s="3" t="s">
        <v>487</v>
      </c>
      <c r="B67" s="0" t="s">
        <v>191</v>
      </c>
      <c r="C67" s="19" t="n">
        <f aca="false">a25_oth</f>
        <v>3.72416</v>
      </c>
      <c r="D67" s="19" t="n">
        <f aca="false">a26_oth</f>
        <v>4.2024442504</v>
      </c>
      <c r="E67" s="19" t="n">
        <f aca="false">D67*(1+g_oth_27)</f>
        <v>4.2024442504</v>
      </c>
      <c r="F67" s="19" t="n">
        <f aca="false">E67*(1+g_oth_28)</f>
        <v>4.2024442504</v>
      </c>
      <c r="G67" s="19" t="n">
        <f aca="false">F67*(1+g_oth_29)</f>
        <v>4.2024442504</v>
      </c>
    </row>
    <row r="68" customFormat="false" ht="15" hidden="false" customHeight="false" outlineLevel="0" collapsed="false">
      <c r="A68" s="3" t="s">
        <v>371</v>
      </c>
      <c r="B68" s="0" t="s">
        <v>191</v>
      </c>
      <c r="C68" s="19" t="n">
        <f aca="false">C63+C65+C66+C67</f>
        <v>23.276</v>
      </c>
      <c r="D68" s="19" t="n">
        <f aca="false">D63+D65+D66+D67</f>
        <v>38.20403864</v>
      </c>
      <c r="E68" s="19" t="n">
        <f aca="false">E63+E65+E66+E67</f>
        <v>58.8769625693281</v>
      </c>
      <c r="F68" s="19" t="n">
        <f aca="false">F63+F65+F66+F67</f>
        <v>62.6785269572157</v>
      </c>
      <c r="G68" s="19" t="n">
        <f aca="false">G63+G65+G66+G67</f>
        <v>71.8684532649894</v>
      </c>
    </row>
    <row r="69" customFormat="false" ht="15" hidden="false" customHeight="false" outlineLevel="0" collapsed="false">
      <c r="A69" s="3" t="s">
        <v>488</v>
      </c>
      <c r="B69" s="0" t="s">
        <v>52</v>
      </c>
      <c r="D69" s="13" t="n">
        <f aca="false">D68/C68-1</f>
        <v>0.641348970613508</v>
      </c>
      <c r="E69" s="13" t="n">
        <f aca="false">E68/D68-1</f>
        <v>0.54111881008526</v>
      </c>
      <c r="F69" s="13" t="n">
        <f aca="false">F68/E68-1</f>
        <v>0.0645679434194859</v>
      </c>
      <c r="G69" s="13" t="n">
        <f aca="false">G68/F68-1</f>
        <v>0.146620010933677</v>
      </c>
    </row>
    <row r="70" customFormat="false" ht="17.15" hidden="false" customHeight="false" outlineLevel="0" collapsed="false">
      <c r="A70" s="3" t="s">
        <v>489</v>
      </c>
      <c r="B70" s="0" t="s">
        <v>52</v>
      </c>
      <c r="C70" s="13" t="n">
        <f aca="false">C63/C68</f>
        <v>0.34</v>
      </c>
      <c r="D70" s="13" t="n">
        <f aca="false">D63/D68</f>
        <v>0.6</v>
      </c>
      <c r="E70" s="13" t="n">
        <f aca="false">E63/E68</f>
        <v>0.747910415824133</v>
      </c>
      <c r="F70" s="13" t="n">
        <f aca="false">F63/F68</f>
        <v>0.767253430115837</v>
      </c>
      <c r="G70" s="13" t="n">
        <f aca="false">G63/G68</f>
        <v>0.800373355919086</v>
      </c>
    </row>
    <row r="71" customFormat="false" ht="17.15" hidden="false" customHeight="false" outlineLevel="0" collapsed="false">
      <c r="A71" s="3" t="s">
        <v>448</v>
      </c>
      <c r="B71" s="0" t="s">
        <v>436</v>
      </c>
      <c r="D71" s="18" t="n">
        <f aca="false">D63/fx/D55*1000</f>
        <v>30.6128148005446</v>
      </c>
      <c r="E71" s="18" t="n">
        <f aca="false">E63/fx/E55*1000</f>
        <v>33.0418015993108</v>
      </c>
      <c r="F71" s="18" t="n">
        <f aca="false">F63/fx/F55*1000</f>
        <v>35.5834786454116</v>
      </c>
      <c r="G71" s="18" t="n">
        <f aca="false">G63/fx/G55*1000</f>
        <v>35.1648494848774</v>
      </c>
    </row>
    <row r="72" customFormat="false" ht="17.15" hidden="false" customHeight="false" outlineLevel="0" collapsed="false">
      <c r="A72" s="5" t="s">
        <v>490</v>
      </c>
    </row>
    <row r="73" customFormat="false" ht="17.15" hidden="false" customHeight="false" outlineLevel="0" collapsed="false">
      <c r="A73" s="3" t="s">
        <v>491</v>
      </c>
      <c r="B73" s="0" t="s">
        <v>52</v>
      </c>
      <c r="D73" s="13" t="n">
        <f aca="false">a26_gp/D68-d_lc*D70</f>
        <v>0.260156485550031</v>
      </c>
      <c r="H73" s="7" t="s">
        <v>492</v>
      </c>
    </row>
    <row r="74" customFormat="false" ht="15" hidden="false" customHeight="false" outlineLevel="0" collapsed="false">
      <c r="A74" s="3" t="s">
        <v>375</v>
      </c>
      <c r="B74" s="0" t="s">
        <v>191</v>
      </c>
      <c r="C74" s="19" t="n">
        <f aca="false">a25_gp</f>
        <v>6.372</v>
      </c>
      <c r="D74" s="19" t="n">
        <f aca="false">a26_gp</f>
        <v>11.0851495856</v>
      </c>
      <c r="E74" s="19" t="n">
        <f aca="false">$D$73*E68+d_lc*E63</f>
        <v>17.5189583397816</v>
      </c>
      <c r="F74" s="19" t="n">
        <f aca="false">$D$73*F68+d_lc*F63</f>
        <v>18.7107410327687</v>
      </c>
      <c r="G74" s="19" t="n">
        <f aca="false">$D$73*G68+d_lc*G63</f>
        <v>21.573123979557</v>
      </c>
    </row>
    <row r="75" customFormat="false" ht="15" hidden="false" customHeight="false" outlineLevel="0" collapsed="false">
      <c r="A75" s="3" t="s">
        <v>378</v>
      </c>
      <c r="B75" s="0" t="s">
        <v>52</v>
      </c>
      <c r="C75" s="13" t="n">
        <f aca="false">C74/C68</f>
        <v>0.273758377728132</v>
      </c>
      <c r="D75" s="13" t="n">
        <f aca="false">D74/D68</f>
        <v>0.290156485550031</v>
      </c>
      <c r="E75" s="13" t="n">
        <f aca="false">E74/E68</f>
        <v>0.297552006341238</v>
      </c>
      <c r="F75" s="13" t="n">
        <f aca="false">F74/F68</f>
        <v>0.298519157055823</v>
      </c>
      <c r="G75" s="13" t="n">
        <f aca="false">G74/G68</f>
        <v>0.300175153345986</v>
      </c>
    </row>
    <row r="76" customFormat="false" ht="15" hidden="false" customHeight="false" outlineLevel="0" collapsed="false">
      <c r="A76" s="3" t="s">
        <v>493</v>
      </c>
      <c r="B76" s="0" t="s">
        <v>191</v>
      </c>
      <c r="C76" s="19" t="n">
        <f aca="false">a25_opx</f>
        <v>3.113</v>
      </c>
      <c r="D76" s="19" t="n">
        <f aca="false">a26_opx</f>
        <v>4.4038196704</v>
      </c>
      <c r="E76" s="19" t="n">
        <f aca="false">D76*(1+MAX(0,phi*E69))</f>
        <v>5.95276294931999</v>
      </c>
      <c r="F76" s="19" t="n">
        <f aca="false">E76*(1+MAX(0,phi*F69))</f>
        <v>6.20259542916584</v>
      </c>
      <c r="G76" s="19" t="n">
        <f aca="false">F76*(1+MAX(0,phi*G69))</f>
        <v>6.7937214254328</v>
      </c>
    </row>
    <row r="77" customFormat="false" ht="15" hidden="false" customHeight="false" outlineLevel="0" collapsed="false">
      <c r="A77" s="3" t="s">
        <v>380</v>
      </c>
      <c r="B77" s="0" t="s">
        <v>191</v>
      </c>
      <c r="C77" s="19" t="n">
        <f aca="false">C76</f>
        <v>3.113</v>
      </c>
      <c r="D77" s="19" t="n">
        <f aca="false">D76</f>
        <v>4.4038196704</v>
      </c>
      <c r="E77" s="19" t="n">
        <f aca="false">E76+0*E68</f>
        <v>5.95276294931999</v>
      </c>
      <c r="F77" s="19" t="n">
        <f aca="false">F76+0*F68</f>
        <v>6.20259542916584</v>
      </c>
      <c r="G77" s="19" t="n">
        <f aca="false">G76+0*G68</f>
        <v>6.7937214254328</v>
      </c>
    </row>
    <row r="78" customFormat="false" ht="15" hidden="false" customHeight="false" outlineLevel="0" collapsed="false">
      <c r="A78" s="3" t="s">
        <v>383</v>
      </c>
      <c r="B78" s="0" t="s">
        <v>191</v>
      </c>
      <c r="C78" s="19" t="n">
        <f aca="false">C74-C77</f>
        <v>3.259</v>
      </c>
      <c r="D78" s="19" t="n">
        <f aca="false">D74-D77</f>
        <v>6.6813299152</v>
      </c>
      <c r="E78" s="19" t="n">
        <f aca="false">E74-E77</f>
        <v>11.5661953904616</v>
      </c>
      <c r="F78" s="19" t="n">
        <f aca="false">F74-F77</f>
        <v>12.5081456036029</v>
      </c>
      <c r="G78" s="19" t="n">
        <f aca="false">G74-G77</f>
        <v>14.7794025541242</v>
      </c>
    </row>
    <row r="79" customFormat="false" ht="15" hidden="false" customHeight="false" outlineLevel="0" collapsed="false">
      <c r="A79" s="3" t="s">
        <v>386</v>
      </c>
      <c r="B79" s="0" t="s">
        <v>52</v>
      </c>
      <c r="C79" s="13" t="n">
        <f aca="false">C78/C68</f>
        <v>0.140015466575013</v>
      </c>
      <c r="D79" s="13" t="n">
        <f aca="false">D78/D68</f>
        <v>0.174885434970861</v>
      </c>
      <c r="E79" s="13" t="n">
        <f aca="false">E78/E68</f>
        <v>0.196446876430527</v>
      </c>
      <c r="F79" s="13" t="n">
        <f aca="false">F78/F68</f>
        <v>0.199560299369207</v>
      </c>
      <c r="G79" s="13" t="n">
        <f aca="false">G78/G68</f>
        <v>0.205645201513248</v>
      </c>
    </row>
    <row r="80" customFormat="false" ht="15" hidden="false" customHeight="false" outlineLevel="0" collapsed="false">
      <c r="A80" s="3" t="s">
        <v>387</v>
      </c>
      <c r="B80" s="0" t="s">
        <v>191</v>
      </c>
      <c r="C80" s="19" t="n">
        <f aca="false">a25_nop</f>
        <v>0.0184359999999999</v>
      </c>
      <c r="D80" s="19" t="n">
        <f aca="false">a26_nop</f>
        <v>-0.0226839999999999</v>
      </c>
      <c r="E80" s="19" t="n">
        <f aca="false">nop_f</f>
        <v>0</v>
      </c>
      <c r="F80" s="19" t="n">
        <f aca="false">nop_f</f>
        <v>0</v>
      </c>
      <c r="G80" s="19" t="n">
        <f aca="false">nop_f</f>
        <v>0</v>
      </c>
    </row>
    <row r="81" customFormat="false" ht="17.15" hidden="false" customHeight="false" outlineLevel="0" collapsed="false">
      <c r="A81" s="3" t="s">
        <v>234</v>
      </c>
      <c r="B81" s="0" t="s">
        <v>52</v>
      </c>
      <c r="C81" s="13" t="n">
        <f aca="false">a25_ni/(a25_oi+a25_nop)</f>
        <v>0.78475979393648</v>
      </c>
      <c r="D81" s="13" t="n">
        <f aca="false">a26_ni/(a26_oi+a26_nop)</f>
        <v>0.739465828331271</v>
      </c>
      <c r="E81" s="13" t="n">
        <f aca="false">nir_f</f>
        <v>0.74</v>
      </c>
      <c r="F81" s="13" t="n">
        <f aca="false">nir_f</f>
        <v>0.74</v>
      </c>
      <c r="G81" s="13" t="n">
        <f aca="false">nir_f</f>
        <v>0.74</v>
      </c>
    </row>
    <row r="82" customFormat="false" ht="15" hidden="false" customHeight="false" outlineLevel="0" collapsed="false">
      <c r="A82" s="3" t="s">
        <v>391</v>
      </c>
      <c r="B82" s="0" t="s">
        <v>191</v>
      </c>
      <c r="C82" s="19" t="n">
        <f aca="false">a25_ni</f>
        <v>2.572</v>
      </c>
      <c r="D82" s="19" t="n">
        <f aca="false">a26_ni</f>
        <v>4.923841117248</v>
      </c>
      <c r="E82" s="19" t="n">
        <f aca="false">(E78+E80)*E81</f>
        <v>8.55898458894155</v>
      </c>
      <c r="F82" s="19" t="n">
        <f aca="false">(F78+F80)*F81</f>
        <v>9.25602774666613</v>
      </c>
      <c r="G82" s="19" t="n">
        <f aca="false">(G78+G80)*G81</f>
        <v>10.9367578900519</v>
      </c>
    </row>
    <row r="83" customFormat="false" ht="15" hidden="false" customHeight="false" outlineLevel="0" collapsed="false">
      <c r="A83" s="3" t="s">
        <v>494</v>
      </c>
      <c r="B83" s="3" t="s">
        <v>217</v>
      </c>
      <c r="C83" s="21" t="n">
        <f aca="false">a25_sh</f>
        <v>0.0910120311394197</v>
      </c>
      <c r="D83" s="21" t="n">
        <f aca="false">a26_sh</f>
        <v>0.093076837</v>
      </c>
      <c r="E83" s="21" t="n">
        <f aca="false">D83*(1+sh_g)</f>
        <v>0.093076837</v>
      </c>
      <c r="F83" s="21" t="n">
        <f aca="false">E83*(1+sh_g)</f>
        <v>0.093076837</v>
      </c>
      <c r="G83" s="21" t="n">
        <f aca="false">F83*(1+sh_g)</f>
        <v>0.093076837</v>
      </c>
    </row>
    <row r="84" customFormat="false" ht="15" hidden="false" customHeight="false" outlineLevel="0" collapsed="false">
      <c r="A84" s="0" t="s">
        <v>398</v>
      </c>
      <c r="B84" s="0" t="s">
        <v>251</v>
      </c>
      <c r="C84" s="20" t="n">
        <f aca="false">C82/C83</f>
        <v>28.26</v>
      </c>
      <c r="D84" s="20" t="n">
        <f aca="false">D82/D83</f>
        <v>52.9008212563992</v>
      </c>
      <c r="E84" s="20" t="n">
        <f aca="false">E82/E83</f>
        <v>91.956117814162</v>
      </c>
      <c r="F84" s="20" t="n">
        <f aca="false">F82/F83</f>
        <v>99.4450181699463</v>
      </c>
      <c r="G84" s="20" t="n">
        <f aca="false">G82/G83</f>
        <v>117.502466161929</v>
      </c>
    </row>
    <row r="85" customFormat="false" ht="17.15" hidden="false" customHeight="false" outlineLevel="0" collapsed="false">
      <c r="A85" s="0" t="s">
        <v>495</v>
      </c>
      <c r="B85" s="0" t="s">
        <v>52</v>
      </c>
      <c r="D85" s="13" t="n">
        <f aca="false">D84/C84-1</f>
        <v>0.871932811620636</v>
      </c>
      <c r="E85" s="13" t="n">
        <f aca="false">E84/D84-1</f>
        <v>0.73827391768589</v>
      </c>
      <c r="F85" s="13" t="n">
        <f aca="false">F84/E84-1</f>
        <v>0.0814399360673197</v>
      </c>
      <c r="G85" s="13" t="n">
        <f aca="false">G84/F84-1</f>
        <v>0.181582228293466</v>
      </c>
    </row>
    <row r="88" customFormat="false" ht="17.15" hidden="false" customHeight="false" outlineLevel="0" collapsed="false">
      <c r="A88" s="1" t="s">
        <v>843</v>
      </c>
    </row>
    <row r="89" customFormat="false" ht="17.15" hidden="false" customHeight="false" outlineLevel="0" collapsed="false">
      <c r="A89" s="4" t="s">
        <v>21</v>
      </c>
      <c r="B89" s="4" t="s">
        <v>22</v>
      </c>
      <c r="C89" s="10" t="s">
        <v>365</v>
      </c>
      <c r="D89" s="10" t="s">
        <v>452</v>
      </c>
      <c r="E89" s="10" t="s">
        <v>453</v>
      </c>
      <c r="F89" s="10" t="s">
        <v>454</v>
      </c>
      <c r="G89" s="10" t="s">
        <v>455</v>
      </c>
      <c r="H89" s="4" t="s">
        <v>350</v>
      </c>
    </row>
    <row r="90" customFormat="false" ht="17.15" hidden="false" customHeight="false" outlineLevel="0" collapsed="false">
      <c r="A90" s="5" t="s">
        <v>471</v>
      </c>
    </row>
    <row r="91" customFormat="false" ht="17.15" hidden="false" customHeight="false" outlineLevel="0" collapsed="false">
      <c r="A91" s="0" t="s">
        <v>472</v>
      </c>
      <c r="B91" s="0" t="s">
        <v>32</v>
      </c>
      <c r="D91" s="20" t="n">
        <f aca="false">itc_26*1</f>
        <v>781.872916666666</v>
      </c>
      <c r="E91" s="20" t="n">
        <f aca="false">itc_27*1*1</f>
        <v>1565.35</v>
      </c>
      <c r="F91" s="20" t="n">
        <f aca="false">itc_28*um28_B*1</f>
        <v>1587.41111111111</v>
      </c>
      <c r="G91" s="20" t="n">
        <f aca="false">itc_29*um29_B*1</f>
        <v>1921.33173611111</v>
      </c>
    </row>
    <row r="92" customFormat="false" ht="17.15" hidden="false" customHeight="false" outlineLevel="0" collapsed="false">
      <c r="A92" s="3" t="s">
        <v>473</v>
      </c>
      <c r="B92" s="0" t="s">
        <v>32</v>
      </c>
      <c r="D92" s="20" t="n">
        <f aca="false">itpg_gb*(1-vr26)+itpg_vr*vr26</f>
        <v>33.41403216</v>
      </c>
      <c r="E92" s="20" t="n">
        <f aca="false">itpg_vr</f>
        <v>37.586352</v>
      </c>
      <c r="F92" s="20" t="n">
        <f aca="false">itpg_vr</f>
        <v>37.586352</v>
      </c>
      <c r="G92" s="20" t="n">
        <f aca="false">itpg_vr</f>
        <v>37.586352</v>
      </c>
    </row>
    <row r="93" customFormat="false" ht="17.15" hidden="false" customHeight="false" outlineLevel="0" collapsed="false">
      <c r="A93" s="3" t="s">
        <v>474</v>
      </c>
      <c r="B93" s="0" t="s">
        <v>431</v>
      </c>
      <c r="D93" s="17" t="n">
        <f aca="false">D91/D92</f>
        <v>23.3995380420639</v>
      </c>
      <c r="E93" s="17" t="n">
        <f aca="false">E91/E92</f>
        <v>41.6467658260637</v>
      </c>
      <c r="F93" s="17" t="n">
        <f aca="false">F91/F92</f>
        <v>42.2337105529984</v>
      </c>
      <c r="G93" s="17" t="n">
        <f aca="false">G91/G92</f>
        <v>51.1178029756948</v>
      </c>
    </row>
    <row r="94" customFormat="false" ht="17.15" hidden="false" customHeight="false" outlineLevel="0" collapsed="false">
      <c r="A94" s="3" t="s">
        <v>475</v>
      </c>
      <c r="B94" s="0" t="s">
        <v>52</v>
      </c>
      <c r="D94" s="13" t="n">
        <f aca="false">lpenB_26</f>
        <v>0.55</v>
      </c>
      <c r="E94" s="13" t="n">
        <f aca="false">lpenB_27</f>
        <v>0.75</v>
      </c>
      <c r="F94" s="13" t="n">
        <f aca="false">lpenB_28</f>
        <v>0.85</v>
      </c>
      <c r="G94" s="13" t="n">
        <f aca="false">lpenB_29</f>
        <v>0.9</v>
      </c>
    </row>
    <row r="95" customFormat="false" ht="17.15" hidden="false" customHeight="false" outlineLevel="0" collapsed="false">
      <c r="A95" s="3" t="s">
        <v>476</v>
      </c>
      <c r="B95" s="0" t="s">
        <v>436</v>
      </c>
      <c r="D95" s="18" t="n">
        <f aca="false">((1-vr26)*racks_gb*(cool_gb+mani)+vr26*racks_vr*(cool_vr+mani))/1000</f>
        <v>350.7208</v>
      </c>
      <c r="E95" s="18" t="n">
        <f aca="false">racks_vr*(cool_vr+mani)*lcadj_27/1000</f>
        <v>326.5912</v>
      </c>
      <c r="F95" s="18" t="n">
        <f aca="false">racks_vr*(cool_vr+mani)*lcadj_28/1000</f>
        <v>351.7136</v>
      </c>
      <c r="G95" s="18" t="n">
        <f aca="false">racks_vr*(cool_vr+mani)*lcadj_29/1000</f>
        <v>351.7136</v>
      </c>
      <c r="H95" s="3" t="s">
        <v>477</v>
      </c>
    </row>
    <row r="96" customFormat="false" ht="17.15" hidden="false" customHeight="false" outlineLevel="0" collapsed="false">
      <c r="A96" s="0" t="s">
        <v>478</v>
      </c>
      <c r="B96" s="0" t="s">
        <v>32</v>
      </c>
      <c r="D96" s="20" t="n">
        <f aca="false">D93*D94*D95/1000</f>
        <v>4.51368758595869</v>
      </c>
      <c r="E96" s="20" t="n">
        <f aca="false">E93*E94*E95/1000</f>
        <v>10.2011004204398</v>
      </c>
      <c r="F96" s="20" t="n">
        <f aca="false">F93*F94*F95/1000</f>
        <v>12.6260448229601</v>
      </c>
      <c r="G96" s="20" t="n">
        <f aca="false">G93*G94*G95/1000</f>
        <v>16.1809438578051</v>
      </c>
    </row>
    <row r="97" customFormat="false" ht="17.15" hidden="false" customHeight="false" outlineLevel="0" collapsed="false">
      <c r="A97" s="0" t="s">
        <v>479</v>
      </c>
      <c r="B97" s="0" t="s">
        <v>191</v>
      </c>
      <c r="D97" s="19" t="n">
        <f aca="false">D96*fx</f>
        <v>144.438002750678</v>
      </c>
      <c r="E97" s="19" t="n">
        <f aca="false">E96*fx</f>
        <v>326.435213454075</v>
      </c>
      <c r="F97" s="19" t="n">
        <f aca="false">F96*fx</f>
        <v>404.033434334723</v>
      </c>
      <c r="G97" s="19" t="n">
        <f aca="false">G96*fx</f>
        <v>517.790203449763</v>
      </c>
    </row>
    <row r="98" customFormat="false" ht="17.15" hidden="false" customHeight="false" outlineLevel="0" collapsed="false">
      <c r="A98" s="3" t="s">
        <v>480</v>
      </c>
      <c r="B98" s="0" t="s">
        <v>52</v>
      </c>
      <c r="D98" s="13" t="n">
        <f aca="false">a26_lc/D97</f>
        <v>0.15870077644017</v>
      </c>
      <c r="H98" s="7" t="s">
        <v>481</v>
      </c>
    </row>
    <row r="99" customFormat="false" ht="17.15" hidden="false" customHeight="false" outlineLevel="0" collapsed="false">
      <c r="A99" s="3" t="s">
        <v>482</v>
      </c>
      <c r="B99" s="0" t="s">
        <v>73</v>
      </c>
      <c r="D99" s="14" t="n">
        <f aca="false">1</f>
        <v>1</v>
      </c>
      <c r="E99" s="14" t="n">
        <f aca="false">RHI_27</f>
        <v>1.05</v>
      </c>
      <c r="F99" s="14" t="n">
        <f aca="false">RHI_28</f>
        <v>1.05</v>
      </c>
      <c r="G99" s="14" t="n">
        <f aca="false">RHI_29</f>
        <v>1.05</v>
      </c>
    </row>
    <row r="100" customFormat="false" ht="15" hidden="false" customHeight="false" outlineLevel="0" collapsed="false">
      <c r="A100" s="3" t="s">
        <v>440</v>
      </c>
      <c r="B100" s="0" t="s">
        <v>52</v>
      </c>
      <c r="D100" s="13" t="n">
        <f aca="false">$D$98*D99</f>
        <v>0.15870077644017</v>
      </c>
      <c r="E100" s="13" t="n">
        <f aca="false">$D$98*E99</f>
        <v>0.166635815262178</v>
      </c>
      <c r="F100" s="13" t="n">
        <f aca="false">$D$98*F99</f>
        <v>0.166635815262178</v>
      </c>
      <c r="G100" s="13" t="n">
        <f aca="false">$D$98*G99</f>
        <v>0.166635815262178</v>
      </c>
    </row>
    <row r="101" customFormat="false" ht="15" hidden="false" customHeight="false" outlineLevel="0" collapsed="false">
      <c r="A101" s="3" t="s">
        <v>483</v>
      </c>
      <c r="B101" s="0" t="s">
        <v>191</v>
      </c>
      <c r="C101" s="19" t="n">
        <f aca="false">a25_lc</f>
        <v>7.91384</v>
      </c>
      <c r="D101" s="19" t="n">
        <f aca="false">D97*D100</f>
        <v>22.922423184</v>
      </c>
      <c r="E101" s="19" t="n">
        <f aca="false">E97*E100</f>
        <v>54.395797924203</v>
      </c>
      <c r="F101" s="19" t="n">
        <f aca="false">F97*F100</f>
        <v>67.3264407235443</v>
      </c>
      <c r="G101" s="19" t="n">
        <f aca="false">G97*G100</f>
        <v>86.2823926866204</v>
      </c>
    </row>
    <row r="102" customFormat="false" ht="17.15" hidden="false" customHeight="false" outlineLevel="0" collapsed="false">
      <c r="A102" s="5" t="s">
        <v>484</v>
      </c>
    </row>
    <row r="103" customFormat="false" ht="17.15" hidden="false" customHeight="false" outlineLevel="0" collapsed="false">
      <c r="A103" s="3" t="s">
        <v>485</v>
      </c>
      <c r="B103" s="0" t="s">
        <v>191</v>
      </c>
      <c r="C103" s="19" t="n">
        <f aca="false">a25_sair</f>
        <v>5.35348</v>
      </c>
      <c r="D103" s="19" t="n">
        <f aca="false">a26_sair</f>
        <v>5.3485654096</v>
      </c>
      <c r="E103" s="19" t="n">
        <f aca="false">D103*(1+g_sair_27)</f>
        <v>5.08113713912</v>
      </c>
      <c r="F103" s="19" t="n">
        <f aca="false">E103*(1+g_sair_28)</f>
        <v>4.827080282164</v>
      </c>
      <c r="G103" s="19" t="n">
        <f aca="false">F103*(1+g_sair_29)</f>
        <v>4.5857262680558</v>
      </c>
    </row>
    <row r="104" customFormat="false" ht="15" hidden="false" customHeight="false" outlineLevel="0" collapsed="false">
      <c r="A104" s="3" t="s">
        <v>486</v>
      </c>
      <c r="B104" s="0" t="s">
        <v>191</v>
      </c>
      <c r="C104" s="19" t="n">
        <f aca="false">a25_nb</f>
        <v>6.28452</v>
      </c>
      <c r="D104" s="19" t="n">
        <f aca="false">a26_nb</f>
        <v>5.730605796</v>
      </c>
      <c r="E104" s="19" t="n">
        <f aca="false">D104*(1+g_nb_27)</f>
        <v>5.55868762212</v>
      </c>
      <c r="F104" s="19" t="n">
        <f aca="false">E104*(1+g_nb_28)</f>
        <v>5.55868762212</v>
      </c>
      <c r="G104" s="19" t="n">
        <f aca="false">F104*(1+g_nb_29)</f>
        <v>5.55868762212</v>
      </c>
    </row>
    <row r="105" customFormat="false" ht="15" hidden="false" customHeight="false" outlineLevel="0" collapsed="false">
      <c r="A105" s="3" t="s">
        <v>487</v>
      </c>
      <c r="B105" s="0" t="s">
        <v>191</v>
      </c>
      <c r="C105" s="19" t="n">
        <f aca="false">a25_oth</f>
        <v>3.72416</v>
      </c>
      <c r="D105" s="19" t="n">
        <f aca="false">a26_oth</f>
        <v>4.2024442504</v>
      </c>
      <c r="E105" s="19" t="n">
        <f aca="false">D105*(1+g_oth_27)</f>
        <v>4.2024442504</v>
      </c>
      <c r="F105" s="19" t="n">
        <f aca="false">E105*(1+g_oth_28)</f>
        <v>4.2024442504</v>
      </c>
      <c r="G105" s="19" t="n">
        <f aca="false">F105*(1+g_oth_29)</f>
        <v>4.2024442504</v>
      </c>
    </row>
    <row r="106" customFormat="false" ht="15" hidden="false" customHeight="false" outlineLevel="0" collapsed="false">
      <c r="A106" s="3" t="s">
        <v>371</v>
      </c>
      <c r="B106" s="0" t="s">
        <v>191</v>
      </c>
      <c r="C106" s="19" t="n">
        <f aca="false">C101+C103+C104+C105</f>
        <v>23.276</v>
      </c>
      <c r="D106" s="19" t="n">
        <f aca="false">D101+D103+D104+D105</f>
        <v>38.20403864</v>
      </c>
      <c r="E106" s="19" t="n">
        <f aca="false">E101+E103+E104+E105</f>
        <v>69.238066935843</v>
      </c>
      <c r="F106" s="19" t="n">
        <f aca="false">F101+F103+F104+F105</f>
        <v>81.9146528782284</v>
      </c>
      <c r="G106" s="19" t="n">
        <f aca="false">G101+G103+G104+G105</f>
        <v>100.629250827196</v>
      </c>
    </row>
    <row r="107" customFormat="false" ht="15" hidden="false" customHeight="false" outlineLevel="0" collapsed="false">
      <c r="A107" s="3" t="s">
        <v>488</v>
      </c>
      <c r="B107" s="0" t="s">
        <v>52</v>
      </c>
      <c r="D107" s="13" t="n">
        <f aca="false">D106/C106-1</f>
        <v>0.641348970613508</v>
      </c>
      <c r="E107" s="13" t="n">
        <f aca="false">E106/D106-1</f>
        <v>0.812323235987674</v>
      </c>
      <c r="F107" s="13" t="n">
        <f aca="false">F106/E106-1</f>
        <v>0.183086941958268</v>
      </c>
      <c r="G107" s="13" t="n">
        <f aca="false">G106/F106-1</f>
        <v>0.228464594445495</v>
      </c>
    </row>
    <row r="108" customFormat="false" ht="17.15" hidden="false" customHeight="false" outlineLevel="0" collapsed="false">
      <c r="A108" s="3" t="s">
        <v>489</v>
      </c>
      <c r="B108" s="0" t="s">
        <v>52</v>
      </c>
      <c r="C108" s="13" t="n">
        <f aca="false">C101/C106</f>
        <v>0.34</v>
      </c>
      <c r="D108" s="13" t="n">
        <f aca="false">D101/D106</f>
        <v>0.6</v>
      </c>
      <c r="E108" s="13" t="n">
        <f aca="false">E101/E106</f>
        <v>0.785634266401558</v>
      </c>
      <c r="F108" s="13" t="n">
        <f aca="false">F101/F106</f>
        <v>0.821909613944524</v>
      </c>
      <c r="G108" s="13" t="n">
        <f aca="false">G101/G106</f>
        <v>0.857428550618819</v>
      </c>
    </row>
    <row r="109" customFormat="false" ht="17.15" hidden="false" customHeight="false" outlineLevel="0" collapsed="false">
      <c r="A109" s="3" t="s">
        <v>448</v>
      </c>
      <c r="B109" s="0" t="s">
        <v>436</v>
      </c>
      <c r="D109" s="18" t="n">
        <f aca="false">D101/fx/D93*1000</f>
        <v>30.6128148005446</v>
      </c>
      <c r="E109" s="18" t="n">
        <f aca="false">E101/fx/E93*1000</f>
        <v>40.8163431520898</v>
      </c>
      <c r="F109" s="18" t="n">
        <f aca="false">F101/fx/F93*1000</f>
        <v>49.8168701035763</v>
      </c>
      <c r="G109" s="18" t="n">
        <f aca="false">G101/fx/G93*1000</f>
        <v>52.7472742273161</v>
      </c>
    </row>
    <row r="110" customFormat="false" ht="17.15" hidden="false" customHeight="false" outlineLevel="0" collapsed="false">
      <c r="A110" s="5" t="s">
        <v>490</v>
      </c>
    </row>
    <row r="111" customFormat="false" ht="17.15" hidden="false" customHeight="false" outlineLevel="0" collapsed="false">
      <c r="A111" s="3" t="s">
        <v>491</v>
      </c>
      <c r="B111" s="0" t="s">
        <v>52</v>
      </c>
      <c r="D111" s="13" t="n">
        <f aca="false">a26_gp/D106-d_lc*D108</f>
        <v>0.260156485550031</v>
      </c>
      <c r="H111" s="7" t="s">
        <v>492</v>
      </c>
    </row>
    <row r="112" customFormat="false" ht="15" hidden="false" customHeight="false" outlineLevel="0" collapsed="false">
      <c r="A112" s="3" t="s">
        <v>375</v>
      </c>
      <c r="B112" s="0" t="s">
        <v>191</v>
      </c>
      <c r="C112" s="19" t="n">
        <f aca="false">a25_gp</f>
        <v>6.372</v>
      </c>
      <c r="D112" s="19" t="n">
        <f aca="false">a26_gp</f>
        <v>11.0851495856</v>
      </c>
      <c r="E112" s="19" t="n">
        <f aca="false">$D$111*E106+d_lc*E101</f>
        <v>20.7325220565169</v>
      </c>
      <c r="F112" s="19" t="n">
        <f aca="false">$D$111*F106+d_lc*F101</f>
        <v>24.6769502440279</v>
      </c>
      <c r="G112" s="19" t="n">
        <f aca="false">$D$111*G106+d_lc*G101</f>
        <v>30.493471873067</v>
      </c>
    </row>
    <row r="113" customFormat="false" ht="15" hidden="false" customHeight="false" outlineLevel="0" collapsed="false">
      <c r="A113" s="3" t="s">
        <v>378</v>
      </c>
      <c r="B113" s="0" t="s">
        <v>52</v>
      </c>
      <c r="C113" s="13" t="n">
        <f aca="false">C112/C106</f>
        <v>0.273758377728132</v>
      </c>
      <c r="D113" s="13" t="n">
        <f aca="false">D112/D106</f>
        <v>0.290156485550031</v>
      </c>
      <c r="E113" s="13" t="n">
        <f aca="false">E112/E106</f>
        <v>0.299438198870109</v>
      </c>
      <c r="F113" s="13" t="n">
        <f aca="false">F112/F106</f>
        <v>0.301251966247258</v>
      </c>
      <c r="G113" s="13" t="n">
        <f aca="false">G112/G106</f>
        <v>0.303027913080972</v>
      </c>
    </row>
    <row r="114" customFormat="false" ht="15" hidden="false" customHeight="false" outlineLevel="0" collapsed="false">
      <c r="A114" s="3" t="s">
        <v>493</v>
      </c>
      <c r="B114" s="0" t="s">
        <v>191</v>
      </c>
      <c r="C114" s="19" t="n">
        <f aca="false">a25_opx</f>
        <v>3.113</v>
      </c>
      <c r="D114" s="19" t="n">
        <f aca="false">a26_opx</f>
        <v>4.4038196704</v>
      </c>
      <c r="E114" s="19" t="n">
        <f aca="false">D114*(1+MAX(0,phi*E107))</f>
        <v>6.72908094988758</v>
      </c>
      <c r="F114" s="19" t="n">
        <f aca="false">E114*(1+MAX(0,phi*F107))</f>
        <v>7.52988540453554</v>
      </c>
      <c r="G114" s="19" t="n">
        <f aca="false">F114*(1+MAX(0,phi*G107))</f>
        <v>8.64808834439491</v>
      </c>
    </row>
    <row r="115" customFormat="false" ht="15" hidden="false" customHeight="false" outlineLevel="0" collapsed="false">
      <c r="A115" s="3" t="s">
        <v>380</v>
      </c>
      <c r="B115" s="0" t="s">
        <v>191</v>
      </c>
      <c r="C115" s="19" t="n">
        <f aca="false">C114</f>
        <v>3.113</v>
      </c>
      <c r="D115" s="19" t="n">
        <f aca="false">D114</f>
        <v>4.4038196704</v>
      </c>
      <c r="E115" s="19" t="n">
        <f aca="false">E114+0*E106</f>
        <v>6.72908094988758</v>
      </c>
      <c r="F115" s="19" t="n">
        <f aca="false">F114+0*F106</f>
        <v>7.52988540453554</v>
      </c>
      <c r="G115" s="19" t="n">
        <f aca="false">G114+0*G106</f>
        <v>8.64808834439491</v>
      </c>
    </row>
    <row r="116" customFormat="false" ht="15" hidden="false" customHeight="false" outlineLevel="0" collapsed="false">
      <c r="A116" s="3" t="s">
        <v>383</v>
      </c>
      <c r="B116" s="0" t="s">
        <v>191</v>
      </c>
      <c r="C116" s="19" t="n">
        <f aca="false">C112-C115</f>
        <v>3.259</v>
      </c>
      <c r="D116" s="19" t="n">
        <f aca="false">D112-D115</f>
        <v>6.6813299152</v>
      </c>
      <c r="E116" s="19" t="n">
        <f aca="false">E112-E115</f>
        <v>14.0034411066293</v>
      </c>
      <c r="F116" s="19" t="n">
        <f aca="false">F112-F115</f>
        <v>17.1470648394923</v>
      </c>
      <c r="G116" s="19" t="n">
        <f aca="false">G112-G115</f>
        <v>21.8453835286721</v>
      </c>
    </row>
    <row r="117" customFormat="false" ht="15" hidden="false" customHeight="false" outlineLevel="0" collapsed="false">
      <c r="A117" s="3" t="s">
        <v>386</v>
      </c>
      <c r="B117" s="0" t="s">
        <v>52</v>
      </c>
      <c r="C117" s="13" t="n">
        <f aca="false">C116/C106</f>
        <v>0.140015466575013</v>
      </c>
      <c r="D117" s="13" t="n">
        <f aca="false">D116/D106</f>
        <v>0.174885434970861</v>
      </c>
      <c r="E117" s="13" t="n">
        <f aca="false">E116/E106</f>
        <v>0.202250607597192</v>
      </c>
      <c r="F117" s="13" t="n">
        <f aca="false">F116/F106</f>
        <v>0.209328419727086</v>
      </c>
      <c r="G117" s="13" t="n">
        <f aca="false">G116/G106</f>
        <v>0.217087808456267</v>
      </c>
    </row>
    <row r="118" customFormat="false" ht="15" hidden="false" customHeight="false" outlineLevel="0" collapsed="false">
      <c r="A118" s="3" t="s">
        <v>387</v>
      </c>
      <c r="B118" s="0" t="s">
        <v>191</v>
      </c>
      <c r="C118" s="19" t="n">
        <f aca="false">a25_nop</f>
        <v>0.0184359999999999</v>
      </c>
      <c r="D118" s="19" t="n">
        <f aca="false">a26_nop</f>
        <v>-0.0226839999999999</v>
      </c>
      <c r="E118" s="19" t="n">
        <f aca="false">nop_f</f>
        <v>0</v>
      </c>
      <c r="F118" s="19" t="n">
        <f aca="false">nop_f</f>
        <v>0</v>
      </c>
      <c r="G118" s="19" t="n">
        <f aca="false">nop_f</f>
        <v>0</v>
      </c>
    </row>
    <row r="119" customFormat="false" ht="17.15" hidden="false" customHeight="false" outlineLevel="0" collapsed="false">
      <c r="A119" s="3" t="s">
        <v>234</v>
      </c>
      <c r="B119" s="0" t="s">
        <v>52</v>
      </c>
      <c r="C119" s="13" t="n">
        <f aca="false">a25_ni/(a25_oi+a25_nop)</f>
        <v>0.78475979393648</v>
      </c>
      <c r="D119" s="13" t="n">
        <f aca="false">a26_ni/(a26_oi+a26_nop)</f>
        <v>0.739465828331271</v>
      </c>
      <c r="E119" s="13" t="n">
        <f aca="false">nir_f</f>
        <v>0.74</v>
      </c>
      <c r="F119" s="13" t="n">
        <f aca="false">nir_f</f>
        <v>0.74</v>
      </c>
      <c r="G119" s="13" t="n">
        <f aca="false">nir_f</f>
        <v>0.74</v>
      </c>
    </row>
    <row r="120" customFormat="false" ht="15" hidden="false" customHeight="false" outlineLevel="0" collapsed="false">
      <c r="A120" s="3" t="s">
        <v>391</v>
      </c>
      <c r="B120" s="0" t="s">
        <v>191</v>
      </c>
      <c r="C120" s="19" t="n">
        <f aca="false">a25_ni</f>
        <v>2.572</v>
      </c>
      <c r="D120" s="19" t="n">
        <f aca="false">a26_ni</f>
        <v>4.923841117248</v>
      </c>
      <c r="E120" s="19" t="n">
        <f aca="false">(E116+E118)*E119</f>
        <v>10.3625464189057</v>
      </c>
      <c r="F120" s="19" t="n">
        <f aca="false">(F116+F118)*F119</f>
        <v>12.6888279812243</v>
      </c>
      <c r="G120" s="19" t="n">
        <f aca="false">(G116+G118)*G119</f>
        <v>16.1655838112173</v>
      </c>
    </row>
    <row r="121" customFormat="false" ht="15" hidden="false" customHeight="false" outlineLevel="0" collapsed="false">
      <c r="A121" s="3" t="s">
        <v>494</v>
      </c>
      <c r="B121" s="3" t="s">
        <v>217</v>
      </c>
      <c r="C121" s="21" t="n">
        <f aca="false">a25_sh</f>
        <v>0.0910120311394197</v>
      </c>
      <c r="D121" s="21" t="n">
        <f aca="false">a26_sh</f>
        <v>0.093076837</v>
      </c>
      <c r="E121" s="21" t="n">
        <f aca="false">D121*(1+sh_g)</f>
        <v>0.093076837</v>
      </c>
      <c r="F121" s="21" t="n">
        <f aca="false">E121*(1+sh_g)</f>
        <v>0.093076837</v>
      </c>
      <c r="G121" s="21" t="n">
        <f aca="false">F121*(1+sh_g)</f>
        <v>0.093076837</v>
      </c>
    </row>
    <row r="122" customFormat="false" ht="15" hidden="false" customHeight="false" outlineLevel="0" collapsed="false">
      <c r="A122" s="0" t="s">
        <v>398</v>
      </c>
      <c r="B122" s="0" t="s">
        <v>251</v>
      </c>
      <c r="C122" s="20" t="n">
        <f aca="false">C120/C121</f>
        <v>28.26</v>
      </c>
      <c r="D122" s="20" t="n">
        <f aca="false">D120/D121</f>
        <v>52.9008212563992</v>
      </c>
      <c r="E122" s="20" t="n">
        <f aca="false">E120/E121</f>
        <v>111.333246303865</v>
      </c>
      <c r="F122" s="20" t="n">
        <f aca="false">F120/F121</f>
        <v>136.326377111679</v>
      </c>
      <c r="G122" s="20" t="n">
        <f aca="false">G120/G121</f>
        <v>173.679986689033</v>
      </c>
    </row>
    <row r="123" customFormat="false" ht="17.15" hidden="false" customHeight="false" outlineLevel="0" collapsed="false">
      <c r="A123" s="0" t="s">
        <v>495</v>
      </c>
      <c r="B123" s="0" t="s">
        <v>52</v>
      </c>
      <c r="D123" s="13" t="n">
        <f aca="false">D122/C122-1</f>
        <v>0.871932811620636</v>
      </c>
      <c r="E123" s="13" t="n">
        <f aca="false">E122/D122-1</f>
        <v>1.10456555606681</v>
      </c>
      <c r="F123" s="13" t="n">
        <f aca="false">F122/E122-1</f>
        <v>0.224489374356337</v>
      </c>
      <c r="G123" s="13" t="n">
        <f aca="false">G122/F122-1</f>
        <v>0.274001336856137</v>
      </c>
    </row>
    <row r="126" customFormat="false" ht="17.15" hidden="false" customHeight="false" outlineLevel="0" collapsed="false">
      <c r="A126" s="1" t="s">
        <v>844</v>
      </c>
    </row>
    <row r="127" customFormat="false" ht="17.15" hidden="false" customHeight="false" outlineLevel="0" collapsed="false">
      <c r="A127" s="4" t="s">
        <v>21</v>
      </c>
      <c r="B127" s="4" t="s">
        <v>22</v>
      </c>
      <c r="C127" s="10" t="s">
        <v>365</v>
      </c>
      <c r="D127" s="10" t="s">
        <v>452</v>
      </c>
      <c r="E127" s="10" t="s">
        <v>453</v>
      </c>
      <c r="F127" s="10" t="s">
        <v>454</v>
      </c>
      <c r="G127" s="10" t="s">
        <v>455</v>
      </c>
      <c r="H127" s="4" t="s">
        <v>350</v>
      </c>
    </row>
    <row r="128" customFormat="false" ht="17.15" hidden="false" customHeight="false" outlineLevel="0" collapsed="false">
      <c r="A128" s="5" t="s">
        <v>471</v>
      </c>
    </row>
    <row r="129" customFormat="false" ht="17.15" hidden="false" customHeight="false" outlineLevel="0" collapsed="false">
      <c r="A129" s="0" t="s">
        <v>472</v>
      </c>
      <c r="B129" s="0" t="s">
        <v>32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itc_28*um28_B*1</f>
        <v>1587.41111111111</v>
      </c>
      <c r="G129" s="20" t="n">
        <f aca="false">itc_29*um29_B*1</f>
        <v>1921.33173611111</v>
      </c>
    </row>
    <row r="130" customFormat="false" ht="17.15" hidden="false" customHeight="false" outlineLevel="0" collapsed="false">
      <c r="A130" s="3" t="s">
        <v>473</v>
      </c>
      <c r="B130" s="0" t="s">
        <v>32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3" t="s">
        <v>474</v>
      </c>
      <c r="B131" s="0" t="s">
        <v>431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42.2337105529984</v>
      </c>
      <c r="G131" s="17" t="n">
        <f aca="false">G129/G130</f>
        <v>51.1178029756948</v>
      </c>
    </row>
    <row r="132" customFormat="false" ht="17.15" hidden="false" customHeight="false" outlineLevel="0" collapsed="false">
      <c r="A132" s="3" t="s">
        <v>475</v>
      </c>
      <c r="B132" s="0" t="s">
        <v>52</v>
      </c>
      <c r="D132" s="13" t="n">
        <f aca="false">lpenB_26</f>
        <v>0.55</v>
      </c>
      <c r="E132" s="13" t="n">
        <f aca="false">lpenB_27</f>
        <v>0.75</v>
      </c>
      <c r="F132" s="13" t="n">
        <f aca="false">lpenB_28</f>
        <v>0.85</v>
      </c>
      <c r="G132" s="13" t="n">
        <f aca="false">lpenB_29</f>
        <v>0.9</v>
      </c>
    </row>
    <row r="133" customFormat="false" ht="17.15" hidden="false" customHeight="false" outlineLevel="0" collapsed="false">
      <c r="A133" s="3" t="s">
        <v>476</v>
      </c>
      <c r="B133" s="0" t="s">
        <v>436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3" t="s">
        <v>477</v>
      </c>
    </row>
    <row r="134" customFormat="false" ht="17.15" hidden="false" customHeight="false" outlineLevel="0" collapsed="false">
      <c r="A134" s="0" t="s">
        <v>478</v>
      </c>
      <c r="B134" s="0" t="s">
        <v>32</v>
      </c>
      <c r="D134" s="20" t="n">
        <f aca="false">D131*D132*D133/1000</f>
        <v>4.51368758595869</v>
      </c>
      <c r="E134" s="20" t="n">
        <f aca="false">E131*E132*E133/1000</f>
        <v>7.84700032341527</v>
      </c>
      <c r="F134" s="20" t="n">
        <f aca="false">F131*F132*F133/1000</f>
        <v>9.0186034449715</v>
      </c>
      <c r="G134" s="20" t="n">
        <f aca="false">G131*G132*G133/1000</f>
        <v>11.5578170412894</v>
      </c>
    </row>
    <row r="135" customFormat="false" ht="17.15" hidden="false" customHeight="false" outlineLevel="0" collapsed="false">
      <c r="A135" s="0" t="s">
        <v>479</v>
      </c>
      <c r="B135" s="0" t="s">
        <v>191</v>
      </c>
      <c r="D135" s="19" t="n">
        <f aca="false">D134*fx</f>
        <v>144.438002750678</v>
      </c>
      <c r="E135" s="19" t="n">
        <f aca="false">E134*fx</f>
        <v>251.104010349288</v>
      </c>
      <c r="F135" s="19" t="n">
        <f aca="false">F134*fx</f>
        <v>288.595310239088</v>
      </c>
      <c r="G135" s="19" t="n">
        <f aca="false">G134*fx</f>
        <v>369.85014532126</v>
      </c>
    </row>
    <row r="136" customFormat="false" ht="17.15" hidden="false" customHeight="false" outlineLevel="0" collapsed="false">
      <c r="A136" s="3" t="s">
        <v>480</v>
      </c>
      <c r="B136" s="0" t="s">
        <v>52</v>
      </c>
      <c r="D136" s="13" t="n">
        <f aca="false">a26_lc/D135</f>
        <v>0.15870077644017</v>
      </c>
      <c r="H136" s="7" t="s">
        <v>481</v>
      </c>
    </row>
    <row r="137" customFormat="false" ht="17.15" hidden="false" customHeight="false" outlineLevel="0" collapsed="false">
      <c r="A137" s="3" t="s">
        <v>482</v>
      </c>
      <c r="B137" s="0" t="s">
        <v>73</v>
      </c>
      <c r="D137" s="14" t="n">
        <f aca="false">1</f>
        <v>1</v>
      </c>
      <c r="E137" s="14" t="n">
        <f aca="false">relB_27</f>
        <v>0.95</v>
      </c>
      <c r="F137" s="14" t="n">
        <f aca="false">relB_28</f>
        <v>0.9</v>
      </c>
      <c r="G137" s="14" t="n">
        <f aca="false">relB_29</f>
        <v>0.85</v>
      </c>
    </row>
    <row r="138" customFormat="false" ht="15" hidden="false" customHeight="false" outlineLevel="0" collapsed="false">
      <c r="A138" s="3" t="s">
        <v>440</v>
      </c>
      <c r="B138" s="0" t="s">
        <v>52</v>
      </c>
      <c r="D138" s="13" t="n">
        <f aca="false">$D$136*D137</f>
        <v>0.15870077644017</v>
      </c>
      <c r="E138" s="13" t="n">
        <f aca="false">$D$136*E137</f>
        <v>0.150765737618161</v>
      </c>
      <c r="F138" s="13" t="n">
        <f aca="false">$D$136*F137</f>
        <v>0.142830698796153</v>
      </c>
      <c r="G138" s="13" t="n">
        <f aca="false">$D$136*G137</f>
        <v>0.134895659974144</v>
      </c>
    </row>
    <row r="139" customFormat="false" ht="15" hidden="false" customHeight="false" outlineLevel="0" collapsed="false">
      <c r="A139" s="3" t="s">
        <v>483</v>
      </c>
      <c r="B139" s="0" t="s">
        <v>191</v>
      </c>
      <c r="C139" s="19" t="n">
        <f aca="false">a25_lc</f>
        <v>7.91384</v>
      </c>
      <c r="D139" s="19" t="n">
        <f aca="false">D135*D138</f>
        <v>22.922423184</v>
      </c>
      <c r="E139" s="19" t="n">
        <f aca="false">E135*E138</f>
        <v>37.8578813391889</v>
      </c>
      <c r="F139" s="19" t="n">
        <f aca="false">F135*F138</f>
        <v>41.2202698307414</v>
      </c>
      <c r="G139" s="19" t="n">
        <f aca="false">G135*G138</f>
        <v>49.8911794446445</v>
      </c>
    </row>
    <row r="140" customFormat="false" ht="17.15" hidden="false" customHeight="false" outlineLevel="0" collapsed="false">
      <c r="A140" s="5" t="s">
        <v>484</v>
      </c>
    </row>
    <row r="141" customFormat="false" ht="17.15" hidden="false" customHeight="false" outlineLevel="0" collapsed="false">
      <c r="A141" s="3" t="s">
        <v>485</v>
      </c>
      <c r="B141" s="0" t="s">
        <v>191</v>
      </c>
      <c r="C141" s="19" t="n">
        <f aca="false">a25_sair</f>
        <v>5.35348</v>
      </c>
      <c r="D141" s="19" t="n">
        <f aca="false">a26_sair</f>
        <v>5.3485654096</v>
      </c>
      <c r="E141" s="19" t="n">
        <f aca="false">D141*(1+g_sair_27)</f>
        <v>5.08113713912</v>
      </c>
      <c r="F141" s="19" t="n">
        <f aca="false">E141*(1+g_sair_28)</f>
        <v>4.827080282164</v>
      </c>
      <c r="G141" s="19" t="n">
        <f aca="false">F141*(1+g_sair_29)</f>
        <v>4.5857262680558</v>
      </c>
    </row>
    <row r="142" customFormat="false" ht="15" hidden="false" customHeight="false" outlineLevel="0" collapsed="false">
      <c r="A142" s="3" t="s">
        <v>486</v>
      </c>
      <c r="B142" s="0" t="s">
        <v>191</v>
      </c>
      <c r="C142" s="19" t="n">
        <f aca="false">a25_nb</f>
        <v>6.28452</v>
      </c>
      <c r="D142" s="19" t="n">
        <f aca="false">a26_nb</f>
        <v>5.730605796</v>
      </c>
      <c r="E142" s="19" t="n">
        <f aca="false">D142*(1+g_nb_27)</f>
        <v>5.55868762212</v>
      </c>
      <c r="F142" s="19" t="n">
        <f aca="false">E142*(1+g_nb_28)</f>
        <v>5.55868762212</v>
      </c>
      <c r="G142" s="19" t="n">
        <f aca="false">F142*(1+g_nb_29)</f>
        <v>5.55868762212</v>
      </c>
    </row>
    <row r="143" customFormat="false" ht="15" hidden="false" customHeight="false" outlineLevel="0" collapsed="false">
      <c r="A143" s="3" t="s">
        <v>487</v>
      </c>
      <c r="B143" s="0" t="s">
        <v>191</v>
      </c>
      <c r="C143" s="19" t="n">
        <f aca="false">a25_oth</f>
        <v>3.72416</v>
      </c>
      <c r="D143" s="19" t="n">
        <f aca="false">a26_oth</f>
        <v>4.2024442504</v>
      </c>
      <c r="E143" s="19" t="n">
        <f aca="false">D143*(1+g_oth_27)</f>
        <v>4.2024442504</v>
      </c>
      <c r="F143" s="19" t="n">
        <f aca="false">E143*(1+g_oth_28)</f>
        <v>4.2024442504</v>
      </c>
      <c r="G143" s="19" t="n">
        <f aca="false">F143*(1+g_oth_29)</f>
        <v>4.2024442504</v>
      </c>
    </row>
    <row r="144" customFormat="false" ht="15" hidden="false" customHeight="false" outlineLevel="0" collapsed="false">
      <c r="A144" s="3" t="s">
        <v>371</v>
      </c>
      <c r="B144" s="0" t="s">
        <v>191</v>
      </c>
      <c r="C144" s="19" t="n">
        <f aca="false">C139+C141+C142+C143</f>
        <v>23.276</v>
      </c>
      <c r="D144" s="19" t="n">
        <f aca="false">D139+D141+D142+D143</f>
        <v>38.20403864</v>
      </c>
      <c r="E144" s="19" t="n">
        <f aca="false">E139+E141+E142+E143</f>
        <v>52.7001503508289</v>
      </c>
      <c r="F144" s="19" t="n">
        <f aca="false">F139+F141+F142+F143</f>
        <v>55.8084819854254</v>
      </c>
      <c r="G144" s="19" t="n">
        <f aca="false">G139+G141+G142+G143</f>
        <v>64.2380375852203</v>
      </c>
    </row>
    <row r="145" customFormat="false" ht="15" hidden="false" customHeight="false" outlineLevel="0" collapsed="false">
      <c r="A145" s="3" t="s">
        <v>488</v>
      </c>
      <c r="B145" s="0" t="s">
        <v>52</v>
      </c>
      <c r="D145" s="13" t="n">
        <f aca="false">D144/C144-1</f>
        <v>0.641348970613508</v>
      </c>
      <c r="E145" s="13" t="n">
        <f aca="false">E144/D144-1</f>
        <v>0.37943924848959</v>
      </c>
      <c r="F145" s="13" t="n">
        <f aca="false">F144/E144-1</f>
        <v>0.058981456673352</v>
      </c>
      <c r="G145" s="13" t="n">
        <f aca="false">G144/F144-1</f>
        <v>0.151044344872098</v>
      </c>
    </row>
    <row r="146" customFormat="false" ht="17.15" hidden="false" customHeight="false" outlineLevel="0" collapsed="false">
      <c r="A146" s="3" t="s">
        <v>489</v>
      </c>
      <c r="B146" s="0" t="s">
        <v>52</v>
      </c>
      <c r="C146" s="13" t="n">
        <f aca="false">C139/C144</f>
        <v>0.34</v>
      </c>
      <c r="D146" s="13" t="n">
        <f aca="false">D139/D144</f>
        <v>0.6</v>
      </c>
      <c r="E146" s="13" t="n">
        <f aca="false">E139/E144</f>
        <v>0.718363820352809</v>
      </c>
      <c r="F146" s="13" t="n">
        <f aca="false">F139/F144</f>
        <v>0.738602240453454</v>
      </c>
      <c r="G146" s="13" t="n">
        <f aca="false">G139/G144</f>
        <v>0.776661014565665</v>
      </c>
    </row>
    <row r="147" customFormat="false" ht="17.15" hidden="false" customHeight="false" outlineLevel="0" collapsed="false">
      <c r="A147" s="3" t="s">
        <v>448</v>
      </c>
      <c r="B147" s="0" t="s">
        <v>436</v>
      </c>
      <c r="D147" s="18" t="n">
        <f aca="false">D139/fx/D131*1000</f>
        <v>30.6128148005446</v>
      </c>
      <c r="E147" s="18" t="n">
        <f aca="false">E139/fx/E131*1000</f>
        <v>28.4069787505387</v>
      </c>
      <c r="F147" s="18" t="n">
        <f aca="false">F139/fx/F131*1000</f>
        <v>30.50012455321</v>
      </c>
      <c r="G147" s="18" t="n">
        <f aca="false">G139/fx/G131*1000</f>
        <v>30.50012455321</v>
      </c>
    </row>
    <row r="148" customFormat="false" ht="17.15" hidden="false" customHeight="false" outlineLevel="0" collapsed="false">
      <c r="A148" s="5" t="s">
        <v>490</v>
      </c>
    </row>
    <row r="149" customFormat="false" ht="17.15" hidden="false" customHeight="false" outlineLevel="0" collapsed="false">
      <c r="A149" s="3" t="s">
        <v>491</v>
      </c>
      <c r="B149" s="0" t="s">
        <v>52</v>
      </c>
      <c r="D149" s="13" t="n">
        <f aca="false">a26_gp/D144-d_lc*D146</f>
        <v>0.260156485550031</v>
      </c>
      <c r="H149" s="7" t="s">
        <v>492</v>
      </c>
    </row>
    <row r="150" customFormat="false" ht="15" hidden="false" customHeight="false" outlineLevel="0" collapsed="false">
      <c r="A150" s="3" t="s">
        <v>375</v>
      </c>
      <c r="B150" s="0" t="s">
        <v>191</v>
      </c>
      <c r="C150" s="19" t="n">
        <f aca="false">a25_gp</f>
        <v>6.372</v>
      </c>
      <c r="D150" s="19" t="n">
        <f aca="false">a26_gp</f>
        <v>11.0851495856</v>
      </c>
      <c r="E150" s="19" t="n">
        <f aca="false">$D$149*E144+d_lc*E139</f>
        <v>15.6031799701893</v>
      </c>
      <c r="F150" s="19" t="n">
        <f aca="false">$D$149*F144+d_lc*F139</f>
        <v>16.5799520287476</v>
      </c>
      <c r="G150" s="19" t="n">
        <f aca="false">$D$149*G144+d_lc*G139</f>
        <v>19.206501069034</v>
      </c>
    </row>
    <row r="151" customFormat="false" ht="15" hidden="false" customHeight="false" outlineLevel="0" collapsed="false">
      <c r="A151" s="3" t="s">
        <v>378</v>
      </c>
      <c r="B151" s="0" t="s">
        <v>52</v>
      </c>
      <c r="C151" s="13" t="n">
        <f aca="false">C150/C144</f>
        <v>0.273758377728132</v>
      </c>
      <c r="D151" s="13" t="n">
        <f aca="false">D150/D144</f>
        <v>0.290156485550031</v>
      </c>
      <c r="E151" s="13" t="n">
        <f aca="false">E150/E144</f>
        <v>0.296074676567672</v>
      </c>
      <c r="F151" s="13" t="n">
        <f aca="false">F150/F144</f>
        <v>0.297086597572704</v>
      </c>
      <c r="G151" s="13" t="n">
        <f aca="false">G150/G144</f>
        <v>0.298989536278315</v>
      </c>
    </row>
    <row r="152" customFormat="false" ht="15" hidden="false" customHeight="false" outlineLevel="0" collapsed="false">
      <c r="A152" s="3" t="s">
        <v>493</v>
      </c>
      <c r="B152" s="0" t="s">
        <v>191</v>
      </c>
      <c r="C152" s="19" t="n">
        <f aca="false">a25_opx</f>
        <v>3.113</v>
      </c>
      <c r="D152" s="19" t="n">
        <f aca="false">a26_opx</f>
        <v>4.4038196704</v>
      </c>
      <c r="E152" s="19" t="n">
        <f aca="false">D152*(1+MAX(0,phi*E145))</f>
        <v>5.48995798744316</v>
      </c>
      <c r="F152" s="19" t="n">
        <f aca="false">E152*(1+MAX(0,phi*F145))</f>
        <v>5.70043170490685</v>
      </c>
      <c r="G152" s="19" t="n">
        <f aca="false">F152*(1+MAX(0,phi*G145))</f>
        <v>6.26009338693811</v>
      </c>
    </row>
    <row r="153" customFormat="false" ht="15" hidden="false" customHeight="false" outlineLevel="0" collapsed="false">
      <c r="A153" s="3" t="s">
        <v>380</v>
      </c>
      <c r="B153" s="0" t="s">
        <v>191</v>
      </c>
      <c r="C153" s="19" t="n">
        <f aca="false">C152</f>
        <v>3.113</v>
      </c>
      <c r="D153" s="19" t="n">
        <f aca="false">D152</f>
        <v>4.4038196704</v>
      </c>
      <c r="E153" s="19" t="n">
        <f aca="false">E152+0*E144</f>
        <v>5.48995798744316</v>
      </c>
      <c r="F153" s="19" t="n">
        <f aca="false">F152+0*F144</f>
        <v>5.70043170490685</v>
      </c>
      <c r="G153" s="19" t="n">
        <f aca="false">G152+0*G144</f>
        <v>6.26009338693811</v>
      </c>
    </row>
    <row r="154" customFormat="false" ht="15" hidden="false" customHeight="false" outlineLevel="0" collapsed="false">
      <c r="A154" s="3" t="s">
        <v>383</v>
      </c>
      <c r="B154" s="0" t="s">
        <v>191</v>
      </c>
      <c r="C154" s="19" t="n">
        <f aca="false">C150-C153</f>
        <v>3.259</v>
      </c>
      <c r="D154" s="19" t="n">
        <f aca="false">D150-D153</f>
        <v>6.6813299152</v>
      </c>
      <c r="E154" s="19" t="n">
        <f aca="false">E150-E153</f>
        <v>10.1132219827462</v>
      </c>
      <c r="F154" s="19" t="n">
        <f aca="false">F150-F153</f>
        <v>10.8795203238407</v>
      </c>
      <c r="G154" s="19" t="n">
        <f aca="false">G150-G153</f>
        <v>12.9464076820958</v>
      </c>
    </row>
    <row r="155" customFormat="false" ht="15" hidden="false" customHeight="false" outlineLevel="0" collapsed="false">
      <c r="A155" s="3" t="s">
        <v>386</v>
      </c>
      <c r="B155" s="0" t="s">
        <v>52</v>
      </c>
      <c r="C155" s="13" t="n">
        <f aca="false">C154/C144</f>
        <v>0.140015466575013</v>
      </c>
      <c r="D155" s="13" t="n">
        <f aca="false">D154/D144</f>
        <v>0.174885434970861</v>
      </c>
      <c r="E155" s="13" t="n">
        <f aca="false">E154/E144</f>
        <v>0.191901197917306</v>
      </c>
      <c r="F155" s="13" t="n">
        <f aca="false">F154/F144</f>
        <v>0.194943849694424</v>
      </c>
      <c r="G155" s="13" t="n">
        <f aca="false">G154/G144</f>
        <v>0.201538032118754</v>
      </c>
    </row>
    <row r="156" customFormat="false" ht="15" hidden="false" customHeight="false" outlineLevel="0" collapsed="false">
      <c r="A156" s="3" t="s">
        <v>387</v>
      </c>
      <c r="B156" s="0" t="s">
        <v>191</v>
      </c>
      <c r="C156" s="19" t="n">
        <f aca="false">a25_nop</f>
        <v>0.0184359999999999</v>
      </c>
      <c r="D156" s="19" t="n">
        <f aca="false">a26_nop</f>
        <v>-0.0226839999999999</v>
      </c>
      <c r="E156" s="19" t="n">
        <f aca="false">nop_f</f>
        <v>0</v>
      </c>
      <c r="F156" s="19" t="n">
        <f aca="false">nop_f</f>
        <v>0</v>
      </c>
      <c r="G156" s="19" t="n">
        <f aca="false">nop_f</f>
        <v>0</v>
      </c>
    </row>
    <row r="157" customFormat="false" ht="17.15" hidden="false" customHeight="false" outlineLevel="0" collapsed="false">
      <c r="A157" s="3" t="s">
        <v>234</v>
      </c>
      <c r="B157" s="0" t="s">
        <v>52</v>
      </c>
      <c r="C157" s="13" t="n">
        <f aca="false">a25_ni/(a25_oi+a25_nop)</f>
        <v>0.78475979393648</v>
      </c>
      <c r="D157" s="13" t="n">
        <f aca="false">a26_ni/(a26_oi+a26_nop)</f>
        <v>0.739465828331271</v>
      </c>
      <c r="E157" s="13" t="n">
        <f aca="false">nir_f</f>
        <v>0.74</v>
      </c>
      <c r="F157" s="13" t="n">
        <f aca="false">nir_f</f>
        <v>0.74</v>
      </c>
      <c r="G157" s="13" t="n">
        <f aca="false">nir_f</f>
        <v>0.74</v>
      </c>
    </row>
    <row r="158" customFormat="false" ht="15" hidden="false" customHeight="false" outlineLevel="0" collapsed="false">
      <c r="A158" s="3" t="s">
        <v>391</v>
      </c>
      <c r="B158" s="0" t="s">
        <v>191</v>
      </c>
      <c r="C158" s="19" t="n">
        <f aca="false">a25_ni</f>
        <v>2.572</v>
      </c>
      <c r="D158" s="19" t="n">
        <f aca="false">a26_ni</f>
        <v>4.923841117248</v>
      </c>
      <c r="E158" s="19" t="n">
        <f aca="false">(E154+E156)*E157</f>
        <v>7.48378426723217</v>
      </c>
      <c r="F158" s="19" t="n">
        <f aca="false">(F154+F156)*F157</f>
        <v>8.05084503964214</v>
      </c>
      <c r="G158" s="19" t="n">
        <f aca="false">(G154+G156)*G157</f>
        <v>9.58034168475092</v>
      </c>
    </row>
    <row r="159" customFormat="false" ht="15" hidden="false" customHeight="false" outlineLevel="0" collapsed="false">
      <c r="A159" s="3" t="s">
        <v>494</v>
      </c>
      <c r="B159" s="3" t="s">
        <v>217</v>
      </c>
      <c r="C159" s="21" t="n">
        <f aca="false">a25_sh</f>
        <v>0.0910120311394197</v>
      </c>
      <c r="D159" s="21" t="n">
        <f aca="false">a26_sh</f>
        <v>0.093076837</v>
      </c>
      <c r="E159" s="21" t="n">
        <f aca="false">D159*(1+sh_g)</f>
        <v>0.093076837</v>
      </c>
      <c r="F159" s="21" t="n">
        <f aca="false">E159*(1+sh_g)</f>
        <v>0.093076837</v>
      </c>
      <c r="G159" s="21" t="n">
        <f aca="false">F159*(1+sh_g)</f>
        <v>0.093076837</v>
      </c>
    </row>
    <row r="160" customFormat="false" ht="15" hidden="false" customHeight="false" outlineLevel="0" collapsed="false">
      <c r="A160" s="0" t="s">
        <v>398</v>
      </c>
      <c r="B160" s="0" t="s">
        <v>251</v>
      </c>
      <c r="C160" s="20" t="n">
        <f aca="false">C158/C159</f>
        <v>28.26</v>
      </c>
      <c r="D160" s="20" t="n">
        <f aca="false">D158/D159</f>
        <v>52.9008212563992</v>
      </c>
      <c r="E160" s="20" t="n">
        <f aca="false">E158/E159</f>
        <v>80.4043681376084</v>
      </c>
      <c r="F160" s="20" t="n">
        <f aca="false">F158/F159</f>
        <v>86.496762235723</v>
      </c>
      <c r="G160" s="20" t="n">
        <f aca="false">G158/G159</f>
        <v>102.929386016318</v>
      </c>
    </row>
    <row r="161" customFormat="false" ht="17.15" hidden="false" customHeight="false" outlineLevel="0" collapsed="false">
      <c r="A161" s="0" t="s">
        <v>495</v>
      </c>
      <c r="B161" s="0" t="s">
        <v>52</v>
      </c>
      <c r="D161" s="13" t="n">
        <f aca="false">D160/C160-1</f>
        <v>0.871932811620636</v>
      </c>
      <c r="E161" s="13" t="n">
        <f aca="false">E160/D160-1</f>
        <v>0.519907748651109</v>
      </c>
      <c r="F161" s="13" t="n">
        <f aca="false">F160/E160-1</f>
        <v>0.0757719293022461</v>
      </c>
      <c r="G161" s="13" t="n">
        <f aca="false">G160/F160-1</f>
        <v>0.189979640345526</v>
      </c>
    </row>
    <row r="164" customFormat="false" ht="17.15" hidden="false" customHeight="false" outlineLevel="0" collapsed="false">
      <c r="A164" s="1" t="s">
        <v>845</v>
      </c>
    </row>
    <row r="165" customFormat="false" ht="17.15" hidden="false" customHeight="false" outlineLevel="0" collapsed="false">
      <c r="A165" s="4" t="s">
        <v>21</v>
      </c>
      <c r="B165" s="4" t="s">
        <v>22</v>
      </c>
      <c r="C165" s="10" t="s">
        <v>365</v>
      </c>
      <c r="D165" s="10" t="s">
        <v>452</v>
      </c>
      <c r="E165" s="10" t="s">
        <v>453</v>
      </c>
      <c r="F165" s="10" t="s">
        <v>454</v>
      </c>
      <c r="G165" s="10" t="s">
        <v>455</v>
      </c>
      <c r="H165" s="4" t="s">
        <v>350</v>
      </c>
    </row>
    <row r="166" customFormat="false" ht="17.15" hidden="false" customHeight="false" outlineLevel="0" collapsed="false">
      <c r="A166" s="5" t="s">
        <v>471</v>
      </c>
    </row>
    <row r="167" customFormat="false" ht="17.15" hidden="false" customHeight="false" outlineLevel="0" collapsed="false">
      <c r="A167" s="0" t="s">
        <v>472</v>
      </c>
      <c r="B167" s="0" t="s">
        <v>32</v>
      </c>
      <c r="D167" s="20" t="n">
        <f aca="false">itc_26*1</f>
        <v>781.872916666666</v>
      </c>
      <c r="E167" s="20" t="n">
        <f aca="false">itc_27*1*1</f>
        <v>1565.35</v>
      </c>
      <c r="F167" s="20" t="n">
        <f aca="false">itc_28*um28_B*1</f>
        <v>1587.41111111111</v>
      </c>
      <c r="G167" s="20" t="n">
        <f aca="false">itc_29*um29_B*1</f>
        <v>1921.33173611111</v>
      </c>
    </row>
    <row r="168" customFormat="false" ht="17.15" hidden="false" customHeight="false" outlineLevel="0" collapsed="false">
      <c r="A168" s="3" t="s">
        <v>473</v>
      </c>
      <c r="B168" s="0" t="s">
        <v>32</v>
      </c>
      <c r="D168" s="20" t="n">
        <f aca="false">itpg_gb*(1-vr26)+itpg_vr*vr26</f>
        <v>33.41403216</v>
      </c>
      <c r="E168" s="20" t="n">
        <f aca="false">itpg_vr</f>
        <v>37.586352</v>
      </c>
      <c r="F168" s="20" t="n">
        <f aca="false">itpg_vr</f>
        <v>37.586352</v>
      </c>
      <c r="G168" s="20" t="n">
        <f aca="false">itpg_vr</f>
        <v>37.586352</v>
      </c>
    </row>
    <row r="169" customFormat="false" ht="17.15" hidden="false" customHeight="false" outlineLevel="0" collapsed="false">
      <c r="A169" s="3" t="s">
        <v>474</v>
      </c>
      <c r="B169" s="0" t="s">
        <v>431</v>
      </c>
      <c r="D169" s="17" t="n">
        <f aca="false">D167/D168</f>
        <v>23.3995380420639</v>
      </c>
      <c r="E169" s="17" t="n">
        <f aca="false">E167/E168</f>
        <v>41.6467658260637</v>
      </c>
      <c r="F169" s="17" t="n">
        <f aca="false">F167/F168</f>
        <v>42.2337105529984</v>
      </c>
      <c r="G169" s="17" t="n">
        <f aca="false">G167/G168</f>
        <v>51.1178029756948</v>
      </c>
    </row>
    <row r="170" customFormat="false" ht="17.15" hidden="false" customHeight="false" outlineLevel="0" collapsed="false">
      <c r="A170" s="3" t="s">
        <v>475</v>
      </c>
      <c r="B170" s="0" t="s">
        <v>52</v>
      </c>
      <c r="D170" s="13" t="n">
        <f aca="false">lpenB_26</f>
        <v>0.55</v>
      </c>
      <c r="E170" s="13" t="n">
        <f aca="false">lpenB_27</f>
        <v>0.75</v>
      </c>
      <c r="F170" s="13" t="n">
        <f aca="false">lpenB_28</f>
        <v>0.85</v>
      </c>
      <c r="G170" s="13" t="n">
        <f aca="false">lpenB_29</f>
        <v>0.9</v>
      </c>
    </row>
    <row r="171" customFormat="false" ht="17.15" hidden="false" customHeight="false" outlineLevel="0" collapsed="false">
      <c r="A171" s="3" t="s">
        <v>476</v>
      </c>
      <c r="B171" s="0" t="s">
        <v>436</v>
      </c>
      <c r="D171" s="18" t="n">
        <f aca="false">((1-vr26)*racks_gb*(cool_gb+mani)+vr26*racks_vr*(cool_vr+mani))/1000</f>
        <v>350.7208</v>
      </c>
      <c r="E171" s="18" t="n">
        <f aca="false">racks_vr*(cool_vr+mani)*CAHI_27/1000</f>
        <v>401.9584</v>
      </c>
      <c r="F171" s="18" t="n">
        <f aca="false">racks_vr*(cool_vr+mani)*CAHI_28/1000</f>
        <v>452.2032</v>
      </c>
      <c r="G171" s="18" t="n">
        <f aca="false">racks_vr*(cool_vr+mani)*CAHI_29/1000</f>
        <v>452.2032</v>
      </c>
      <c r="H171" s="3" t="s">
        <v>477</v>
      </c>
    </row>
    <row r="172" customFormat="false" ht="17.15" hidden="false" customHeight="false" outlineLevel="0" collapsed="false">
      <c r="A172" s="0" t="s">
        <v>478</v>
      </c>
      <c r="B172" s="0" t="s">
        <v>32</v>
      </c>
      <c r="D172" s="20" t="n">
        <f aca="false">D169*D170*D171/1000</f>
        <v>4.51368758595869</v>
      </c>
      <c r="E172" s="20" t="n">
        <f aca="false">E169*E170*E171/1000</f>
        <v>12.5552005174644</v>
      </c>
      <c r="F172" s="20" t="n">
        <f aca="false">F169*F170*F171/1000</f>
        <v>16.2334862009487</v>
      </c>
      <c r="G172" s="20" t="n">
        <f aca="false">G169*G170*G171/1000</f>
        <v>20.8040706743209</v>
      </c>
    </row>
    <row r="173" customFormat="false" ht="17.15" hidden="false" customHeight="false" outlineLevel="0" collapsed="false">
      <c r="A173" s="0" t="s">
        <v>479</v>
      </c>
      <c r="B173" s="0" t="s">
        <v>191</v>
      </c>
      <c r="D173" s="19" t="n">
        <f aca="false">D172*fx</f>
        <v>144.438002750678</v>
      </c>
      <c r="E173" s="19" t="n">
        <f aca="false">E172*fx</f>
        <v>401.766416558862</v>
      </c>
      <c r="F173" s="19" t="n">
        <f aca="false">F172*fx</f>
        <v>519.471558430358</v>
      </c>
      <c r="G173" s="19" t="n">
        <f aca="false">G172*fx</f>
        <v>665.730261578267</v>
      </c>
    </row>
    <row r="174" customFormat="false" ht="17.15" hidden="false" customHeight="false" outlineLevel="0" collapsed="false">
      <c r="A174" s="3" t="s">
        <v>480</v>
      </c>
      <c r="B174" s="0" t="s">
        <v>52</v>
      </c>
      <c r="D174" s="13" t="n">
        <f aca="false">a26_lc/D173</f>
        <v>0.15870077644017</v>
      </c>
      <c r="H174" s="7" t="s">
        <v>481</v>
      </c>
    </row>
    <row r="175" customFormat="false" ht="17.15" hidden="false" customHeight="false" outlineLevel="0" collapsed="false">
      <c r="A175" s="3" t="s">
        <v>482</v>
      </c>
      <c r="B175" s="0" t="s">
        <v>73</v>
      </c>
      <c r="D175" s="14" t="n">
        <f aca="false">1</f>
        <v>1</v>
      </c>
      <c r="E175" s="14" t="n">
        <f aca="false">relB_27</f>
        <v>0.95</v>
      </c>
      <c r="F175" s="14" t="n">
        <f aca="false">relB_28</f>
        <v>0.9</v>
      </c>
      <c r="G175" s="14" t="n">
        <f aca="false">relB_29</f>
        <v>0.85</v>
      </c>
    </row>
    <row r="176" customFormat="false" ht="15" hidden="false" customHeight="false" outlineLevel="0" collapsed="false">
      <c r="A176" s="3" t="s">
        <v>440</v>
      </c>
      <c r="B176" s="0" t="s">
        <v>52</v>
      </c>
      <c r="D176" s="13" t="n">
        <f aca="false">$D$174*D175</f>
        <v>0.15870077644017</v>
      </c>
      <c r="E176" s="13" t="n">
        <f aca="false">$D$174*E175</f>
        <v>0.150765737618161</v>
      </c>
      <c r="F176" s="13" t="n">
        <f aca="false">$D$174*F175</f>
        <v>0.142830698796153</v>
      </c>
      <c r="G176" s="13" t="n">
        <f aca="false">$D$174*G175</f>
        <v>0.134895659974144</v>
      </c>
    </row>
    <row r="177" customFormat="false" ht="15" hidden="false" customHeight="false" outlineLevel="0" collapsed="false">
      <c r="A177" s="3" t="s">
        <v>483</v>
      </c>
      <c r="B177" s="0" t="s">
        <v>191</v>
      </c>
      <c r="C177" s="19" t="n">
        <f aca="false">a25_lc</f>
        <v>7.91384</v>
      </c>
      <c r="D177" s="19" t="n">
        <f aca="false">D173*D176</f>
        <v>22.922423184</v>
      </c>
      <c r="E177" s="19" t="n">
        <f aca="false">E173*E176</f>
        <v>60.5726101427022</v>
      </c>
      <c r="F177" s="19" t="n">
        <f aca="false">F173*F176</f>
        <v>74.1964856953346</v>
      </c>
      <c r="G177" s="19" t="n">
        <f aca="false">G173*G176</f>
        <v>89.8041230003601</v>
      </c>
    </row>
    <row r="178" customFormat="false" ht="17.15" hidden="false" customHeight="false" outlineLevel="0" collapsed="false">
      <c r="A178" s="5" t="s">
        <v>484</v>
      </c>
    </row>
    <row r="179" customFormat="false" ht="17.15" hidden="false" customHeight="false" outlineLevel="0" collapsed="false">
      <c r="A179" s="3" t="s">
        <v>485</v>
      </c>
      <c r="B179" s="0" t="s">
        <v>191</v>
      </c>
      <c r="C179" s="19" t="n">
        <f aca="false">a25_sair</f>
        <v>5.35348</v>
      </c>
      <c r="D179" s="19" t="n">
        <f aca="false">a26_sair</f>
        <v>5.3485654096</v>
      </c>
      <c r="E179" s="19" t="n">
        <f aca="false">D179*(1+g_sair_27)</f>
        <v>5.08113713912</v>
      </c>
      <c r="F179" s="19" t="n">
        <f aca="false">E179*(1+g_sair_28)</f>
        <v>4.827080282164</v>
      </c>
      <c r="G179" s="19" t="n">
        <f aca="false">F179*(1+g_sair_29)</f>
        <v>4.5857262680558</v>
      </c>
    </row>
    <row r="180" customFormat="false" ht="15" hidden="false" customHeight="false" outlineLevel="0" collapsed="false">
      <c r="A180" s="3" t="s">
        <v>486</v>
      </c>
      <c r="B180" s="0" t="s">
        <v>191</v>
      </c>
      <c r="C180" s="19" t="n">
        <f aca="false">a25_nb</f>
        <v>6.28452</v>
      </c>
      <c r="D180" s="19" t="n">
        <f aca="false">a26_nb</f>
        <v>5.730605796</v>
      </c>
      <c r="E180" s="19" t="n">
        <f aca="false">D180*(1+g_nb_27)</f>
        <v>5.55868762212</v>
      </c>
      <c r="F180" s="19" t="n">
        <f aca="false">E180*(1+g_nb_28)</f>
        <v>5.55868762212</v>
      </c>
      <c r="G180" s="19" t="n">
        <f aca="false">F180*(1+g_nb_29)</f>
        <v>5.55868762212</v>
      </c>
    </row>
    <row r="181" customFormat="false" ht="15" hidden="false" customHeight="false" outlineLevel="0" collapsed="false">
      <c r="A181" s="3" t="s">
        <v>487</v>
      </c>
      <c r="B181" s="0" t="s">
        <v>191</v>
      </c>
      <c r="C181" s="19" t="n">
        <f aca="false">a25_oth</f>
        <v>3.72416</v>
      </c>
      <c r="D181" s="19" t="n">
        <f aca="false">a26_oth</f>
        <v>4.2024442504</v>
      </c>
      <c r="E181" s="19" t="n">
        <f aca="false">D181*(1+g_oth_27)</f>
        <v>4.2024442504</v>
      </c>
      <c r="F181" s="19" t="n">
        <f aca="false">E181*(1+g_oth_28)</f>
        <v>4.2024442504</v>
      </c>
      <c r="G181" s="19" t="n">
        <f aca="false">F181*(1+g_oth_29)</f>
        <v>4.2024442504</v>
      </c>
    </row>
    <row r="182" customFormat="false" ht="15" hidden="false" customHeight="false" outlineLevel="0" collapsed="false">
      <c r="A182" s="3" t="s">
        <v>371</v>
      </c>
      <c r="B182" s="0" t="s">
        <v>191</v>
      </c>
      <c r="C182" s="19" t="n">
        <f aca="false">C177+C179+C180+C181</f>
        <v>23.276</v>
      </c>
      <c r="D182" s="19" t="n">
        <f aca="false">D177+D179+D180+D181</f>
        <v>38.20403864</v>
      </c>
      <c r="E182" s="19" t="n">
        <f aca="false">E177+E179+E180+E181</f>
        <v>75.4148791543422</v>
      </c>
      <c r="F182" s="19" t="n">
        <f aca="false">F177+F179+F180+F181</f>
        <v>88.7846978500186</v>
      </c>
      <c r="G182" s="19" t="n">
        <f aca="false">G177+G179+G180+G181</f>
        <v>104.150981140936</v>
      </c>
    </row>
    <row r="183" customFormat="false" ht="15" hidden="false" customHeight="false" outlineLevel="0" collapsed="false">
      <c r="A183" s="3" t="s">
        <v>488</v>
      </c>
      <c r="B183" s="0" t="s">
        <v>52</v>
      </c>
      <c r="D183" s="13" t="n">
        <f aca="false">D182/C182-1</f>
        <v>0.641348970613508</v>
      </c>
      <c r="E183" s="13" t="n">
        <f aca="false">E182/D182-1</f>
        <v>0.974002797583345</v>
      </c>
      <c r="F183" s="13" t="n">
        <f aca="false">F182/E182-1</f>
        <v>0.177283565863893</v>
      </c>
      <c r="G183" s="13" t="n">
        <f aca="false">G182/F182-1</f>
        <v>0.173073555049712</v>
      </c>
    </row>
    <row r="184" customFormat="false" ht="17.15" hidden="false" customHeight="false" outlineLevel="0" collapsed="false">
      <c r="A184" s="3" t="s">
        <v>489</v>
      </c>
      <c r="B184" s="0" t="s">
        <v>52</v>
      </c>
      <c r="C184" s="13" t="n">
        <f aca="false">C177/C182</f>
        <v>0.34</v>
      </c>
      <c r="D184" s="13" t="n">
        <f aca="false">D177/D182</f>
        <v>0.6</v>
      </c>
      <c r="E184" s="13" t="n">
        <f aca="false">E177/E182</f>
        <v>0.803191768281373</v>
      </c>
      <c r="F184" s="13" t="n">
        <f aca="false">F177/F182</f>
        <v>0.835690017447292</v>
      </c>
      <c r="G184" s="13" t="n">
        <f aca="false">G177/G182</f>
        <v>0.862249419223792</v>
      </c>
    </row>
    <row r="185" customFormat="false" ht="17.15" hidden="false" customHeight="false" outlineLevel="0" collapsed="false">
      <c r="A185" s="3" t="s">
        <v>448</v>
      </c>
      <c r="B185" s="0" t="s">
        <v>436</v>
      </c>
      <c r="D185" s="18" t="n">
        <f aca="false">D177/fx/D169*1000</f>
        <v>30.6128148005446</v>
      </c>
      <c r="E185" s="18" t="n">
        <f aca="false">E177/fx/E169*1000</f>
        <v>45.4511660008619</v>
      </c>
      <c r="F185" s="18" t="n">
        <f aca="false">F177/fx/F169*1000</f>
        <v>54.900224195778</v>
      </c>
      <c r="G185" s="18" t="n">
        <f aca="false">G177/fx/G169*1000</f>
        <v>54.900224195778</v>
      </c>
    </row>
    <row r="186" customFormat="false" ht="17.15" hidden="false" customHeight="false" outlineLevel="0" collapsed="false">
      <c r="A186" s="5" t="s">
        <v>490</v>
      </c>
    </row>
    <row r="187" customFormat="false" ht="17.15" hidden="false" customHeight="false" outlineLevel="0" collapsed="false">
      <c r="A187" s="3" t="s">
        <v>491</v>
      </c>
      <c r="B187" s="0" t="s">
        <v>52</v>
      </c>
      <c r="D187" s="13" t="n">
        <f aca="false">a26_gp/D182-d_lc*D184</f>
        <v>0.260156485550031</v>
      </c>
      <c r="H187" s="7" t="s">
        <v>492</v>
      </c>
    </row>
    <row r="188" customFormat="false" ht="15" hidden="false" customHeight="false" outlineLevel="0" collapsed="false">
      <c r="A188" s="3" t="s">
        <v>375</v>
      </c>
      <c r="B188" s="0" t="s">
        <v>191</v>
      </c>
      <c r="C188" s="19" t="n">
        <f aca="false">a25_gp</f>
        <v>6.372</v>
      </c>
      <c r="D188" s="19" t="n">
        <f aca="false">a26_gp</f>
        <v>11.0851495856</v>
      </c>
      <c r="E188" s="19" t="n">
        <f aca="false">$D$187*E182+d_lc*E177</f>
        <v>22.6483004261091</v>
      </c>
      <c r="F188" s="19" t="n">
        <f aca="false">$D$187*F182+d_lc*F177</f>
        <v>26.807739248049</v>
      </c>
      <c r="G188" s="19" t="n">
        <f aca="false">$D$187*G182+d_lc*G177</f>
        <v>31.5857593702315</v>
      </c>
    </row>
    <row r="189" customFormat="false" ht="15" hidden="false" customHeight="false" outlineLevel="0" collapsed="false">
      <c r="A189" s="3" t="s">
        <v>378</v>
      </c>
      <c r="B189" s="0" t="s">
        <v>52</v>
      </c>
      <c r="C189" s="13" t="n">
        <f aca="false">C188/C182</f>
        <v>0.273758377728132</v>
      </c>
      <c r="D189" s="13" t="n">
        <f aca="false">D188/D182</f>
        <v>0.290156485550031</v>
      </c>
      <c r="E189" s="13" t="n">
        <f aca="false">E188/E182</f>
        <v>0.3003160739641</v>
      </c>
      <c r="F189" s="13" t="n">
        <f aca="false">F188/F182</f>
        <v>0.301940986422396</v>
      </c>
      <c r="G189" s="13" t="n">
        <f aca="false">G188/G182</f>
        <v>0.303268956511221</v>
      </c>
    </row>
    <row r="190" customFormat="false" ht="15" hidden="false" customHeight="false" outlineLevel="0" collapsed="false">
      <c r="A190" s="3" t="s">
        <v>493</v>
      </c>
      <c r="B190" s="0" t="s">
        <v>191</v>
      </c>
      <c r="C190" s="19" t="n">
        <f aca="false">a25_opx</f>
        <v>3.113</v>
      </c>
      <c r="D190" s="19" t="n">
        <f aca="false">a26_opx</f>
        <v>4.4038196704</v>
      </c>
      <c r="E190" s="19" t="n">
        <f aca="false">D190*(1+MAX(0,phi*E183))</f>
        <v>7.19188591176441</v>
      </c>
      <c r="F190" s="19" t="n">
        <f aca="false">E190*(1+MAX(0,phi*F183))</f>
        <v>8.02063797858494</v>
      </c>
      <c r="G190" s="19" t="n">
        <f aca="false">F190*(1+MAX(0,phi*G183))</f>
        <v>8.92294219225322</v>
      </c>
    </row>
    <row r="191" customFormat="false" ht="15" hidden="false" customHeight="false" outlineLevel="0" collapsed="false">
      <c r="A191" s="3" t="s">
        <v>380</v>
      </c>
      <c r="B191" s="0" t="s">
        <v>191</v>
      </c>
      <c r="C191" s="19" t="n">
        <f aca="false">C190</f>
        <v>3.113</v>
      </c>
      <c r="D191" s="19" t="n">
        <f aca="false">D190</f>
        <v>4.4038196704</v>
      </c>
      <c r="E191" s="19" t="n">
        <f aca="false">E190+0*E182</f>
        <v>7.19188591176441</v>
      </c>
      <c r="F191" s="19" t="n">
        <f aca="false">F190+0*F182</f>
        <v>8.02063797858494</v>
      </c>
      <c r="G191" s="19" t="n">
        <f aca="false">G190+0*G182</f>
        <v>8.92294219225322</v>
      </c>
    </row>
    <row r="192" customFormat="false" ht="15" hidden="false" customHeight="false" outlineLevel="0" collapsed="false">
      <c r="A192" s="3" t="s">
        <v>383</v>
      </c>
      <c r="B192" s="0" t="s">
        <v>191</v>
      </c>
      <c r="C192" s="19" t="n">
        <f aca="false">C188-C191</f>
        <v>3.259</v>
      </c>
      <c r="D192" s="19" t="n">
        <f aca="false">D188-D191</f>
        <v>6.6813299152</v>
      </c>
      <c r="E192" s="19" t="n">
        <f aca="false">E188-E191</f>
        <v>15.4564145143447</v>
      </c>
      <c r="F192" s="19" t="n">
        <f aca="false">F188-F191</f>
        <v>18.7871012694641</v>
      </c>
      <c r="G192" s="19" t="n">
        <f aca="false">G188-G191</f>
        <v>22.6628171779783</v>
      </c>
    </row>
    <row r="193" customFormat="false" ht="15" hidden="false" customHeight="false" outlineLevel="0" collapsed="false">
      <c r="A193" s="3" t="s">
        <v>386</v>
      </c>
      <c r="B193" s="0" t="s">
        <v>52</v>
      </c>
      <c r="C193" s="13" t="n">
        <f aca="false">C192/C182</f>
        <v>0.140015466575013</v>
      </c>
      <c r="D193" s="13" t="n">
        <f aca="false">D192/D182</f>
        <v>0.174885434970861</v>
      </c>
      <c r="E193" s="13" t="n">
        <f aca="false">E192/E182</f>
        <v>0.204951790517518</v>
      </c>
      <c r="F193" s="13" t="n">
        <f aca="false">F192/F182</f>
        <v>0.211602919471558</v>
      </c>
      <c r="G193" s="13" t="n">
        <f aca="false">G192/G182</f>
        <v>0.217595810713595</v>
      </c>
    </row>
    <row r="194" customFormat="false" ht="15" hidden="false" customHeight="false" outlineLevel="0" collapsed="false">
      <c r="A194" s="3" t="s">
        <v>387</v>
      </c>
      <c r="B194" s="0" t="s">
        <v>191</v>
      </c>
      <c r="C194" s="19" t="n">
        <f aca="false">a25_nop</f>
        <v>0.0184359999999999</v>
      </c>
      <c r="D194" s="19" t="n">
        <f aca="false">a26_nop</f>
        <v>-0.0226839999999999</v>
      </c>
      <c r="E194" s="19" t="n">
        <f aca="false">nop_f</f>
        <v>0</v>
      </c>
      <c r="F194" s="19" t="n">
        <f aca="false">nop_f</f>
        <v>0</v>
      </c>
      <c r="G194" s="19" t="n">
        <f aca="false">nop_f</f>
        <v>0</v>
      </c>
    </row>
    <row r="195" customFormat="false" ht="17.15" hidden="false" customHeight="false" outlineLevel="0" collapsed="false">
      <c r="A195" s="3" t="s">
        <v>234</v>
      </c>
      <c r="B195" s="0" t="s">
        <v>52</v>
      </c>
      <c r="C195" s="13" t="n">
        <f aca="false">a25_ni/(a25_oi+a25_nop)</f>
        <v>0.78475979393648</v>
      </c>
      <c r="D195" s="13" t="n">
        <f aca="false">a26_ni/(a26_oi+a26_nop)</f>
        <v>0.739465828331271</v>
      </c>
      <c r="E195" s="13" t="n">
        <f aca="false">nir_f</f>
        <v>0.74</v>
      </c>
      <c r="F195" s="13" t="n">
        <f aca="false">nir_f</f>
        <v>0.74</v>
      </c>
      <c r="G195" s="13" t="n">
        <f aca="false">nir_f</f>
        <v>0.74</v>
      </c>
    </row>
    <row r="196" customFormat="false" ht="15" hidden="false" customHeight="false" outlineLevel="0" collapsed="false">
      <c r="A196" s="3" t="s">
        <v>391</v>
      </c>
      <c r="B196" s="0" t="s">
        <v>191</v>
      </c>
      <c r="C196" s="19" t="n">
        <f aca="false">a25_ni</f>
        <v>2.572</v>
      </c>
      <c r="D196" s="19" t="n">
        <f aca="false">a26_ni</f>
        <v>4.923841117248</v>
      </c>
      <c r="E196" s="19" t="n">
        <f aca="false">(E192+E194)*E195</f>
        <v>11.4377467406151</v>
      </c>
      <c r="F196" s="19" t="n">
        <f aca="false">(F192+F194)*F195</f>
        <v>13.9024549394034</v>
      </c>
      <c r="G196" s="19" t="n">
        <f aca="false">(G192+G194)*G195</f>
        <v>16.7704847117039</v>
      </c>
    </row>
    <row r="197" customFormat="false" ht="15" hidden="false" customHeight="false" outlineLevel="0" collapsed="false">
      <c r="A197" s="3" t="s">
        <v>494</v>
      </c>
      <c r="B197" s="3" t="s">
        <v>217</v>
      </c>
      <c r="C197" s="21" t="n">
        <f aca="false">a25_sh</f>
        <v>0.0910120311394197</v>
      </c>
      <c r="D197" s="21" t="n">
        <f aca="false">a26_sh</f>
        <v>0.093076837</v>
      </c>
      <c r="E197" s="21" t="n">
        <f aca="false">D197*(1+sh_g)</f>
        <v>0.093076837</v>
      </c>
      <c r="F197" s="21" t="n">
        <f aca="false">E197*(1+sh_g)</f>
        <v>0.093076837</v>
      </c>
      <c r="G197" s="21" t="n">
        <f aca="false">F197*(1+sh_g)</f>
        <v>0.093076837</v>
      </c>
    </row>
    <row r="198" customFormat="false" ht="15" hidden="false" customHeight="false" outlineLevel="0" collapsed="false">
      <c r="A198" s="0" t="s">
        <v>398</v>
      </c>
      <c r="B198" s="0" t="s">
        <v>251</v>
      </c>
      <c r="C198" s="20" t="n">
        <f aca="false">C196/C197</f>
        <v>28.26</v>
      </c>
      <c r="D198" s="20" t="n">
        <f aca="false">D196/D197</f>
        <v>52.9008212563992</v>
      </c>
      <c r="E198" s="20" t="n">
        <f aca="false">E196/E197</f>
        <v>122.884995980419</v>
      </c>
      <c r="F198" s="20" t="n">
        <f aca="false">F196/F197</f>
        <v>149.365356489321</v>
      </c>
      <c r="G198" s="20" t="n">
        <f aca="false">G196/G197</f>
        <v>180.178927993695</v>
      </c>
    </row>
    <row r="199" customFormat="false" ht="17.15" hidden="false" customHeight="false" outlineLevel="0" collapsed="false">
      <c r="A199" s="0" t="s">
        <v>495</v>
      </c>
      <c r="B199" s="0" t="s">
        <v>52</v>
      </c>
      <c r="D199" s="13" t="n">
        <f aca="false">D198/C198-1</f>
        <v>0.871932811620636</v>
      </c>
      <c r="E199" s="13" t="n">
        <f aca="false">E198/D198-1</f>
        <v>1.3229317251016</v>
      </c>
      <c r="F199" s="13" t="n">
        <f aca="false">F198/E198-1</f>
        <v>0.215488964276174</v>
      </c>
      <c r="G199" s="13" t="n">
        <f aca="false">G198/F198-1</f>
        <v>0.206296642197467</v>
      </c>
    </row>
    <row r="202" customFormat="false" ht="17.15" hidden="false" customHeight="false" outlineLevel="0" collapsed="false">
      <c r="A202" s="1" t="s">
        <v>846</v>
      </c>
    </row>
    <row r="203" customFormat="false" ht="17.15" hidden="false" customHeight="false" outlineLevel="0" collapsed="false">
      <c r="A203" s="4" t="s">
        <v>21</v>
      </c>
      <c r="B203" s="4" t="s">
        <v>22</v>
      </c>
      <c r="C203" s="10" t="s">
        <v>365</v>
      </c>
      <c r="D203" s="10" t="s">
        <v>452</v>
      </c>
      <c r="E203" s="10" t="s">
        <v>453</v>
      </c>
      <c r="F203" s="10" t="s">
        <v>454</v>
      </c>
      <c r="G203" s="10" t="s">
        <v>455</v>
      </c>
      <c r="H203" s="4" t="s">
        <v>350</v>
      </c>
    </row>
    <row r="204" customFormat="false" ht="17.15" hidden="false" customHeight="false" outlineLevel="0" collapsed="false">
      <c r="A204" s="5" t="s">
        <v>471</v>
      </c>
    </row>
    <row r="205" customFormat="false" ht="17.15" hidden="false" customHeight="false" outlineLevel="0" collapsed="false">
      <c r="A205" s="0" t="s">
        <v>472</v>
      </c>
      <c r="B205" s="0" t="s">
        <v>32</v>
      </c>
      <c r="D205" s="20" t="n">
        <f aca="false">itc_26*1</f>
        <v>781.872916666666</v>
      </c>
      <c r="E205" s="20" t="n">
        <f aca="false">itc_27*1*1</f>
        <v>1565.35</v>
      </c>
      <c r="F205" s="20" t="n">
        <f aca="false">itc_28*um28_B*1</f>
        <v>1587.41111111111</v>
      </c>
      <c r="G205" s="20" t="n">
        <f aca="false">itc_29*um29_B*1</f>
        <v>1921.33173611111</v>
      </c>
    </row>
    <row r="206" customFormat="false" ht="17.15" hidden="false" customHeight="false" outlineLevel="0" collapsed="false">
      <c r="A206" s="3" t="s">
        <v>473</v>
      </c>
      <c r="B206" s="0" t="s">
        <v>32</v>
      </c>
      <c r="D206" s="20" t="n">
        <f aca="false">itpg_gb*(1-vr26)+itpg_vr*vr26</f>
        <v>33.41403216</v>
      </c>
      <c r="E206" s="20" t="n">
        <f aca="false">itpg_vr</f>
        <v>37.586352</v>
      </c>
      <c r="F206" s="20" t="n">
        <f aca="false">itpg_vr</f>
        <v>37.586352</v>
      </c>
      <c r="G206" s="20" t="n">
        <f aca="false">itpg_vr</f>
        <v>37.586352</v>
      </c>
    </row>
    <row r="207" customFormat="false" ht="17.15" hidden="false" customHeight="false" outlineLevel="0" collapsed="false">
      <c r="A207" s="3" t="s">
        <v>474</v>
      </c>
      <c r="B207" s="0" t="s">
        <v>431</v>
      </c>
      <c r="D207" s="17" t="n">
        <f aca="false">D205/D206</f>
        <v>23.3995380420639</v>
      </c>
      <c r="E207" s="17" t="n">
        <f aca="false">E205/E206</f>
        <v>41.6467658260637</v>
      </c>
      <c r="F207" s="17" t="n">
        <f aca="false">F205/F206</f>
        <v>42.2337105529984</v>
      </c>
      <c r="G207" s="17" t="n">
        <f aca="false">G205/G206</f>
        <v>51.1178029756948</v>
      </c>
    </row>
    <row r="208" customFormat="false" ht="17.15" hidden="false" customHeight="false" outlineLevel="0" collapsed="false">
      <c r="A208" s="3" t="s">
        <v>475</v>
      </c>
      <c r="B208" s="0" t="s">
        <v>52</v>
      </c>
      <c r="D208" s="13" t="n">
        <f aca="false">LPLO_26</f>
        <v>0.45</v>
      </c>
      <c r="E208" s="13" t="n">
        <f aca="false">LPLO_27</f>
        <v>0.6</v>
      </c>
      <c r="F208" s="13" t="n">
        <f aca="false">LPLO_28</f>
        <v>0.7</v>
      </c>
      <c r="G208" s="13" t="n">
        <f aca="false">LPLO_29</f>
        <v>0.75</v>
      </c>
    </row>
    <row r="209" customFormat="false" ht="17.15" hidden="false" customHeight="false" outlineLevel="0" collapsed="false">
      <c r="A209" s="3" t="s">
        <v>476</v>
      </c>
      <c r="B209" s="0" t="s">
        <v>436</v>
      </c>
      <c r="D209" s="18" t="n">
        <f aca="false">((1-vr26)*racks_gb*(cool_gb+mani)+vr26*racks_vr*(cool_vr+mani))/1000</f>
        <v>350.7208</v>
      </c>
      <c r="E209" s="18" t="n">
        <f aca="false">racks_vr*(cool_vr+mani)*lcadj_27/1000</f>
        <v>326.5912</v>
      </c>
      <c r="F209" s="18" t="n">
        <f aca="false">racks_vr*(cool_vr+mani)*lcadj_28/1000</f>
        <v>351.7136</v>
      </c>
      <c r="G209" s="18" t="n">
        <f aca="false">racks_vr*(cool_vr+mani)*lcadj_29/1000</f>
        <v>351.7136</v>
      </c>
      <c r="H209" s="3" t="s">
        <v>477</v>
      </c>
    </row>
    <row r="210" customFormat="false" ht="17.15" hidden="false" customHeight="false" outlineLevel="0" collapsed="false">
      <c r="A210" s="0" t="s">
        <v>478</v>
      </c>
      <c r="B210" s="0" t="s">
        <v>32</v>
      </c>
      <c r="D210" s="20" t="n">
        <f aca="false">D207*D208*D209/1000</f>
        <v>3.69301711578439</v>
      </c>
      <c r="E210" s="20" t="n">
        <f aca="false">E207*E208*E209/1000</f>
        <v>8.16088033635188</v>
      </c>
      <c r="F210" s="20" t="n">
        <f aca="false">F207*F208*F209/1000</f>
        <v>10.3979192659671</v>
      </c>
      <c r="G210" s="20" t="n">
        <f aca="false">G207*G208*G209/1000</f>
        <v>13.4841198815043</v>
      </c>
    </row>
    <row r="211" customFormat="false" ht="17.15" hidden="false" customHeight="false" outlineLevel="0" collapsed="false">
      <c r="A211" s="0" t="s">
        <v>479</v>
      </c>
      <c r="B211" s="0" t="s">
        <v>191</v>
      </c>
      <c r="D211" s="19" t="n">
        <f aca="false">D210*fx</f>
        <v>118.1765477051</v>
      </c>
      <c r="E211" s="19" t="n">
        <f aca="false">E210*fx</f>
        <v>261.14817076326</v>
      </c>
      <c r="F211" s="19" t="n">
        <f aca="false">F210*fx</f>
        <v>332.733416510948</v>
      </c>
      <c r="G211" s="19" t="n">
        <f aca="false">G210*fx</f>
        <v>431.491836208136</v>
      </c>
    </row>
    <row r="212" customFormat="false" ht="17.15" hidden="false" customHeight="false" outlineLevel="0" collapsed="false">
      <c r="A212" s="3" t="s">
        <v>480</v>
      </c>
      <c r="B212" s="0" t="s">
        <v>52</v>
      </c>
      <c r="D212" s="13" t="n">
        <f aca="false">a26_lc/D211</f>
        <v>0.193967615649096</v>
      </c>
      <c r="H212" s="7" t="s">
        <v>481</v>
      </c>
    </row>
    <row r="213" customFormat="false" ht="17.15" hidden="false" customHeight="false" outlineLevel="0" collapsed="false">
      <c r="A213" s="3" t="s">
        <v>482</v>
      </c>
      <c r="B213" s="0" t="s">
        <v>73</v>
      </c>
      <c r="D213" s="14" t="n">
        <f aca="false">1</f>
        <v>1</v>
      </c>
      <c r="E213" s="14" t="n">
        <f aca="false">relB_27</f>
        <v>0.95</v>
      </c>
      <c r="F213" s="14" t="n">
        <f aca="false">relB_28</f>
        <v>0.9</v>
      </c>
      <c r="G213" s="14" t="n">
        <f aca="false">relB_29</f>
        <v>0.85</v>
      </c>
    </row>
    <row r="214" customFormat="false" ht="15" hidden="false" customHeight="false" outlineLevel="0" collapsed="false">
      <c r="A214" s="3" t="s">
        <v>440</v>
      </c>
      <c r="B214" s="0" t="s">
        <v>52</v>
      </c>
      <c r="D214" s="13" t="n">
        <f aca="false">$D$212*D213</f>
        <v>0.193967615649096</v>
      </c>
      <c r="E214" s="13" t="n">
        <f aca="false">$D$212*E213</f>
        <v>0.184269234866641</v>
      </c>
      <c r="F214" s="13" t="n">
        <f aca="false">$D$212*F213</f>
        <v>0.174570854084187</v>
      </c>
      <c r="G214" s="13" t="n">
        <f aca="false">$D$212*G213</f>
        <v>0.164872473301732</v>
      </c>
    </row>
    <row r="215" customFormat="false" ht="15" hidden="false" customHeight="false" outlineLevel="0" collapsed="false">
      <c r="A215" s="3" t="s">
        <v>483</v>
      </c>
      <c r="B215" s="0" t="s">
        <v>191</v>
      </c>
      <c r="C215" s="19" t="n">
        <f aca="false">a25_lc</f>
        <v>7.91384</v>
      </c>
      <c r="D215" s="19" t="n">
        <f aca="false">D211*D214</f>
        <v>22.922423184</v>
      </c>
      <c r="E215" s="19" t="n">
        <f aca="false">E211*E214</f>
        <v>48.121573613369</v>
      </c>
      <c r="F215" s="19" t="n">
        <f aca="false">F211*F214</f>
        <v>58.0855567026657</v>
      </c>
      <c r="G215" s="19" t="n">
        <f aca="false">G211*G214</f>
        <v>71.1411262451412</v>
      </c>
    </row>
    <row r="216" customFormat="false" ht="17.15" hidden="false" customHeight="false" outlineLevel="0" collapsed="false">
      <c r="A216" s="5" t="s">
        <v>484</v>
      </c>
    </row>
    <row r="217" customFormat="false" ht="17.15" hidden="false" customHeight="false" outlineLevel="0" collapsed="false">
      <c r="A217" s="3" t="s">
        <v>485</v>
      </c>
      <c r="B217" s="0" t="s">
        <v>191</v>
      </c>
      <c r="C217" s="19" t="n">
        <f aca="false">a25_sair</f>
        <v>5.35348</v>
      </c>
      <c r="D217" s="19" t="n">
        <f aca="false">a26_sair</f>
        <v>5.3485654096</v>
      </c>
      <c r="E217" s="19" t="n">
        <f aca="false">D217*(1+g_sair_27)</f>
        <v>5.08113713912</v>
      </c>
      <c r="F217" s="19" t="n">
        <f aca="false">E217*(1+g_sair_28)</f>
        <v>4.827080282164</v>
      </c>
      <c r="G217" s="19" t="n">
        <f aca="false">F217*(1+g_sair_29)</f>
        <v>4.5857262680558</v>
      </c>
    </row>
    <row r="218" customFormat="false" ht="15" hidden="false" customHeight="false" outlineLevel="0" collapsed="false">
      <c r="A218" s="3" t="s">
        <v>486</v>
      </c>
      <c r="B218" s="0" t="s">
        <v>191</v>
      </c>
      <c r="C218" s="19" t="n">
        <f aca="false">a25_nb</f>
        <v>6.28452</v>
      </c>
      <c r="D218" s="19" t="n">
        <f aca="false">a26_nb</f>
        <v>5.730605796</v>
      </c>
      <c r="E218" s="19" t="n">
        <f aca="false">D218*(1+g_nb_27)</f>
        <v>5.55868762212</v>
      </c>
      <c r="F218" s="19" t="n">
        <f aca="false">E218*(1+g_nb_28)</f>
        <v>5.55868762212</v>
      </c>
      <c r="G218" s="19" t="n">
        <f aca="false">F218*(1+g_nb_29)</f>
        <v>5.55868762212</v>
      </c>
    </row>
    <row r="219" customFormat="false" ht="15" hidden="false" customHeight="false" outlineLevel="0" collapsed="false">
      <c r="A219" s="3" t="s">
        <v>487</v>
      </c>
      <c r="B219" s="0" t="s">
        <v>191</v>
      </c>
      <c r="C219" s="19" t="n">
        <f aca="false">a25_oth</f>
        <v>3.72416</v>
      </c>
      <c r="D219" s="19" t="n">
        <f aca="false">a26_oth</f>
        <v>4.2024442504</v>
      </c>
      <c r="E219" s="19" t="n">
        <f aca="false">D219*(1+g_oth_27)</f>
        <v>4.2024442504</v>
      </c>
      <c r="F219" s="19" t="n">
        <f aca="false">E219*(1+g_oth_28)</f>
        <v>4.2024442504</v>
      </c>
      <c r="G219" s="19" t="n">
        <f aca="false">F219*(1+g_oth_29)</f>
        <v>4.2024442504</v>
      </c>
    </row>
    <row r="220" customFormat="false" ht="15" hidden="false" customHeight="false" outlineLevel="0" collapsed="false">
      <c r="A220" s="3" t="s">
        <v>371</v>
      </c>
      <c r="B220" s="0" t="s">
        <v>191</v>
      </c>
      <c r="C220" s="19" t="n">
        <f aca="false">C215+C217+C218+C219</f>
        <v>23.276</v>
      </c>
      <c r="D220" s="19" t="n">
        <f aca="false">D215+D217+D218+D219</f>
        <v>38.20403864</v>
      </c>
      <c r="E220" s="19" t="n">
        <f aca="false">E215+E217+E218+E219</f>
        <v>62.963842625009</v>
      </c>
      <c r="F220" s="19" t="n">
        <f aca="false">F215+F217+F218+F219</f>
        <v>72.6737688573497</v>
      </c>
      <c r="G220" s="19" t="n">
        <f aca="false">G215+G217+G218+G219</f>
        <v>85.487984385717</v>
      </c>
    </row>
    <row r="221" customFormat="false" ht="15" hidden="false" customHeight="false" outlineLevel="0" collapsed="false">
      <c r="A221" s="3" t="s">
        <v>488</v>
      </c>
      <c r="B221" s="0" t="s">
        <v>52</v>
      </c>
      <c r="D221" s="13" t="n">
        <f aca="false">D220/C220-1</f>
        <v>0.641348970613508</v>
      </c>
      <c r="E221" s="13" t="n">
        <f aca="false">E220/D220-1</f>
        <v>0.648093889191212</v>
      </c>
      <c r="F221" s="13" t="n">
        <f aca="false">F220/E220-1</f>
        <v>0.154214320910649</v>
      </c>
      <c r="G221" s="13" t="n">
        <f aca="false">G220/F220-1</f>
        <v>0.176325182109657</v>
      </c>
    </row>
    <row r="222" customFormat="false" ht="17.15" hidden="false" customHeight="false" outlineLevel="0" collapsed="false">
      <c r="A222" s="3" t="s">
        <v>489</v>
      </c>
      <c r="B222" s="0" t="s">
        <v>52</v>
      </c>
      <c r="C222" s="13" t="n">
        <f aca="false">C215/C220</f>
        <v>0.34</v>
      </c>
      <c r="D222" s="13" t="n">
        <f aca="false">D215/D220</f>
        <v>0.6</v>
      </c>
      <c r="E222" s="13" t="n">
        <f aca="false">E215/E220</f>
        <v>0.764273138473529</v>
      </c>
      <c r="F222" s="13" t="n">
        <f aca="false">F215/F220</f>
        <v>0.79926440607038</v>
      </c>
      <c r="G222" s="13" t="n">
        <f aca="false">G215/G220</f>
        <v>0.832176904816897</v>
      </c>
    </row>
    <row r="223" customFormat="false" ht="17.15" hidden="false" customHeight="false" outlineLevel="0" collapsed="false">
      <c r="A223" s="3" t="s">
        <v>448</v>
      </c>
      <c r="B223" s="0" t="s">
        <v>436</v>
      </c>
      <c r="D223" s="18" t="n">
        <f aca="false">D215/fx/D207*1000</f>
        <v>30.6128148005446</v>
      </c>
      <c r="E223" s="18" t="n">
        <f aca="false">E215/fx/E207*1000</f>
        <v>36.108426322907</v>
      </c>
      <c r="F223" s="18" t="n">
        <f aca="false">F215/fx/F207*1000</f>
        <v>42.9792604815168</v>
      </c>
      <c r="G223" s="18" t="n">
        <f aca="false">G215/fx/G207*1000</f>
        <v>43.490918344392</v>
      </c>
    </row>
    <row r="224" customFormat="false" ht="17.15" hidden="false" customHeight="false" outlineLevel="0" collapsed="false">
      <c r="A224" s="5" t="s">
        <v>490</v>
      </c>
    </row>
    <row r="225" customFormat="false" ht="17.15" hidden="false" customHeight="false" outlineLevel="0" collapsed="false">
      <c r="A225" s="3" t="s">
        <v>491</v>
      </c>
      <c r="B225" s="0" t="s">
        <v>52</v>
      </c>
      <c r="D225" s="13" t="n">
        <f aca="false">a26_gp/D220-d_lc*D222</f>
        <v>0.260156485550031</v>
      </c>
      <c r="H225" s="7" t="s">
        <v>492</v>
      </c>
    </row>
    <row r="226" customFormat="false" ht="15" hidden="false" customHeight="false" outlineLevel="0" collapsed="false">
      <c r="A226" s="3" t="s">
        <v>375</v>
      </c>
      <c r="B226" s="0" t="s">
        <v>191</v>
      </c>
      <c r="C226" s="19" t="n">
        <f aca="false">a25_gp</f>
        <v>6.372</v>
      </c>
      <c r="D226" s="19" t="n">
        <f aca="false">a26_gp</f>
        <v>11.0851495856</v>
      </c>
      <c r="E226" s="19" t="n">
        <f aca="false">$D$225*E220+d_lc*E215</f>
        <v>18.786530694716</v>
      </c>
      <c r="F226" s="19" t="n">
        <f aca="false">$D$225*F220+d_lc*F215</f>
        <v>21.8108301327367</v>
      </c>
      <c r="G226" s="19" t="n">
        <f aca="false">$D$225*G220+d_lc*G215</f>
        <v>25.7973098868011</v>
      </c>
    </row>
    <row r="227" customFormat="false" ht="15" hidden="false" customHeight="false" outlineLevel="0" collapsed="false">
      <c r="A227" s="3" t="s">
        <v>378</v>
      </c>
      <c r="B227" s="0" t="s">
        <v>52</v>
      </c>
      <c r="C227" s="13" t="n">
        <f aca="false">C226/C220</f>
        <v>0.273758377728132</v>
      </c>
      <c r="D227" s="13" t="n">
        <f aca="false">D226/D220</f>
        <v>0.290156485550031</v>
      </c>
      <c r="E227" s="13" t="n">
        <f aca="false">E226/E220</f>
        <v>0.298370142473708</v>
      </c>
      <c r="F227" s="13" t="n">
        <f aca="false">F226/F220</f>
        <v>0.30011970585355</v>
      </c>
      <c r="G227" s="13" t="n">
        <f aca="false">G226/G220</f>
        <v>0.301765330790876</v>
      </c>
    </row>
    <row r="228" customFormat="false" ht="15" hidden="false" customHeight="false" outlineLevel="0" collapsed="false">
      <c r="A228" s="3" t="s">
        <v>493</v>
      </c>
      <c r="B228" s="0" t="s">
        <v>191</v>
      </c>
      <c r="C228" s="19" t="n">
        <f aca="false">a25_opx</f>
        <v>3.113</v>
      </c>
      <c r="D228" s="19" t="n">
        <f aca="false">a26_opx</f>
        <v>4.4038196704</v>
      </c>
      <c r="E228" s="19" t="n">
        <f aca="false">D228*(1+MAX(0,phi*E221))</f>
        <v>6.25897727176609</v>
      </c>
      <c r="F228" s="19" t="n">
        <f aca="false">E228*(1+MAX(0,phi*F221))</f>
        <v>6.88637282598048</v>
      </c>
      <c r="G228" s="19" t="n">
        <f aca="false">F228*(1+MAX(0,phi*G221))</f>
        <v>7.67562943868088</v>
      </c>
    </row>
    <row r="229" customFormat="false" ht="15" hidden="false" customHeight="false" outlineLevel="0" collapsed="false">
      <c r="A229" s="3" t="s">
        <v>380</v>
      </c>
      <c r="B229" s="0" t="s">
        <v>191</v>
      </c>
      <c r="C229" s="19" t="n">
        <f aca="false">C228</f>
        <v>3.113</v>
      </c>
      <c r="D229" s="19" t="n">
        <f aca="false">D228</f>
        <v>4.4038196704</v>
      </c>
      <c r="E229" s="19" t="n">
        <f aca="false">E228+0*E220</f>
        <v>6.25897727176609</v>
      </c>
      <c r="F229" s="19" t="n">
        <f aca="false">F228+0*F220</f>
        <v>6.88637282598048</v>
      </c>
      <c r="G229" s="19" t="n">
        <f aca="false">G228+0*G220</f>
        <v>7.67562943868088</v>
      </c>
    </row>
    <row r="230" customFormat="false" ht="15" hidden="false" customHeight="false" outlineLevel="0" collapsed="false">
      <c r="A230" s="3" t="s">
        <v>383</v>
      </c>
      <c r="B230" s="0" t="s">
        <v>191</v>
      </c>
      <c r="C230" s="19" t="n">
        <f aca="false">C226-C229</f>
        <v>3.259</v>
      </c>
      <c r="D230" s="19" t="n">
        <f aca="false">D226-D229</f>
        <v>6.6813299152</v>
      </c>
      <c r="E230" s="19" t="n">
        <f aca="false">E226-E229</f>
        <v>12.5275534229499</v>
      </c>
      <c r="F230" s="19" t="n">
        <f aca="false">F226-F229</f>
        <v>14.9244573067562</v>
      </c>
      <c r="G230" s="19" t="n">
        <f aca="false">G226-G229</f>
        <v>18.1216804481203</v>
      </c>
    </row>
    <row r="231" customFormat="false" ht="15" hidden="false" customHeight="false" outlineLevel="0" collapsed="false">
      <c r="A231" s="3" t="s">
        <v>386</v>
      </c>
      <c r="B231" s="0" t="s">
        <v>52</v>
      </c>
      <c r="C231" s="13" t="n">
        <f aca="false">C230/C220</f>
        <v>0.140015466575013</v>
      </c>
      <c r="D231" s="13" t="n">
        <f aca="false">D230/D220</f>
        <v>0.174885434970861</v>
      </c>
      <c r="E231" s="13" t="n">
        <f aca="false">E230/E220</f>
        <v>0.198964245202755</v>
      </c>
      <c r="F231" s="13" t="n">
        <f aca="false">F230/F220</f>
        <v>0.205362368587918</v>
      </c>
      <c r="G231" s="13" t="n">
        <f aca="false">G230/G220</f>
        <v>0.211979269114081</v>
      </c>
    </row>
    <row r="232" customFormat="false" ht="15" hidden="false" customHeight="false" outlineLevel="0" collapsed="false">
      <c r="A232" s="3" t="s">
        <v>387</v>
      </c>
      <c r="B232" s="0" t="s">
        <v>191</v>
      </c>
      <c r="C232" s="19" t="n">
        <f aca="false">a25_nop</f>
        <v>0.0184359999999999</v>
      </c>
      <c r="D232" s="19" t="n">
        <f aca="false">a26_nop</f>
        <v>-0.0226839999999999</v>
      </c>
      <c r="E232" s="19" t="n">
        <f aca="false">nop_f</f>
        <v>0</v>
      </c>
      <c r="F232" s="19" t="n">
        <f aca="false">nop_f</f>
        <v>0</v>
      </c>
      <c r="G232" s="19" t="n">
        <f aca="false">nop_f</f>
        <v>0</v>
      </c>
    </row>
    <row r="233" customFormat="false" ht="17.15" hidden="false" customHeight="false" outlineLevel="0" collapsed="false">
      <c r="A233" s="3" t="s">
        <v>234</v>
      </c>
      <c r="B233" s="0" t="s">
        <v>52</v>
      </c>
      <c r="C233" s="13" t="n">
        <f aca="false">a25_ni/(a25_oi+a25_nop)</f>
        <v>0.78475979393648</v>
      </c>
      <c r="D233" s="13" t="n">
        <f aca="false">a26_ni/(a26_oi+a26_nop)</f>
        <v>0.739465828331271</v>
      </c>
      <c r="E233" s="13" t="n">
        <f aca="false">nir_f</f>
        <v>0.74</v>
      </c>
      <c r="F233" s="13" t="n">
        <f aca="false">nir_f</f>
        <v>0.74</v>
      </c>
      <c r="G233" s="13" t="n">
        <f aca="false">nir_f</f>
        <v>0.74</v>
      </c>
    </row>
    <row r="234" customFormat="false" ht="15" hidden="false" customHeight="false" outlineLevel="0" collapsed="false">
      <c r="A234" s="3" t="s">
        <v>391</v>
      </c>
      <c r="B234" s="0" t="s">
        <v>191</v>
      </c>
      <c r="C234" s="19" t="n">
        <f aca="false">a25_ni</f>
        <v>2.572</v>
      </c>
      <c r="D234" s="19" t="n">
        <f aca="false">a26_ni</f>
        <v>4.923841117248</v>
      </c>
      <c r="E234" s="19" t="n">
        <f aca="false">(E230+E232)*E233</f>
        <v>9.27038953298296</v>
      </c>
      <c r="F234" s="19" t="n">
        <f aca="false">(F230+F232)*F233</f>
        <v>11.0440984069996</v>
      </c>
      <c r="G234" s="19" t="n">
        <f aca="false">(G230+G232)*G233</f>
        <v>13.410043531609</v>
      </c>
    </row>
    <row r="235" customFormat="false" ht="15" hidden="false" customHeight="false" outlineLevel="0" collapsed="false">
      <c r="A235" s="3" t="s">
        <v>494</v>
      </c>
      <c r="B235" s="3" t="s">
        <v>217</v>
      </c>
      <c r="C235" s="21" t="n">
        <f aca="false">a25_sh</f>
        <v>0.0910120311394197</v>
      </c>
      <c r="D235" s="21" t="n">
        <f aca="false">a26_sh</f>
        <v>0.093076837</v>
      </c>
      <c r="E235" s="21" t="n">
        <f aca="false">D235*(1+sh_g)</f>
        <v>0.093076837</v>
      </c>
      <c r="F235" s="21" t="n">
        <f aca="false">E235*(1+sh_g)</f>
        <v>0.093076837</v>
      </c>
      <c r="G235" s="21" t="n">
        <f aca="false">F235*(1+sh_g)</f>
        <v>0.093076837</v>
      </c>
    </row>
    <row r="236" customFormat="false" ht="15" hidden="false" customHeight="false" outlineLevel="0" collapsed="false">
      <c r="A236" s="0" t="s">
        <v>398</v>
      </c>
      <c r="B236" s="0" t="s">
        <v>251</v>
      </c>
      <c r="C236" s="20" t="n">
        <f aca="false">C234/C235</f>
        <v>28.26</v>
      </c>
      <c r="D236" s="20" t="n">
        <f aca="false">D234/D235</f>
        <v>52.9008212563992</v>
      </c>
      <c r="E236" s="20" t="n">
        <f aca="false">E234/E235</f>
        <v>99.5993184962115</v>
      </c>
      <c r="F236" s="20" t="n">
        <f aca="false">F234/F235</f>
        <v>118.655712451849</v>
      </c>
      <c r="G236" s="20" t="n">
        <f aca="false">G234/G235</f>
        <v>144.074981099852</v>
      </c>
    </row>
    <row r="237" customFormat="false" ht="17.15" hidden="false" customHeight="false" outlineLevel="0" collapsed="false">
      <c r="A237" s="0" t="s">
        <v>495</v>
      </c>
      <c r="B237" s="0" t="s">
        <v>52</v>
      </c>
      <c r="D237" s="13" t="n">
        <f aca="false">D236/C236-1</f>
        <v>0.871932811620636</v>
      </c>
      <c r="E237" s="13" t="n">
        <f aca="false">E236/D236-1</f>
        <v>0.882755619491699</v>
      </c>
      <c r="F237" s="13" t="n">
        <f aca="false">F236/E236-1</f>
        <v>0.191330565744405</v>
      </c>
      <c r="G237" s="13" t="n">
        <f aca="false">G236/F236-1</f>
        <v>0.214227095541805</v>
      </c>
    </row>
    <row r="240" customFormat="false" ht="17.15" hidden="false" customHeight="false" outlineLevel="0" collapsed="false">
      <c r="A240" s="1" t="s">
        <v>847</v>
      </c>
    </row>
    <row r="241" customFormat="false" ht="17.15" hidden="false" customHeight="false" outlineLevel="0" collapsed="false">
      <c r="A241" s="4" t="s">
        <v>21</v>
      </c>
      <c r="B241" s="4" t="s">
        <v>22</v>
      </c>
      <c r="C241" s="10" t="s">
        <v>365</v>
      </c>
      <c r="D241" s="10" t="s">
        <v>452</v>
      </c>
      <c r="E241" s="10" t="s">
        <v>453</v>
      </c>
      <c r="F241" s="10" t="s">
        <v>454</v>
      </c>
      <c r="G241" s="10" t="s">
        <v>455</v>
      </c>
      <c r="H241" s="4" t="s">
        <v>350</v>
      </c>
    </row>
    <row r="242" customFormat="false" ht="17.15" hidden="false" customHeight="false" outlineLevel="0" collapsed="false">
      <c r="A242" s="5" t="s">
        <v>471</v>
      </c>
    </row>
    <row r="243" customFormat="false" ht="17.15" hidden="false" customHeight="false" outlineLevel="0" collapsed="false">
      <c r="A243" s="0" t="s">
        <v>472</v>
      </c>
      <c r="B243" s="0" t="s">
        <v>32</v>
      </c>
      <c r="D243" s="20" t="n">
        <f aca="false">itc_26*1</f>
        <v>781.872916666666</v>
      </c>
      <c r="E243" s="20" t="n">
        <f aca="false">itc_27*1*1</f>
        <v>1565.35</v>
      </c>
      <c r="F243" s="20" t="n">
        <f aca="false">itc_28*um28_B*1</f>
        <v>1587.41111111111</v>
      </c>
      <c r="G243" s="20" t="n">
        <f aca="false">itc_29*um29_B*1</f>
        <v>1921.33173611111</v>
      </c>
    </row>
    <row r="244" customFormat="false" ht="17.15" hidden="false" customHeight="false" outlineLevel="0" collapsed="false">
      <c r="A244" s="3" t="s">
        <v>473</v>
      </c>
      <c r="B244" s="0" t="s">
        <v>32</v>
      </c>
      <c r="D244" s="20" t="n">
        <f aca="false">itpg_gb*(1-vr26)+itpg_vr*vr26</f>
        <v>33.41403216</v>
      </c>
      <c r="E244" s="20" t="n">
        <f aca="false">itpg_vr</f>
        <v>37.586352</v>
      </c>
      <c r="F244" s="20" t="n">
        <f aca="false">itpg_vr</f>
        <v>37.586352</v>
      </c>
      <c r="G244" s="20" t="n">
        <f aca="false">itpg_vr</f>
        <v>37.586352</v>
      </c>
    </row>
    <row r="245" customFormat="false" ht="17.15" hidden="false" customHeight="false" outlineLevel="0" collapsed="false">
      <c r="A245" s="3" t="s">
        <v>474</v>
      </c>
      <c r="B245" s="0" t="s">
        <v>431</v>
      </c>
      <c r="D245" s="17" t="n">
        <f aca="false">D243/D244</f>
        <v>23.3995380420639</v>
      </c>
      <c r="E245" s="17" t="n">
        <f aca="false">E243/E244</f>
        <v>41.6467658260637</v>
      </c>
      <c r="F245" s="17" t="n">
        <f aca="false">F243/F244</f>
        <v>42.2337105529984</v>
      </c>
      <c r="G245" s="17" t="n">
        <f aca="false">G243/G244</f>
        <v>51.1178029756948</v>
      </c>
    </row>
    <row r="246" customFormat="false" ht="17.15" hidden="false" customHeight="false" outlineLevel="0" collapsed="false">
      <c r="A246" s="3" t="s">
        <v>475</v>
      </c>
      <c r="B246" s="0" t="s">
        <v>52</v>
      </c>
      <c r="D246" s="13" t="n">
        <f aca="false">LPHI_26</f>
        <v>0.65</v>
      </c>
      <c r="E246" s="13" t="n">
        <f aca="false">LPHI_27</f>
        <v>0.85</v>
      </c>
      <c r="F246" s="13" t="n">
        <f aca="false">LPHI_28</f>
        <v>0.95</v>
      </c>
      <c r="G246" s="13" t="n">
        <f aca="false">LPHI_29</f>
        <v>0.95</v>
      </c>
    </row>
    <row r="247" customFormat="false" ht="17.15" hidden="false" customHeight="false" outlineLevel="0" collapsed="false">
      <c r="A247" s="3" t="s">
        <v>476</v>
      </c>
      <c r="B247" s="0" t="s">
        <v>436</v>
      </c>
      <c r="D247" s="18" t="n">
        <f aca="false">((1-vr26)*racks_gb*(cool_gb+mani)+vr26*racks_vr*(cool_vr+mani))/1000</f>
        <v>350.7208</v>
      </c>
      <c r="E247" s="18" t="n">
        <f aca="false">racks_vr*(cool_vr+mani)*lcadj_27/1000</f>
        <v>326.5912</v>
      </c>
      <c r="F247" s="18" t="n">
        <f aca="false">racks_vr*(cool_vr+mani)*lcadj_28/1000</f>
        <v>351.7136</v>
      </c>
      <c r="G247" s="18" t="n">
        <f aca="false">racks_vr*(cool_vr+mani)*lcadj_29/1000</f>
        <v>351.7136</v>
      </c>
      <c r="H247" s="3" t="s">
        <v>477</v>
      </c>
    </row>
    <row r="248" customFormat="false" ht="17.15" hidden="false" customHeight="false" outlineLevel="0" collapsed="false">
      <c r="A248" s="0" t="s">
        <v>478</v>
      </c>
      <c r="B248" s="0" t="s">
        <v>32</v>
      </c>
      <c r="D248" s="20" t="n">
        <f aca="false">D245*D246*D247/1000</f>
        <v>5.334358056133</v>
      </c>
      <c r="E248" s="20" t="n">
        <f aca="false">E245*E246*E247/1000</f>
        <v>11.5612471431652</v>
      </c>
      <c r="F248" s="20" t="n">
        <f aca="false">F245*F246*F247/1000</f>
        <v>14.1114618609554</v>
      </c>
      <c r="G248" s="20" t="n">
        <f aca="false">G245*G246*G247/1000</f>
        <v>17.0798851832387</v>
      </c>
    </row>
    <row r="249" customFormat="false" ht="17.15" hidden="false" customHeight="false" outlineLevel="0" collapsed="false">
      <c r="A249" s="0" t="s">
        <v>479</v>
      </c>
      <c r="B249" s="0" t="s">
        <v>191</v>
      </c>
      <c r="D249" s="19" t="n">
        <f aca="false">D248*fx</f>
        <v>170.699457796256</v>
      </c>
      <c r="E249" s="19" t="n">
        <f aca="false">E248*fx</f>
        <v>369.959908581285</v>
      </c>
      <c r="F249" s="19" t="n">
        <f aca="false">F248*fx</f>
        <v>451.566779550573</v>
      </c>
      <c r="G249" s="19" t="n">
        <f aca="false">G248*fx</f>
        <v>546.556325863639</v>
      </c>
    </row>
    <row r="250" customFormat="false" ht="17.15" hidden="false" customHeight="false" outlineLevel="0" collapsed="false">
      <c r="A250" s="3" t="s">
        <v>480</v>
      </c>
      <c r="B250" s="0" t="s">
        <v>52</v>
      </c>
      <c r="D250" s="13" t="n">
        <f aca="false">a26_lc/D249</f>
        <v>0.134285272372451</v>
      </c>
      <c r="H250" s="7" t="s">
        <v>481</v>
      </c>
    </row>
    <row r="251" customFormat="false" ht="17.15" hidden="false" customHeight="false" outlineLevel="0" collapsed="false">
      <c r="A251" s="3" t="s">
        <v>482</v>
      </c>
      <c r="B251" s="0" t="s">
        <v>73</v>
      </c>
      <c r="D251" s="14" t="n">
        <f aca="false">1</f>
        <v>1</v>
      </c>
      <c r="E251" s="14" t="n">
        <f aca="false">relB_27</f>
        <v>0.95</v>
      </c>
      <c r="F251" s="14" t="n">
        <f aca="false">relB_28</f>
        <v>0.9</v>
      </c>
      <c r="G251" s="14" t="n">
        <f aca="false">relB_29</f>
        <v>0.85</v>
      </c>
    </row>
    <row r="252" customFormat="false" ht="15" hidden="false" customHeight="false" outlineLevel="0" collapsed="false">
      <c r="A252" s="3" t="s">
        <v>440</v>
      </c>
      <c r="B252" s="0" t="s">
        <v>52</v>
      </c>
      <c r="D252" s="13" t="n">
        <f aca="false">$D$250*D251</f>
        <v>0.134285272372451</v>
      </c>
      <c r="E252" s="13" t="n">
        <f aca="false">$D$250*E251</f>
        <v>0.127571008753829</v>
      </c>
      <c r="F252" s="13" t="n">
        <f aca="false">$D$250*F251</f>
        <v>0.120856745135206</v>
      </c>
      <c r="G252" s="13" t="n">
        <f aca="false">$D$250*G251</f>
        <v>0.114142481516584</v>
      </c>
    </row>
    <row r="253" customFormat="false" ht="15" hidden="false" customHeight="false" outlineLevel="0" collapsed="false">
      <c r="A253" s="3" t="s">
        <v>483</v>
      </c>
      <c r="B253" s="0" t="s">
        <v>191</v>
      </c>
      <c r="C253" s="19" t="n">
        <f aca="false">a25_lc</f>
        <v>7.91384</v>
      </c>
      <c r="D253" s="19" t="n">
        <f aca="false">D249*D252</f>
        <v>22.922423184</v>
      </c>
      <c r="E253" s="19" t="n">
        <f aca="false">E249*E252</f>
        <v>47.1961587361888</v>
      </c>
      <c r="F253" s="19" t="n">
        <f aca="false">F249*F252</f>
        <v>54.5748911876694</v>
      </c>
      <c r="G253" s="19" t="n">
        <f aca="false">G249*G252</f>
        <v>62.3852953226623</v>
      </c>
    </row>
    <row r="254" customFormat="false" ht="17.15" hidden="false" customHeight="false" outlineLevel="0" collapsed="false">
      <c r="A254" s="5" t="s">
        <v>484</v>
      </c>
    </row>
    <row r="255" customFormat="false" ht="17.15" hidden="false" customHeight="false" outlineLevel="0" collapsed="false">
      <c r="A255" s="3" t="s">
        <v>485</v>
      </c>
      <c r="B255" s="0" t="s">
        <v>191</v>
      </c>
      <c r="C255" s="19" t="n">
        <f aca="false">a25_sair</f>
        <v>5.35348</v>
      </c>
      <c r="D255" s="19" t="n">
        <f aca="false">a26_sair</f>
        <v>5.3485654096</v>
      </c>
      <c r="E255" s="19" t="n">
        <f aca="false">D255*(1+g_sair_27)</f>
        <v>5.08113713912</v>
      </c>
      <c r="F255" s="19" t="n">
        <f aca="false">E255*(1+g_sair_28)</f>
        <v>4.827080282164</v>
      </c>
      <c r="G255" s="19" t="n">
        <f aca="false">F255*(1+g_sair_29)</f>
        <v>4.5857262680558</v>
      </c>
    </row>
    <row r="256" customFormat="false" ht="15" hidden="false" customHeight="false" outlineLevel="0" collapsed="false">
      <c r="A256" s="3" t="s">
        <v>486</v>
      </c>
      <c r="B256" s="0" t="s">
        <v>191</v>
      </c>
      <c r="C256" s="19" t="n">
        <f aca="false">a25_nb</f>
        <v>6.28452</v>
      </c>
      <c r="D256" s="19" t="n">
        <f aca="false">a26_nb</f>
        <v>5.730605796</v>
      </c>
      <c r="E256" s="19" t="n">
        <f aca="false">D256*(1+g_nb_27)</f>
        <v>5.55868762212</v>
      </c>
      <c r="F256" s="19" t="n">
        <f aca="false">E256*(1+g_nb_28)</f>
        <v>5.55868762212</v>
      </c>
      <c r="G256" s="19" t="n">
        <f aca="false">F256*(1+g_nb_29)</f>
        <v>5.55868762212</v>
      </c>
    </row>
    <row r="257" customFormat="false" ht="15" hidden="false" customHeight="false" outlineLevel="0" collapsed="false">
      <c r="A257" s="3" t="s">
        <v>487</v>
      </c>
      <c r="B257" s="0" t="s">
        <v>191</v>
      </c>
      <c r="C257" s="19" t="n">
        <f aca="false">a25_oth</f>
        <v>3.72416</v>
      </c>
      <c r="D257" s="19" t="n">
        <f aca="false">a26_oth</f>
        <v>4.2024442504</v>
      </c>
      <c r="E257" s="19" t="n">
        <f aca="false">D257*(1+g_oth_27)</f>
        <v>4.2024442504</v>
      </c>
      <c r="F257" s="19" t="n">
        <f aca="false">E257*(1+g_oth_28)</f>
        <v>4.2024442504</v>
      </c>
      <c r="G257" s="19" t="n">
        <f aca="false">F257*(1+g_oth_29)</f>
        <v>4.2024442504</v>
      </c>
    </row>
    <row r="258" customFormat="false" ht="15" hidden="false" customHeight="false" outlineLevel="0" collapsed="false">
      <c r="A258" s="3" t="s">
        <v>371</v>
      </c>
      <c r="B258" s="0" t="s">
        <v>191</v>
      </c>
      <c r="C258" s="19" t="n">
        <f aca="false">C253+C255+C256+C257</f>
        <v>23.276</v>
      </c>
      <c r="D258" s="19" t="n">
        <f aca="false">D253+D255+D256+D257</f>
        <v>38.20403864</v>
      </c>
      <c r="E258" s="19" t="n">
        <f aca="false">E253+E255+E256+E257</f>
        <v>62.0384277478288</v>
      </c>
      <c r="F258" s="19" t="n">
        <f aca="false">F253+F255+F256+F257</f>
        <v>69.1631033423534</v>
      </c>
      <c r="G258" s="19" t="n">
        <f aca="false">G253+G255+G256+G257</f>
        <v>76.7321534632381</v>
      </c>
    </row>
    <row r="259" customFormat="false" ht="15" hidden="false" customHeight="false" outlineLevel="0" collapsed="false">
      <c r="A259" s="3" t="s">
        <v>488</v>
      </c>
      <c r="B259" s="0" t="s">
        <v>52</v>
      </c>
      <c r="D259" s="13" t="n">
        <f aca="false">D258/C258-1</f>
        <v>0.641348970613508</v>
      </c>
      <c r="E259" s="13" t="n">
        <f aca="false">E258/D258-1</f>
        <v>0.623870929783689</v>
      </c>
      <c r="F259" s="13" t="n">
        <f aca="false">F258/E258-1</f>
        <v>0.114842942562708</v>
      </c>
      <c r="G259" s="13" t="n">
        <f aca="false">G258/F258-1</f>
        <v>0.109437687944948</v>
      </c>
    </row>
    <row r="260" customFormat="false" ht="17.15" hidden="false" customHeight="false" outlineLevel="0" collapsed="false">
      <c r="A260" s="3" t="s">
        <v>489</v>
      </c>
      <c r="B260" s="0" t="s">
        <v>52</v>
      </c>
      <c r="C260" s="13" t="n">
        <f aca="false">C253/C258</f>
        <v>0.34</v>
      </c>
      <c r="D260" s="13" t="n">
        <f aca="false">D253/D258</f>
        <v>0.6</v>
      </c>
      <c r="E260" s="13" t="n">
        <f aca="false">E253/E258</f>
        <v>0.760756847804554</v>
      </c>
      <c r="F260" s="13" t="n">
        <f aca="false">F253/F258</f>
        <v>0.789075222919463</v>
      </c>
      <c r="G260" s="13" t="n">
        <f aca="false">G253/G258</f>
        <v>0.813026775699065</v>
      </c>
    </row>
    <row r="261" customFormat="false" ht="17.15" hidden="false" customHeight="false" outlineLevel="0" collapsed="false">
      <c r="A261" s="3" t="s">
        <v>448</v>
      </c>
      <c r="B261" s="0" t="s">
        <v>436</v>
      </c>
      <c r="D261" s="18" t="n">
        <f aca="false">D253/fx/D245*1000</f>
        <v>30.6128148005446</v>
      </c>
      <c r="E261" s="18" t="n">
        <f aca="false">E253/fx/E245*1000</f>
        <v>35.4140335090049</v>
      </c>
      <c r="F261" s="18" t="n">
        <f aca="false">F253/fx/F245*1000</f>
        <v>40.3816128699965</v>
      </c>
      <c r="G261" s="18" t="n">
        <f aca="false">G253/fx/G245*1000</f>
        <v>38.1381899327745</v>
      </c>
    </row>
    <row r="262" customFormat="false" ht="17.15" hidden="false" customHeight="false" outlineLevel="0" collapsed="false">
      <c r="A262" s="5" t="s">
        <v>490</v>
      </c>
    </row>
    <row r="263" customFormat="false" ht="17.15" hidden="false" customHeight="false" outlineLevel="0" collapsed="false">
      <c r="A263" s="3" t="s">
        <v>491</v>
      </c>
      <c r="B263" s="0" t="s">
        <v>52</v>
      </c>
      <c r="D263" s="13" t="n">
        <f aca="false">a26_gp/D258-d_lc*D260</f>
        <v>0.260156485550031</v>
      </c>
      <c r="H263" s="7" t="s">
        <v>492</v>
      </c>
    </row>
    <row r="264" customFormat="false" ht="15" hidden="false" customHeight="false" outlineLevel="0" collapsed="false">
      <c r="A264" s="3" t="s">
        <v>375</v>
      </c>
      <c r="B264" s="0" t="s">
        <v>191</v>
      </c>
      <c r="C264" s="19" t="n">
        <f aca="false">a25_gp</f>
        <v>6.372</v>
      </c>
      <c r="D264" s="19" t="n">
        <f aca="false">a26_gp</f>
        <v>11.0851495856</v>
      </c>
      <c r="E264" s="19" t="n">
        <f aca="false">$D$263*E258+d_lc*E253</f>
        <v>18.4995072687341</v>
      </c>
      <c r="F264" s="19" t="n">
        <f aca="false">$D$263*F258+d_lc*F253</f>
        <v>20.7219744546638</v>
      </c>
      <c r="G264" s="19" t="n">
        <f aca="false">$D$263*G258+d_lc*G253</f>
        <v>23.0816321398148</v>
      </c>
    </row>
    <row r="265" customFormat="false" ht="15" hidden="false" customHeight="false" outlineLevel="0" collapsed="false">
      <c r="A265" s="3" t="s">
        <v>378</v>
      </c>
      <c r="B265" s="0" t="s">
        <v>52</v>
      </c>
      <c r="C265" s="13" t="n">
        <f aca="false">C264/C258</f>
        <v>0.273758377728132</v>
      </c>
      <c r="D265" s="13" t="n">
        <f aca="false">D264/D258</f>
        <v>0.290156485550031</v>
      </c>
      <c r="E265" s="13" t="n">
        <f aca="false">E264/E258</f>
        <v>0.298194327940259</v>
      </c>
      <c r="F265" s="13" t="n">
        <f aca="false">F264/F258</f>
        <v>0.299610246696005</v>
      </c>
      <c r="G265" s="13" t="n">
        <f aca="false">G264/G258</f>
        <v>0.300807824334985</v>
      </c>
    </row>
    <row r="266" customFormat="false" ht="15" hidden="false" customHeight="false" outlineLevel="0" collapsed="false">
      <c r="A266" s="3" t="s">
        <v>493</v>
      </c>
      <c r="B266" s="0" t="s">
        <v>191</v>
      </c>
      <c r="C266" s="19" t="n">
        <f aca="false">a25_opx</f>
        <v>3.113</v>
      </c>
      <c r="D266" s="19" t="n">
        <f aca="false">a26_opx</f>
        <v>4.4038196704</v>
      </c>
      <c r="E266" s="19" t="n">
        <f aca="false">D266*(1+MAX(0,phi*E259))</f>
        <v>6.1896394674419</v>
      </c>
      <c r="F266" s="19" t="n">
        <f aca="false">E266*(1+MAX(0,phi*F259))</f>
        <v>6.65168313384004</v>
      </c>
      <c r="G266" s="19" t="n">
        <f aca="false">F266*(1+MAX(0,phi*G259))</f>
        <v>7.12484726886145</v>
      </c>
    </row>
    <row r="267" customFormat="false" ht="15" hidden="false" customHeight="false" outlineLevel="0" collapsed="false">
      <c r="A267" s="3" t="s">
        <v>380</v>
      </c>
      <c r="B267" s="0" t="s">
        <v>191</v>
      </c>
      <c r="C267" s="19" t="n">
        <f aca="false">C266</f>
        <v>3.113</v>
      </c>
      <c r="D267" s="19" t="n">
        <f aca="false">D266</f>
        <v>4.4038196704</v>
      </c>
      <c r="E267" s="19" t="n">
        <f aca="false">E266+0*E258</f>
        <v>6.1896394674419</v>
      </c>
      <c r="F267" s="19" t="n">
        <f aca="false">F266+0*F258</f>
        <v>6.65168313384004</v>
      </c>
      <c r="G267" s="19" t="n">
        <f aca="false">G266+0*G258</f>
        <v>7.12484726886145</v>
      </c>
    </row>
    <row r="268" customFormat="false" ht="15" hidden="false" customHeight="false" outlineLevel="0" collapsed="false">
      <c r="A268" s="3" t="s">
        <v>383</v>
      </c>
      <c r="B268" s="0" t="s">
        <v>191</v>
      </c>
      <c r="C268" s="19" t="n">
        <f aca="false">C264-C267</f>
        <v>3.259</v>
      </c>
      <c r="D268" s="19" t="n">
        <f aca="false">D264-D267</f>
        <v>6.6813299152</v>
      </c>
      <c r="E268" s="19" t="n">
        <f aca="false">E264-E267</f>
        <v>12.3098678012922</v>
      </c>
      <c r="F268" s="19" t="n">
        <f aca="false">F264-F267</f>
        <v>14.0702913208237</v>
      </c>
      <c r="G268" s="19" t="n">
        <f aca="false">G264-G267</f>
        <v>15.9567848709533</v>
      </c>
    </row>
    <row r="269" customFormat="false" ht="15" hidden="false" customHeight="false" outlineLevel="0" collapsed="false">
      <c r="A269" s="3" t="s">
        <v>386</v>
      </c>
      <c r="B269" s="0" t="s">
        <v>52</v>
      </c>
      <c r="C269" s="13" t="n">
        <f aca="false">C268/C258</f>
        <v>0.140015466575013</v>
      </c>
      <c r="D269" s="13" t="n">
        <f aca="false">D268/D258</f>
        <v>0.174885434970861</v>
      </c>
      <c r="E269" s="13" t="n">
        <f aca="false">E268/E258</f>
        <v>0.19842327164268</v>
      </c>
      <c r="F269" s="13" t="n">
        <f aca="false">F268/F258</f>
        <v>0.20343637923788</v>
      </c>
      <c r="G269" s="13" t="n">
        <f aca="false">G268/G258</f>
        <v>0.207954347046941</v>
      </c>
    </row>
    <row r="270" customFormat="false" ht="15" hidden="false" customHeight="false" outlineLevel="0" collapsed="false">
      <c r="A270" s="3" t="s">
        <v>387</v>
      </c>
      <c r="B270" s="0" t="s">
        <v>191</v>
      </c>
      <c r="C270" s="19" t="n">
        <f aca="false">a25_nop</f>
        <v>0.0184359999999999</v>
      </c>
      <c r="D270" s="19" t="n">
        <f aca="false">a26_nop</f>
        <v>-0.0226839999999999</v>
      </c>
      <c r="E270" s="19" t="n">
        <f aca="false">nop_f</f>
        <v>0</v>
      </c>
      <c r="F270" s="19" t="n">
        <f aca="false">nop_f</f>
        <v>0</v>
      </c>
      <c r="G270" s="19" t="n">
        <f aca="false">nop_f</f>
        <v>0</v>
      </c>
    </row>
    <row r="271" customFormat="false" ht="17.15" hidden="false" customHeight="false" outlineLevel="0" collapsed="false">
      <c r="A271" s="3" t="s">
        <v>234</v>
      </c>
      <c r="B271" s="0" t="s">
        <v>52</v>
      </c>
      <c r="C271" s="13" t="n">
        <f aca="false">a25_ni/(a25_oi+a25_nop)</f>
        <v>0.78475979393648</v>
      </c>
      <c r="D271" s="13" t="n">
        <f aca="false">a26_ni/(a26_oi+a26_nop)</f>
        <v>0.739465828331271</v>
      </c>
      <c r="E271" s="13" t="n">
        <f aca="false">nir_f</f>
        <v>0.74</v>
      </c>
      <c r="F271" s="13" t="n">
        <f aca="false">nir_f</f>
        <v>0.74</v>
      </c>
      <c r="G271" s="13" t="n">
        <f aca="false">nir_f</f>
        <v>0.74</v>
      </c>
    </row>
    <row r="272" customFormat="false" ht="15" hidden="false" customHeight="false" outlineLevel="0" collapsed="false">
      <c r="A272" s="3" t="s">
        <v>391</v>
      </c>
      <c r="B272" s="0" t="s">
        <v>191</v>
      </c>
      <c r="C272" s="19" t="n">
        <f aca="false">a25_ni</f>
        <v>2.572</v>
      </c>
      <c r="D272" s="19" t="n">
        <f aca="false">a26_ni</f>
        <v>4.923841117248</v>
      </c>
      <c r="E272" s="19" t="n">
        <f aca="false">(E268+E270)*E271</f>
        <v>9.10930217295625</v>
      </c>
      <c r="F272" s="19" t="n">
        <f aca="false">(F268+F270)*F271</f>
        <v>10.4120155774096</v>
      </c>
      <c r="G272" s="19" t="n">
        <f aca="false">(G268+G270)*G271</f>
        <v>11.8080208045055</v>
      </c>
    </row>
    <row r="273" customFormat="false" ht="15" hidden="false" customHeight="false" outlineLevel="0" collapsed="false">
      <c r="A273" s="3" t="s">
        <v>494</v>
      </c>
      <c r="B273" s="3" t="s">
        <v>217</v>
      </c>
      <c r="C273" s="21" t="n">
        <f aca="false">a25_sh</f>
        <v>0.0910120311394197</v>
      </c>
      <c r="D273" s="21" t="n">
        <f aca="false">a26_sh</f>
        <v>0.093076837</v>
      </c>
      <c r="E273" s="21" t="n">
        <f aca="false">D273*(1+sh_g)</f>
        <v>0.093076837</v>
      </c>
      <c r="F273" s="21" t="n">
        <f aca="false">E273*(1+sh_g)</f>
        <v>0.093076837</v>
      </c>
      <c r="G273" s="21" t="n">
        <f aca="false">F273*(1+sh_g)</f>
        <v>0.093076837</v>
      </c>
    </row>
    <row r="274" customFormat="false" ht="15" hidden="false" customHeight="false" outlineLevel="0" collapsed="false">
      <c r="A274" s="0" t="s">
        <v>398</v>
      </c>
      <c r="B274" s="0" t="s">
        <v>251</v>
      </c>
      <c r="C274" s="20" t="n">
        <f aca="false">C272/C273</f>
        <v>28.26</v>
      </c>
      <c r="D274" s="20" t="n">
        <f aca="false">D272/D273</f>
        <v>52.9008212563992</v>
      </c>
      <c r="E274" s="20" t="n">
        <f aca="false">E272/E273</f>
        <v>97.8686262507636</v>
      </c>
      <c r="F274" s="20" t="n">
        <f aca="false">F272/F273</f>
        <v>111.864733622282</v>
      </c>
      <c r="G274" s="20" t="n">
        <f aca="false">G272/G273</f>
        <v>126.863150759039</v>
      </c>
    </row>
    <row r="275" customFormat="false" ht="17.15" hidden="false" customHeight="false" outlineLevel="0" collapsed="false">
      <c r="A275" s="0" t="s">
        <v>495</v>
      </c>
      <c r="B275" s="0" t="s">
        <v>52</v>
      </c>
      <c r="D275" s="13" t="n">
        <f aca="false">D274/C274-1</f>
        <v>0.871932811620636</v>
      </c>
      <c r="E275" s="13" t="n">
        <f aca="false">E274/D274-1</f>
        <v>0.850039827858531</v>
      </c>
      <c r="F275" s="13" t="n">
        <f aca="false">F274/E274-1</f>
        <v>0.143009132831361</v>
      </c>
      <c r="G275" s="13" t="n">
        <f aca="false">G274/F274-1</f>
        <v>0.134076367511855</v>
      </c>
    </row>
    <row r="278" customFormat="false" ht="17.15" hidden="false" customHeight="false" outlineLevel="0" collapsed="false">
      <c r="A278" s="1" t="s">
        <v>848</v>
      </c>
    </row>
    <row r="279" customFormat="false" ht="17.15" hidden="false" customHeight="false" outlineLevel="0" collapsed="false">
      <c r="A279" s="4" t="s">
        <v>21</v>
      </c>
      <c r="B279" s="4" t="s">
        <v>22</v>
      </c>
      <c r="C279" s="10" t="s">
        <v>365</v>
      </c>
      <c r="D279" s="10" t="s">
        <v>452</v>
      </c>
      <c r="E279" s="10" t="s">
        <v>453</v>
      </c>
      <c r="F279" s="10" t="s">
        <v>454</v>
      </c>
      <c r="G279" s="10" t="s">
        <v>455</v>
      </c>
      <c r="H279" s="4" t="s">
        <v>350</v>
      </c>
    </row>
    <row r="280" customFormat="false" ht="17.15" hidden="false" customHeight="false" outlineLevel="0" collapsed="false">
      <c r="A280" s="5" t="s">
        <v>471</v>
      </c>
    </row>
    <row r="281" customFormat="false" ht="17.15" hidden="false" customHeight="false" outlineLevel="0" collapsed="false">
      <c r="A281" s="0" t="s">
        <v>472</v>
      </c>
      <c r="B281" s="0" t="s">
        <v>32</v>
      </c>
      <c r="D281" s="20" t="n">
        <f aca="false">itc_26*1</f>
        <v>781.872916666666</v>
      </c>
      <c r="E281" s="20" t="n">
        <f aca="false">itc_27*1*mf_lo</f>
        <v>1252.28</v>
      </c>
      <c r="F281" s="20" t="n">
        <f aca="false">itc_28*um28_B*mf_lo</f>
        <v>1269.92888888889</v>
      </c>
      <c r="G281" s="20" t="n">
        <f aca="false">itc_29*um29_B*mf_lo</f>
        <v>1537.06538888889</v>
      </c>
    </row>
    <row r="282" customFormat="false" ht="17.15" hidden="false" customHeight="false" outlineLevel="0" collapsed="false">
      <c r="A282" s="3" t="s">
        <v>473</v>
      </c>
      <c r="B282" s="0" t="s">
        <v>32</v>
      </c>
      <c r="D282" s="20" t="n">
        <f aca="false">itpg_gb*(1-vr26)+itpg_vr*vr26</f>
        <v>33.41403216</v>
      </c>
      <c r="E282" s="20" t="n">
        <f aca="false">itpg_vr</f>
        <v>37.586352</v>
      </c>
      <c r="F282" s="20" t="n">
        <f aca="false">itpg_vr</f>
        <v>37.586352</v>
      </c>
      <c r="G282" s="20" t="n">
        <f aca="false">itpg_vr</f>
        <v>37.586352</v>
      </c>
    </row>
    <row r="283" customFormat="false" ht="17.15" hidden="false" customHeight="false" outlineLevel="0" collapsed="false">
      <c r="A283" s="3" t="s">
        <v>474</v>
      </c>
      <c r="B283" s="0" t="s">
        <v>431</v>
      </c>
      <c r="D283" s="17" t="n">
        <f aca="false">D281/D282</f>
        <v>23.3995380420639</v>
      </c>
      <c r="E283" s="17" t="n">
        <f aca="false">E281/E282</f>
        <v>33.3174126608509</v>
      </c>
      <c r="F283" s="17" t="n">
        <f aca="false">F281/F282</f>
        <v>33.7869684423987</v>
      </c>
      <c r="G283" s="17" t="n">
        <f aca="false">G281/G282</f>
        <v>40.8942423805559</v>
      </c>
    </row>
    <row r="284" customFormat="false" ht="17.15" hidden="false" customHeight="false" outlineLevel="0" collapsed="false">
      <c r="A284" s="3" t="s">
        <v>475</v>
      </c>
      <c r="B284" s="0" t="s">
        <v>52</v>
      </c>
      <c r="D284" s="13" t="n">
        <f aca="false">lpenB_26</f>
        <v>0.55</v>
      </c>
      <c r="E284" s="13" t="n">
        <f aca="false">lpenB_27</f>
        <v>0.75</v>
      </c>
      <c r="F284" s="13" t="n">
        <f aca="false">lpenB_28</f>
        <v>0.85</v>
      </c>
      <c r="G284" s="13" t="n">
        <f aca="false">lpenB_29</f>
        <v>0.9</v>
      </c>
    </row>
    <row r="285" customFormat="false" ht="17.15" hidden="false" customHeight="false" outlineLevel="0" collapsed="false">
      <c r="A285" s="3" t="s">
        <v>476</v>
      </c>
      <c r="B285" s="0" t="s">
        <v>436</v>
      </c>
      <c r="D285" s="18" t="n">
        <f aca="false">((1-vr26)*racks_gb*(cool_gb+mani)+vr26*racks_vr*(cool_vr+mani))/1000</f>
        <v>350.7208</v>
      </c>
      <c r="E285" s="18" t="n">
        <f aca="false">racks_vr*(cool_vr+mani)*lcadj_27/1000</f>
        <v>326.5912</v>
      </c>
      <c r="F285" s="18" t="n">
        <f aca="false">racks_vr*(cool_vr+mani)*lcadj_28/1000</f>
        <v>351.7136</v>
      </c>
      <c r="G285" s="18" t="n">
        <f aca="false">racks_vr*(cool_vr+mani)*lcadj_29/1000</f>
        <v>351.7136</v>
      </c>
      <c r="H285" s="3" t="s">
        <v>477</v>
      </c>
    </row>
    <row r="286" customFormat="false" ht="17.15" hidden="false" customHeight="false" outlineLevel="0" collapsed="false">
      <c r="A286" s="0" t="s">
        <v>478</v>
      </c>
      <c r="B286" s="0" t="s">
        <v>32</v>
      </c>
      <c r="D286" s="20" t="n">
        <f aca="false">D283*D284*D285/1000</f>
        <v>4.51368758595869</v>
      </c>
      <c r="E286" s="20" t="n">
        <f aca="false">E283*E284*E285/1000</f>
        <v>8.16088033635188</v>
      </c>
      <c r="F286" s="20" t="n">
        <f aca="false">F283*F284*F285/1000</f>
        <v>10.1008358583681</v>
      </c>
      <c r="G286" s="20" t="n">
        <f aca="false">G283*G284*G285/1000</f>
        <v>12.9447550862441</v>
      </c>
    </row>
    <row r="287" customFormat="false" ht="17.15" hidden="false" customHeight="false" outlineLevel="0" collapsed="false">
      <c r="A287" s="0" t="s">
        <v>479</v>
      </c>
      <c r="B287" s="0" t="s">
        <v>191</v>
      </c>
      <c r="D287" s="19" t="n">
        <f aca="false">D286*fx</f>
        <v>144.438002750678</v>
      </c>
      <c r="E287" s="19" t="n">
        <f aca="false">E286*fx</f>
        <v>261.14817076326</v>
      </c>
      <c r="F287" s="19" t="n">
        <f aca="false">F286*fx</f>
        <v>323.226747467779</v>
      </c>
      <c r="G287" s="19" t="n">
        <f aca="false">G286*fx</f>
        <v>414.232162759811</v>
      </c>
    </row>
    <row r="288" customFormat="false" ht="17.15" hidden="false" customHeight="false" outlineLevel="0" collapsed="false">
      <c r="A288" s="3" t="s">
        <v>480</v>
      </c>
      <c r="B288" s="0" t="s">
        <v>52</v>
      </c>
      <c r="D288" s="13" t="n">
        <f aca="false">a26_lc/D287</f>
        <v>0.15870077644017</v>
      </c>
      <c r="H288" s="7" t="s">
        <v>481</v>
      </c>
    </row>
    <row r="289" customFormat="false" ht="17.15" hidden="false" customHeight="false" outlineLevel="0" collapsed="false">
      <c r="A289" s="3" t="s">
        <v>482</v>
      </c>
      <c r="B289" s="0" t="s">
        <v>73</v>
      </c>
      <c r="D289" s="14" t="n">
        <f aca="false">1</f>
        <v>1</v>
      </c>
      <c r="E289" s="14" t="n">
        <f aca="false">relB_27</f>
        <v>0.95</v>
      </c>
      <c r="F289" s="14" t="n">
        <f aca="false">relB_28</f>
        <v>0.9</v>
      </c>
      <c r="G289" s="14" t="n">
        <f aca="false">relB_29</f>
        <v>0.85</v>
      </c>
    </row>
    <row r="290" customFormat="false" ht="15" hidden="false" customHeight="false" outlineLevel="0" collapsed="false">
      <c r="A290" s="3" t="s">
        <v>440</v>
      </c>
      <c r="B290" s="0" t="s">
        <v>52</v>
      </c>
      <c r="D290" s="13" t="n">
        <f aca="false">$D$288*D289</f>
        <v>0.15870077644017</v>
      </c>
      <c r="E290" s="13" t="n">
        <f aca="false">$D$288*E289</f>
        <v>0.150765737618161</v>
      </c>
      <c r="F290" s="13" t="n">
        <f aca="false">$D$288*F289</f>
        <v>0.142830698796153</v>
      </c>
      <c r="G290" s="13" t="n">
        <f aca="false">$D$288*G289</f>
        <v>0.134895659974144</v>
      </c>
    </row>
    <row r="291" customFormat="false" ht="15" hidden="false" customHeight="false" outlineLevel="0" collapsed="false">
      <c r="A291" s="3" t="s">
        <v>483</v>
      </c>
      <c r="B291" s="0" t="s">
        <v>191</v>
      </c>
      <c r="C291" s="19" t="n">
        <f aca="false">a25_lc</f>
        <v>7.91384</v>
      </c>
      <c r="D291" s="19" t="n">
        <f aca="false">D287*D290</f>
        <v>22.922423184</v>
      </c>
      <c r="E291" s="19" t="n">
        <f aca="false">E287*E290</f>
        <v>39.3721965927564</v>
      </c>
      <c r="F291" s="19" t="n">
        <f aca="false">F287*F290</f>
        <v>46.1667022104304</v>
      </c>
      <c r="G291" s="19" t="n">
        <f aca="false">G287*G290</f>
        <v>55.8781209780018</v>
      </c>
    </row>
    <row r="292" customFormat="false" ht="17.15" hidden="false" customHeight="false" outlineLevel="0" collapsed="false">
      <c r="A292" s="5" t="s">
        <v>484</v>
      </c>
    </row>
    <row r="293" customFormat="false" ht="17.15" hidden="false" customHeight="false" outlineLevel="0" collapsed="false">
      <c r="A293" s="3" t="s">
        <v>485</v>
      </c>
      <c r="B293" s="0" t="s">
        <v>191</v>
      </c>
      <c r="C293" s="19" t="n">
        <f aca="false">a25_sair</f>
        <v>5.35348</v>
      </c>
      <c r="D293" s="19" t="n">
        <f aca="false">a26_sair</f>
        <v>5.3485654096</v>
      </c>
      <c r="E293" s="19" t="n">
        <f aca="false">D293*(1+g_sair_27)</f>
        <v>5.08113713912</v>
      </c>
      <c r="F293" s="19" t="n">
        <f aca="false">E293*(1+g_sair_28)</f>
        <v>4.827080282164</v>
      </c>
      <c r="G293" s="19" t="n">
        <f aca="false">F293*(1+g_sair_29)</f>
        <v>4.5857262680558</v>
      </c>
    </row>
    <row r="294" customFormat="false" ht="15" hidden="false" customHeight="false" outlineLevel="0" collapsed="false">
      <c r="A294" s="3" t="s">
        <v>486</v>
      </c>
      <c r="B294" s="0" t="s">
        <v>191</v>
      </c>
      <c r="C294" s="19" t="n">
        <f aca="false">a25_nb</f>
        <v>6.28452</v>
      </c>
      <c r="D294" s="19" t="n">
        <f aca="false">a26_nb</f>
        <v>5.730605796</v>
      </c>
      <c r="E294" s="19" t="n">
        <f aca="false">D294*(1+g_nb_27)</f>
        <v>5.55868762212</v>
      </c>
      <c r="F294" s="19" t="n">
        <f aca="false">E294*(1+g_nb_28)</f>
        <v>5.55868762212</v>
      </c>
      <c r="G294" s="19" t="n">
        <f aca="false">F294*(1+g_nb_29)</f>
        <v>5.55868762212</v>
      </c>
    </row>
    <row r="295" customFormat="false" ht="15" hidden="false" customHeight="false" outlineLevel="0" collapsed="false">
      <c r="A295" s="3" t="s">
        <v>487</v>
      </c>
      <c r="B295" s="0" t="s">
        <v>191</v>
      </c>
      <c r="C295" s="19" t="n">
        <f aca="false">a25_oth</f>
        <v>3.72416</v>
      </c>
      <c r="D295" s="19" t="n">
        <f aca="false">a26_oth</f>
        <v>4.2024442504</v>
      </c>
      <c r="E295" s="19" t="n">
        <f aca="false">D295*(1+g_oth_27)</f>
        <v>4.2024442504</v>
      </c>
      <c r="F295" s="19" t="n">
        <f aca="false">E295*(1+g_oth_28)</f>
        <v>4.2024442504</v>
      </c>
      <c r="G295" s="19" t="n">
        <f aca="false">F295*(1+g_oth_29)</f>
        <v>4.2024442504</v>
      </c>
    </row>
    <row r="296" customFormat="false" ht="15" hidden="false" customHeight="false" outlineLevel="0" collapsed="false">
      <c r="A296" s="3" t="s">
        <v>371</v>
      </c>
      <c r="B296" s="0" t="s">
        <v>191</v>
      </c>
      <c r="C296" s="19" t="n">
        <f aca="false">C291+C293+C294+C295</f>
        <v>23.276</v>
      </c>
      <c r="D296" s="19" t="n">
        <f aca="false">D291+D293+D294+D295</f>
        <v>38.20403864</v>
      </c>
      <c r="E296" s="19" t="n">
        <f aca="false">E291+E293+E294+E295</f>
        <v>54.2144656043964</v>
      </c>
      <c r="F296" s="19" t="n">
        <f aca="false">F291+F293+F294+F295</f>
        <v>60.7549143651144</v>
      </c>
      <c r="G296" s="19" t="n">
        <f aca="false">G291+G293+G294+G295</f>
        <v>70.2249791185776</v>
      </c>
    </row>
    <row r="297" customFormat="false" ht="15" hidden="false" customHeight="false" outlineLevel="0" collapsed="false">
      <c r="A297" s="3" t="s">
        <v>488</v>
      </c>
      <c r="B297" s="0" t="s">
        <v>52</v>
      </c>
      <c r="D297" s="13" t="n">
        <f aca="false">D296/C296-1</f>
        <v>0.641348970613508</v>
      </c>
      <c r="E297" s="13" t="n">
        <f aca="false">E296/D296-1</f>
        <v>0.419076818429174</v>
      </c>
      <c r="F297" s="13" t="n">
        <f aca="false">F296/E296-1</f>
        <v>0.120640288303194</v>
      </c>
      <c r="G297" s="13" t="n">
        <f aca="false">G296/F296-1</f>
        <v>0.155873230213965</v>
      </c>
    </row>
    <row r="298" customFormat="false" ht="17.15" hidden="false" customHeight="false" outlineLevel="0" collapsed="false">
      <c r="A298" s="3" t="s">
        <v>489</v>
      </c>
      <c r="B298" s="0" t="s">
        <v>52</v>
      </c>
      <c r="C298" s="13" t="n">
        <f aca="false">C291/C296</f>
        <v>0.34</v>
      </c>
      <c r="D298" s="13" t="n">
        <f aca="false">D291/D296</f>
        <v>0.6</v>
      </c>
      <c r="E298" s="13" t="n">
        <f aca="false">E291/E296</f>
        <v>0.726230465500772</v>
      </c>
      <c r="F298" s="13" t="n">
        <f aca="false">F291/F296</f>
        <v>0.759884244638808</v>
      </c>
      <c r="G298" s="13" t="n">
        <f aca="false">G291/G296</f>
        <v>0.795701496523757</v>
      </c>
    </row>
    <row r="299" customFormat="false" ht="17.15" hidden="false" customHeight="false" outlineLevel="0" collapsed="false">
      <c r="A299" s="3" t="s">
        <v>448</v>
      </c>
      <c r="B299" s="0" t="s">
        <v>436</v>
      </c>
      <c r="D299" s="18" t="n">
        <f aca="false">D291/fx/D283*1000</f>
        <v>30.6128148005446</v>
      </c>
      <c r="E299" s="18" t="n">
        <f aca="false">E291/fx/E283*1000</f>
        <v>36.9290723757003</v>
      </c>
      <c r="F299" s="18" t="n">
        <f aca="false">F291/fx/F283*1000</f>
        <v>42.700174374494</v>
      </c>
      <c r="G299" s="18" t="n">
        <f aca="false">G291/fx/G283*1000</f>
        <v>42.700174374494</v>
      </c>
    </row>
    <row r="300" customFormat="false" ht="17.15" hidden="false" customHeight="false" outlineLevel="0" collapsed="false">
      <c r="A300" s="5" t="s">
        <v>490</v>
      </c>
    </row>
    <row r="301" customFormat="false" ht="17.15" hidden="false" customHeight="false" outlineLevel="0" collapsed="false">
      <c r="A301" s="3" t="s">
        <v>491</v>
      </c>
      <c r="B301" s="0" t="s">
        <v>52</v>
      </c>
      <c r="D301" s="13" t="n">
        <f aca="false">a26_gp/D296-d_lc*D298</f>
        <v>0.260156485550031</v>
      </c>
      <c r="H301" s="7" t="s">
        <v>492</v>
      </c>
    </row>
    <row r="302" customFormat="false" ht="15" hidden="false" customHeight="false" outlineLevel="0" collapsed="false">
      <c r="A302" s="3" t="s">
        <v>375</v>
      </c>
      <c r="B302" s="0" t="s">
        <v>191</v>
      </c>
      <c r="C302" s="19" t="n">
        <f aca="false">a25_gp</f>
        <v>6.372</v>
      </c>
      <c r="D302" s="19" t="n">
        <f aca="false">a26_gp</f>
        <v>11.0851495856</v>
      </c>
      <c r="E302" s="19" t="n">
        <f aca="false">$D$301*E296+d_lc*E291</f>
        <v>16.0728546672507</v>
      </c>
      <c r="F302" s="19" t="n">
        <f aca="false">$D$301*F296+d_lc*F291</f>
        <v>18.1141201116428</v>
      </c>
      <c r="G302" s="19" t="n">
        <f aca="false">$D$301*G296+d_lc*G291</f>
        <v>21.0633898142136</v>
      </c>
    </row>
    <row r="303" customFormat="false" ht="15" hidden="false" customHeight="false" outlineLevel="0" collapsed="false">
      <c r="A303" s="3" t="s">
        <v>378</v>
      </c>
      <c r="B303" s="0" t="s">
        <v>52</v>
      </c>
      <c r="C303" s="13" t="n">
        <f aca="false">C302/C296</f>
        <v>0.273758377728132</v>
      </c>
      <c r="D303" s="13" t="n">
        <f aca="false">D302/D296</f>
        <v>0.290156485550031</v>
      </c>
      <c r="E303" s="13" t="n">
        <f aca="false">E302/E296</f>
        <v>0.29646800882507</v>
      </c>
      <c r="F303" s="13" t="n">
        <f aca="false">F302/F296</f>
        <v>0.298150697781972</v>
      </c>
      <c r="G303" s="13" t="n">
        <f aca="false">G302/G296</f>
        <v>0.299941560376219</v>
      </c>
    </row>
    <row r="304" customFormat="false" ht="15" hidden="false" customHeight="false" outlineLevel="0" collapsed="false">
      <c r="A304" s="3" t="s">
        <v>493</v>
      </c>
      <c r="B304" s="0" t="s">
        <v>191</v>
      </c>
      <c r="C304" s="19" t="n">
        <f aca="false">a25_opx</f>
        <v>3.113</v>
      </c>
      <c r="D304" s="19" t="n">
        <f aca="false">a26_opx</f>
        <v>4.4038196704</v>
      </c>
      <c r="E304" s="19" t="n">
        <f aca="false">D304*(1+MAX(0,phi*E297))</f>
        <v>5.60341984906458</v>
      </c>
      <c r="F304" s="19" t="n">
        <f aca="false">E304*(1+MAX(0,phi*F297))</f>
        <v>6.04281867001332</v>
      </c>
      <c r="G304" s="19" t="n">
        <f aca="false">F304*(1+MAX(0,phi*G297))</f>
        <v>6.65506255271328</v>
      </c>
    </row>
    <row r="305" customFormat="false" ht="15" hidden="false" customHeight="false" outlineLevel="0" collapsed="false">
      <c r="A305" s="3" t="s">
        <v>380</v>
      </c>
      <c r="B305" s="0" t="s">
        <v>191</v>
      </c>
      <c r="C305" s="19" t="n">
        <f aca="false">C304</f>
        <v>3.113</v>
      </c>
      <c r="D305" s="19" t="n">
        <f aca="false">D304</f>
        <v>4.4038196704</v>
      </c>
      <c r="E305" s="19" t="n">
        <f aca="false">E304+0*E296</f>
        <v>5.60341984906458</v>
      </c>
      <c r="F305" s="19" t="n">
        <f aca="false">F304+0*F296</f>
        <v>6.04281867001332</v>
      </c>
      <c r="G305" s="19" t="n">
        <f aca="false">G304+0*G296</f>
        <v>6.65506255271328</v>
      </c>
    </row>
    <row r="306" customFormat="false" ht="15" hidden="false" customHeight="false" outlineLevel="0" collapsed="false">
      <c r="A306" s="3" t="s">
        <v>383</v>
      </c>
      <c r="B306" s="0" t="s">
        <v>191</v>
      </c>
      <c r="C306" s="19" t="n">
        <f aca="false">C302-C305</f>
        <v>3.259</v>
      </c>
      <c r="D306" s="19" t="n">
        <f aca="false">D302-D305</f>
        <v>6.6813299152</v>
      </c>
      <c r="E306" s="19" t="n">
        <f aca="false">E302-E305</f>
        <v>10.4694348181861</v>
      </c>
      <c r="F306" s="19" t="n">
        <f aca="false">F302-F305</f>
        <v>12.0713014416295</v>
      </c>
      <c r="G306" s="19" t="n">
        <f aca="false">G302-G305</f>
        <v>14.4083272615003</v>
      </c>
    </row>
    <row r="307" customFormat="false" ht="15" hidden="false" customHeight="false" outlineLevel="0" collapsed="false">
      <c r="A307" s="3" t="s">
        <v>386</v>
      </c>
      <c r="B307" s="0" t="s">
        <v>52</v>
      </c>
      <c r="C307" s="13" t="n">
        <f aca="false">C306/C296</f>
        <v>0.140015466575013</v>
      </c>
      <c r="D307" s="13" t="n">
        <f aca="false">D306/D296</f>
        <v>0.174885434970861</v>
      </c>
      <c r="E307" s="13" t="n">
        <f aca="false">E306/E296</f>
        <v>0.193111463914108</v>
      </c>
      <c r="F307" s="13" t="n">
        <f aca="false">F306/F296</f>
        <v>0.198688477595169</v>
      </c>
      <c r="G307" s="13" t="n">
        <f aca="false">G306/G296</f>
        <v>0.205173820517216</v>
      </c>
    </row>
    <row r="308" customFormat="false" ht="15" hidden="false" customHeight="false" outlineLevel="0" collapsed="false">
      <c r="A308" s="3" t="s">
        <v>387</v>
      </c>
      <c r="B308" s="0" t="s">
        <v>191</v>
      </c>
      <c r="C308" s="19" t="n">
        <f aca="false">a25_nop</f>
        <v>0.0184359999999999</v>
      </c>
      <c r="D308" s="19" t="n">
        <f aca="false">a26_nop</f>
        <v>-0.0226839999999999</v>
      </c>
      <c r="E308" s="19" t="n">
        <f aca="false">nop_f</f>
        <v>0</v>
      </c>
      <c r="F308" s="19" t="n">
        <f aca="false">nop_f</f>
        <v>0</v>
      </c>
      <c r="G308" s="19" t="n">
        <f aca="false">nop_f</f>
        <v>0</v>
      </c>
    </row>
    <row r="309" customFormat="false" ht="17.15" hidden="false" customHeight="false" outlineLevel="0" collapsed="false">
      <c r="A309" s="3" t="s">
        <v>234</v>
      </c>
      <c r="B309" s="0" t="s">
        <v>52</v>
      </c>
      <c r="C309" s="13" t="n">
        <f aca="false">a25_ni/(a25_oi+a25_nop)</f>
        <v>0.78475979393648</v>
      </c>
      <c r="D309" s="13" t="n">
        <f aca="false">a26_ni/(a26_oi+a26_nop)</f>
        <v>0.739465828331271</v>
      </c>
      <c r="E309" s="13" t="n">
        <f aca="false">nir_f</f>
        <v>0.74</v>
      </c>
      <c r="F309" s="13" t="n">
        <f aca="false">nir_f</f>
        <v>0.74</v>
      </c>
      <c r="G309" s="13" t="n">
        <f aca="false">nir_f</f>
        <v>0.74</v>
      </c>
    </row>
    <row r="310" customFormat="false" ht="15" hidden="false" customHeight="false" outlineLevel="0" collapsed="false">
      <c r="A310" s="3" t="s">
        <v>391</v>
      </c>
      <c r="B310" s="0" t="s">
        <v>191</v>
      </c>
      <c r="C310" s="19" t="n">
        <f aca="false">a25_ni</f>
        <v>2.572</v>
      </c>
      <c r="D310" s="19" t="n">
        <f aca="false">a26_ni</f>
        <v>4.923841117248</v>
      </c>
      <c r="E310" s="19" t="n">
        <f aca="false">(E306+E308)*E309</f>
        <v>7.74738176545769</v>
      </c>
      <c r="F310" s="19" t="n">
        <f aca="false">(F306+F308)*F309</f>
        <v>8.93276306680581</v>
      </c>
      <c r="G310" s="19" t="n">
        <f aca="false">(G306+G308)*G309</f>
        <v>10.6621621735102</v>
      </c>
    </row>
    <row r="311" customFormat="false" ht="15" hidden="false" customHeight="false" outlineLevel="0" collapsed="false">
      <c r="A311" s="3" t="s">
        <v>494</v>
      </c>
      <c r="B311" s="3" t="s">
        <v>217</v>
      </c>
      <c r="C311" s="21" t="n">
        <f aca="false">a25_sh</f>
        <v>0.0910120311394197</v>
      </c>
      <c r="D311" s="21" t="n">
        <f aca="false">a26_sh</f>
        <v>0.093076837</v>
      </c>
      <c r="E311" s="21" t="n">
        <f aca="false">D311*(1+sh_g)</f>
        <v>0.093076837</v>
      </c>
      <c r="F311" s="21" t="n">
        <f aca="false">E311*(1+sh_g)</f>
        <v>0.093076837</v>
      </c>
      <c r="G311" s="21" t="n">
        <f aca="false">F311*(1+sh_g)</f>
        <v>0.093076837</v>
      </c>
    </row>
    <row r="312" customFormat="false" ht="15" hidden="false" customHeight="false" outlineLevel="0" collapsed="false">
      <c r="A312" s="0" t="s">
        <v>398</v>
      </c>
      <c r="B312" s="0" t="s">
        <v>251</v>
      </c>
      <c r="C312" s="20" t="n">
        <f aca="false">C310/C311</f>
        <v>28.26</v>
      </c>
      <c r="D312" s="20" t="n">
        <f aca="false">D310/D311</f>
        <v>52.9008212563992</v>
      </c>
      <c r="E312" s="20" t="n">
        <f aca="false">E310/E311</f>
        <v>83.2364099937957</v>
      </c>
      <c r="F312" s="20" t="n">
        <f aca="false">F310/F311</f>
        <v>95.9719233562461</v>
      </c>
      <c r="G312" s="20" t="n">
        <f aca="false">G310/G311</f>
        <v>114.552261520342</v>
      </c>
    </row>
    <row r="313" customFormat="false" ht="17.15" hidden="false" customHeight="false" outlineLevel="0" collapsed="false">
      <c r="A313" s="0" t="s">
        <v>495</v>
      </c>
      <c r="B313" s="0" t="s">
        <v>52</v>
      </c>
      <c r="D313" s="13" t="n">
        <f aca="false">D312/C312-1</f>
        <v>0.871932811620636</v>
      </c>
      <c r="E313" s="13" t="n">
        <f aca="false">E312/D312-1</f>
        <v>0.573442680414475</v>
      </c>
      <c r="F313" s="13" t="n">
        <f aca="false">F312/E312-1</f>
        <v>0.153004116388485</v>
      </c>
      <c r="G313" s="13" t="n">
        <f aca="false">G312/F312-1</f>
        <v>0.193601810970546</v>
      </c>
    </row>
    <row r="316" customFormat="false" ht="17.15" hidden="false" customHeight="false" outlineLevel="0" collapsed="false">
      <c r="A316" s="1" t="s">
        <v>849</v>
      </c>
    </row>
    <row r="317" customFormat="false" ht="17.15" hidden="false" customHeight="false" outlineLevel="0" collapsed="false">
      <c r="A317" s="4" t="s">
        <v>21</v>
      </c>
      <c r="B317" s="4" t="s">
        <v>22</v>
      </c>
      <c r="C317" s="10" t="s">
        <v>365</v>
      </c>
      <c r="D317" s="10" t="s">
        <v>452</v>
      </c>
      <c r="E317" s="10" t="s">
        <v>453</v>
      </c>
      <c r="F317" s="10" t="s">
        <v>454</v>
      </c>
      <c r="G317" s="10" t="s">
        <v>455</v>
      </c>
      <c r="H317" s="4" t="s">
        <v>350</v>
      </c>
    </row>
    <row r="318" customFormat="false" ht="17.15" hidden="false" customHeight="false" outlineLevel="0" collapsed="false">
      <c r="A318" s="5" t="s">
        <v>471</v>
      </c>
    </row>
    <row r="319" customFormat="false" ht="17.15" hidden="false" customHeight="false" outlineLevel="0" collapsed="false">
      <c r="A319" s="0" t="s">
        <v>472</v>
      </c>
      <c r="B319" s="0" t="s">
        <v>32</v>
      </c>
      <c r="D319" s="20" t="n">
        <f aca="false">itc_26*1</f>
        <v>781.872916666666</v>
      </c>
      <c r="E319" s="20" t="n">
        <f aca="false">itc_27*1*mf_hi</f>
        <v>1878.42</v>
      </c>
      <c r="F319" s="20" t="n">
        <f aca="false">itc_28*um28_B*mf_hi</f>
        <v>1904.89333333333</v>
      </c>
      <c r="G319" s="20" t="n">
        <f aca="false">itc_29*um29_B*mf_hi</f>
        <v>2305.59808333334</v>
      </c>
    </row>
    <row r="320" customFormat="false" ht="17.15" hidden="false" customHeight="false" outlineLevel="0" collapsed="false">
      <c r="A320" s="3" t="s">
        <v>473</v>
      </c>
      <c r="B320" s="0" t="s">
        <v>32</v>
      </c>
      <c r="D320" s="20" t="n">
        <f aca="false">itpg_gb*(1-vr26)+itpg_vr*vr26</f>
        <v>33.41403216</v>
      </c>
      <c r="E320" s="20" t="n">
        <f aca="false">itpg_vr</f>
        <v>37.586352</v>
      </c>
      <c r="F320" s="20" t="n">
        <f aca="false">itpg_vr</f>
        <v>37.586352</v>
      </c>
      <c r="G320" s="20" t="n">
        <f aca="false">itpg_vr</f>
        <v>37.586352</v>
      </c>
    </row>
    <row r="321" customFormat="false" ht="17.15" hidden="false" customHeight="false" outlineLevel="0" collapsed="false">
      <c r="A321" s="3" t="s">
        <v>474</v>
      </c>
      <c r="B321" s="0" t="s">
        <v>431</v>
      </c>
      <c r="D321" s="17" t="n">
        <f aca="false">D319/D320</f>
        <v>23.3995380420639</v>
      </c>
      <c r="E321" s="17" t="n">
        <f aca="false">E319/E320</f>
        <v>49.9761189912764</v>
      </c>
      <c r="F321" s="17" t="n">
        <f aca="false">F319/F320</f>
        <v>50.6804526635981</v>
      </c>
      <c r="G321" s="17" t="n">
        <f aca="false">G319/G320</f>
        <v>61.3413635708338</v>
      </c>
    </row>
    <row r="322" customFormat="false" ht="17.15" hidden="false" customHeight="false" outlineLevel="0" collapsed="false">
      <c r="A322" s="3" t="s">
        <v>475</v>
      </c>
      <c r="B322" s="0" t="s">
        <v>52</v>
      </c>
      <c r="D322" s="13" t="n">
        <f aca="false">lpenB_26</f>
        <v>0.55</v>
      </c>
      <c r="E322" s="13" t="n">
        <f aca="false">lpenB_27</f>
        <v>0.75</v>
      </c>
      <c r="F322" s="13" t="n">
        <f aca="false">lpenB_28</f>
        <v>0.85</v>
      </c>
      <c r="G322" s="13" t="n">
        <f aca="false">lpenB_29</f>
        <v>0.9</v>
      </c>
    </row>
    <row r="323" customFormat="false" ht="17.15" hidden="false" customHeight="false" outlineLevel="0" collapsed="false">
      <c r="A323" s="3" t="s">
        <v>476</v>
      </c>
      <c r="B323" s="0" t="s">
        <v>436</v>
      </c>
      <c r="D323" s="18" t="n">
        <f aca="false">((1-vr26)*racks_gb*(cool_gb+mani)+vr26*racks_vr*(cool_vr+mani))/1000</f>
        <v>350.7208</v>
      </c>
      <c r="E323" s="18" t="n">
        <f aca="false">racks_vr*(cool_vr+mani)*lcadj_27/1000</f>
        <v>326.5912</v>
      </c>
      <c r="F323" s="18" t="n">
        <f aca="false">racks_vr*(cool_vr+mani)*lcadj_28/1000</f>
        <v>351.7136</v>
      </c>
      <c r="G323" s="18" t="n">
        <f aca="false">racks_vr*(cool_vr+mani)*lcadj_29/1000</f>
        <v>351.7136</v>
      </c>
      <c r="H323" s="3" t="s">
        <v>477</v>
      </c>
    </row>
    <row r="324" customFormat="false" ht="17.15" hidden="false" customHeight="false" outlineLevel="0" collapsed="false">
      <c r="A324" s="0" t="s">
        <v>478</v>
      </c>
      <c r="B324" s="0" t="s">
        <v>32</v>
      </c>
      <c r="D324" s="20" t="n">
        <f aca="false">D321*D322*D323/1000</f>
        <v>4.51368758595869</v>
      </c>
      <c r="E324" s="20" t="n">
        <f aca="false">E321*E322*E323/1000</f>
        <v>12.2413205045278</v>
      </c>
      <c r="F324" s="20" t="n">
        <f aca="false">F321*F322*F323/1000</f>
        <v>15.1512537875521</v>
      </c>
      <c r="G324" s="20" t="n">
        <f aca="false">G321*G322*G323/1000</f>
        <v>19.4171326293661</v>
      </c>
    </row>
    <row r="325" customFormat="false" ht="17.15" hidden="false" customHeight="false" outlineLevel="0" collapsed="false">
      <c r="A325" s="0" t="s">
        <v>479</v>
      </c>
      <c r="B325" s="0" t="s">
        <v>191</v>
      </c>
      <c r="D325" s="19" t="n">
        <f aca="false">D324*fx</f>
        <v>144.438002750678</v>
      </c>
      <c r="E325" s="19" t="n">
        <f aca="false">E324*fx</f>
        <v>391.72225614489</v>
      </c>
      <c r="F325" s="19" t="n">
        <f aca="false">F324*fx</f>
        <v>484.840121201668</v>
      </c>
      <c r="G325" s="19" t="n">
        <f aca="false">G324*fx</f>
        <v>621.348244139716</v>
      </c>
    </row>
    <row r="326" customFormat="false" ht="17.15" hidden="false" customHeight="false" outlineLevel="0" collapsed="false">
      <c r="A326" s="3" t="s">
        <v>480</v>
      </c>
      <c r="B326" s="0" t="s">
        <v>52</v>
      </c>
      <c r="D326" s="13" t="n">
        <f aca="false">a26_lc/D325</f>
        <v>0.15870077644017</v>
      </c>
      <c r="H326" s="7" t="s">
        <v>481</v>
      </c>
    </row>
    <row r="327" customFormat="false" ht="17.15" hidden="false" customHeight="false" outlineLevel="0" collapsed="false">
      <c r="A327" s="3" t="s">
        <v>482</v>
      </c>
      <c r="B327" s="0" t="s">
        <v>73</v>
      </c>
      <c r="D327" s="14" t="n">
        <f aca="false">1</f>
        <v>1</v>
      </c>
      <c r="E327" s="14" t="n">
        <f aca="false">relB_27</f>
        <v>0.95</v>
      </c>
      <c r="F327" s="14" t="n">
        <f aca="false">relB_28</f>
        <v>0.9</v>
      </c>
      <c r="G327" s="14" t="n">
        <f aca="false">relB_29</f>
        <v>0.85</v>
      </c>
    </row>
    <row r="328" customFormat="false" ht="15" hidden="false" customHeight="false" outlineLevel="0" collapsed="false">
      <c r="A328" s="3" t="s">
        <v>440</v>
      </c>
      <c r="B328" s="0" t="s">
        <v>52</v>
      </c>
      <c r="D328" s="13" t="n">
        <f aca="false">$D$326*D327</f>
        <v>0.15870077644017</v>
      </c>
      <c r="E328" s="13" t="n">
        <f aca="false">$D$326*E327</f>
        <v>0.150765737618161</v>
      </c>
      <c r="F328" s="13" t="n">
        <f aca="false">$D$326*F327</f>
        <v>0.142830698796153</v>
      </c>
      <c r="G328" s="13" t="n">
        <f aca="false">$D$326*G327</f>
        <v>0.134895659974144</v>
      </c>
    </row>
    <row r="329" customFormat="false" ht="15" hidden="false" customHeight="false" outlineLevel="0" collapsed="false">
      <c r="A329" s="3" t="s">
        <v>483</v>
      </c>
      <c r="B329" s="0" t="s">
        <v>191</v>
      </c>
      <c r="C329" s="19" t="n">
        <f aca="false">a25_lc</f>
        <v>7.91384</v>
      </c>
      <c r="D329" s="19" t="n">
        <f aca="false">D325*D328</f>
        <v>22.922423184</v>
      </c>
      <c r="E329" s="19" t="n">
        <f aca="false">E325*E328</f>
        <v>59.0582948891346</v>
      </c>
      <c r="F329" s="19" t="n">
        <f aca="false">F325*F328</f>
        <v>69.2500533156456</v>
      </c>
      <c r="G329" s="19" t="n">
        <f aca="false">G325*G328</f>
        <v>83.8171814670027</v>
      </c>
    </row>
    <row r="330" customFormat="false" ht="17.15" hidden="false" customHeight="false" outlineLevel="0" collapsed="false">
      <c r="A330" s="5" t="s">
        <v>484</v>
      </c>
    </row>
    <row r="331" customFormat="false" ht="17.15" hidden="false" customHeight="false" outlineLevel="0" collapsed="false">
      <c r="A331" s="3" t="s">
        <v>485</v>
      </c>
      <c r="B331" s="0" t="s">
        <v>191</v>
      </c>
      <c r="C331" s="19" t="n">
        <f aca="false">a25_sair</f>
        <v>5.35348</v>
      </c>
      <c r="D331" s="19" t="n">
        <f aca="false">a26_sair</f>
        <v>5.3485654096</v>
      </c>
      <c r="E331" s="19" t="n">
        <f aca="false">D331*(1+g_sair_27)</f>
        <v>5.08113713912</v>
      </c>
      <c r="F331" s="19" t="n">
        <f aca="false">E331*(1+g_sair_28)</f>
        <v>4.827080282164</v>
      </c>
      <c r="G331" s="19" t="n">
        <f aca="false">F331*(1+g_sair_29)</f>
        <v>4.5857262680558</v>
      </c>
    </row>
    <row r="332" customFormat="false" ht="15" hidden="false" customHeight="false" outlineLevel="0" collapsed="false">
      <c r="A332" s="3" t="s">
        <v>486</v>
      </c>
      <c r="B332" s="0" t="s">
        <v>191</v>
      </c>
      <c r="C332" s="19" t="n">
        <f aca="false">a25_nb</f>
        <v>6.28452</v>
      </c>
      <c r="D332" s="19" t="n">
        <f aca="false">a26_nb</f>
        <v>5.730605796</v>
      </c>
      <c r="E332" s="19" t="n">
        <f aca="false">D332*(1+g_nb_27)</f>
        <v>5.55868762212</v>
      </c>
      <c r="F332" s="19" t="n">
        <f aca="false">E332*(1+g_nb_28)</f>
        <v>5.55868762212</v>
      </c>
      <c r="G332" s="19" t="n">
        <f aca="false">F332*(1+g_nb_29)</f>
        <v>5.55868762212</v>
      </c>
    </row>
    <row r="333" customFormat="false" ht="15" hidden="false" customHeight="false" outlineLevel="0" collapsed="false">
      <c r="A333" s="3" t="s">
        <v>487</v>
      </c>
      <c r="B333" s="0" t="s">
        <v>191</v>
      </c>
      <c r="C333" s="19" t="n">
        <f aca="false">a25_oth</f>
        <v>3.72416</v>
      </c>
      <c r="D333" s="19" t="n">
        <f aca="false">a26_oth</f>
        <v>4.2024442504</v>
      </c>
      <c r="E333" s="19" t="n">
        <f aca="false">D333*(1+g_oth_27)</f>
        <v>4.2024442504</v>
      </c>
      <c r="F333" s="19" t="n">
        <f aca="false">E333*(1+g_oth_28)</f>
        <v>4.2024442504</v>
      </c>
      <c r="G333" s="19" t="n">
        <f aca="false">F333*(1+g_oth_29)</f>
        <v>4.2024442504</v>
      </c>
    </row>
    <row r="334" customFormat="false" ht="15" hidden="false" customHeight="false" outlineLevel="0" collapsed="false">
      <c r="A334" s="3" t="s">
        <v>371</v>
      </c>
      <c r="B334" s="0" t="s">
        <v>191</v>
      </c>
      <c r="C334" s="19" t="n">
        <f aca="false">C329+C331+C332+C333</f>
        <v>23.276</v>
      </c>
      <c r="D334" s="19" t="n">
        <f aca="false">D329+D331+D332+D333</f>
        <v>38.20403864</v>
      </c>
      <c r="E334" s="19" t="n">
        <f aca="false">E329+E331+E332+E333</f>
        <v>73.9005639007747</v>
      </c>
      <c r="F334" s="19" t="n">
        <f aca="false">F329+F331+F332+F333</f>
        <v>83.8382654703296</v>
      </c>
      <c r="G334" s="19" t="n">
        <f aca="false">G329+G331+G332+G333</f>
        <v>98.1640396075785</v>
      </c>
    </row>
    <row r="335" customFormat="false" ht="15" hidden="false" customHeight="false" outlineLevel="0" collapsed="false">
      <c r="A335" s="3" t="s">
        <v>488</v>
      </c>
      <c r="B335" s="0" t="s">
        <v>52</v>
      </c>
      <c r="D335" s="13" t="n">
        <f aca="false">D334/C334-1</f>
        <v>0.641348970613508</v>
      </c>
      <c r="E335" s="13" t="n">
        <f aca="false">E334/D334-1</f>
        <v>0.934365227643761</v>
      </c>
      <c r="F335" s="13" t="n">
        <f aca="false">F334/E334-1</f>
        <v>0.134473961293424</v>
      </c>
      <c r="G335" s="13" t="n">
        <f aca="false">G334/F334-1</f>
        <v>0.170873932766641</v>
      </c>
    </row>
    <row r="336" customFormat="false" ht="17.15" hidden="false" customHeight="false" outlineLevel="0" collapsed="false">
      <c r="A336" s="3" t="s">
        <v>489</v>
      </c>
      <c r="B336" s="0" t="s">
        <v>52</v>
      </c>
      <c r="C336" s="13" t="n">
        <f aca="false">C329/C334</f>
        <v>0.34</v>
      </c>
      <c r="D336" s="13" t="n">
        <f aca="false">D329/D334</f>
        <v>0.6</v>
      </c>
      <c r="E336" s="13" t="n">
        <f aca="false">E329/E334</f>
        <v>0.799158920741545</v>
      </c>
      <c r="F336" s="13" t="n">
        <f aca="false">F329/F334</f>
        <v>0.825995778027555</v>
      </c>
      <c r="G336" s="13" t="n">
        <f aca="false">G329/G334</f>
        <v>0.853848128113625</v>
      </c>
    </row>
    <row r="337" customFormat="false" ht="17.15" hidden="false" customHeight="false" outlineLevel="0" collapsed="false">
      <c r="A337" s="3" t="s">
        <v>448</v>
      </c>
      <c r="B337" s="0" t="s">
        <v>436</v>
      </c>
      <c r="D337" s="18" t="n">
        <f aca="false">D329/fx/D321*1000</f>
        <v>30.6128148005446</v>
      </c>
      <c r="E337" s="18" t="n">
        <f aca="false">E329/fx/E321*1000</f>
        <v>36.9290723757003</v>
      </c>
      <c r="F337" s="18" t="n">
        <f aca="false">F329/fx/F321*1000</f>
        <v>42.700174374494</v>
      </c>
      <c r="G337" s="18" t="n">
        <f aca="false">G329/fx/G321*1000</f>
        <v>42.700174374494</v>
      </c>
    </row>
    <row r="338" customFormat="false" ht="17.15" hidden="false" customHeight="false" outlineLevel="0" collapsed="false">
      <c r="A338" s="5" t="s">
        <v>490</v>
      </c>
    </row>
    <row r="339" customFormat="false" ht="17.15" hidden="false" customHeight="false" outlineLevel="0" collapsed="false">
      <c r="A339" s="3" t="s">
        <v>491</v>
      </c>
      <c r="B339" s="0" t="s">
        <v>52</v>
      </c>
      <c r="D339" s="13" t="n">
        <f aca="false">a26_gp/D334-d_lc*D336</f>
        <v>0.260156485550031</v>
      </c>
      <c r="H339" s="7" t="s">
        <v>492</v>
      </c>
    </row>
    <row r="340" customFormat="false" ht="15" hidden="false" customHeight="false" outlineLevel="0" collapsed="false">
      <c r="A340" s="3" t="s">
        <v>375</v>
      </c>
      <c r="B340" s="0" t="s">
        <v>191</v>
      </c>
      <c r="C340" s="19" t="n">
        <f aca="false">a25_gp</f>
        <v>6.372</v>
      </c>
      <c r="D340" s="19" t="n">
        <f aca="false">a26_gp</f>
        <v>11.0851495856</v>
      </c>
      <c r="E340" s="19" t="n">
        <f aca="false">$D$339*E334+d_lc*E329</f>
        <v>22.1786257290478</v>
      </c>
      <c r="F340" s="19" t="n">
        <f aca="false">$D$339*F334+d_lc*F329</f>
        <v>25.2735711651538</v>
      </c>
      <c r="G340" s="19" t="n">
        <f aca="false">$D$339*G334+d_lc*G329</f>
        <v>29.7288706250518</v>
      </c>
    </row>
    <row r="341" customFormat="false" ht="15" hidden="false" customHeight="false" outlineLevel="0" collapsed="false">
      <c r="A341" s="3" t="s">
        <v>378</v>
      </c>
      <c r="B341" s="0" t="s">
        <v>52</v>
      </c>
      <c r="C341" s="13" t="n">
        <f aca="false">C340/C334</f>
        <v>0.273758377728132</v>
      </c>
      <c r="D341" s="13" t="n">
        <f aca="false">D340/D334</f>
        <v>0.290156485550031</v>
      </c>
      <c r="E341" s="13" t="n">
        <f aca="false">E340/E334</f>
        <v>0.300114431587109</v>
      </c>
      <c r="F341" s="13" t="n">
        <f aca="false">F340/F334</f>
        <v>0.301456274451409</v>
      </c>
      <c r="G341" s="13" t="n">
        <f aca="false">G340/G334</f>
        <v>0.302848891955713</v>
      </c>
    </row>
    <row r="342" customFormat="false" ht="15" hidden="false" customHeight="false" outlineLevel="0" collapsed="false">
      <c r="A342" s="3" t="s">
        <v>493</v>
      </c>
      <c r="B342" s="0" t="s">
        <v>191</v>
      </c>
      <c r="C342" s="19" t="n">
        <f aca="false">a25_opx</f>
        <v>3.113</v>
      </c>
      <c r="D342" s="19" t="n">
        <f aca="false">a26_opx</f>
        <v>4.4038196704</v>
      </c>
      <c r="E342" s="19" t="n">
        <f aca="false">D342*(1+MAX(0,phi*E335))</f>
        <v>7.07842405014299</v>
      </c>
      <c r="F342" s="19" t="n">
        <f aca="false">E342*(1+MAX(0,phi*F335))</f>
        <v>7.69713546927228</v>
      </c>
      <c r="G342" s="19" t="n">
        <f aca="false">F342*(1+MAX(0,phi*G335))</f>
        <v>8.55204134490918</v>
      </c>
    </row>
    <row r="343" customFormat="false" ht="15" hidden="false" customHeight="false" outlineLevel="0" collapsed="false">
      <c r="A343" s="3" t="s">
        <v>380</v>
      </c>
      <c r="B343" s="0" t="s">
        <v>191</v>
      </c>
      <c r="C343" s="19" t="n">
        <f aca="false">C342</f>
        <v>3.113</v>
      </c>
      <c r="D343" s="19" t="n">
        <f aca="false">D342</f>
        <v>4.4038196704</v>
      </c>
      <c r="E343" s="19" t="n">
        <f aca="false">E342+0*E334</f>
        <v>7.07842405014299</v>
      </c>
      <c r="F343" s="19" t="n">
        <f aca="false">F342+0*F334</f>
        <v>7.69713546927228</v>
      </c>
      <c r="G343" s="19" t="n">
        <f aca="false">G342+0*G334</f>
        <v>8.55204134490918</v>
      </c>
    </row>
    <row r="344" customFormat="false" ht="15" hidden="false" customHeight="false" outlineLevel="0" collapsed="false">
      <c r="A344" s="3" t="s">
        <v>383</v>
      </c>
      <c r="B344" s="0" t="s">
        <v>191</v>
      </c>
      <c r="C344" s="19" t="n">
        <f aca="false">C340-C343</f>
        <v>3.259</v>
      </c>
      <c r="D344" s="19" t="n">
        <f aca="false">D340-D343</f>
        <v>6.6813299152</v>
      </c>
      <c r="E344" s="19" t="n">
        <f aca="false">E340-E343</f>
        <v>15.1002016789048</v>
      </c>
      <c r="F344" s="19" t="n">
        <f aca="false">F340-F343</f>
        <v>17.5764356958815</v>
      </c>
      <c r="G344" s="19" t="n">
        <f aca="false">G340-G343</f>
        <v>21.1768292801427</v>
      </c>
    </row>
    <row r="345" customFormat="false" ht="15" hidden="false" customHeight="false" outlineLevel="0" collapsed="false">
      <c r="A345" s="3" t="s">
        <v>386</v>
      </c>
      <c r="B345" s="0" t="s">
        <v>52</v>
      </c>
      <c r="C345" s="13" t="n">
        <f aca="false">C344/C334</f>
        <v>0.140015466575013</v>
      </c>
      <c r="D345" s="13" t="n">
        <f aca="false">D344/D334</f>
        <v>0.174885434970861</v>
      </c>
      <c r="E345" s="13" t="n">
        <f aca="false">E344/E334</f>
        <v>0.204331345822741</v>
      </c>
      <c r="F345" s="13" t="n">
        <f aca="false">F344/F334</f>
        <v>0.209646938629734</v>
      </c>
      <c r="G345" s="13" t="n">
        <f aca="false">G344/G334</f>
        <v>0.215728991642962</v>
      </c>
    </row>
    <row r="346" customFormat="false" ht="15" hidden="false" customHeight="false" outlineLevel="0" collapsed="false">
      <c r="A346" s="3" t="s">
        <v>387</v>
      </c>
      <c r="B346" s="0" t="s">
        <v>191</v>
      </c>
      <c r="C346" s="19" t="n">
        <f aca="false">a25_nop</f>
        <v>0.0184359999999999</v>
      </c>
      <c r="D346" s="19" t="n">
        <f aca="false">a26_nop</f>
        <v>-0.0226839999999999</v>
      </c>
      <c r="E346" s="19" t="n">
        <f aca="false">nop_f</f>
        <v>0</v>
      </c>
      <c r="F346" s="19" t="n">
        <f aca="false">nop_f</f>
        <v>0</v>
      </c>
      <c r="G346" s="19" t="n">
        <f aca="false">nop_f</f>
        <v>0</v>
      </c>
    </row>
    <row r="347" customFormat="false" ht="17.15" hidden="false" customHeight="false" outlineLevel="0" collapsed="false">
      <c r="A347" s="3" t="s">
        <v>234</v>
      </c>
      <c r="B347" s="0" t="s">
        <v>52</v>
      </c>
      <c r="C347" s="13" t="n">
        <f aca="false">a25_ni/(a25_oi+a25_nop)</f>
        <v>0.78475979393648</v>
      </c>
      <c r="D347" s="13" t="n">
        <f aca="false">a26_ni/(a26_oi+a26_nop)</f>
        <v>0.739465828331271</v>
      </c>
      <c r="E347" s="13" t="n">
        <f aca="false">nir_f</f>
        <v>0.74</v>
      </c>
      <c r="F347" s="13" t="n">
        <f aca="false">nir_f</f>
        <v>0.74</v>
      </c>
      <c r="G347" s="13" t="n">
        <f aca="false">nir_f</f>
        <v>0.74</v>
      </c>
    </row>
    <row r="348" customFormat="false" ht="15" hidden="false" customHeight="false" outlineLevel="0" collapsed="false">
      <c r="A348" s="3" t="s">
        <v>391</v>
      </c>
      <c r="B348" s="0" t="s">
        <v>191</v>
      </c>
      <c r="C348" s="19" t="n">
        <f aca="false">a25_ni</f>
        <v>2.572</v>
      </c>
      <c r="D348" s="19" t="n">
        <f aca="false">a26_ni</f>
        <v>4.923841117248</v>
      </c>
      <c r="E348" s="19" t="n">
        <f aca="false">(E344+E346)*E347</f>
        <v>11.1741492423895</v>
      </c>
      <c r="F348" s="19" t="n">
        <f aca="false">(F344+F346)*F347</f>
        <v>13.0065624149523</v>
      </c>
      <c r="G348" s="19" t="n">
        <f aca="false">(G344+G346)*G347</f>
        <v>15.6708536673056</v>
      </c>
    </row>
    <row r="349" customFormat="false" ht="15" hidden="false" customHeight="false" outlineLevel="0" collapsed="false">
      <c r="A349" s="3" t="s">
        <v>494</v>
      </c>
      <c r="B349" s="3" t="s">
        <v>217</v>
      </c>
      <c r="C349" s="21" t="n">
        <f aca="false">a25_sh</f>
        <v>0.0910120311394197</v>
      </c>
      <c r="D349" s="21" t="n">
        <f aca="false">a26_sh</f>
        <v>0.093076837</v>
      </c>
      <c r="E349" s="21" t="n">
        <f aca="false">D349*(1+sh_g)</f>
        <v>0.093076837</v>
      </c>
      <c r="F349" s="21" t="n">
        <f aca="false">E349*(1+sh_g)</f>
        <v>0.093076837</v>
      </c>
      <c r="G349" s="21" t="n">
        <f aca="false">F349*(1+sh_g)</f>
        <v>0.093076837</v>
      </c>
    </row>
    <row r="350" customFormat="false" ht="15" hidden="false" customHeight="false" outlineLevel="0" collapsed="false">
      <c r="A350" s="0" t="s">
        <v>398</v>
      </c>
      <c r="B350" s="0" t="s">
        <v>251</v>
      </c>
      <c r="C350" s="20" t="n">
        <f aca="false">C348/C349</f>
        <v>28.26</v>
      </c>
      <c r="D350" s="20" t="n">
        <f aca="false">D348/D349</f>
        <v>52.9008212563992</v>
      </c>
      <c r="E350" s="20" t="n">
        <f aca="false">E348/E349</f>
        <v>120.052954124231</v>
      </c>
      <c r="F350" s="20" t="n">
        <f aca="false">F348/F349</f>
        <v>139.740056002895</v>
      </c>
      <c r="G350" s="20" t="n">
        <f aca="false">G348/G349</f>
        <v>168.364699235596</v>
      </c>
    </row>
    <row r="351" customFormat="false" ht="17.15" hidden="false" customHeight="false" outlineLevel="0" collapsed="false">
      <c r="A351" s="0" t="s">
        <v>495</v>
      </c>
      <c r="B351" s="0" t="s">
        <v>52</v>
      </c>
      <c r="D351" s="13" t="n">
        <f aca="false">D350/C350-1</f>
        <v>0.871932811620636</v>
      </c>
      <c r="E351" s="13" t="n">
        <f aca="false">E350/D350-1</f>
        <v>1.26939679333823</v>
      </c>
      <c r="F351" s="13" t="n">
        <f aca="false">F350/E350-1</f>
        <v>0.163986817502977</v>
      </c>
      <c r="G351" s="13" t="n">
        <f aca="false">G350/F350-1</f>
        <v>0.204842076434462</v>
      </c>
    </row>
    <row r="354" customFormat="false" ht="17.15" hidden="false" customHeight="false" outlineLevel="0" collapsed="false">
      <c r="A354" s="1" t="s">
        <v>850</v>
      </c>
    </row>
    <row r="355" customFormat="false" ht="17.15" hidden="false" customHeight="false" outlineLevel="0" collapsed="false">
      <c r="A355" s="4" t="s">
        <v>21</v>
      </c>
      <c r="B355" s="4" t="s">
        <v>22</v>
      </c>
      <c r="C355" s="10" t="s">
        <v>365</v>
      </c>
      <c r="D355" s="10" t="s">
        <v>452</v>
      </c>
      <c r="E355" s="10" t="s">
        <v>453</v>
      </c>
      <c r="F355" s="10" t="s">
        <v>454</v>
      </c>
      <c r="G355" s="10" t="s">
        <v>455</v>
      </c>
      <c r="H355" s="4" t="s">
        <v>350</v>
      </c>
    </row>
    <row r="356" customFormat="false" ht="17.15" hidden="false" customHeight="false" outlineLevel="0" collapsed="false">
      <c r="A356" s="5" t="s">
        <v>471</v>
      </c>
    </row>
    <row r="357" customFormat="false" ht="17.15" hidden="false" customHeight="false" outlineLevel="0" collapsed="false">
      <c r="A357" s="0" t="s">
        <v>472</v>
      </c>
      <c r="B357" s="0" t="s">
        <v>32</v>
      </c>
      <c r="D357" s="20" t="n">
        <f aca="false">itc_26*1</f>
        <v>781.872916666666</v>
      </c>
      <c r="E357" s="20" t="n">
        <f aca="false">itc_27*1*1</f>
        <v>1565.35</v>
      </c>
      <c r="F357" s="20" t="n">
        <f aca="false">itc_28*um28_B*1</f>
        <v>1587.41111111111</v>
      </c>
      <c r="G357" s="20" t="n">
        <f aca="false">itc_29*um29_B*1</f>
        <v>1921.33173611111</v>
      </c>
    </row>
    <row r="358" customFormat="false" ht="17.15" hidden="false" customHeight="false" outlineLevel="0" collapsed="false">
      <c r="A358" s="3" t="s">
        <v>473</v>
      </c>
      <c r="B358" s="0" t="s">
        <v>32</v>
      </c>
      <c r="D358" s="20" t="n">
        <f aca="false">itpg_gb*(1-vr26)+itpg_vr*vr26</f>
        <v>33.41403216</v>
      </c>
      <c r="E358" s="20" t="n">
        <f aca="false">itpg_vr</f>
        <v>37.586352</v>
      </c>
      <c r="F358" s="20" t="n">
        <f aca="false">itpg_vr</f>
        <v>37.586352</v>
      </c>
      <c r="G358" s="20" t="n">
        <f aca="false">itpg_vr</f>
        <v>37.586352</v>
      </c>
    </row>
    <row r="359" customFormat="false" ht="17.15" hidden="false" customHeight="false" outlineLevel="0" collapsed="false">
      <c r="A359" s="3" t="s">
        <v>474</v>
      </c>
      <c r="B359" s="0" t="s">
        <v>431</v>
      </c>
      <c r="D359" s="17" t="n">
        <f aca="false">D357/D358</f>
        <v>23.3995380420639</v>
      </c>
      <c r="E359" s="17" t="n">
        <f aca="false">E357/E358</f>
        <v>41.6467658260637</v>
      </c>
      <c r="F359" s="17" t="n">
        <f aca="false">F357/F358</f>
        <v>42.2337105529984</v>
      </c>
      <c r="G359" s="17" t="n">
        <f aca="false">G357/G358</f>
        <v>51.1178029756948</v>
      </c>
    </row>
    <row r="360" customFormat="false" ht="17.15" hidden="false" customHeight="false" outlineLevel="0" collapsed="false">
      <c r="A360" s="3" t="s">
        <v>475</v>
      </c>
      <c r="B360" s="0" t="s">
        <v>52</v>
      </c>
      <c r="D360" s="13" t="n">
        <f aca="false">lpenB_26</f>
        <v>0.55</v>
      </c>
      <c r="E360" s="13" t="n">
        <f aca="false">lpenB_27</f>
        <v>0.75</v>
      </c>
      <c r="F360" s="13" t="n">
        <f aca="false">lpenB_28</f>
        <v>0.85</v>
      </c>
      <c r="G360" s="13" t="n">
        <f aca="false">lpenB_29</f>
        <v>0.9</v>
      </c>
    </row>
    <row r="361" customFormat="false" ht="17.15" hidden="false" customHeight="false" outlineLevel="0" collapsed="false">
      <c r="A361" s="3" t="s">
        <v>476</v>
      </c>
      <c r="B361" s="0" t="s">
        <v>436</v>
      </c>
      <c r="D361" s="18" t="n">
        <f aca="false">((1-vr26)*racks_gb*(cool_gb+mani)+vr26*racks_vr*(cool_vr+mani))/1000</f>
        <v>350.7208</v>
      </c>
      <c r="E361" s="18" t="n">
        <f aca="false">racks_vr*(cool_vr+mani)*lcadj_27/1000</f>
        <v>326.5912</v>
      </c>
      <c r="F361" s="18" t="n">
        <f aca="false">racks_vr*(cool_vr+mani)*lcadj_28/1000</f>
        <v>351.7136</v>
      </c>
      <c r="G361" s="18" t="n">
        <f aca="false">racks_vr*(cool_vr+mani)*lcadj_29/1000</f>
        <v>351.7136</v>
      </c>
      <c r="H361" s="3" t="s">
        <v>477</v>
      </c>
    </row>
    <row r="362" customFormat="false" ht="17.15" hidden="false" customHeight="false" outlineLevel="0" collapsed="false">
      <c r="A362" s="0" t="s">
        <v>478</v>
      </c>
      <c r="B362" s="0" t="s">
        <v>32</v>
      </c>
      <c r="D362" s="20" t="n">
        <f aca="false">D359*D360*D361/1000</f>
        <v>4.51368758595869</v>
      </c>
      <c r="E362" s="20" t="n">
        <f aca="false">E359*E360*E361/1000</f>
        <v>10.2011004204398</v>
      </c>
      <c r="F362" s="20" t="n">
        <f aca="false">F359*F360*F361/1000</f>
        <v>12.6260448229601</v>
      </c>
      <c r="G362" s="20" t="n">
        <f aca="false">G359*G360*G361/1000</f>
        <v>16.1809438578051</v>
      </c>
    </row>
    <row r="363" customFormat="false" ht="17.15" hidden="false" customHeight="false" outlineLevel="0" collapsed="false">
      <c r="A363" s="0" t="s">
        <v>479</v>
      </c>
      <c r="B363" s="0" t="s">
        <v>191</v>
      </c>
      <c r="D363" s="19" t="n">
        <f aca="false">D362*fx</f>
        <v>144.438002750678</v>
      </c>
      <c r="E363" s="19" t="n">
        <f aca="false">E362*fx</f>
        <v>326.435213454075</v>
      </c>
      <c r="F363" s="19" t="n">
        <f aca="false">F362*fx</f>
        <v>404.033434334723</v>
      </c>
      <c r="G363" s="19" t="n">
        <f aca="false">G362*fx</f>
        <v>517.790203449763</v>
      </c>
    </row>
    <row r="364" customFormat="false" ht="17.15" hidden="false" customHeight="false" outlineLevel="0" collapsed="false">
      <c r="A364" s="3" t="s">
        <v>480</v>
      </c>
      <c r="B364" s="0" t="s">
        <v>52</v>
      </c>
      <c r="D364" s="13" t="n">
        <f aca="false">a26_lc/D363</f>
        <v>0.15870077644017</v>
      </c>
      <c r="H364" s="7" t="s">
        <v>481</v>
      </c>
    </row>
    <row r="365" customFormat="false" ht="17.15" hidden="false" customHeight="false" outlineLevel="0" collapsed="false">
      <c r="A365" s="3" t="s">
        <v>482</v>
      </c>
      <c r="B365" s="0" t="s">
        <v>73</v>
      </c>
      <c r="D365" s="14" t="n">
        <f aca="false">1</f>
        <v>1</v>
      </c>
      <c r="E365" s="14" t="n">
        <f aca="false">relB_27</f>
        <v>0.95</v>
      </c>
      <c r="F365" s="14" t="n">
        <f aca="false">relB_28</f>
        <v>0.9</v>
      </c>
      <c r="G365" s="14" t="n">
        <f aca="false">relB_29</f>
        <v>0.85</v>
      </c>
    </row>
    <row r="366" customFormat="false" ht="15" hidden="false" customHeight="false" outlineLevel="0" collapsed="false">
      <c r="A366" s="3" t="s">
        <v>440</v>
      </c>
      <c r="B366" s="0" t="s">
        <v>52</v>
      </c>
      <c r="D366" s="13" t="n">
        <f aca="false">$D$364*D365</f>
        <v>0.15870077644017</v>
      </c>
      <c r="E366" s="13" t="n">
        <f aca="false">$D$364*E365</f>
        <v>0.150765737618161</v>
      </c>
      <c r="F366" s="13" t="n">
        <f aca="false">$D$364*F365</f>
        <v>0.142830698796153</v>
      </c>
      <c r="G366" s="13" t="n">
        <f aca="false">$D$364*G365</f>
        <v>0.134895659974144</v>
      </c>
    </row>
    <row r="367" customFormat="false" ht="15" hidden="false" customHeight="false" outlineLevel="0" collapsed="false">
      <c r="A367" s="3" t="s">
        <v>483</v>
      </c>
      <c r="B367" s="0" t="s">
        <v>191</v>
      </c>
      <c r="C367" s="19" t="n">
        <f aca="false">a25_lc</f>
        <v>7.91384</v>
      </c>
      <c r="D367" s="19" t="n">
        <f aca="false">D363*D366</f>
        <v>22.922423184</v>
      </c>
      <c r="E367" s="19" t="n">
        <f aca="false">E363*E366</f>
        <v>49.2152457409455</v>
      </c>
      <c r="F367" s="19" t="n">
        <f aca="false">F363*F366</f>
        <v>57.708377763038</v>
      </c>
      <c r="G367" s="19" t="n">
        <f aca="false">G363*G366</f>
        <v>69.8476512225023</v>
      </c>
    </row>
    <row r="368" customFormat="false" ht="17.15" hidden="false" customHeight="false" outlineLevel="0" collapsed="false">
      <c r="A368" s="5" t="s">
        <v>484</v>
      </c>
    </row>
    <row r="369" customFormat="false" ht="17.15" hidden="false" customHeight="false" outlineLevel="0" collapsed="false">
      <c r="A369" s="3" t="s">
        <v>485</v>
      </c>
      <c r="B369" s="0" t="s">
        <v>191</v>
      </c>
      <c r="C369" s="19" t="n">
        <f aca="false">a25_sair</f>
        <v>5.35348</v>
      </c>
      <c r="D369" s="19" t="n">
        <f aca="false">a26_sair</f>
        <v>5.3485654096</v>
      </c>
      <c r="E369" s="19" t="n">
        <f aca="false">D369*(1+GSLO_27)</f>
        <v>4.27885232768</v>
      </c>
      <c r="F369" s="19" t="n">
        <f aca="false">E369*(1+GSLO_28)</f>
        <v>3.423081862144</v>
      </c>
      <c r="G369" s="19" t="n">
        <f aca="false">F369*(1+GSLO_29)</f>
        <v>2.7384654897152</v>
      </c>
    </row>
    <row r="370" customFormat="false" ht="15" hidden="false" customHeight="false" outlineLevel="0" collapsed="false">
      <c r="A370" s="3" t="s">
        <v>486</v>
      </c>
      <c r="B370" s="0" t="s">
        <v>191</v>
      </c>
      <c r="C370" s="19" t="n">
        <f aca="false">a25_nb</f>
        <v>6.28452</v>
      </c>
      <c r="D370" s="19" t="n">
        <f aca="false">a26_nb</f>
        <v>5.730605796</v>
      </c>
      <c r="E370" s="19" t="n">
        <f aca="false">D370*(1+g_nb_27)</f>
        <v>5.55868762212</v>
      </c>
      <c r="F370" s="19" t="n">
        <f aca="false">E370*(1+g_nb_28)</f>
        <v>5.55868762212</v>
      </c>
      <c r="G370" s="19" t="n">
        <f aca="false">F370*(1+g_nb_29)</f>
        <v>5.55868762212</v>
      </c>
    </row>
    <row r="371" customFormat="false" ht="15" hidden="false" customHeight="false" outlineLevel="0" collapsed="false">
      <c r="A371" s="3" t="s">
        <v>487</v>
      </c>
      <c r="B371" s="0" t="s">
        <v>191</v>
      </c>
      <c r="C371" s="19" t="n">
        <f aca="false">a25_oth</f>
        <v>3.72416</v>
      </c>
      <c r="D371" s="19" t="n">
        <f aca="false">a26_oth</f>
        <v>4.2024442504</v>
      </c>
      <c r="E371" s="19" t="n">
        <f aca="false">D371*(1+g_oth_27)</f>
        <v>4.2024442504</v>
      </c>
      <c r="F371" s="19" t="n">
        <f aca="false">E371*(1+g_oth_28)</f>
        <v>4.2024442504</v>
      </c>
      <c r="G371" s="19" t="n">
        <f aca="false">F371*(1+g_oth_29)</f>
        <v>4.2024442504</v>
      </c>
    </row>
    <row r="372" customFormat="false" ht="15" hidden="false" customHeight="false" outlineLevel="0" collapsed="false">
      <c r="A372" s="3" t="s">
        <v>371</v>
      </c>
      <c r="B372" s="0" t="s">
        <v>191</v>
      </c>
      <c r="C372" s="19" t="n">
        <f aca="false">C367+C369+C370+C371</f>
        <v>23.276</v>
      </c>
      <c r="D372" s="19" t="n">
        <f aca="false">D367+D369+D370+D371</f>
        <v>38.20403864</v>
      </c>
      <c r="E372" s="19" t="n">
        <f aca="false">E367+E369+E370+E371</f>
        <v>63.2552299411455</v>
      </c>
      <c r="F372" s="19" t="n">
        <f aca="false">F367+F369+F370+F371</f>
        <v>70.892591497702</v>
      </c>
      <c r="G372" s="19" t="n">
        <f aca="false">G367+G369+G370+G371</f>
        <v>82.3472485847375</v>
      </c>
    </row>
    <row r="373" customFormat="false" ht="15" hidden="false" customHeight="false" outlineLevel="0" collapsed="false">
      <c r="A373" s="3" t="s">
        <v>488</v>
      </c>
      <c r="B373" s="0" t="s">
        <v>52</v>
      </c>
      <c r="D373" s="13" t="n">
        <f aca="false">D372/C372-1</f>
        <v>0.641348970613508</v>
      </c>
      <c r="E373" s="13" t="n">
        <f aca="false">E372/D372-1</f>
        <v>0.655721023036467</v>
      </c>
      <c r="F373" s="13" t="n">
        <f aca="false">F372/E372-1</f>
        <v>0.120738815804835</v>
      </c>
      <c r="G373" s="13" t="n">
        <f aca="false">G372/F372-1</f>
        <v>0.161577632373712</v>
      </c>
    </row>
    <row r="374" customFormat="false" ht="17.15" hidden="false" customHeight="false" outlineLevel="0" collapsed="false">
      <c r="A374" s="3" t="s">
        <v>489</v>
      </c>
      <c r="B374" s="0" t="s">
        <v>52</v>
      </c>
      <c r="C374" s="13" t="n">
        <f aca="false">C367/C372</f>
        <v>0.34</v>
      </c>
      <c r="D374" s="13" t="n">
        <f aca="false">D367/D372</f>
        <v>0.6</v>
      </c>
      <c r="E374" s="13" t="n">
        <f aca="false">E367/E372</f>
        <v>0.778042318188343</v>
      </c>
      <c r="F374" s="13" t="n">
        <f aca="false">F367/F372</f>
        <v>0.814025507374894</v>
      </c>
      <c r="G374" s="13" t="n">
        <f aca="false">G367/G372</f>
        <v>0.848208682414291</v>
      </c>
    </row>
    <row r="375" customFormat="false" ht="17.15" hidden="false" customHeight="false" outlineLevel="0" collapsed="false">
      <c r="A375" s="3" t="s">
        <v>448</v>
      </c>
      <c r="B375" s="0" t="s">
        <v>436</v>
      </c>
      <c r="D375" s="18" t="n">
        <f aca="false">D367/fx/D359*1000</f>
        <v>30.6128148005446</v>
      </c>
      <c r="E375" s="18" t="n">
        <f aca="false">E367/fx/E359*1000</f>
        <v>36.9290723757003</v>
      </c>
      <c r="F375" s="18" t="n">
        <f aca="false">F367/fx/F359*1000</f>
        <v>42.700174374494</v>
      </c>
      <c r="G375" s="18" t="n">
        <f aca="false">G367/fx/G359*1000</f>
        <v>42.700174374494</v>
      </c>
    </row>
    <row r="376" customFormat="false" ht="17.15" hidden="false" customHeight="false" outlineLevel="0" collapsed="false">
      <c r="A376" s="5" t="s">
        <v>490</v>
      </c>
    </row>
    <row r="377" customFormat="false" ht="17.15" hidden="false" customHeight="false" outlineLevel="0" collapsed="false">
      <c r="A377" s="3" t="s">
        <v>491</v>
      </c>
      <c r="B377" s="0" t="s">
        <v>52</v>
      </c>
      <c r="D377" s="13" t="n">
        <f aca="false">a26_gp/D372-d_lc*D374</f>
        <v>0.260156485550031</v>
      </c>
      <c r="H377" s="7" t="s">
        <v>492</v>
      </c>
    </row>
    <row r="378" customFormat="false" ht="15" hidden="false" customHeight="false" outlineLevel="0" collapsed="false">
      <c r="A378" s="3" t="s">
        <v>375</v>
      </c>
      <c r="B378" s="0" t="s">
        <v>191</v>
      </c>
      <c r="C378" s="19" t="n">
        <f aca="false">a25_gp</f>
        <v>6.372</v>
      </c>
      <c r="D378" s="19" t="n">
        <f aca="false">a26_gp</f>
        <v>11.0851495856</v>
      </c>
      <c r="E378" s="19" t="n">
        <f aca="false">$D$377*E372+d_lc*E367</f>
        <v>18.9170206011948</v>
      </c>
      <c r="F378" s="19" t="n">
        <f aca="false">$D$377*F372+d_lc*F367</f>
        <v>21.3285863437281</v>
      </c>
      <c r="G378" s="19" t="n">
        <f aca="false">$D$377*G372+d_lc*G367</f>
        <v>24.9155533476452</v>
      </c>
    </row>
    <row r="379" customFormat="false" ht="15" hidden="false" customHeight="false" outlineLevel="0" collapsed="false">
      <c r="A379" s="3" t="s">
        <v>378</v>
      </c>
      <c r="B379" s="0" t="s">
        <v>52</v>
      </c>
      <c r="C379" s="13" t="n">
        <f aca="false">C378/C372</f>
        <v>0.273758377728132</v>
      </c>
      <c r="D379" s="13" t="n">
        <f aca="false">D378/D372</f>
        <v>0.290156485550031</v>
      </c>
      <c r="E379" s="13" t="n">
        <f aca="false">E378/E372</f>
        <v>0.299058601459449</v>
      </c>
      <c r="F379" s="13" t="n">
        <f aca="false">F378/F372</f>
        <v>0.300857760918776</v>
      </c>
      <c r="G379" s="13" t="n">
        <f aca="false">G378/G372</f>
        <v>0.302566919670746</v>
      </c>
    </row>
    <row r="380" customFormat="false" ht="15" hidden="false" customHeight="false" outlineLevel="0" collapsed="false">
      <c r="A380" s="3" t="s">
        <v>493</v>
      </c>
      <c r="B380" s="0" t="s">
        <v>191</v>
      </c>
      <c r="C380" s="19" t="n">
        <f aca="false">a25_opx</f>
        <v>3.113</v>
      </c>
      <c r="D380" s="19" t="n">
        <f aca="false">a26_opx</f>
        <v>4.4038196704</v>
      </c>
      <c r="E380" s="19" t="n">
        <f aca="false">D380*(1+MAX(0,phi*E373))</f>
        <v>6.28080981110282</v>
      </c>
      <c r="F380" s="19" t="n">
        <f aca="false">E380*(1+MAX(0,phi*F373))</f>
        <v>6.77372921137999</v>
      </c>
      <c r="G380" s="19" t="n">
        <f aca="false">F380*(1+MAX(0,phi*G373))</f>
        <v>7.48514324478502</v>
      </c>
    </row>
    <row r="381" customFormat="false" ht="15" hidden="false" customHeight="false" outlineLevel="0" collapsed="false">
      <c r="A381" s="3" t="s">
        <v>380</v>
      </c>
      <c r="B381" s="0" t="s">
        <v>191</v>
      </c>
      <c r="C381" s="19" t="n">
        <f aca="false">C380</f>
        <v>3.113</v>
      </c>
      <c r="D381" s="19" t="n">
        <f aca="false">D380</f>
        <v>4.4038196704</v>
      </c>
      <c r="E381" s="19" t="n">
        <f aca="false">E380+0*E372</f>
        <v>6.28080981110282</v>
      </c>
      <c r="F381" s="19" t="n">
        <f aca="false">F380+0*F372</f>
        <v>6.77372921137999</v>
      </c>
      <c r="G381" s="19" t="n">
        <f aca="false">G380+0*G372</f>
        <v>7.48514324478502</v>
      </c>
    </row>
    <row r="382" customFormat="false" ht="15" hidden="false" customHeight="false" outlineLevel="0" collapsed="false">
      <c r="A382" s="3" t="s">
        <v>383</v>
      </c>
      <c r="B382" s="0" t="s">
        <v>191</v>
      </c>
      <c r="C382" s="19" t="n">
        <f aca="false">C378-C381</f>
        <v>3.259</v>
      </c>
      <c r="D382" s="19" t="n">
        <f aca="false">D378-D381</f>
        <v>6.6813299152</v>
      </c>
      <c r="E382" s="19" t="n">
        <f aca="false">E378-E381</f>
        <v>12.636210790092</v>
      </c>
      <c r="F382" s="19" t="n">
        <f aca="false">F378-F381</f>
        <v>14.5548571323481</v>
      </c>
      <c r="G382" s="19" t="n">
        <f aca="false">G378-G381</f>
        <v>17.4304101028602</v>
      </c>
    </row>
    <row r="383" customFormat="false" ht="15" hidden="false" customHeight="false" outlineLevel="0" collapsed="false">
      <c r="A383" s="3" t="s">
        <v>386</v>
      </c>
      <c r="B383" s="0" t="s">
        <v>52</v>
      </c>
      <c r="C383" s="13" t="n">
        <f aca="false">C382/C372</f>
        <v>0.140015466575013</v>
      </c>
      <c r="D383" s="13" t="n">
        <f aca="false">D382/D372</f>
        <v>0.174885434970861</v>
      </c>
      <c r="E383" s="13" t="n">
        <f aca="false">E382/E372</f>
        <v>0.199765470805324</v>
      </c>
      <c r="F383" s="13" t="n">
        <f aca="false">F382/F372</f>
        <v>0.205308577735092</v>
      </c>
      <c r="G383" s="13" t="n">
        <f aca="false">G382/G372</f>
        <v>0.211669611340127</v>
      </c>
    </row>
    <row r="384" customFormat="false" ht="15" hidden="false" customHeight="false" outlineLevel="0" collapsed="false">
      <c r="A384" s="3" t="s">
        <v>387</v>
      </c>
      <c r="B384" s="0" t="s">
        <v>191</v>
      </c>
      <c r="C384" s="19" t="n">
        <f aca="false">a25_nop</f>
        <v>0.0184359999999999</v>
      </c>
      <c r="D384" s="19" t="n">
        <f aca="false">a26_nop</f>
        <v>-0.0226839999999999</v>
      </c>
      <c r="E384" s="19" t="n">
        <f aca="false">nop_f</f>
        <v>0</v>
      </c>
      <c r="F384" s="19" t="n">
        <f aca="false">nop_f</f>
        <v>0</v>
      </c>
      <c r="G384" s="19" t="n">
        <f aca="false">nop_f</f>
        <v>0</v>
      </c>
    </row>
    <row r="385" customFormat="false" ht="17.15" hidden="false" customHeight="false" outlineLevel="0" collapsed="false">
      <c r="A385" s="3" t="s">
        <v>234</v>
      </c>
      <c r="B385" s="0" t="s">
        <v>52</v>
      </c>
      <c r="C385" s="13" t="n">
        <f aca="false">a25_ni/(a25_oi+a25_nop)</f>
        <v>0.78475979393648</v>
      </c>
      <c r="D385" s="13" t="n">
        <f aca="false">a26_ni/(a26_oi+a26_nop)</f>
        <v>0.739465828331271</v>
      </c>
      <c r="E385" s="13" t="n">
        <f aca="false">nir_f</f>
        <v>0.74</v>
      </c>
      <c r="F385" s="13" t="n">
        <f aca="false">nir_f</f>
        <v>0.74</v>
      </c>
      <c r="G385" s="13" t="n">
        <f aca="false">nir_f</f>
        <v>0.74</v>
      </c>
    </row>
    <row r="386" customFormat="false" ht="15" hidden="false" customHeight="false" outlineLevel="0" collapsed="false">
      <c r="A386" s="3" t="s">
        <v>391</v>
      </c>
      <c r="B386" s="0" t="s">
        <v>191</v>
      </c>
      <c r="C386" s="19" t="n">
        <f aca="false">a25_ni</f>
        <v>2.572</v>
      </c>
      <c r="D386" s="19" t="n">
        <f aca="false">a26_ni</f>
        <v>4.923841117248</v>
      </c>
      <c r="E386" s="19" t="n">
        <f aca="false">(E382+E384)*E385</f>
        <v>9.35079598466808</v>
      </c>
      <c r="F386" s="19" t="n">
        <f aca="false">(F382+F384)*F385</f>
        <v>10.7705942779376</v>
      </c>
      <c r="G386" s="19" t="n">
        <f aca="false">(G382+G384)*G385</f>
        <v>12.8985034761165</v>
      </c>
    </row>
    <row r="387" customFormat="false" ht="15" hidden="false" customHeight="false" outlineLevel="0" collapsed="false">
      <c r="A387" s="3" t="s">
        <v>494</v>
      </c>
      <c r="B387" s="3" t="s">
        <v>217</v>
      </c>
      <c r="C387" s="21" t="n">
        <f aca="false">a25_sh</f>
        <v>0.0910120311394197</v>
      </c>
      <c r="D387" s="21" t="n">
        <f aca="false">a26_sh</f>
        <v>0.093076837</v>
      </c>
      <c r="E387" s="21" t="n">
        <f aca="false">D387*(1+sh_g)</f>
        <v>0.093076837</v>
      </c>
      <c r="F387" s="21" t="n">
        <f aca="false">E387*(1+sh_g)</f>
        <v>0.093076837</v>
      </c>
      <c r="G387" s="21" t="n">
        <f aca="false">F387*(1+sh_g)</f>
        <v>0.093076837</v>
      </c>
    </row>
    <row r="388" customFormat="false" ht="15" hidden="false" customHeight="false" outlineLevel="0" collapsed="false">
      <c r="A388" s="0" t="s">
        <v>398</v>
      </c>
      <c r="B388" s="0" t="s">
        <v>251</v>
      </c>
      <c r="C388" s="20" t="n">
        <f aca="false">C386/C387</f>
        <v>28.26</v>
      </c>
      <c r="D388" s="20" t="n">
        <f aca="false">D386/D387</f>
        <v>52.9008212563992</v>
      </c>
      <c r="E388" s="20" t="n">
        <f aca="false">E386/E387</f>
        <v>100.463190263632</v>
      </c>
      <c r="F388" s="20" t="n">
        <f aca="false">F386/F387</f>
        <v>115.717235620476</v>
      </c>
      <c r="G388" s="20" t="n">
        <f aca="false">G386/G387</f>
        <v>138.579091123569</v>
      </c>
    </row>
    <row r="389" customFormat="false" ht="17.15" hidden="false" customHeight="false" outlineLevel="0" collapsed="false">
      <c r="A389" s="0" t="s">
        <v>495</v>
      </c>
      <c r="B389" s="0" t="s">
        <v>52</v>
      </c>
      <c r="D389" s="13" t="n">
        <f aca="false">D388/C388-1</f>
        <v>0.871932811620636</v>
      </c>
      <c r="E389" s="13" t="n">
        <f aca="false">E388/D388-1</f>
        <v>0.899085645130312</v>
      </c>
      <c r="F389" s="13" t="n">
        <f aca="false">F388/E388-1</f>
        <v>0.15183715863307</v>
      </c>
      <c r="G389" s="13" t="n">
        <f aca="false">G388/F388-1</f>
        <v>0.197566554200053</v>
      </c>
    </row>
    <row r="392" customFormat="false" ht="17.15" hidden="false" customHeight="false" outlineLevel="0" collapsed="false">
      <c r="A392" s="1" t="s">
        <v>851</v>
      </c>
    </row>
    <row r="393" customFormat="false" ht="17.15" hidden="false" customHeight="false" outlineLevel="0" collapsed="false">
      <c r="A393" s="4" t="s">
        <v>21</v>
      </c>
      <c r="B393" s="4" t="s">
        <v>22</v>
      </c>
      <c r="C393" s="10" t="s">
        <v>365</v>
      </c>
      <c r="D393" s="10" t="s">
        <v>452</v>
      </c>
      <c r="E393" s="10" t="s">
        <v>453</v>
      </c>
      <c r="F393" s="10" t="s">
        <v>454</v>
      </c>
      <c r="G393" s="10" t="s">
        <v>455</v>
      </c>
      <c r="H393" s="4" t="s">
        <v>350</v>
      </c>
    </row>
    <row r="394" customFormat="false" ht="17.15" hidden="false" customHeight="false" outlineLevel="0" collapsed="false">
      <c r="A394" s="5" t="s">
        <v>471</v>
      </c>
    </row>
    <row r="395" customFormat="false" ht="17.15" hidden="false" customHeight="false" outlineLevel="0" collapsed="false">
      <c r="A395" s="0" t="s">
        <v>472</v>
      </c>
      <c r="B395" s="0" t="s">
        <v>32</v>
      </c>
      <c r="D395" s="20" t="n">
        <f aca="false">itc_26*1</f>
        <v>781.872916666666</v>
      </c>
      <c r="E395" s="20" t="n">
        <f aca="false">itc_27*1*1</f>
        <v>1565.35</v>
      </c>
      <c r="F395" s="20" t="n">
        <f aca="false">itc_28*um28_B*1</f>
        <v>1587.41111111111</v>
      </c>
      <c r="G395" s="20" t="n">
        <f aca="false">itc_29*um29_B*1</f>
        <v>1921.33173611111</v>
      </c>
    </row>
    <row r="396" customFormat="false" ht="17.15" hidden="false" customHeight="false" outlineLevel="0" collapsed="false">
      <c r="A396" s="3" t="s">
        <v>473</v>
      </c>
      <c r="B396" s="0" t="s">
        <v>32</v>
      </c>
      <c r="D396" s="20" t="n">
        <f aca="false">itpg_gb*(1-vr26)+itpg_vr*vr26</f>
        <v>33.41403216</v>
      </c>
      <c r="E396" s="20" t="n">
        <f aca="false">itpg_vr</f>
        <v>37.586352</v>
      </c>
      <c r="F396" s="20" t="n">
        <f aca="false">itpg_vr</f>
        <v>37.586352</v>
      </c>
      <c r="G396" s="20" t="n">
        <f aca="false">itpg_vr</f>
        <v>37.586352</v>
      </c>
    </row>
    <row r="397" customFormat="false" ht="17.15" hidden="false" customHeight="false" outlineLevel="0" collapsed="false">
      <c r="A397" s="3" t="s">
        <v>474</v>
      </c>
      <c r="B397" s="0" t="s">
        <v>431</v>
      </c>
      <c r="D397" s="17" t="n">
        <f aca="false">D395/D396</f>
        <v>23.3995380420639</v>
      </c>
      <c r="E397" s="17" t="n">
        <f aca="false">E395/E396</f>
        <v>41.6467658260637</v>
      </c>
      <c r="F397" s="17" t="n">
        <f aca="false">F395/F396</f>
        <v>42.2337105529984</v>
      </c>
      <c r="G397" s="17" t="n">
        <f aca="false">G395/G396</f>
        <v>51.1178029756948</v>
      </c>
    </row>
    <row r="398" customFormat="false" ht="17.15" hidden="false" customHeight="false" outlineLevel="0" collapsed="false">
      <c r="A398" s="3" t="s">
        <v>475</v>
      </c>
      <c r="B398" s="0" t="s">
        <v>52</v>
      </c>
      <c r="D398" s="13" t="n">
        <f aca="false">lpenB_26</f>
        <v>0.55</v>
      </c>
      <c r="E398" s="13" t="n">
        <f aca="false">lpenB_27</f>
        <v>0.75</v>
      </c>
      <c r="F398" s="13" t="n">
        <f aca="false">lpenB_28</f>
        <v>0.85</v>
      </c>
      <c r="G398" s="13" t="n">
        <f aca="false">lpenB_29</f>
        <v>0.9</v>
      </c>
    </row>
    <row r="399" customFormat="false" ht="17.15" hidden="false" customHeight="false" outlineLevel="0" collapsed="false">
      <c r="A399" s="3" t="s">
        <v>476</v>
      </c>
      <c r="B399" s="0" t="s">
        <v>436</v>
      </c>
      <c r="D399" s="18" t="n">
        <f aca="false">((1-vr26)*racks_gb*(cool_gb+mani)+vr26*racks_vr*(cool_vr+mani))/1000</f>
        <v>350.7208</v>
      </c>
      <c r="E399" s="18" t="n">
        <f aca="false">racks_vr*(cool_vr+mani)*lcadj_27/1000</f>
        <v>326.5912</v>
      </c>
      <c r="F399" s="18" t="n">
        <f aca="false">racks_vr*(cool_vr+mani)*lcadj_28/1000</f>
        <v>351.7136</v>
      </c>
      <c r="G399" s="18" t="n">
        <f aca="false">racks_vr*(cool_vr+mani)*lcadj_29/1000</f>
        <v>351.7136</v>
      </c>
      <c r="H399" s="3" t="s">
        <v>477</v>
      </c>
    </row>
    <row r="400" customFormat="false" ht="17.15" hidden="false" customHeight="false" outlineLevel="0" collapsed="false">
      <c r="A400" s="0" t="s">
        <v>478</v>
      </c>
      <c r="B400" s="0" t="s">
        <v>32</v>
      </c>
      <c r="D400" s="20" t="n">
        <f aca="false">D397*D398*D399/1000</f>
        <v>4.51368758595869</v>
      </c>
      <c r="E400" s="20" t="n">
        <f aca="false">E397*E398*E399/1000</f>
        <v>10.2011004204398</v>
      </c>
      <c r="F400" s="20" t="n">
        <f aca="false">F397*F398*F399/1000</f>
        <v>12.6260448229601</v>
      </c>
      <c r="G400" s="20" t="n">
        <f aca="false">G397*G398*G399/1000</f>
        <v>16.1809438578051</v>
      </c>
    </row>
    <row r="401" customFormat="false" ht="17.15" hidden="false" customHeight="false" outlineLevel="0" collapsed="false">
      <c r="A401" s="0" t="s">
        <v>479</v>
      </c>
      <c r="B401" s="0" t="s">
        <v>191</v>
      </c>
      <c r="D401" s="19" t="n">
        <f aca="false">D400*fx</f>
        <v>144.438002750678</v>
      </c>
      <c r="E401" s="19" t="n">
        <f aca="false">E400*fx</f>
        <v>326.435213454075</v>
      </c>
      <c r="F401" s="19" t="n">
        <f aca="false">F400*fx</f>
        <v>404.033434334723</v>
      </c>
      <c r="G401" s="19" t="n">
        <f aca="false">G400*fx</f>
        <v>517.790203449763</v>
      </c>
    </row>
    <row r="402" customFormat="false" ht="17.15" hidden="false" customHeight="false" outlineLevel="0" collapsed="false">
      <c r="A402" s="3" t="s">
        <v>480</v>
      </c>
      <c r="B402" s="0" t="s">
        <v>52</v>
      </c>
      <c r="D402" s="13" t="n">
        <f aca="false">a26_lc/D401</f>
        <v>0.15870077644017</v>
      </c>
      <c r="H402" s="7" t="s">
        <v>481</v>
      </c>
    </row>
    <row r="403" customFormat="false" ht="17.15" hidden="false" customHeight="false" outlineLevel="0" collapsed="false">
      <c r="A403" s="3" t="s">
        <v>482</v>
      </c>
      <c r="B403" s="0" t="s">
        <v>73</v>
      </c>
      <c r="D403" s="14" t="n">
        <f aca="false">1</f>
        <v>1</v>
      </c>
      <c r="E403" s="14" t="n">
        <f aca="false">relB_27</f>
        <v>0.95</v>
      </c>
      <c r="F403" s="14" t="n">
        <f aca="false">relB_28</f>
        <v>0.9</v>
      </c>
      <c r="G403" s="14" t="n">
        <f aca="false">relB_29</f>
        <v>0.85</v>
      </c>
    </row>
    <row r="404" customFormat="false" ht="15" hidden="false" customHeight="false" outlineLevel="0" collapsed="false">
      <c r="A404" s="3" t="s">
        <v>440</v>
      </c>
      <c r="B404" s="0" t="s">
        <v>52</v>
      </c>
      <c r="D404" s="13" t="n">
        <f aca="false">$D$402*D403</f>
        <v>0.15870077644017</v>
      </c>
      <c r="E404" s="13" t="n">
        <f aca="false">$D$402*E403</f>
        <v>0.150765737618161</v>
      </c>
      <c r="F404" s="13" t="n">
        <f aca="false">$D$402*F403</f>
        <v>0.142830698796153</v>
      </c>
      <c r="G404" s="13" t="n">
        <f aca="false">$D$402*G403</f>
        <v>0.134895659974144</v>
      </c>
    </row>
    <row r="405" customFormat="false" ht="15" hidden="false" customHeight="false" outlineLevel="0" collapsed="false">
      <c r="A405" s="3" t="s">
        <v>483</v>
      </c>
      <c r="B405" s="0" t="s">
        <v>191</v>
      </c>
      <c r="C405" s="19" t="n">
        <f aca="false">a25_lc</f>
        <v>7.91384</v>
      </c>
      <c r="D405" s="19" t="n">
        <f aca="false">D401*D404</f>
        <v>22.922423184</v>
      </c>
      <c r="E405" s="19" t="n">
        <f aca="false">E401*E404</f>
        <v>49.2152457409455</v>
      </c>
      <c r="F405" s="19" t="n">
        <f aca="false">F401*F404</f>
        <v>57.708377763038</v>
      </c>
      <c r="G405" s="19" t="n">
        <f aca="false">G401*G404</f>
        <v>69.8476512225023</v>
      </c>
    </row>
    <row r="406" customFormat="false" ht="17.15" hidden="false" customHeight="false" outlineLevel="0" collapsed="false">
      <c r="A406" s="5" t="s">
        <v>484</v>
      </c>
    </row>
    <row r="407" customFormat="false" ht="17.15" hidden="false" customHeight="false" outlineLevel="0" collapsed="false">
      <c r="A407" s="3" t="s">
        <v>485</v>
      </c>
      <c r="B407" s="0" t="s">
        <v>191</v>
      </c>
      <c r="C407" s="19" t="n">
        <f aca="false">a25_sair</f>
        <v>5.35348</v>
      </c>
      <c r="D407" s="19" t="n">
        <f aca="false">a26_sair</f>
        <v>5.3485654096</v>
      </c>
      <c r="E407" s="19" t="n">
        <f aca="false">D407*(1+GSHI_27)</f>
        <v>5.61599368008</v>
      </c>
      <c r="F407" s="19" t="n">
        <f aca="false">E407*(1+GSHI_28)</f>
        <v>5.896793364084</v>
      </c>
      <c r="G407" s="19" t="n">
        <f aca="false">F407*(1+GSHI_29)</f>
        <v>6.1916330322882</v>
      </c>
    </row>
    <row r="408" customFormat="false" ht="15" hidden="false" customHeight="false" outlineLevel="0" collapsed="false">
      <c r="A408" s="3" t="s">
        <v>486</v>
      </c>
      <c r="B408" s="0" t="s">
        <v>191</v>
      </c>
      <c r="C408" s="19" t="n">
        <f aca="false">a25_nb</f>
        <v>6.28452</v>
      </c>
      <c r="D408" s="19" t="n">
        <f aca="false">a26_nb</f>
        <v>5.730605796</v>
      </c>
      <c r="E408" s="19" t="n">
        <f aca="false">D408*(1+g_nb_27)</f>
        <v>5.55868762212</v>
      </c>
      <c r="F408" s="19" t="n">
        <f aca="false">E408*(1+g_nb_28)</f>
        <v>5.55868762212</v>
      </c>
      <c r="G408" s="19" t="n">
        <f aca="false">F408*(1+g_nb_29)</f>
        <v>5.55868762212</v>
      </c>
    </row>
    <row r="409" customFormat="false" ht="15" hidden="false" customHeight="false" outlineLevel="0" collapsed="false">
      <c r="A409" s="3" t="s">
        <v>487</v>
      </c>
      <c r="B409" s="0" t="s">
        <v>191</v>
      </c>
      <c r="C409" s="19" t="n">
        <f aca="false">a25_oth</f>
        <v>3.72416</v>
      </c>
      <c r="D409" s="19" t="n">
        <f aca="false">a26_oth</f>
        <v>4.2024442504</v>
      </c>
      <c r="E409" s="19" t="n">
        <f aca="false">D409*(1+g_oth_27)</f>
        <v>4.2024442504</v>
      </c>
      <c r="F409" s="19" t="n">
        <f aca="false">E409*(1+g_oth_28)</f>
        <v>4.2024442504</v>
      </c>
      <c r="G409" s="19" t="n">
        <f aca="false">F409*(1+g_oth_29)</f>
        <v>4.2024442504</v>
      </c>
    </row>
    <row r="410" customFormat="false" ht="15" hidden="false" customHeight="false" outlineLevel="0" collapsed="false">
      <c r="A410" s="3" t="s">
        <v>371</v>
      </c>
      <c r="B410" s="0" t="s">
        <v>191</v>
      </c>
      <c r="C410" s="19" t="n">
        <f aca="false">C405+C407+C408+C409</f>
        <v>23.276</v>
      </c>
      <c r="D410" s="19" t="n">
        <f aca="false">D405+D407+D408+D409</f>
        <v>38.20403864</v>
      </c>
      <c r="E410" s="19" t="n">
        <f aca="false">E405+E407+E408+E409</f>
        <v>64.5923712935455</v>
      </c>
      <c r="F410" s="19" t="n">
        <f aca="false">F405+F407+F408+F409</f>
        <v>73.366302999642</v>
      </c>
      <c r="G410" s="19" t="n">
        <f aca="false">G405+G407+G408+G409</f>
        <v>85.8004161273105</v>
      </c>
    </row>
    <row r="411" customFormat="false" ht="15" hidden="false" customHeight="false" outlineLevel="0" collapsed="false">
      <c r="A411" s="3" t="s">
        <v>488</v>
      </c>
      <c r="B411" s="0" t="s">
        <v>52</v>
      </c>
      <c r="D411" s="13" t="n">
        <f aca="false">D410/C410-1</f>
        <v>0.641348970613508</v>
      </c>
      <c r="E411" s="13" t="n">
        <f aca="false">E410/D410-1</f>
        <v>0.690721023036467</v>
      </c>
      <c r="F411" s="13" t="n">
        <f aca="false">F410/E410-1</f>
        <v>0.135835417254192</v>
      </c>
      <c r="G411" s="13" t="n">
        <f aca="false">G410/F410-1</f>
        <v>0.169479892256928</v>
      </c>
    </row>
    <row r="412" customFormat="false" ht="17.15" hidden="false" customHeight="false" outlineLevel="0" collapsed="false">
      <c r="A412" s="3" t="s">
        <v>489</v>
      </c>
      <c r="B412" s="0" t="s">
        <v>52</v>
      </c>
      <c r="C412" s="13" t="n">
        <f aca="false">C405/C410</f>
        <v>0.34</v>
      </c>
      <c r="D412" s="13" t="n">
        <f aca="false">D405/D410</f>
        <v>0.6</v>
      </c>
      <c r="E412" s="13" t="n">
        <f aca="false">E405/E410</f>
        <v>0.761935887401976</v>
      </c>
      <c r="F412" s="13" t="n">
        <f aca="false">F405/F410</f>
        <v>0.786578788947831</v>
      </c>
      <c r="G412" s="13" t="n">
        <f aca="false">G405/G410</f>
        <v>0.814071240853453</v>
      </c>
    </row>
    <row r="413" customFormat="false" ht="17.15" hidden="false" customHeight="false" outlineLevel="0" collapsed="false">
      <c r="A413" s="3" t="s">
        <v>448</v>
      </c>
      <c r="B413" s="0" t="s">
        <v>436</v>
      </c>
      <c r="D413" s="18" t="n">
        <f aca="false">D405/fx/D397*1000</f>
        <v>30.6128148005446</v>
      </c>
      <c r="E413" s="18" t="n">
        <f aca="false">E405/fx/E397*1000</f>
        <v>36.9290723757003</v>
      </c>
      <c r="F413" s="18" t="n">
        <f aca="false">F405/fx/F397*1000</f>
        <v>42.700174374494</v>
      </c>
      <c r="G413" s="18" t="n">
        <f aca="false">G405/fx/G397*1000</f>
        <v>42.700174374494</v>
      </c>
    </row>
    <row r="414" customFormat="false" ht="17.15" hidden="false" customHeight="false" outlineLevel="0" collapsed="false">
      <c r="A414" s="5" t="s">
        <v>490</v>
      </c>
    </row>
    <row r="415" customFormat="false" ht="17.15" hidden="false" customHeight="false" outlineLevel="0" collapsed="false">
      <c r="A415" s="3" t="s">
        <v>491</v>
      </c>
      <c r="B415" s="0" t="s">
        <v>52</v>
      </c>
      <c r="D415" s="13" t="n">
        <f aca="false">a26_gp/D410-d_lc*D412</f>
        <v>0.260156485550031</v>
      </c>
      <c r="H415" s="7" t="s">
        <v>492</v>
      </c>
    </row>
    <row r="416" customFormat="false" ht="15" hidden="false" customHeight="false" outlineLevel="0" collapsed="false">
      <c r="A416" s="3" t="s">
        <v>375</v>
      </c>
      <c r="B416" s="0" t="s">
        <v>191</v>
      </c>
      <c r="C416" s="19" t="n">
        <f aca="false">a25_gp</f>
        <v>6.372</v>
      </c>
      <c r="D416" s="19" t="n">
        <f aca="false">a26_gp</f>
        <v>11.0851495856</v>
      </c>
      <c r="E416" s="19" t="n">
        <f aca="false">$D$415*E410+d_lc*E405</f>
        <v>19.2648865961188</v>
      </c>
      <c r="F416" s="19" t="n">
        <f aca="false">$D$415*F410+d_lc*F405</f>
        <v>21.9721384343375</v>
      </c>
      <c r="G416" s="19" t="n">
        <f aca="false">$D$415*G410+d_lc*G405</f>
        <v>25.8139172795364</v>
      </c>
    </row>
    <row r="417" customFormat="false" ht="15" hidden="false" customHeight="false" outlineLevel="0" collapsed="false">
      <c r="A417" s="3" t="s">
        <v>378</v>
      </c>
      <c r="B417" s="0" t="s">
        <v>52</v>
      </c>
      <c r="C417" s="13" t="n">
        <f aca="false">C416/C410</f>
        <v>0.273758377728132</v>
      </c>
      <c r="D417" s="13" t="n">
        <f aca="false">D416/D410</f>
        <v>0.290156485550031</v>
      </c>
      <c r="E417" s="13" t="n">
        <f aca="false">E416/E410</f>
        <v>0.29825327992013</v>
      </c>
      <c r="F417" s="13" t="n">
        <f aca="false">F416/F410</f>
        <v>0.299485424997423</v>
      </c>
      <c r="G417" s="13" t="n">
        <f aca="false">G416/G410</f>
        <v>0.300860047592704</v>
      </c>
    </row>
    <row r="418" customFormat="false" ht="15" hidden="false" customHeight="false" outlineLevel="0" collapsed="false">
      <c r="A418" s="3" t="s">
        <v>493</v>
      </c>
      <c r="B418" s="0" t="s">
        <v>191</v>
      </c>
      <c r="C418" s="19" t="n">
        <f aca="false">a25_opx</f>
        <v>3.113</v>
      </c>
      <c r="D418" s="19" t="n">
        <f aca="false">a26_opx</f>
        <v>4.4038196704</v>
      </c>
      <c r="E418" s="19" t="n">
        <f aca="false">D418*(1+MAX(0,phi*E411))</f>
        <v>6.38099670860442</v>
      </c>
      <c r="F418" s="19" t="n">
        <f aca="false">E418*(1+MAX(0,phi*F411))</f>
        <v>6.94439418637152</v>
      </c>
      <c r="G418" s="19" t="n">
        <f aca="false">F418*(1+MAX(0,phi*G411))</f>
        <v>7.70940205239384</v>
      </c>
    </row>
    <row r="419" customFormat="false" ht="15" hidden="false" customHeight="false" outlineLevel="0" collapsed="false">
      <c r="A419" s="3" t="s">
        <v>380</v>
      </c>
      <c r="B419" s="0" t="s">
        <v>191</v>
      </c>
      <c r="C419" s="19" t="n">
        <f aca="false">C418</f>
        <v>3.113</v>
      </c>
      <c r="D419" s="19" t="n">
        <f aca="false">D418</f>
        <v>4.4038196704</v>
      </c>
      <c r="E419" s="19" t="n">
        <f aca="false">E418+0*E410</f>
        <v>6.38099670860442</v>
      </c>
      <c r="F419" s="19" t="n">
        <f aca="false">F418+0*F410</f>
        <v>6.94439418637152</v>
      </c>
      <c r="G419" s="19" t="n">
        <f aca="false">G418+0*G410</f>
        <v>7.70940205239384</v>
      </c>
    </row>
    <row r="420" customFormat="false" ht="15" hidden="false" customHeight="false" outlineLevel="0" collapsed="false">
      <c r="A420" s="3" t="s">
        <v>383</v>
      </c>
      <c r="B420" s="0" t="s">
        <v>191</v>
      </c>
      <c r="C420" s="19" t="n">
        <f aca="false">C416-C419</f>
        <v>3.259</v>
      </c>
      <c r="D420" s="19" t="n">
        <f aca="false">D416-D419</f>
        <v>6.6813299152</v>
      </c>
      <c r="E420" s="19" t="n">
        <f aca="false">E416-E419</f>
        <v>12.8838898875144</v>
      </c>
      <c r="F420" s="19" t="n">
        <f aca="false">F416-F419</f>
        <v>15.027744247966</v>
      </c>
      <c r="G420" s="19" t="n">
        <f aca="false">G416-G419</f>
        <v>18.1045152271426</v>
      </c>
    </row>
    <row r="421" customFormat="false" ht="15" hidden="false" customHeight="false" outlineLevel="0" collapsed="false">
      <c r="A421" s="3" t="s">
        <v>386</v>
      </c>
      <c r="B421" s="0" t="s">
        <v>52</v>
      </c>
      <c r="C421" s="13" t="n">
        <f aca="false">C420/C410</f>
        <v>0.140015466575013</v>
      </c>
      <c r="D421" s="13" t="n">
        <f aca="false">D420/D410</f>
        <v>0.174885434970861</v>
      </c>
      <c r="E421" s="13" t="n">
        <f aca="false">E420/E410</f>
        <v>0.199464574987694</v>
      </c>
      <c r="F421" s="13" t="n">
        <f aca="false">F420/F410</f>
        <v>0.204831695663325</v>
      </c>
      <c r="G421" s="13" t="n">
        <f aca="false">G420/G410</f>
        <v>0.211007312601831</v>
      </c>
    </row>
    <row r="422" customFormat="false" ht="15" hidden="false" customHeight="false" outlineLevel="0" collapsed="false">
      <c r="A422" s="3" t="s">
        <v>387</v>
      </c>
      <c r="B422" s="0" t="s">
        <v>191</v>
      </c>
      <c r="C422" s="19" t="n">
        <f aca="false">a25_nop</f>
        <v>0.0184359999999999</v>
      </c>
      <c r="D422" s="19" t="n">
        <f aca="false">a26_nop</f>
        <v>-0.0226839999999999</v>
      </c>
      <c r="E422" s="19" t="n">
        <f aca="false">nop_f</f>
        <v>0</v>
      </c>
      <c r="F422" s="19" t="n">
        <f aca="false">nop_f</f>
        <v>0</v>
      </c>
      <c r="G422" s="19" t="n">
        <f aca="false">nop_f</f>
        <v>0</v>
      </c>
    </row>
    <row r="423" customFormat="false" ht="17.15" hidden="false" customHeight="false" outlineLevel="0" collapsed="false">
      <c r="A423" s="3" t="s">
        <v>234</v>
      </c>
      <c r="B423" s="0" t="s">
        <v>52</v>
      </c>
      <c r="C423" s="13" t="n">
        <f aca="false">a25_ni/(a25_oi+a25_nop)</f>
        <v>0.78475979393648</v>
      </c>
      <c r="D423" s="13" t="n">
        <f aca="false">a26_ni/(a26_oi+a26_nop)</f>
        <v>0.739465828331271</v>
      </c>
      <c r="E423" s="13" t="n">
        <f aca="false">nir_f</f>
        <v>0.74</v>
      </c>
      <c r="F423" s="13" t="n">
        <f aca="false">nir_f</f>
        <v>0.74</v>
      </c>
      <c r="G423" s="13" t="n">
        <f aca="false">nir_f</f>
        <v>0.74</v>
      </c>
    </row>
    <row r="424" customFormat="false" ht="15" hidden="false" customHeight="false" outlineLevel="0" collapsed="false">
      <c r="A424" s="3" t="s">
        <v>391</v>
      </c>
      <c r="B424" s="0" t="s">
        <v>191</v>
      </c>
      <c r="C424" s="19" t="n">
        <f aca="false">a25_ni</f>
        <v>2.572</v>
      </c>
      <c r="D424" s="19" t="n">
        <f aca="false">a26_ni</f>
        <v>4.923841117248</v>
      </c>
      <c r="E424" s="19" t="n">
        <f aca="false">(E420+E422)*E423</f>
        <v>9.53407851676065</v>
      </c>
      <c r="F424" s="19" t="n">
        <f aca="false">(F420+F422)*F423</f>
        <v>11.1205307434948</v>
      </c>
      <c r="G424" s="19" t="n">
        <f aca="false">(G420+G422)*G423</f>
        <v>13.3973412680855</v>
      </c>
    </row>
    <row r="425" customFormat="false" ht="15" hidden="false" customHeight="false" outlineLevel="0" collapsed="false">
      <c r="A425" s="3" t="s">
        <v>494</v>
      </c>
      <c r="B425" s="3" t="s">
        <v>217</v>
      </c>
      <c r="C425" s="21" t="n">
        <f aca="false">a25_sh</f>
        <v>0.0910120311394197</v>
      </c>
      <c r="D425" s="21" t="n">
        <f aca="false">a26_sh</f>
        <v>0.093076837</v>
      </c>
      <c r="E425" s="21" t="n">
        <f aca="false">D425*(1+sh_g)</f>
        <v>0.093076837</v>
      </c>
      <c r="F425" s="21" t="n">
        <f aca="false">E425*(1+sh_g)</f>
        <v>0.093076837</v>
      </c>
      <c r="G425" s="21" t="n">
        <f aca="false">F425*(1+sh_g)</f>
        <v>0.093076837</v>
      </c>
    </row>
    <row r="426" customFormat="false" ht="15" hidden="false" customHeight="false" outlineLevel="0" collapsed="false">
      <c r="A426" s="0" t="s">
        <v>398</v>
      </c>
      <c r="B426" s="0" t="s">
        <v>251</v>
      </c>
      <c r="C426" s="20" t="n">
        <f aca="false">C424/C425</f>
        <v>28.26</v>
      </c>
      <c r="D426" s="20" t="n">
        <f aca="false">D424/D425</f>
        <v>52.9008212563992</v>
      </c>
      <c r="E426" s="20" t="n">
        <f aca="false">E424/E425</f>
        <v>102.432343255934</v>
      </c>
      <c r="F426" s="20" t="n">
        <f aca="false">F424/F425</f>
        <v>119.476887074437</v>
      </c>
      <c r="G426" s="20" t="n">
        <f aca="false">G424/G425</f>
        <v>143.938510373806</v>
      </c>
    </row>
    <row r="427" customFormat="false" ht="17.15" hidden="false" customHeight="false" outlineLevel="0" collapsed="false">
      <c r="A427" s="0" t="s">
        <v>495</v>
      </c>
      <c r="B427" s="0" t="s">
        <v>52</v>
      </c>
      <c r="D427" s="13" t="n">
        <f aca="false">D426/C426-1</f>
        <v>0.871932811620636</v>
      </c>
      <c r="E427" s="13" t="n">
        <f aca="false">E426/D426-1</f>
        <v>0.936309131373714</v>
      </c>
      <c r="F427" s="13" t="n">
        <f aca="false">F426/E426-1</f>
        <v>0.166398066047519</v>
      </c>
      <c r="G427" s="13" t="n">
        <f aca="false">G426/F426-1</f>
        <v>0.204739375944135</v>
      </c>
    </row>
    <row r="430" customFormat="false" ht="17.15" hidden="false" customHeight="false" outlineLevel="0" collapsed="false">
      <c r="A430" s="1" t="s">
        <v>852</v>
      </c>
    </row>
    <row r="431" customFormat="false" ht="17.15" hidden="false" customHeight="false" outlineLevel="0" collapsed="false">
      <c r="A431" s="4" t="s">
        <v>21</v>
      </c>
      <c r="B431" s="4" t="s">
        <v>22</v>
      </c>
      <c r="C431" s="10" t="s">
        <v>365</v>
      </c>
      <c r="D431" s="10" t="s">
        <v>452</v>
      </c>
      <c r="E431" s="10" t="s">
        <v>453</v>
      </c>
      <c r="F431" s="10" t="s">
        <v>454</v>
      </c>
      <c r="G431" s="10" t="s">
        <v>455</v>
      </c>
      <c r="H431" s="4" t="s">
        <v>350</v>
      </c>
    </row>
    <row r="432" customFormat="false" ht="17.15" hidden="false" customHeight="false" outlineLevel="0" collapsed="false">
      <c r="A432" s="5" t="s">
        <v>471</v>
      </c>
    </row>
    <row r="433" customFormat="false" ht="17.15" hidden="false" customHeight="false" outlineLevel="0" collapsed="false">
      <c r="A433" s="0" t="s">
        <v>472</v>
      </c>
      <c r="B433" s="0" t="s">
        <v>32</v>
      </c>
      <c r="D433" s="20" t="n">
        <f aca="false">itc_26*1</f>
        <v>781.872916666666</v>
      </c>
      <c r="E433" s="20" t="n">
        <f aca="false">itc_27*1*1</f>
        <v>1565.35</v>
      </c>
      <c r="F433" s="20" t="n">
        <f aca="false">itc_28*um28_B*1</f>
        <v>1587.41111111111</v>
      </c>
      <c r="G433" s="20" t="n">
        <f aca="false">itc_29*um29_B*1</f>
        <v>1921.33173611111</v>
      </c>
    </row>
    <row r="434" customFormat="false" ht="17.15" hidden="false" customHeight="false" outlineLevel="0" collapsed="false">
      <c r="A434" s="3" t="s">
        <v>473</v>
      </c>
      <c r="B434" s="0" t="s">
        <v>32</v>
      </c>
      <c r="D434" s="20" t="n">
        <f aca="false">itpg_gb*(1-vr26)+itpg_vr*vr26</f>
        <v>33.41403216</v>
      </c>
      <c r="E434" s="20" t="n">
        <f aca="false">itpg_vr</f>
        <v>37.586352</v>
      </c>
      <c r="F434" s="20" t="n">
        <f aca="false">itpg_vr</f>
        <v>37.586352</v>
      </c>
      <c r="G434" s="20" t="n">
        <f aca="false">itpg_vr</f>
        <v>37.586352</v>
      </c>
    </row>
    <row r="435" customFormat="false" ht="17.15" hidden="false" customHeight="false" outlineLevel="0" collapsed="false">
      <c r="A435" s="3" t="s">
        <v>474</v>
      </c>
      <c r="B435" s="0" t="s">
        <v>431</v>
      </c>
      <c r="D435" s="17" t="n">
        <f aca="false">D433/D434</f>
        <v>23.3995380420639</v>
      </c>
      <c r="E435" s="17" t="n">
        <f aca="false">E433/E434</f>
        <v>41.6467658260637</v>
      </c>
      <c r="F435" s="17" t="n">
        <f aca="false">F433/F434</f>
        <v>42.2337105529984</v>
      </c>
      <c r="G435" s="17" t="n">
        <f aca="false">G433/G434</f>
        <v>51.1178029756948</v>
      </c>
    </row>
    <row r="436" customFormat="false" ht="17.15" hidden="false" customHeight="false" outlineLevel="0" collapsed="false">
      <c r="A436" s="3" t="s">
        <v>475</v>
      </c>
      <c r="B436" s="0" t="s">
        <v>52</v>
      </c>
      <c r="D436" s="13" t="n">
        <f aca="false">lpenB_26</f>
        <v>0.55</v>
      </c>
      <c r="E436" s="13" t="n">
        <f aca="false">lpenB_27</f>
        <v>0.75</v>
      </c>
      <c r="F436" s="13" t="n">
        <f aca="false">lpenB_28</f>
        <v>0.85</v>
      </c>
      <c r="G436" s="13" t="n">
        <f aca="false">lpenB_29</f>
        <v>0.9</v>
      </c>
    </row>
    <row r="437" customFormat="false" ht="17.15" hidden="false" customHeight="false" outlineLevel="0" collapsed="false">
      <c r="A437" s="3" t="s">
        <v>476</v>
      </c>
      <c r="B437" s="0" t="s">
        <v>436</v>
      </c>
      <c r="D437" s="18" t="n">
        <f aca="false">((1-vr26)*racks_gb*(cool_gb+mani)+vr26*racks_vr*(cool_vr+mani))/1000</f>
        <v>350.7208</v>
      </c>
      <c r="E437" s="18" t="n">
        <f aca="false">racks_vr*(cool_vr+mani)*lcadj_27/1000</f>
        <v>326.5912</v>
      </c>
      <c r="F437" s="18" t="n">
        <f aca="false">racks_vr*(cool_vr+mani)*lcadj_28/1000</f>
        <v>351.7136</v>
      </c>
      <c r="G437" s="18" t="n">
        <f aca="false">racks_vr*(cool_vr+mani)*lcadj_29/1000</f>
        <v>351.7136</v>
      </c>
      <c r="H437" s="3" t="s">
        <v>477</v>
      </c>
    </row>
    <row r="438" customFormat="false" ht="17.15" hidden="false" customHeight="false" outlineLevel="0" collapsed="false">
      <c r="A438" s="0" t="s">
        <v>478</v>
      </c>
      <c r="B438" s="0" t="s">
        <v>32</v>
      </c>
      <c r="D438" s="20" t="n">
        <f aca="false">D435*D436*D437/1000</f>
        <v>4.51368758595869</v>
      </c>
      <c r="E438" s="20" t="n">
        <f aca="false">E435*E436*E437/1000</f>
        <v>10.2011004204398</v>
      </c>
      <c r="F438" s="20" t="n">
        <f aca="false">F435*F436*F437/1000</f>
        <v>12.6260448229601</v>
      </c>
      <c r="G438" s="20" t="n">
        <f aca="false">G435*G436*G437/1000</f>
        <v>16.1809438578051</v>
      </c>
    </row>
    <row r="439" customFormat="false" ht="17.15" hidden="false" customHeight="false" outlineLevel="0" collapsed="false">
      <c r="A439" s="0" t="s">
        <v>479</v>
      </c>
      <c r="B439" s="0" t="s">
        <v>191</v>
      </c>
      <c r="D439" s="19" t="n">
        <f aca="false">D438*fx</f>
        <v>144.438002750678</v>
      </c>
      <c r="E439" s="19" t="n">
        <f aca="false">E438*fx</f>
        <v>326.435213454075</v>
      </c>
      <c r="F439" s="19" t="n">
        <f aca="false">F438*fx</f>
        <v>404.033434334723</v>
      </c>
      <c r="G439" s="19" t="n">
        <f aca="false">G438*fx</f>
        <v>517.790203449763</v>
      </c>
    </row>
    <row r="440" customFormat="false" ht="17.15" hidden="false" customHeight="false" outlineLevel="0" collapsed="false">
      <c r="A440" s="3" t="s">
        <v>480</v>
      </c>
      <c r="B440" s="0" t="s">
        <v>52</v>
      </c>
      <c r="D440" s="13" t="n">
        <f aca="false">a26_lc/D439</f>
        <v>0.15870077644017</v>
      </c>
      <c r="H440" s="7" t="s">
        <v>481</v>
      </c>
    </row>
    <row r="441" customFormat="false" ht="17.15" hidden="false" customHeight="false" outlineLevel="0" collapsed="false">
      <c r="A441" s="3" t="s">
        <v>482</v>
      </c>
      <c r="B441" s="0" t="s">
        <v>73</v>
      </c>
      <c r="D441" s="14" t="n">
        <f aca="false">1</f>
        <v>1</v>
      </c>
      <c r="E441" s="14" t="n">
        <f aca="false">relB_27</f>
        <v>0.95</v>
      </c>
      <c r="F441" s="14" t="n">
        <f aca="false">relB_28</f>
        <v>0.9</v>
      </c>
      <c r="G441" s="14" t="n">
        <f aca="false">relB_29</f>
        <v>0.85</v>
      </c>
    </row>
    <row r="442" customFormat="false" ht="15" hidden="false" customHeight="false" outlineLevel="0" collapsed="false">
      <c r="A442" s="3" t="s">
        <v>440</v>
      </c>
      <c r="B442" s="0" t="s">
        <v>52</v>
      </c>
      <c r="D442" s="13" t="n">
        <f aca="false">$D$440*D441</f>
        <v>0.15870077644017</v>
      </c>
      <c r="E442" s="13" t="n">
        <f aca="false">$D$440*E441</f>
        <v>0.150765737618161</v>
      </c>
      <c r="F442" s="13" t="n">
        <f aca="false">$D$440*F441</f>
        <v>0.142830698796153</v>
      </c>
      <c r="G442" s="13" t="n">
        <f aca="false">$D$440*G441</f>
        <v>0.134895659974144</v>
      </c>
    </row>
    <row r="443" customFormat="false" ht="15" hidden="false" customHeight="false" outlineLevel="0" collapsed="false">
      <c r="A443" s="3" t="s">
        <v>483</v>
      </c>
      <c r="B443" s="0" t="s">
        <v>191</v>
      </c>
      <c r="C443" s="19" t="n">
        <f aca="false">a25_lc</f>
        <v>7.91384</v>
      </c>
      <c r="D443" s="19" t="n">
        <f aca="false">D439*D442</f>
        <v>22.922423184</v>
      </c>
      <c r="E443" s="19" t="n">
        <f aca="false">E439*E442</f>
        <v>49.2152457409455</v>
      </c>
      <c r="F443" s="19" t="n">
        <f aca="false">F439*F442</f>
        <v>57.708377763038</v>
      </c>
      <c r="G443" s="19" t="n">
        <f aca="false">G439*G442</f>
        <v>69.8476512225023</v>
      </c>
    </row>
    <row r="444" customFormat="false" ht="17.15" hidden="false" customHeight="false" outlineLevel="0" collapsed="false">
      <c r="A444" s="5" t="s">
        <v>484</v>
      </c>
    </row>
    <row r="445" customFormat="false" ht="17.15" hidden="false" customHeight="false" outlineLevel="0" collapsed="false">
      <c r="A445" s="3" t="s">
        <v>485</v>
      </c>
      <c r="B445" s="0" t="s">
        <v>191</v>
      </c>
      <c r="C445" s="19" t="n">
        <f aca="false">a25_sair</f>
        <v>5.35348</v>
      </c>
      <c r="D445" s="19" t="n">
        <f aca="false">a26_sair</f>
        <v>5.3485654096</v>
      </c>
      <c r="E445" s="19" t="n">
        <f aca="false">D445*(1+g_sair_27)</f>
        <v>5.08113713912</v>
      </c>
      <c r="F445" s="19" t="n">
        <f aca="false">E445*(1+g_sair_28)</f>
        <v>4.827080282164</v>
      </c>
      <c r="G445" s="19" t="n">
        <f aca="false">F445*(1+g_sair_29)</f>
        <v>4.5857262680558</v>
      </c>
    </row>
    <row r="446" customFormat="false" ht="15" hidden="false" customHeight="false" outlineLevel="0" collapsed="false">
      <c r="A446" s="3" t="s">
        <v>486</v>
      </c>
      <c r="B446" s="0" t="s">
        <v>191</v>
      </c>
      <c r="C446" s="19" t="n">
        <f aca="false">a25_nb</f>
        <v>6.28452</v>
      </c>
      <c r="D446" s="19" t="n">
        <f aca="false">a26_nb</f>
        <v>5.730605796</v>
      </c>
      <c r="E446" s="19" t="n">
        <f aca="false">D446*(1+GBLO_27)</f>
        <v>5.1575452164</v>
      </c>
      <c r="F446" s="19" t="n">
        <f aca="false">E446*(1+GBLO_28)</f>
        <v>4.744941599088</v>
      </c>
      <c r="G446" s="19" t="n">
        <f aca="false">F446*(1+GBLO_29)</f>
        <v>4.36534627116096</v>
      </c>
    </row>
    <row r="447" customFormat="false" ht="15" hidden="false" customHeight="false" outlineLevel="0" collapsed="false">
      <c r="A447" s="3" t="s">
        <v>487</v>
      </c>
      <c r="B447" s="0" t="s">
        <v>191</v>
      </c>
      <c r="C447" s="19" t="n">
        <f aca="false">a25_oth</f>
        <v>3.72416</v>
      </c>
      <c r="D447" s="19" t="n">
        <f aca="false">a26_oth</f>
        <v>4.2024442504</v>
      </c>
      <c r="E447" s="19" t="n">
        <f aca="false">D447*(1+GOLO_27)</f>
        <v>3.57207761284</v>
      </c>
      <c r="F447" s="19" t="n">
        <f aca="false">E447*(1+GOLO_28)</f>
        <v>3.214869851556</v>
      </c>
      <c r="G447" s="19" t="n">
        <f aca="false">F447*(1+GOLO_29)</f>
        <v>2.8933828664004</v>
      </c>
    </row>
    <row r="448" customFormat="false" ht="15" hidden="false" customHeight="false" outlineLevel="0" collapsed="false">
      <c r="A448" s="3" t="s">
        <v>371</v>
      </c>
      <c r="B448" s="0" t="s">
        <v>191</v>
      </c>
      <c r="C448" s="19" t="n">
        <f aca="false">C443+C445+C446+C447</f>
        <v>23.276</v>
      </c>
      <c r="D448" s="19" t="n">
        <f aca="false">D443+D445+D446+D447</f>
        <v>38.20403864</v>
      </c>
      <c r="E448" s="19" t="n">
        <f aca="false">E443+E445+E446+E447</f>
        <v>63.0260057093055</v>
      </c>
      <c r="F448" s="19" t="n">
        <f aca="false">F443+F445+F446+F447</f>
        <v>70.495269495846</v>
      </c>
      <c r="G448" s="19" t="n">
        <f aca="false">G443+G445+G446+G447</f>
        <v>81.6921066281194</v>
      </c>
    </row>
    <row r="449" customFormat="false" ht="15" hidden="false" customHeight="false" outlineLevel="0" collapsed="false">
      <c r="A449" s="3" t="s">
        <v>488</v>
      </c>
      <c r="B449" s="0" t="s">
        <v>52</v>
      </c>
      <c r="D449" s="13" t="n">
        <f aca="false">D448/C448-1</f>
        <v>0.641348970613508</v>
      </c>
      <c r="E449" s="13" t="n">
        <f aca="false">E448/D448-1</f>
        <v>0.649721023036467</v>
      </c>
      <c r="F449" s="13" t="n">
        <f aca="false">F448/E448-1</f>
        <v>0.118510822675181</v>
      </c>
      <c r="G449" s="13" t="n">
        <f aca="false">G448/F448-1</f>
        <v>0.158831042314594</v>
      </c>
    </row>
    <row r="450" customFormat="false" ht="17.15" hidden="false" customHeight="false" outlineLevel="0" collapsed="false">
      <c r="A450" s="3" t="s">
        <v>489</v>
      </c>
      <c r="B450" s="0" t="s">
        <v>52</v>
      </c>
      <c r="C450" s="13" t="n">
        <f aca="false">C443/C448</f>
        <v>0.34</v>
      </c>
      <c r="D450" s="13" t="n">
        <f aca="false">D443/D448</f>
        <v>0.6</v>
      </c>
      <c r="E450" s="13" t="n">
        <f aca="false">E443/E448</f>
        <v>0.780872041422722</v>
      </c>
      <c r="F450" s="13" t="n">
        <f aca="false">F443/F448</f>
        <v>0.818613478262375</v>
      </c>
      <c r="G450" s="13" t="n">
        <f aca="false">G443/G448</f>
        <v>0.85501101765516</v>
      </c>
    </row>
    <row r="451" customFormat="false" ht="17.15" hidden="false" customHeight="false" outlineLevel="0" collapsed="false">
      <c r="A451" s="3" t="s">
        <v>448</v>
      </c>
      <c r="B451" s="0" t="s">
        <v>436</v>
      </c>
      <c r="D451" s="18" t="n">
        <f aca="false">D443/fx/D435*1000</f>
        <v>30.6128148005446</v>
      </c>
      <c r="E451" s="18" t="n">
        <f aca="false">E443/fx/E435*1000</f>
        <v>36.9290723757003</v>
      </c>
      <c r="F451" s="18" t="n">
        <f aca="false">F443/fx/F435*1000</f>
        <v>42.700174374494</v>
      </c>
      <c r="G451" s="18" t="n">
        <f aca="false">G443/fx/G435*1000</f>
        <v>42.700174374494</v>
      </c>
    </row>
    <row r="452" customFormat="false" ht="17.15" hidden="false" customHeight="false" outlineLevel="0" collapsed="false">
      <c r="A452" s="5" t="s">
        <v>490</v>
      </c>
    </row>
    <row r="453" customFormat="false" ht="17.15" hidden="false" customHeight="false" outlineLevel="0" collapsed="false">
      <c r="A453" s="3" t="s">
        <v>491</v>
      </c>
      <c r="B453" s="0" t="s">
        <v>52</v>
      </c>
      <c r="D453" s="13" t="n">
        <f aca="false">a26_gp/D448-d_lc*D450</f>
        <v>0.260156485550031</v>
      </c>
      <c r="H453" s="7" t="s">
        <v>492</v>
      </c>
    </row>
    <row r="454" customFormat="false" ht="15" hidden="false" customHeight="false" outlineLevel="0" collapsed="false">
      <c r="A454" s="3" t="s">
        <v>375</v>
      </c>
      <c r="B454" s="0" t="s">
        <v>191</v>
      </c>
      <c r="C454" s="19" t="n">
        <f aca="false">a25_gp</f>
        <v>6.372</v>
      </c>
      <c r="D454" s="19" t="n">
        <f aca="false">a26_gp</f>
        <v>11.0851495856</v>
      </c>
      <c r="E454" s="19" t="n">
        <f aca="false">$D$453*E448+d_lc*E443</f>
        <v>18.8573864306364</v>
      </c>
      <c r="F454" s="19" t="n">
        <f aca="false">$D$453*F448+d_lc*F443</f>
        <v>21.2252204480935</v>
      </c>
      <c r="G454" s="19" t="n">
        <f aca="false">$D$453*G448+d_lc*G443</f>
        <v>24.7451139186751</v>
      </c>
    </row>
    <row r="455" customFormat="false" ht="15" hidden="false" customHeight="false" outlineLevel="0" collapsed="false">
      <c r="A455" s="3" t="s">
        <v>378</v>
      </c>
      <c r="B455" s="0" t="s">
        <v>52</v>
      </c>
      <c r="C455" s="13" t="n">
        <f aca="false">C454/C448</f>
        <v>0.273758377728132</v>
      </c>
      <c r="D455" s="13" t="n">
        <f aca="false">D454/D448</f>
        <v>0.290156485550031</v>
      </c>
      <c r="E455" s="13" t="n">
        <f aca="false">E454/E448</f>
        <v>0.299200087621167</v>
      </c>
      <c r="F455" s="13" t="n">
        <f aca="false">F454/F448</f>
        <v>0.30108715946315</v>
      </c>
      <c r="G455" s="13" t="n">
        <f aca="false">G454/G448</f>
        <v>0.302907036432789</v>
      </c>
    </row>
    <row r="456" customFormat="false" ht="15" hidden="false" customHeight="false" outlineLevel="0" collapsed="false">
      <c r="A456" s="3" t="s">
        <v>493</v>
      </c>
      <c r="B456" s="0" t="s">
        <v>191</v>
      </c>
      <c r="C456" s="19" t="n">
        <f aca="false">a25_opx</f>
        <v>3.113</v>
      </c>
      <c r="D456" s="19" t="n">
        <f aca="false">a26_opx</f>
        <v>4.4038196704</v>
      </c>
      <c r="E456" s="19" t="n">
        <f aca="false">D456*(1+MAX(0,phi*E449))</f>
        <v>6.26363491438826</v>
      </c>
      <c r="F456" s="19" t="n">
        <f aca="false">E456*(1+MAX(0,phi*F449))</f>
        <v>6.74613545670501</v>
      </c>
      <c r="G456" s="19" t="n">
        <f aca="false">F456*(1+MAX(0,phi*G449))</f>
        <v>7.44260767872454</v>
      </c>
    </row>
    <row r="457" customFormat="false" ht="15" hidden="false" customHeight="false" outlineLevel="0" collapsed="false">
      <c r="A457" s="3" t="s">
        <v>380</v>
      </c>
      <c r="B457" s="0" t="s">
        <v>191</v>
      </c>
      <c r="C457" s="19" t="n">
        <f aca="false">C456</f>
        <v>3.113</v>
      </c>
      <c r="D457" s="19" t="n">
        <f aca="false">D456</f>
        <v>4.4038196704</v>
      </c>
      <c r="E457" s="19" t="n">
        <f aca="false">E456+0*E448</f>
        <v>6.26363491438826</v>
      </c>
      <c r="F457" s="19" t="n">
        <f aca="false">F456+0*F448</f>
        <v>6.74613545670501</v>
      </c>
      <c r="G457" s="19" t="n">
        <f aca="false">G456+0*G448</f>
        <v>7.44260767872454</v>
      </c>
    </row>
    <row r="458" customFormat="false" ht="15" hidden="false" customHeight="false" outlineLevel="0" collapsed="false">
      <c r="A458" s="3" t="s">
        <v>383</v>
      </c>
      <c r="B458" s="0" t="s">
        <v>191</v>
      </c>
      <c r="C458" s="19" t="n">
        <f aca="false">C454-C457</f>
        <v>3.259</v>
      </c>
      <c r="D458" s="19" t="n">
        <f aca="false">D454-D457</f>
        <v>6.6813299152</v>
      </c>
      <c r="E458" s="19" t="n">
        <f aca="false">E454-E457</f>
        <v>12.5937515162482</v>
      </c>
      <c r="F458" s="19" t="n">
        <f aca="false">F454-F457</f>
        <v>14.4790849913885</v>
      </c>
      <c r="G458" s="19" t="n">
        <f aca="false">G454-G457</f>
        <v>17.3025062399505</v>
      </c>
    </row>
    <row r="459" customFormat="false" ht="15" hidden="false" customHeight="false" outlineLevel="0" collapsed="false">
      <c r="A459" s="3" t="s">
        <v>386</v>
      </c>
      <c r="B459" s="0" t="s">
        <v>52</v>
      </c>
      <c r="C459" s="13" t="n">
        <f aca="false">C458/C448</f>
        <v>0.140015466575013</v>
      </c>
      <c r="D459" s="13" t="n">
        <f aca="false">D458/D448</f>
        <v>0.174885434970861</v>
      </c>
      <c r="E459" s="13" t="n">
        <f aca="false">E458/E448</f>
        <v>0.199818334900267</v>
      </c>
      <c r="F459" s="13" t="n">
        <f aca="false">F458/F448</f>
        <v>0.205390873670491</v>
      </c>
      <c r="G459" s="13" t="n">
        <f aca="false">G458/G448</f>
        <v>0.211801445134906</v>
      </c>
    </row>
    <row r="460" customFormat="false" ht="15" hidden="false" customHeight="false" outlineLevel="0" collapsed="false">
      <c r="A460" s="3" t="s">
        <v>387</v>
      </c>
      <c r="B460" s="0" t="s">
        <v>191</v>
      </c>
      <c r="C460" s="19" t="n">
        <f aca="false">a25_nop</f>
        <v>0.0184359999999999</v>
      </c>
      <c r="D460" s="19" t="n">
        <f aca="false">a26_nop</f>
        <v>-0.0226839999999999</v>
      </c>
      <c r="E460" s="19" t="n">
        <f aca="false">nop_f</f>
        <v>0</v>
      </c>
      <c r="F460" s="19" t="n">
        <f aca="false">nop_f</f>
        <v>0</v>
      </c>
      <c r="G460" s="19" t="n">
        <f aca="false">nop_f</f>
        <v>0</v>
      </c>
    </row>
    <row r="461" customFormat="false" ht="17.15" hidden="false" customHeight="false" outlineLevel="0" collapsed="false">
      <c r="A461" s="3" t="s">
        <v>234</v>
      </c>
      <c r="B461" s="0" t="s">
        <v>52</v>
      </c>
      <c r="C461" s="13" t="n">
        <f aca="false">a25_ni/(a25_oi+a25_nop)</f>
        <v>0.78475979393648</v>
      </c>
      <c r="D461" s="13" t="n">
        <f aca="false">a26_ni/(a26_oi+a26_nop)</f>
        <v>0.739465828331271</v>
      </c>
      <c r="E461" s="13" t="n">
        <f aca="false">nir_f</f>
        <v>0.74</v>
      </c>
      <c r="F461" s="13" t="n">
        <f aca="false">nir_f</f>
        <v>0.74</v>
      </c>
      <c r="G461" s="13" t="n">
        <f aca="false">nir_f</f>
        <v>0.74</v>
      </c>
    </row>
    <row r="462" customFormat="false" ht="15" hidden="false" customHeight="false" outlineLevel="0" collapsed="false">
      <c r="A462" s="3" t="s">
        <v>391</v>
      </c>
      <c r="B462" s="0" t="s">
        <v>191</v>
      </c>
      <c r="C462" s="19" t="n">
        <f aca="false">a25_ni</f>
        <v>2.572</v>
      </c>
      <c r="D462" s="19" t="n">
        <f aca="false">a26_ni</f>
        <v>4.923841117248</v>
      </c>
      <c r="E462" s="19" t="n">
        <f aca="false">(E458+E460)*E461</f>
        <v>9.31937612202363</v>
      </c>
      <c r="F462" s="19" t="n">
        <f aca="false">(F458+F460)*F461</f>
        <v>10.7145228936275</v>
      </c>
      <c r="G462" s="19" t="n">
        <f aca="false">(G458+G460)*G461</f>
        <v>12.8038546175634</v>
      </c>
    </row>
    <row r="463" customFormat="false" ht="15" hidden="false" customHeight="false" outlineLevel="0" collapsed="false">
      <c r="A463" s="3" t="s">
        <v>494</v>
      </c>
      <c r="B463" s="3" t="s">
        <v>217</v>
      </c>
      <c r="C463" s="21" t="n">
        <f aca="false">a25_sh</f>
        <v>0.0910120311394197</v>
      </c>
      <c r="D463" s="21" t="n">
        <f aca="false">a26_sh</f>
        <v>0.093076837</v>
      </c>
      <c r="E463" s="21" t="n">
        <f aca="false">D463*(1+sh_g)</f>
        <v>0.093076837</v>
      </c>
      <c r="F463" s="21" t="n">
        <f aca="false">E463*(1+sh_g)</f>
        <v>0.093076837</v>
      </c>
      <c r="G463" s="21" t="n">
        <f aca="false">F463*(1+sh_g)</f>
        <v>0.093076837</v>
      </c>
    </row>
    <row r="464" customFormat="false" ht="15" hidden="false" customHeight="false" outlineLevel="0" collapsed="false">
      <c r="A464" s="0" t="s">
        <v>398</v>
      </c>
      <c r="B464" s="0" t="s">
        <v>251</v>
      </c>
      <c r="C464" s="20" t="n">
        <f aca="false">C462/C463</f>
        <v>28.26</v>
      </c>
      <c r="D464" s="20" t="n">
        <f aca="false">D462/D463</f>
        <v>52.9008212563992</v>
      </c>
      <c r="E464" s="20" t="n">
        <f aca="false">E462/E463</f>
        <v>100.125621179237</v>
      </c>
      <c r="F464" s="20" t="n">
        <f aca="false">F462/F463</f>
        <v>115.11481523193</v>
      </c>
      <c r="G464" s="20" t="n">
        <f aca="false">G462/G463</f>
        <v>137.562201620188</v>
      </c>
    </row>
    <row r="465" customFormat="false" ht="17.15" hidden="false" customHeight="false" outlineLevel="0" collapsed="false">
      <c r="A465" s="0" t="s">
        <v>495</v>
      </c>
      <c r="B465" s="0" t="s">
        <v>52</v>
      </c>
      <c r="D465" s="13" t="n">
        <f aca="false">D464/C464-1</f>
        <v>0.871932811620636</v>
      </c>
      <c r="E465" s="13" t="n">
        <f aca="false">E464/D464-1</f>
        <v>0.892704476060015</v>
      </c>
      <c r="F465" s="13" t="n">
        <f aca="false">F464/E464-1</f>
        <v>0.149703880746572</v>
      </c>
      <c r="G465" s="13" t="n">
        <f aca="false">G464/F464-1</f>
        <v>0.194999977570493</v>
      </c>
    </row>
    <row r="468" customFormat="false" ht="17.15" hidden="false" customHeight="false" outlineLevel="0" collapsed="false">
      <c r="A468" s="1" t="s">
        <v>853</v>
      </c>
    </row>
    <row r="469" customFormat="false" ht="17.15" hidden="false" customHeight="false" outlineLevel="0" collapsed="false">
      <c r="A469" s="4" t="s">
        <v>21</v>
      </c>
      <c r="B469" s="4" t="s">
        <v>22</v>
      </c>
      <c r="C469" s="10" t="s">
        <v>365</v>
      </c>
      <c r="D469" s="10" t="s">
        <v>452</v>
      </c>
      <c r="E469" s="10" t="s">
        <v>453</v>
      </c>
      <c r="F469" s="10" t="s">
        <v>454</v>
      </c>
      <c r="G469" s="10" t="s">
        <v>455</v>
      </c>
      <c r="H469" s="4" t="s">
        <v>350</v>
      </c>
    </row>
    <row r="470" customFormat="false" ht="17.15" hidden="false" customHeight="false" outlineLevel="0" collapsed="false">
      <c r="A470" s="5" t="s">
        <v>471</v>
      </c>
    </row>
    <row r="471" customFormat="false" ht="17.15" hidden="false" customHeight="false" outlineLevel="0" collapsed="false">
      <c r="A471" s="0" t="s">
        <v>472</v>
      </c>
      <c r="B471" s="0" t="s">
        <v>32</v>
      </c>
      <c r="D471" s="20" t="n">
        <f aca="false">itc_26*1</f>
        <v>781.872916666666</v>
      </c>
      <c r="E471" s="20" t="n">
        <f aca="false">itc_27*1*1</f>
        <v>1565.35</v>
      </c>
      <c r="F471" s="20" t="n">
        <f aca="false">itc_28*um28_B*1</f>
        <v>1587.41111111111</v>
      </c>
      <c r="G471" s="20" t="n">
        <f aca="false">itc_29*um29_B*1</f>
        <v>1921.33173611111</v>
      </c>
    </row>
    <row r="472" customFormat="false" ht="17.15" hidden="false" customHeight="false" outlineLevel="0" collapsed="false">
      <c r="A472" s="3" t="s">
        <v>473</v>
      </c>
      <c r="B472" s="0" t="s">
        <v>32</v>
      </c>
      <c r="D472" s="20" t="n">
        <f aca="false">itpg_gb*(1-vr26)+itpg_vr*vr26</f>
        <v>33.41403216</v>
      </c>
      <c r="E472" s="20" t="n">
        <f aca="false">itpg_vr</f>
        <v>37.586352</v>
      </c>
      <c r="F472" s="20" t="n">
        <f aca="false">itpg_vr</f>
        <v>37.586352</v>
      </c>
      <c r="G472" s="20" t="n">
        <f aca="false">itpg_vr</f>
        <v>37.586352</v>
      </c>
    </row>
    <row r="473" customFormat="false" ht="17.15" hidden="false" customHeight="false" outlineLevel="0" collapsed="false">
      <c r="A473" s="3" t="s">
        <v>474</v>
      </c>
      <c r="B473" s="0" t="s">
        <v>431</v>
      </c>
      <c r="D473" s="17" t="n">
        <f aca="false">D471/D472</f>
        <v>23.3995380420639</v>
      </c>
      <c r="E473" s="17" t="n">
        <f aca="false">E471/E472</f>
        <v>41.6467658260637</v>
      </c>
      <c r="F473" s="17" t="n">
        <f aca="false">F471/F472</f>
        <v>42.2337105529984</v>
      </c>
      <c r="G473" s="17" t="n">
        <f aca="false">G471/G472</f>
        <v>51.1178029756948</v>
      </c>
    </row>
    <row r="474" customFormat="false" ht="17.15" hidden="false" customHeight="false" outlineLevel="0" collapsed="false">
      <c r="A474" s="3" t="s">
        <v>475</v>
      </c>
      <c r="B474" s="0" t="s">
        <v>52</v>
      </c>
      <c r="D474" s="13" t="n">
        <f aca="false">lpenB_26</f>
        <v>0.55</v>
      </c>
      <c r="E474" s="13" t="n">
        <f aca="false">lpenB_27</f>
        <v>0.75</v>
      </c>
      <c r="F474" s="13" t="n">
        <f aca="false">lpenB_28</f>
        <v>0.85</v>
      </c>
      <c r="G474" s="13" t="n">
        <f aca="false">lpenB_29</f>
        <v>0.9</v>
      </c>
    </row>
    <row r="475" customFormat="false" ht="17.15" hidden="false" customHeight="false" outlineLevel="0" collapsed="false">
      <c r="A475" s="3" t="s">
        <v>476</v>
      </c>
      <c r="B475" s="0" t="s">
        <v>436</v>
      </c>
      <c r="D475" s="18" t="n">
        <f aca="false">((1-vr26)*racks_gb*(cool_gb+mani)+vr26*racks_vr*(cool_vr+mani))/1000</f>
        <v>350.7208</v>
      </c>
      <c r="E475" s="18" t="n">
        <f aca="false">racks_vr*(cool_vr+mani)*lcadj_27/1000</f>
        <v>326.5912</v>
      </c>
      <c r="F475" s="18" t="n">
        <f aca="false">racks_vr*(cool_vr+mani)*lcadj_28/1000</f>
        <v>351.7136</v>
      </c>
      <c r="G475" s="18" t="n">
        <f aca="false">racks_vr*(cool_vr+mani)*lcadj_29/1000</f>
        <v>351.7136</v>
      </c>
      <c r="H475" s="3" t="s">
        <v>477</v>
      </c>
    </row>
    <row r="476" customFormat="false" ht="17.15" hidden="false" customHeight="false" outlineLevel="0" collapsed="false">
      <c r="A476" s="0" t="s">
        <v>478</v>
      </c>
      <c r="B476" s="0" t="s">
        <v>32</v>
      </c>
      <c r="D476" s="20" t="n">
        <f aca="false">D473*D474*D475/1000</f>
        <v>4.51368758595869</v>
      </c>
      <c r="E476" s="20" t="n">
        <f aca="false">E473*E474*E475/1000</f>
        <v>10.2011004204398</v>
      </c>
      <c r="F476" s="20" t="n">
        <f aca="false">F473*F474*F475/1000</f>
        <v>12.6260448229601</v>
      </c>
      <c r="G476" s="20" t="n">
        <f aca="false">G473*G474*G475/1000</f>
        <v>16.1809438578051</v>
      </c>
    </row>
    <row r="477" customFormat="false" ht="17.15" hidden="false" customHeight="false" outlineLevel="0" collapsed="false">
      <c r="A477" s="0" t="s">
        <v>479</v>
      </c>
      <c r="B477" s="0" t="s">
        <v>191</v>
      </c>
      <c r="D477" s="19" t="n">
        <f aca="false">D476*fx</f>
        <v>144.438002750678</v>
      </c>
      <c r="E477" s="19" t="n">
        <f aca="false">E476*fx</f>
        <v>326.435213454075</v>
      </c>
      <c r="F477" s="19" t="n">
        <f aca="false">F476*fx</f>
        <v>404.033434334723</v>
      </c>
      <c r="G477" s="19" t="n">
        <f aca="false">G476*fx</f>
        <v>517.790203449763</v>
      </c>
    </row>
    <row r="478" customFormat="false" ht="17.15" hidden="false" customHeight="false" outlineLevel="0" collapsed="false">
      <c r="A478" s="3" t="s">
        <v>480</v>
      </c>
      <c r="B478" s="0" t="s">
        <v>52</v>
      </c>
      <c r="D478" s="13" t="n">
        <f aca="false">a26_lc/D477</f>
        <v>0.15870077644017</v>
      </c>
      <c r="H478" s="7" t="s">
        <v>481</v>
      </c>
    </row>
    <row r="479" customFormat="false" ht="17.15" hidden="false" customHeight="false" outlineLevel="0" collapsed="false">
      <c r="A479" s="3" t="s">
        <v>482</v>
      </c>
      <c r="B479" s="0" t="s">
        <v>73</v>
      </c>
      <c r="D479" s="14" t="n">
        <f aca="false">1</f>
        <v>1</v>
      </c>
      <c r="E479" s="14" t="n">
        <f aca="false">relB_27</f>
        <v>0.95</v>
      </c>
      <c r="F479" s="14" t="n">
        <f aca="false">relB_28</f>
        <v>0.9</v>
      </c>
      <c r="G479" s="14" t="n">
        <f aca="false">relB_29</f>
        <v>0.85</v>
      </c>
    </row>
    <row r="480" customFormat="false" ht="15" hidden="false" customHeight="false" outlineLevel="0" collapsed="false">
      <c r="A480" s="3" t="s">
        <v>440</v>
      </c>
      <c r="B480" s="0" t="s">
        <v>52</v>
      </c>
      <c r="D480" s="13" t="n">
        <f aca="false">$D$478*D479</f>
        <v>0.15870077644017</v>
      </c>
      <c r="E480" s="13" t="n">
        <f aca="false">$D$478*E479</f>
        <v>0.150765737618161</v>
      </c>
      <c r="F480" s="13" t="n">
        <f aca="false">$D$478*F479</f>
        <v>0.142830698796153</v>
      </c>
      <c r="G480" s="13" t="n">
        <f aca="false">$D$478*G479</f>
        <v>0.134895659974144</v>
      </c>
    </row>
    <row r="481" customFormat="false" ht="15" hidden="false" customHeight="false" outlineLevel="0" collapsed="false">
      <c r="A481" s="3" t="s">
        <v>483</v>
      </c>
      <c r="B481" s="0" t="s">
        <v>191</v>
      </c>
      <c r="C481" s="19" t="n">
        <f aca="false">a25_lc</f>
        <v>7.91384</v>
      </c>
      <c r="D481" s="19" t="n">
        <f aca="false">D477*D480</f>
        <v>22.922423184</v>
      </c>
      <c r="E481" s="19" t="n">
        <f aca="false">E477*E480</f>
        <v>49.2152457409455</v>
      </c>
      <c r="F481" s="19" t="n">
        <f aca="false">F477*F480</f>
        <v>57.708377763038</v>
      </c>
      <c r="G481" s="19" t="n">
        <f aca="false">G477*G480</f>
        <v>69.8476512225023</v>
      </c>
    </row>
    <row r="482" customFormat="false" ht="17.15" hidden="false" customHeight="false" outlineLevel="0" collapsed="false">
      <c r="A482" s="5" t="s">
        <v>484</v>
      </c>
    </row>
    <row r="483" customFormat="false" ht="17.15" hidden="false" customHeight="false" outlineLevel="0" collapsed="false">
      <c r="A483" s="3" t="s">
        <v>485</v>
      </c>
      <c r="B483" s="0" t="s">
        <v>191</v>
      </c>
      <c r="C483" s="19" t="n">
        <f aca="false">a25_sair</f>
        <v>5.35348</v>
      </c>
      <c r="D483" s="19" t="n">
        <f aca="false">a26_sair</f>
        <v>5.3485654096</v>
      </c>
      <c r="E483" s="19" t="n">
        <f aca="false">D483*(1+g_sair_27)</f>
        <v>5.08113713912</v>
      </c>
      <c r="F483" s="19" t="n">
        <f aca="false">E483*(1+g_sair_28)</f>
        <v>4.827080282164</v>
      </c>
      <c r="G483" s="19" t="n">
        <f aca="false">F483*(1+g_sair_29)</f>
        <v>4.5857262680558</v>
      </c>
    </row>
    <row r="484" customFormat="false" ht="15" hidden="false" customHeight="false" outlineLevel="0" collapsed="false">
      <c r="A484" s="3" t="s">
        <v>486</v>
      </c>
      <c r="B484" s="0" t="s">
        <v>191</v>
      </c>
      <c r="C484" s="19" t="n">
        <f aca="false">a25_nb</f>
        <v>6.28452</v>
      </c>
      <c r="D484" s="19" t="n">
        <f aca="false">a26_nb</f>
        <v>5.730605796</v>
      </c>
      <c r="E484" s="19" t="n">
        <f aca="false">D484*(1+GBHI_27)</f>
        <v>6.0171360858</v>
      </c>
      <c r="F484" s="19" t="n">
        <f aca="false">E484*(1+GBHI_28)</f>
        <v>6.31799289009</v>
      </c>
      <c r="G484" s="19" t="n">
        <f aca="false">F484*(1+GBHI_29)</f>
        <v>6.6338925345945</v>
      </c>
    </row>
    <row r="485" customFormat="false" ht="15" hidden="false" customHeight="false" outlineLevel="0" collapsed="false">
      <c r="A485" s="3" t="s">
        <v>487</v>
      </c>
      <c r="B485" s="0" t="s">
        <v>191</v>
      </c>
      <c r="C485" s="19" t="n">
        <f aca="false">a25_oth</f>
        <v>3.72416</v>
      </c>
      <c r="D485" s="19" t="n">
        <f aca="false">a26_oth</f>
        <v>4.2024442504</v>
      </c>
      <c r="E485" s="19" t="n">
        <f aca="false">D485*(1+GOHI_27)</f>
        <v>4.538639790432</v>
      </c>
      <c r="F485" s="19" t="n">
        <f aca="false">E485*(1+GOHI_28)</f>
        <v>4.90173097366656</v>
      </c>
      <c r="G485" s="19" t="n">
        <f aca="false">F485*(1+GOHI_29)</f>
        <v>5.29386945155989</v>
      </c>
    </row>
    <row r="486" customFormat="false" ht="15" hidden="false" customHeight="false" outlineLevel="0" collapsed="false">
      <c r="A486" s="3" t="s">
        <v>371</v>
      </c>
      <c r="B486" s="0" t="s">
        <v>191</v>
      </c>
      <c r="C486" s="19" t="n">
        <f aca="false">C481+C483+C484+C485</f>
        <v>23.276</v>
      </c>
      <c r="D486" s="19" t="n">
        <f aca="false">D481+D483+D484+D485</f>
        <v>38.20403864</v>
      </c>
      <c r="E486" s="19" t="n">
        <f aca="false">E481+E483+E484+E485</f>
        <v>64.8521587562975</v>
      </c>
      <c r="F486" s="19" t="n">
        <f aca="false">F481+F483+F484+F485</f>
        <v>73.7551819089586</v>
      </c>
      <c r="G486" s="19" t="n">
        <f aca="false">G481+G483+G484+G485</f>
        <v>86.3611394767125</v>
      </c>
    </row>
    <row r="487" customFormat="false" ht="15" hidden="false" customHeight="false" outlineLevel="0" collapsed="false">
      <c r="A487" s="3" t="s">
        <v>488</v>
      </c>
      <c r="B487" s="0" t="s">
        <v>52</v>
      </c>
      <c r="D487" s="13" t="n">
        <f aca="false">D486/C486-1</f>
        <v>0.641348970613508</v>
      </c>
      <c r="E487" s="13" t="n">
        <f aca="false">E486/D486-1</f>
        <v>0.697521023036468</v>
      </c>
      <c r="F487" s="13" t="n">
        <f aca="false">F486/E486-1</f>
        <v>0.137281831837194</v>
      </c>
      <c r="G487" s="13" t="n">
        <f aca="false">G486/F486-1</f>
        <v>0.170916229090376</v>
      </c>
    </row>
    <row r="488" customFormat="false" ht="17.15" hidden="false" customHeight="false" outlineLevel="0" collapsed="false">
      <c r="A488" s="3" t="s">
        <v>489</v>
      </c>
      <c r="B488" s="0" t="s">
        <v>52</v>
      </c>
      <c r="C488" s="13" t="n">
        <f aca="false">C481/C486</f>
        <v>0.34</v>
      </c>
      <c r="D488" s="13" t="n">
        <f aca="false">D481/D486</f>
        <v>0.6</v>
      </c>
      <c r="E488" s="13" t="n">
        <f aca="false">E481/E486</f>
        <v>0.758883693076238</v>
      </c>
      <c r="F488" s="13" t="n">
        <f aca="false">F481/F486</f>
        <v>0.782431502023433</v>
      </c>
      <c r="G488" s="13" t="n">
        <f aca="false">G481/G486</f>
        <v>0.808785660376064</v>
      </c>
    </row>
    <row r="489" customFormat="false" ht="17.15" hidden="false" customHeight="false" outlineLevel="0" collapsed="false">
      <c r="A489" s="3" t="s">
        <v>448</v>
      </c>
      <c r="B489" s="0" t="s">
        <v>436</v>
      </c>
      <c r="D489" s="18" t="n">
        <f aca="false">D481/fx/D473*1000</f>
        <v>30.6128148005446</v>
      </c>
      <c r="E489" s="18" t="n">
        <f aca="false">E481/fx/E473*1000</f>
        <v>36.9290723757003</v>
      </c>
      <c r="F489" s="18" t="n">
        <f aca="false">F481/fx/F473*1000</f>
        <v>42.700174374494</v>
      </c>
      <c r="G489" s="18" t="n">
        <f aca="false">G481/fx/G473*1000</f>
        <v>42.700174374494</v>
      </c>
    </row>
    <row r="490" customFormat="false" ht="17.15" hidden="false" customHeight="false" outlineLevel="0" collapsed="false">
      <c r="A490" s="5" t="s">
        <v>490</v>
      </c>
    </row>
    <row r="491" customFormat="false" ht="17.15" hidden="false" customHeight="false" outlineLevel="0" collapsed="false">
      <c r="A491" s="3" t="s">
        <v>491</v>
      </c>
      <c r="B491" s="0" t="s">
        <v>52</v>
      </c>
      <c r="D491" s="13" t="n">
        <f aca="false">a26_gp/D486-d_lc*D488</f>
        <v>0.260156485550031</v>
      </c>
      <c r="H491" s="7" t="s">
        <v>492</v>
      </c>
    </row>
    <row r="492" customFormat="false" ht="15" hidden="false" customHeight="false" outlineLevel="0" collapsed="false">
      <c r="A492" s="3" t="s">
        <v>375</v>
      </c>
      <c r="B492" s="0" t="s">
        <v>191</v>
      </c>
      <c r="C492" s="19" t="n">
        <f aca="false">a25_gp</f>
        <v>6.372</v>
      </c>
      <c r="D492" s="19" t="n">
        <f aca="false">a26_gp</f>
        <v>11.0851495856</v>
      </c>
      <c r="E492" s="19" t="n">
        <f aca="false">$D$491*E486+d_lc*E481</f>
        <v>19.3324719894183</v>
      </c>
      <c r="F492" s="19" t="n">
        <f aca="false">$D$491*F486+d_lc*F481</f>
        <v>22.0733078046898</v>
      </c>
      <c r="G492" s="19" t="n">
        <f aca="false">$D$491*G486+d_lc*G481</f>
        <v>25.9597930954827</v>
      </c>
    </row>
    <row r="493" customFormat="false" ht="15" hidden="false" customHeight="false" outlineLevel="0" collapsed="false">
      <c r="A493" s="3" t="s">
        <v>378</v>
      </c>
      <c r="B493" s="0" t="s">
        <v>52</v>
      </c>
      <c r="C493" s="13" t="n">
        <f aca="false">C492/C486</f>
        <v>0.273758377728132</v>
      </c>
      <c r="D493" s="13" t="n">
        <f aca="false">D492/D486</f>
        <v>0.290156485550031</v>
      </c>
      <c r="E493" s="13" t="n">
        <f aca="false">E492/E486</f>
        <v>0.298100670203843</v>
      </c>
      <c r="F493" s="13" t="n">
        <f aca="false">F492/F486</f>
        <v>0.299278060651203</v>
      </c>
      <c r="G493" s="13" t="n">
        <f aca="false">G492/G486</f>
        <v>0.300595768568835</v>
      </c>
    </row>
    <row r="494" customFormat="false" ht="15" hidden="false" customHeight="false" outlineLevel="0" collapsed="false">
      <c r="A494" s="3" t="s">
        <v>493</v>
      </c>
      <c r="B494" s="0" t="s">
        <v>191</v>
      </c>
      <c r="C494" s="19" t="n">
        <f aca="false">a25_opx</f>
        <v>3.113</v>
      </c>
      <c r="D494" s="19" t="n">
        <f aca="false">a26_opx</f>
        <v>4.4038196704</v>
      </c>
      <c r="E494" s="19" t="n">
        <f aca="false">D494*(1+MAX(0,phi*E487))</f>
        <v>6.40046159154759</v>
      </c>
      <c r="F494" s="19" t="n">
        <f aca="false">E494*(1+MAX(0,phi*F487))</f>
        <v>6.97159520127691</v>
      </c>
      <c r="G494" s="19" t="n">
        <f aca="false">F494*(1+MAX(0,phi*G487))</f>
        <v>7.74610839693233</v>
      </c>
    </row>
    <row r="495" customFormat="false" ht="15" hidden="false" customHeight="false" outlineLevel="0" collapsed="false">
      <c r="A495" s="3" t="s">
        <v>380</v>
      </c>
      <c r="B495" s="0" t="s">
        <v>191</v>
      </c>
      <c r="C495" s="19" t="n">
        <f aca="false">C494</f>
        <v>3.113</v>
      </c>
      <c r="D495" s="19" t="n">
        <f aca="false">D494</f>
        <v>4.4038196704</v>
      </c>
      <c r="E495" s="19" t="n">
        <f aca="false">E494+0*E486</f>
        <v>6.40046159154759</v>
      </c>
      <c r="F495" s="19" t="n">
        <f aca="false">F494+0*F486</f>
        <v>6.97159520127691</v>
      </c>
      <c r="G495" s="19" t="n">
        <f aca="false">G494+0*G486</f>
        <v>7.74610839693233</v>
      </c>
    </row>
    <row r="496" customFormat="false" ht="15" hidden="false" customHeight="false" outlineLevel="0" collapsed="false">
      <c r="A496" s="3" t="s">
        <v>383</v>
      </c>
      <c r="B496" s="0" t="s">
        <v>191</v>
      </c>
      <c r="C496" s="19" t="n">
        <f aca="false">C492-C495</f>
        <v>3.259</v>
      </c>
      <c r="D496" s="19" t="n">
        <f aca="false">D492-D495</f>
        <v>6.6813299152</v>
      </c>
      <c r="E496" s="19" t="n">
        <f aca="false">E492-E495</f>
        <v>12.9320103978707</v>
      </c>
      <c r="F496" s="19" t="n">
        <f aca="false">F492-F495</f>
        <v>15.1017126034129</v>
      </c>
      <c r="G496" s="19" t="n">
        <f aca="false">G492-G495</f>
        <v>18.2136846985504</v>
      </c>
    </row>
    <row r="497" customFormat="false" ht="15" hidden="false" customHeight="false" outlineLevel="0" collapsed="false">
      <c r="A497" s="3" t="s">
        <v>386</v>
      </c>
      <c r="B497" s="0" t="s">
        <v>52</v>
      </c>
      <c r="C497" s="13" t="n">
        <f aca="false">C496/C486</f>
        <v>0.140015466575013</v>
      </c>
      <c r="D497" s="13" t="n">
        <f aca="false">D496/D486</f>
        <v>0.174885434970861</v>
      </c>
      <c r="E497" s="13" t="n">
        <f aca="false">E496/E486</f>
        <v>0.199407554750288</v>
      </c>
      <c r="F497" s="13" t="n">
        <f aca="false">F496/F486</f>
        <v>0.204754597745472</v>
      </c>
      <c r="G497" s="13" t="n">
        <f aca="false">G496/G486</f>
        <v>0.2109013939477</v>
      </c>
    </row>
    <row r="498" customFormat="false" ht="15" hidden="false" customHeight="false" outlineLevel="0" collapsed="false">
      <c r="A498" s="3" t="s">
        <v>387</v>
      </c>
      <c r="B498" s="0" t="s">
        <v>191</v>
      </c>
      <c r="C498" s="19" t="n">
        <f aca="false">a25_nop</f>
        <v>0.0184359999999999</v>
      </c>
      <c r="D498" s="19" t="n">
        <f aca="false">a26_nop</f>
        <v>-0.0226839999999999</v>
      </c>
      <c r="E498" s="19" t="n">
        <f aca="false">nop_f</f>
        <v>0</v>
      </c>
      <c r="F498" s="19" t="n">
        <f aca="false">nop_f</f>
        <v>0</v>
      </c>
      <c r="G498" s="19" t="n">
        <f aca="false">nop_f</f>
        <v>0</v>
      </c>
    </row>
    <row r="499" customFormat="false" ht="17.15" hidden="false" customHeight="false" outlineLevel="0" collapsed="false">
      <c r="A499" s="3" t="s">
        <v>234</v>
      </c>
      <c r="B499" s="0" t="s">
        <v>52</v>
      </c>
      <c r="C499" s="13" t="n">
        <f aca="false">a25_ni/(a25_oi+a25_nop)</f>
        <v>0.78475979393648</v>
      </c>
      <c r="D499" s="13" t="n">
        <f aca="false">a26_ni/(a26_oi+a26_nop)</f>
        <v>0.739465828331271</v>
      </c>
      <c r="E499" s="13" t="n">
        <f aca="false">nir_f</f>
        <v>0.74</v>
      </c>
      <c r="F499" s="13" t="n">
        <f aca="false">nir_f</f>
        <v>0.74</v>
      </c>
      <c r="G499" s="13" t="n">
        <f aca="false">nir_f</f>
        <v>0.74</v>
      </c>
    </row>
    <row r="500" customFormat="false" ht="15" hidden="false" customHeight="false" outlineLevel="0" collapsed="false">
      <c r="A500" s="3" t="s">
        <v>391</v>
      </c>
      <c r="B500" s="0" t="s">
        <v>191</v>
      </c>
      <c r="C500" s="19" t="n">
        <f aca="false">a25_ni</f>
        <v>2.572</v>
      </c>
      <c r="D500" s="19" t="n">
        <f aca="false">a26_ni</f>
        <v>4.923841117248</v>
      </c>
      <c r="E500" s="19" t="n">
        <f aca="false">(E496+E498)*E499</f>
        <v>9.56968769442435</v>
      </c>
      <c r="F500" s="19" t="n">
        <f aca="false">(F496+F498)*F499</f>
        <v>11.1752673265256</v>
      </c>
      <c r="G500" s="19" t="n">
        <f aca="false">(G496+G498)*G499</f>
        <v>13.4781266769273</v>
      </c>
    </row>
    <row r="501" customFormat="false" ht="15" hidden="false" customHeight="false" outlineLevel="0" collapsed="false">
      <c r="A501" s="3" t="s">
        <v>494</v>
      </c>
      <c r="B501" s="3" t="s">
        <v>217</v>
      </c>
      <c r="C501" s="21" t="n">
        <f aca="false">a25_sh</f>
        <v>0.0910120311394197</v>
      </c>
      <c r="D501" s="21" t="n">
        <f aca="false">a26_sh</f>
        <v>0.093076837</v>
      </c>
      <c r="E501" s="21" t="n">
        <f aca="false">D501*(1+sh_g)</f>
        <v>0.093076837</v>
      </c>
      <c r="F501" s="21" t="n">
        <f aca="false">E501*(1+sh_g)</f>
        <v>0.093076837</v>
      </c>
      <c r="G501" s="21" t="n">
        <f aca="false">F501*(1+sh_g)</f>
        <v>0.093076837</v>
      </c>
    </row>
    <row r="502" customFormat="false" ht="15" hidden="false" customHeight="false" outlineLevel="0" collapsed="false">
      <c r="A502" s="0" t="s">
        <v>398</v>
      </c>
      <c r="B502" s="0" t="s">
        <v>251</v>
      </c>
      <c r="C502" s="20" t="n">
        <f aca="false">C500/C501</f>
        <v>28.26</v>
      </c>
      <c r="D502" s="20" t="n">
        <f aca="false">D500/D501</f>
        <v>52.9008212563992</v>
      </c>
      <c r="E502" s="20" t="n">
        <f aca="false">E500/E501</f>
        <v>102.814921551582</v>
      </c>
      <c r="F502" s="20" t="n">
        <f aca="false">F500/F501</f>
        <v>120.064966609529</v>
      </c>
      <c r="G502" s="20" t="n">
        <f aca="false">G500/G501</f>
        <v>144.806453585517</v>
      </c>
    </row>
    <row r="503" customFormat="false" ht="17.15" hidden="false" customHeight="false" outlineLevel="0" collapsed="false">
      <c r="A503" s="0" t="s">
        <v>495</v>
      </c>
      <c r="B503" s="0" t="s">
        <v>52</v>
      </c>
      <c r="D503" s="13" t="n">
        <f aca="false">D502/C502-1</f>
        <v>0.871932811620636</v>
      </c>
      <c r="E503" s="13" t="n">
        <f aca="false">E502/D502-1</f>
        <v>0.943541122986717</v>
      </c>
      <c r="F503" s="13" t="n">
        <f aca="false">F502/E502-1</f>
        <v>0.167777641587684</v>
      </c>
      <c r="G503" s="13" t="n">
        <f aca="false">G502/F502-1</f>
        <v>0.20606749557889</v>
      </c>
    </row>
    <row r="506" customFormat="false" ht="17.15" hidden="false" customHeight="false" outlineLevel="0" collapsed="false">
      <c r="A506" s="1" t="s">
        <v>854</v>
      </c>
    </row>
    <row r="507" customFormat="false" ht="17.15" hidden="false" customHeight="false" outlineLevel="0" collapsed="false">
      <c r="A507" s="4" t="s">
        <v>21</v>
      </c>
      <c r="B507" s="4" t="s">
        <v>22</v>
      </c>
      <c r="C507" s="10" t="s">
        <v>365</v>
      </c>
      <c r="D507" s="10" t="s">
        <v>452</v>
      </c>
      <c r="E507" s="10" t="s">
        <v>453</v>
      </c>
      <c r="F507" s="10" t="s">
        <v>454</v>
      </c>
      <c r="G507" s="10" t="s">
        <v>455</v>
      </c>
      <c r="H507" s="4" t="s">
        <v>350</v>
      </c>
    </row>
    <row r="508" customFormat="false" ht="17.15" hidden="false" customHeight="false" outlineLevel="0" collapsed="false">
      <c r="A508" s="5" t="s">
        <v>471</v>
      </c>
    </row>
    <row r="509" customFormat="false" ht="17.15" hidden="false" customHeight="false" outlineLevel="0" collapsed="false">
      <c r="A509" s="0" t="s">
        <v>472</v>
      </c>
      <c r="B509" s="0" t="s">
        <v>32</v>
      </c>
      <c r="D509" s="20" t="n">
        <f aca="false">itc_26*1</f>
        <v>781.872916666666</v>
      </c>
      <c r="E509" s="20" t="n">
        <f aca="false">itc_27*1*1</f>
        <v>1565.35</v>
      </c>
      <c r="F509" s="20" t="n">
        <f aca="false">itc_28*um28_B*1</f>
        <v>1587.41111111111</v>
      </c>
      <c r="G509" s="20" t="n">
        <f aca="false">itc_29*um29_B*1</f>
        <v>1921.33173611111</v>
      </c>
    </row>
    <row r="510" customFormat="false" ht="17.15" hidden="false" customHeight="false" outlineLevel="0" collapsed="false">
      <c r="A510" s="3" t="s">
        <v>473</v>
      </c>
      <c r="B510" s="0" t="s">
        <v>32</v>
      </c>
      <c r="D510" s="20" t="n">
        <f aca="false">itpg_gb*(1-vr26)+itpg_vr*vr26</f>
        <v>33.41403216</v>
      </c>
      <c r="E510" s="20" t="n">
        <f aca="false">itpg_vr</f>
        <v>37.586352</v>
      </c>
      <c r="F510" s="20" t="n">
        <f aca="false">itpg_vr</f>
        <v>37.586352</v>
      </c>
      <c r="G510" s="20" t="n">
        <f aca="false">itpg_vr</f>
        <v>37.586352</v>
      </c>
    </row>
    <row r="511" customFormat="false" ht="17.15" hidden="false" customHeight="false" outlineLevel="0" collapsed="false">
      <c r="A511" s="3" t="s">
        <v>474</v>
      </c>
      <c r="B511" s="0" t="s">
        <v>431</v>
      </c>
      <c r="D511" s="17" t="n">
        <f aca="false">D509/D510</f>
        <v>23.3995380420639</v>
      </c>
      <c r="E511" s="17" t="n">
        <f aca="false">E509/E510</f>
        <v>41.6467658260637</v>
      </c>
      <c r="F511" s="17" t="n">
        <f aca="false">F509/F510</f>
        <v>42.2337105529984</v>
      </c>
      <c r="G511" s="17" t="n">
        <f aca="false">G509/G510</f>
        <v>51.1178029756948</v>
      </c>
    </row>
    <row r="512" customFormat="false" ht="17.15" hidden="false" customHeight="false" outlineLevel="0" collapsed="false">
      <c r="A512" s="3" t="s">
        <v>475</v>
      </c>
      <c r="B512" s="0" t="s">
        <v>52</v>
      </c>
      <c r="D512" s="13" t="n">
        <f aca="false">lpenB_26</f>
        <v>0.55</v>
      </c>
      <c r="E512" s="13" t="n">
        <f aca="false">lpenB_27</f>
        <v>0.75</v>
      </c>
      <c r="F512" s="13" t="n">
        <f aca="false">lpenB_28</f>
        <v>0.85</v>
      </c>
      <c r="G512" s="13" t="n">
        <f aca="false">lpenB_29</f>
        <v>0.9</v>
      </c>
    </row>
    <row r="513" customFormat="false" ht="17.15" hidden="false" customHeight="false" outlineLevel="0" collapsed="false">
      <c r="A513" s="3" t="s">
        <v>476</v>
      </c>
      <c r="B513" s="0" t="s">
        <v>436</v>
      </c>
      <c r="D513" s="18" t="n">
        <f aca="false">((1-vr26)*racks_gb*(cool_gb+mani)+vr26*racks_vr*(cool_vr+mani))/1000</f>
        <v>350.7208</v>
      </c>
      <c r="E513" s="18" t="n">
        <f aca="false">racks_vr*(cool_vr+mani)*lcadj_27/1000</f>
        <v>326.5912</v>
      </c>
      <c r="F513" s="18" t="n">
        <f aca="false">racks_vr*(cool_vr+mani)*lcadj_28/1000</f>
        <v>351.7136</v>
      </c>
      <c r="G513" s="18" t="n">
        <f aca="false">racks_vr*(cool_vr+mani)*lcadj_29/1000</f>
        <v>351.7136</v>
      </c>
      <c r="H513" s="3" t="s">
        <v>477</v>
      </c>
    </row>
    <row r="514" customFormat="false" ht="17.15" hidden="false" customHeight="false" outlineLevel="0" collapsed="false">
      <c r="A514" s="0" t="s">
        <v>478</v>
      </c>
      <c r="B514" s="0" t="s">
        <v>32</v>
      </c>
      <c r="D514" s="20" t="n">
        <f aca="false">D511*D512*D513/1000</f>
        <v>4.51368758595869</v>
      </c>
      <c r="E514" s="20" t="n">
        <f aca="false">E511*E512*E513/1000</f>
        <v>10.2011004204398</v>
      </c>
      <c r="F514" s="20" t="n">
        <f aca="false">F511*F512*F513/1000</f>
        <v>12.6260448229601</v>
      </c>
      <c r="G514" s="20" t="n">
        <f aca="false">G511*G512*G513/1000</f>
        <v>16.1809438578051</v>
      </c>
    </row>
    <row r="515" customFormat="false" ht="17.15" hidden="false" customHeight="false" outlineLevel="0" collapsed="false">
      <c r="A515" s="0" t="s">
        <v>479</v>
      </c>
      <c r="B515" s="0" t="s">
        <v>191</v>
      </c>
      <c r="D515" s="19" t="n">
        <f aca="false">D514*fx</f>
        <v>144.438002750678</v>
      </c>
      <c r="E515" s="19" t="n">
        <f aca="false">E514*fx</f>
        <v>326.435213454075</v>
      </c>
      <c r="F515" s="19" t="n">
        <f aca="false">F514*fx</f>
        <v>404.033434334723</v>
      </c>
      <c r="G515" s="19" t="n">
        <f aca="false">G514*fx</f>
        <v>517.790203449763</v>
      </c>
    </row>
    <row r="516" customFormat="false" ht="17.15" hidden="false" customHeight="false" outlineLevel="0" collapsed="false">
      <c r="A516" s="3" t="s">
        <v>480</v>
      </c>
      <c r="B516" s="0" t="s">
        <v>52</v>
      </c>
      <c r="D516" s="13" t="n">
        <f aca="false">a26_lc/D515</f>
        <v>0.15870077644017</v>
      </c>
      <c r="H516" s="7" t="s">
        <v>481</v>
      </c>
    </row>
    <row r="517" customFormat="false" ht="17.15" hidden="false" customHeight="false" outlineLevel="0" collapsed="false">
      <c r="A517" s="3" t="s">
        <v>482</v>
      </c>
      <c r="B517" s="0" t="s">
        <v>73</v>
      </c>
      <c r="D517" s="14" t="n">
        <f aca="false">1</f>
        <v>1</v>
      </c>
      <c r="E517" s="14" t="n">
        <f aca="false">relB_27</f>
        <v>0.95</v>
      </c>
      <c r="F517" s="14" t="n">
        <f aca="false">relB_28</f>
        <v>0.9</v>
      </c>
      <c r="G517" s="14" t="n">
        <f aca="false">relB_29</f>
        <v>0.85</v>
      </c>
    </row>
    <row r="518" customFormat="false" ht="15" hidden="false" customHeight="false" outlineLevel="0" collapsed="false">
      <c r="A518" s="3" t="s">
        <v>440</v>
      </c>
      <c r="B518" s="0" t="s">
        <v>52</v>
      </c>
      <c r="D518" s="13" t="n">
        <f aca="false">$D$516*D517</f>
        <v>0.15870077644017</v>
      </c>
      <c r="E518" s="13" t="n">
        <f aca="false">$D$516*E517</f>
        <v>0.150765737618161</v>
      </c>
      <c r="F518" s="13" t="n">
        <f aca="false">$D$516*F517</f>
        <v>0.142830698796153</v>
      </c>
      <c r="G518" s="13" t="n">
        <f aca="false">$D$516*G517</f>
        <v>0.134895659974144</v>
      </c>
    </row>
    <row r="519" customFormat="false" ht="15" hidden="false" customHeight="false" outlineLevel="0" collapsed="false">
      <c r="A519" s="3" t="s">
        <v>483</v>
      </c>
      <c r="B519" s="0" t="s">
        <v>191</v>
      </c>
      <c r="C519" s="19" t="n">
        <f aca="false">a25_lc</f>
        <v>7.91384</v>
      </c>
      <c r="D519" s="19" t="n">
        <f aca="false">D515*D518</f>
        <v>22.922423184</v>
      </c>
      <c r="E519" s="19" t="n">
        <f aca="false">E515*E518</f>
        <v>49.2152457409455</v>
      </c>
      <c r="F519" s="19" t="n">
        <f aca="false">F515*F518</f>
        <v>57.708377763038</v>
      </c>
      <c r="G519" s="19" t="n">
        <f aca="false">G515*G518</f>
        <v>69.8476512225023</v>
      </c>
    </row>
    <row r="520" customFormat="false" ht="17.15" hidden="false" customHeight="false" outlineLevel="0" collapsed="false">
      <c r="A520" s="5" t="s">
        <v>484</v>
      </c>
    </row>
    <row r="521" customFormat="false" ht="17.15" hidden="false" customHeight="false" outlineLevel="0" collapsed="false">
      <c r="A521" s="3" t="s">
        <v>485</v>
      </c>
      <c r="B521" s="0" t="s">
        <v>191</v>
      </c>
      <c r="C521" s="19" t="n">
        <f aca="false">a25_sair</f>
        <v>5.35348</v>
      </c>
      <c r="D521" s="19" t="n">
        <f aca="false">a26_sair</f>
        <v>5.3485654096</v>
      </c>
      <c r="E521" s="19" t="n">
        <f aca="false">D521*(1+g_sair_27)</f>
        <v>5.08113713912</v>
      </c>
      <c r="F521" s="19" t="n">
        <f aca="false">E521*(1+g_sair_28)</f>
        <v>4.827080282164</v>
      </c>
      <c r="G521" s="19" t="n">
        <f aca="false">F521*(1+g_sair_29)</f>
        <v>4.5857262680558</v>
      </c>
    </row>
    <row r="522" customFormat="false" ht="15" hidden="false" customHeight="false" outlineLevel="0" collapsed="false">
      <c r="A522" s="3" t="s">
        <v>486</v>
      </c>
      <c r="B522" s="0" t="s">
        <v>191</v>
      </c>
      <c r="C522" s="19" t="n">
        <f aca="false">a25_nb</f>
        <v>6.28452</v>
      </c>
      <c r="D522" s="19" t="n">
        <f aca="false">a26_nb</f>
        <v>5.730605796</v>
      </c>
      <c r="E522" s="19" t="n">
        <f aca="false">D522*(1+g_nb_27)</f>
        <v>5.55868762212</v>
      </c>
      <c r="F522" s="19" t="n">
        <f aca="false">E522*(1+g_nb_28)</f>
        <v>5.55868762212</v>
      </c>
      <c r="G522" s="19" t="n">
        <f aca="false">F522*(1+g_nb_29)</f>
        <v>5.55868762212</v>
      </c>
    </row>
    <row r="523" customFormat="false" ht="15" hidden="false" customHeight="false" outlineLevel="0" collapsed="false">
      <c r="A523" s="3" t="s">
        <v>487</v>
      </c>
      <c r="B523" s="0" t="s">
        <v>191</v>
      </c>
      <c r="C523" s="19" t="n">
        <f aca="false">a25_oth</f>
        <v>3.72416</v>
      </c>
      <c r="D523" s="19" t="n">
        <f aca="false">a26_oth</f>
        <v>4.2024442504</v>
      </c>
      <c r="E523" s="19" t="n">
        <f aca="false">D523*(1+g_oth_27)</f>
        <v>4.2024442504</v>
      </c>
      <c r="F523" s="19" t="n">
        <f aca="false">E523*(1+g_oth_28)</f>
        <v>4.2024442504</v>
      </c>
      <c r="G523" s="19" t="n">
        <f aca="false">F523*(1+g_oth_29)</f>
        <v>4.2024442504</v>
      </c>
    </row>
    <row r="524" customFormat="false" ht="15" hidden="false" customHeight="false" outlineLevel="0" collapsed="false">
      <c r="A524" s="3" t="s">
        <v>371</v>
      </c>
      <c r="B524" s="0" t="s">
        <v>191</v>
      </c>
      <c r="C524" s="19" t="n">
        <f aca="false">C519+C521+C522+C523</f>
        <v>23.276</v>
      </c>
      <c r="D524" s="19" t="n">
        <f aca="false">D519+D521+D522+D523</f>
        <v>38.20403864</v>
      </c>
      <c r="E524" s="19" t="n">
        <f aca="false">E519+E521+E522+E523</f>
        <v>64.0575147525856</v>
      </c>
      <c r="F524" s="19" t="n">
        <f aca="false">F519+F521+F522+F523</f>
        <v>72.296589917722</v>
      </c>
      <c r="G524" s="19" t="n">
        <f aca="false">G519+G521+G522+G523</f>
        <v>84.1945093630781</v>
      </c>
    </row>
    <row r="525" customFormat="false" ht="15" hidden="false" customHeight="false" outlineLevel="0" collapsed="false">
      <c r="A525" s="3" t="s">
        <v>488</v>
      </c>
      <c r="B525" s="0" t="s">
        <v>52</v>
      </c>
      <c r="D525" s="13" t="n">
        <f aca="false">D524/C524-1</f>
        <v>0.641348970613508</v>
      </c>
      <c r="E525" s="13" t="n">
        <f aca="false">E524/D524-1</f>
        <v>0.676721023036468</v>
      </c>
      <c r="F525" s="13" t="n">
        <f aca="false">F524/E524-1</f>
        <v>0.128619962809343</v>
      </c>
      <c r="G525" s="13" t="n">
        <f aca="false">G524/F524-1</f>
        <v>0.1645709632902</v>
      </c>
    </row>
    <row r="526" customFormat="false" ht="17.15" hidden="false" customHeight="false" outlineLevel="0" collapsed="false">
      <c r="A526" s="3" t="s">
        <v>489</v>
      </c>
      <c r="B526" s="0" t="s">
        <v>52</v>
      </c>
      <c r="C526" s="13" t="n">
        <f aca="false">C519/C524</f>
        <v>0.34</v>
      </c>
      <c r="D526" s="13" t="n">
        <f aca="false">D519/D524</f>
        <v>0.6</v>
      </c>
      <c r="E526" s="13" t="n">
        <f aca="false">E519/E524</f>
        <v>0.768297770074807</v>
      </c>
      <c r="F526" s="13" t="n">
        <f aca="false">F519/F524</f>
        <v>0.798217147291645</v>
      </c>
      <c r="G526" s="13" t="n">
        <f aca="false">G519/G524</f>
        <v>0.829598649019892</v>
      </c>
    </row>
    <row r="527" customFormat="false" ht="17.15" hidden="false" customHeight="false" outlineLevel="0" collapsed="false">
      <c r="A527" s="3" t="s">
        <v>448</v>
      </c>
      <c r="B527" s="0" t="s">
        <v>436</v>
      </c>
      <c r="D527" s="18" t="n">
        <f aca="false">D519/fx/D511*1000</f>
        <v>30.6128148005446</v>
      </c>
      <c r="E527" s="18" t="n">
        <f aca="false">E519/fx/E511*1000</f>
        <v>36.9290723757003</v>
      </c>
      <c r="F527" s="18" t="n">
        <f aca="false">F519/fx/F511*1000</f>
        <v>42.700174374494</v>
      </c>
      <c r="G527" s="18" t="n">
        <f aca="false">G519/fx/G511*1000</f>
        <v>42.700174374494</v>
      </c>
    </row>
    <row r="528" customFormat="false" ht="17.15" hidden="false" customHeight="false" outlineLevel="0" collapsed="false">
      <c r="A528" s="5" t="s">
        <v>490</v>
      </c>
    </row>
    <row r="529" customFormat="false" ht="17.15" hidden="false" customHeight="false" outlineLevel="0" collapsed="false">
      <c r="A529" s="3" t="s">
        <v>491</v>
      </c>
      <c r="B529" s="0" t="s">
        <v>52</v>
      </c>
      <c r="D529" s="13" t="n">
        <f aca="false">a26_gp/D524-d_lc_lo*D526</f>
        <v>0.278156485550031</v>
      </c>
      <c r="H529" s="7" t="s">
        <v>492</v>
      </c>
    </row>
    <row r="530" customFormat="false" ht="15" hidden="false" customHeight="false" outlineLevel="0" collapsed="false">
      <c r="A530" s="3" t="s">
        <v>375</v>
      </c>
      <c r="B530" s="0" t="s">
        <v>191</v>
      </c>
      <c r="C530" s="19" t="n">
        <f aca="false">a25_gp</f>
        <v>6.372</v>
      </c>
      <c r="D530" s="19" t="n">
        <f aca="false">a26_gp</f>
        <v>11.0851495856</v>
      </c>
      <c r="E530" s="19" t="n">
        <f aca="false">$D$529*E524+d_lc_lo*E519</f>
        <v>18.8023180914674</v>
      </c>
      <c r="F530" s="19" t="n">
        <f aca="false">$D$529*F524+d_lc_lo*F519</f>
        <v>21.2639329240261</v>
      </c>
      <c r="G530" s="19" t="n">
        <f aca="false">$D$529*G524+d_lc_lo*G519</f>
        <v>24.816201851493</v>
      </c>
    </row>
    <row r="531" customFormat="false" ht="15" hidden="false" customHeight="false" outlineLevel="0" collapsed="false">
      <c r="A531" s="3" t="s">
        <v>378</v>
      </c>
      <c r="B531" s="0" t="s">
        <v>52</v>
      </c>
      <c r="C531" s="13" t="n">
        <f aca="false">C530/C524</f>
        <v>0.273758377728132</v>
      </c>
      <c r="D531" s="13" t="n">
        <f aca="false">D530/D524</f>
        <v>0.290156485550031</v>
      </c>
      <c r="E531" s="13" t="n">
        <f aca="false">E530/E524</f>
        <v>0.293522440951527</v>
      </c>
      <c r="F531" s="13" t="n">
        <f aca="false">F530/F524</f>
        <v>0.294120828495864</v>
      </c>
      <c r="G531" s="13" t="n">
        <f aca="false">G530/G524</f>
        <v>0.294748458530429</v>
      </c>
    </row>
    <row r="532" customFormat="false" ht="15" hidden="false" customHeight="false" outlineLevel="0" collapsed="false">
      <c r="A532" s="3" t="s">
        <v>493</v>
      </c>
      <c r="B532" s="0" t="s">
        <v>191</v>
      </c>
      <c r="C532" s="19" t="n">
        <f aca="false">a25_opx</f>
        <v>3.113</v>
      </c>
      <c r="D532" s="19" t="n">
        <f aca="false">a26_opx</f>
        <v>4.4038196704</v>
      </c>
      <c r="E532" s="19" t="n">
        <f aca="false">D532*(1+MAX(0,phi*E525))</f>
        <v>6.34092194960378</v>
      </c>
      <c r="F532" s="19" t="n">
        <f aca="false">E532*(1+MAX(0,phi*F525))</f>
        <v>6.87104189407152</v>
      </c>
      <c r="G532" s="19" t="n">
        <f aca="false">F532*(1+MAX(0,phi*G525))</f>
        <v>7.60604498322606</v>
      </c>
    </row>
    <row r="533" customFormat="false" ht="15" hidden="false" customHeight="false" outlineLevel="0" collapsed="false">
      <c r="A533" s="3" t="s">
        <v>380</v>
      </c>
      <c r="B533" s="0" t="s">
        <v>191</v>
      </c>
      <c r="C533" s="19" t="n">
        <f aca="false">C532</f>
        <v>3.113</v>
      </c>
      <c r="D533" s="19" t="n">
        <f aca="false">D532</f>
        <v>4.4038196704</v>
      </c>
      <c r="E533" s="19" t="n">
        <f aca="false">E532+0*E524</f>
        <v>6.34092194960378</v>
      </c>
      <c r="F533" s="19" t="n">
        <f aca="false">F532+0*F524</f>
        <v>6.87104189407152</v>
      </c>
      <c r="G533" s="19" t="n">
        <f aca="false">G532+0*G524</f>
        <v>7.60604498322606</v>
      </c>
    </row>
    <row r="534" customFormat="false" ht="15" hidden="false" customHeight="false" outlineLevel="0" collapsed="false">
      <c r="A534" s="3" t="s">
        <v>383</v>
      </c>
      <c r="B534" s="0" t="s">
        <v>191</v>
      </c>
      <c r="C534" s="19" t="n">
        <f aca="false">C530-C533</f>
        <v>3.259</v>
      </c>
      <c r="D534" s="19" t="n">
        <f aca="false">D530-D533</f>
        <v>6.6813299152</v>
      </c>
      <c r="E534" s="19" t="n">
        <f aca="false">E530-E533</f>
        <v>12.4613961418636</v>
      </c>
      <c r="F534" s="19" t="n">
        <f aca="false">F530-F533</f>
        <v>14.3928910299546</v>
      </c>
      <c r="G534" s="19" t="n">
        <f aca="false">G530-G533</f>
        <v>17.210156868267</v>
      </c>
    </row>
    <row r="535" customFormat="false" ht="15" hidden="false" customHeight="false" outlineLevel="0" collapsed="false">
      <c r="A535" s="3" t="s">
        <v>386</v>
      </c>
      <c r="B535" s="0" t="s">
        <v>52</v>
      </c>
      <c r="C535" s="13" t="n">
        <f aca="false">C534/C524</f>
        <v>0.140015466575013</v>
      </c>
      <c r="D535" s="13" t="n">
        <f aca="false">D534/D524</f>
        <v>0.174885434970861</v>
      </c>
      <c r="E535" s="13" t="n">
        <f aca="false">E534/E524</f>
        <v>0.194534492791271</v>
      </c>
      <c r="F535" s="13" t="n">
        <f aca="false">F534/F524</f>
        <v>0.199081188287506</v>
      </c>
      <c r="G535" s="13" t="n">
        <f aca="false">G534/G524</f>
        <v>0.204409491764485</v>
      </c>
    </row>
    <row r="536" customFormat="false" ht="15" hidden="false" customHeight="false" outlineLevel="0" collapsed="false">
      <c r="A536" s="3" t="s">
        <v>387</v>
      </c>
      <c r="B536" s="0" t="s">
        <v>191</v>
      </c>
      <c r="C536" s="19" t="n">
        <f aca="false">a25_nop</f>
        <v>0.0184359999999999</v>
      </c>
      <c r="D536" s="19" t="n">
        <f aca="false">a26_nop</f>
        <v>-0.0226839999999999</v>
      </c>
      <c r="E536" s="19" t="n">
        <f aca="false">nop_f</f>
        <v>0</v>
      </c>
      <c r="F536" s="19" t="n">
        <f aca="false">nop_f</f>
        <v>0</v>
      </c>
      <c r="G536" s="19" t="n">
        <f aca="false">nop_f</f>
        <v>0</v>
      </c>
    </row>
    <row r="537" customFormat="false" ht="17.15" hidden="false" customHeight="false" outlineLevel="0" collapsed="false">
      <c r="A537" s="3" t="s">
        <v>234</v>
      </c>
      <c r="B537" s="0" t="s">
        <v>52</v>
      </c>
      <c r="C537" s="13" t="n">
        <f aca="false">a25_ni/(a25_oi+a25_nop)</f>
        <v>0.78475979393648</v>
      </c>
      <c r="D537" s="13" t="n">
        <f aca="false">a26_ni/(a26_oi+a26_nop)</f>
        <v>0.739465828331271</v>
      </c>
      <c r="E537" s="13" t="n">
        <f aca="false">nir_f</f>
        <v>0.74</v>
      </c>
      <c r="F537" s="13" t="n">
        <f aca="false">nir_f</f>
        <v>0.74</v>
      </c>
      <c r="G537" s="13" t="n">
        <f aca="false">nir_f</f>
        <v>0.74</v>
      </c>
    </row>
    <row r="538" customFormat="false" ht="15" hidden="false" customHeight="false" outlineLevel="0" collapsed="false">
      <c r="A538" s="3" t="s">
        <v>391</v>
      </c>
      <c r="B538" s="0" t="s">
        <v>191</v>
      </c>
      <c r="C538" s="19" t="n">
        <f aca="false">a25_ni</f>
        <v>2.572</v>
      </c>
      <c r="D538" s="19" t="n">
        <f aca="false">a26_ni</f>
        <v>4.923841117248</v>
      </c>
      <c r="E538" s="19" t="n">
        <f aca="false">(E534+E536)*E537</f>
        <v>9.22143314497907</v>
      </c>
      <c r="F538" s="19" t="n">
        <f aca="false">(F534+F536)*F537</f>
        <v>10.6507393621664</v>
      </c>
      <c r="G538" s="19" t="n">
        <f aca="false">(G534+G536)*G537</f>
        <v>12.7355160825176</v>
      </c>
    </row>
    <row r="539" customFormat="false" ht="15" hidden="false" customHeight="false" outlineLevel="0" collapsed="false">
      <c r="A539" s="3" t="s">
        <v>494</v>
      </c>
      <c r="B539" s="3" t="s">
        <v>217</v>
      </c>
      <c r="C539" s="21" t="n">
        <f aca="false">a25_sh</f>
        <v>0.0910120311394197</v>
      </c>
      <c r="D539" s="21" t="n">
        <f aca="false">a26_sh</f>
        <v>0.093076837</v>
      </c>
      <c r="E539" s="21" t="n">
        <f aca="false">D539*(1+sh_g)</f>
        <v>0.093076837</v>
      </c>
      <c r="F539" s="21" t="n">
        <f aca="false">E539*(1+sh_g)</f>
        <v>0.093076837</v>
      </c>
      <c r="G539" s="21" t="n">
        <f aca="false">F539*(1+sh_g)</f>
        <v>0.093076837</v>
      </c>
    </row>
    <row r="540" customFormat="false" ht="15" hidden="false" customHeight="false" outlineLevel="0" collapsed="false">
      <c r="A540" s="0" t="s">
        <v>398</v>
      </c>
      <c r="B540" s="0" t="s">
        <v>251</v>
      </c>
      <c r="C540" s="20" t="n">
        <f aca="false">C538/C539</f>
        <v>28.26</v>
      </c>
      <c r="D540" s="20" t="n">
        <f aca="false">D538/D539</f>
        <v>52.9008212563992</v>
      </c>
      <c r="E540" s="20" t="n">
        <f aca="false">E538/E539</f>
        <v>99.0733402874344</v>
      </c>
      <c r="F540" s="20" t="n">
        <f aca="false">F538/F539</f>
        <v>114.429536987451</v>
      </c>
      <c r="G540" s="20" t="n">
        <f aca="false">G538/G539</f>
        <v>136.827985275408</v>
      </c>
    </row>
    <row r="541" customFormat="false" ht="17.15" hidden="false" customHeight="false" outlineLevel="0" collapsed="false">
      <c r="A541" s="0" t="s">
        <v>495</v>
      </c>
      <c r="B541" s="0" t="s">
        <v>52</v>
      </c>
      <c r="D541" s="13" t="n">
        <f aca="false">D540/C540-1</f>
        <v>0.871932811620636</v>
      </c>
      <c r="E541" s="13" t="n">
        <f aca="false">E540/D540-1</f>
        <v>0.872812896556875</v>
      </c>
      <c r="F541" s="13" t="n">
        <f aca="false">F540/E540-1</f>
        <v>0.154998273556382</v>
      </c>
      <c r="G541" s="13" t="n">
        <f aca="false">G540/F540-1</f>
        <v>0.195740093664924</v>
      </c>
    </row>
    <row r="544" customFormat="false" ht="17.15" hidden="false" customHeight="false" outlineLevel="0" collapsed="false">
      <c r="A544" s="1" t="s">
        <v>855</v>
      </c>
    </row>
    <row r="545" customFormat="false" ht="17.15" hidden="false" customHeight="false" outlineLevel="0" collapsed="false">
      <c r="A545" s="4" t="s">
        <v>21</v>
      </c>
      <c r="B545" s="4" t="s">
        <v>22</v>
      </c>
      <c r="C545" s="10" t="s">
        <v>365</v>
      </c>
      <c r="D545" s="10" t="s">
        <v>452</v>
      </c>
      <c r="E545" s="10" t="s">
        <v>453</v>
      </c>
      <c r="F545" s="10" t="s">
        <v>454</v>
      </c>
      <c r="G545" s="10" t="s">
        <v>455</v>
      </c>
      <c r="H545" s="4" t="s">
        <v>350</v>
      </c>
    </row>
    <row r="546" customFormat="false" ht="17.15" hidden="false" customHeight="false" outlineLevel="0" collapsed="false">
      <c r="A546" s="5" t="s">
        <v>471</v>
      </c>
    </row>
    <row r="547" customFormat="false" ht="17.15" hidden="false" customHeight="false" outlineLevel="0" collapsed="false">
      <c r="A547" s="0" t="s">
        <v>472</v>
      </c>
      <c r="B547" s="0" t="s">
        <v>32</v>
      </c>
      <c r="D547" s="20" t="n">
        <f aca="false">itc_26*1</f>
        <v>781.872916666666</v>
      </c>
      <c r="E547" s="20" t="n">
        <f aca="false">itc_27*1*1</f>
        <v>1565.35</v>
      </c>
      <c r="F547" s="20" t="n">
        <f aca="false">itc_28*um28_B*1</f>
        <v>1587.41111111111</v>
      </c>
      <c r="G547" s="20" t="n">
        <f aca="false">itc_29*um29_B*1</f>
        <v>1921.33173611111</v>
      </c>
    </row>
    <row r="548" customFormat="false" ht="17.15" hidden="false" customHeight="false" outlineLevel="0" collapsed="false">
      <c r="A548" s="3" t="s">
        <v>473</v>
      </c>
      <c r="B548" s="0" t="s">
        <v>32</v>
      </c>
      <c r="D548" s="20" t="n">
        <f aca="false">itpg_gb*(1-vr26)+itpg_vr*vr26</f>
        <v>33.41403216</v>
      </c>
      <c r="E548" s="20" t="n">
        <f aca="false">itpg_vr</f>
        <v>37.586352</v>
      </c>
      <c r="F548" s="20" t="n">
        <f aca="false">itpg_vr</f>
        <v>37.586352</v>
      </c>
      <c r="G548" s="20" t="n">
        <f aca="false">itpg_vr</f>
        <v>37.586352</v>
      </c>
    </row>
    <row r="549" customFormat="false" ht="17.15" hidden="false" customHeight="false" outlineLevel="0" collapsed="false">
      <c r="A549" s="3" t="s">
        <v>474</v>
      </c>
      <c r="B549" s="0" t="s">
        <v>431</v>
      </c>
      <c r="D549" s="17" t="n">
        <f aca="false">D547/D548</f>
        <v>23.3995380420639</v>
      </c>
      <c r="E549" s="17" t="n">
        <f aca="false">E547/E548</f>
        <v>41.6467658260637</v>
      </c>
      <c r="F549" s="17" t="n">
        <f aca="false">F547/F548</f>
        <v>42.2337105529984</v>
      </c>
      <c r="G549" s="17" t="n">
        <f aca="false">G547/G548</f>
        <v>51.1178029756948</v>
      </c>
    </row>
    <row r="550" customFormat="false" ht="17.15" hidden="false" customHeight="false" outlineLevel="0" collapsed="false">
      <c r="A550" s="3" t="s">
        <v>475</v>
      </c>
      <c r="B550" s="0" t="s">
        <v>52</v>
      </c>
      <c r="D550" s="13" t="n">
        <f aca="false">lpenB_26</f>
        <v>0.55</v>
      </c>
      <c r="E550" s="13" t="n">
        <f aca="false">lpenB_27</f>
        <v>0.75</v>
      </c>
      <c r="F550" s="13" t="n">
        <f aca="false">lpenB_28</f>
        <v>0.85</v>
      </c>
      <c r="G550" s="13" t="n">
        <f aca="false">lpenB_29</f>
        <v>0.9</v>
      </c>
    </row>
    <row r="551" customFormat="false" ht="17.15" hidden="false" customHeight="false" outlineLevel="0" collapsed="false">
      <c r="A551" s="3" t="s">
        <v>476</v>
      </c>
      <c r="B551" s="0" t="s">
        <v>436</v>
      </c>
      <c r="D551" s="18" t="n">
        <f aca="false">((1-vr26)*racks_gb*(cool_gb+mani)+vr26*racks_vr*(cool_vr+mani))/1000</f>
        <v>350.7208</v>
      </c>
      <c r="E551" s="18" t="n">
        <f aca="false">racks_vr*(cool_vr+mani)*lcadj_27/1000</f>
        <v>326.5912</v>
      </c>
      <c r="F551" s="18" t="n">
        <f aca="false">racks_vr*(cool_vr+mani)*lcadj_28/1000</f>
        <v>351.7136</v>
      </c>
      <c r="G551" s="18" t="n">
        <f aca="false">racks_vr*(cool_vr+mani)*lcadj_29/1000</f>
        <v>351.7136</v>
      </c>
      <c r="H551" s="3" t="s">
        <v>477</v>
      </c>
    </row>
    <row r="552" customFormat="false" ht="17.15" hidden="false" customHeight="false" outlineLevel="0" collapsed="false">
      <c r="A552" s="0" t="s">
        <v>478</v>
      </c>
      <c r="B552" s="0" t="s">
        <v>32</v>
      </c>
      <c r="D552" s="20" t="n">
        <f aca="false">D549*D550*D551/1000</f>
        <v>4.51368758595869</v>
      </c>
      <c r="E552" s="20" t="n">
        <f aca="false">E549*E550*E551/1000</f>
        <v>10.2011004204398</v>
      </c>
      <c r="F552" s="20" t="n">
        <f aca="false">F549*F550*F551/1000</f>
        <v>12.6260448229601</v>
      </c>
      <c r="G552" s="20" t="n">
        <f aca="false">G549*G550*G551/1000</f>
        <v>16.1809438578051</v>
      </c>
    </row>
    <row r="553" customFormat="false" ht="17.15" hidden="false" customHeight="false" outlineLevel="0" collapsed="false">
      <c r="A553" s="0" t="s">
        <v>479</v>
      </c>
      <c r="B553" s="0" t="s">
        <v>191</v>
      </c>
      <c r="D553" s="19" t="n">
        <f aca="false">D552*fx</f>
        <v>144.438002750678</v>
      </c>
      <c r="E553" s="19" t="n">
        <f aca="false">E552*fx</f>
        <v>326.435213454075</v>
      </c>
      <c r="F553" s="19" t="n">
        <f aca="false">F552*fx</f>
        <v>404.033434334723</v>
      </c>
      <c r="G553" s="19" t="n">
        <f aca="false">G552*fx</f>
        <v>517.790203449763</v>
      </c>
    </row>
    <row r="554" customFormat="false" ht="17.15" hidden="false" customHeight="false" outlineLevel="0" collapsed="false">
      <c r="A554" s="3" t="s">
        <v>480</v>
      </c>
      <c r="B554" s="0" t="s">
        <v>52</v>
      </c>
      <c r="D554" s="13" t="n">
        <f aca="false">a26_lc/D553</f>
        <v>0.15870077644017</v>
      </c>
      <c r="H554" s="7" t="s">
        <v>481</v>
      </c>
    </row>
    <row r="555" customFormat="false" ht="17.15" hidden="false" customHeight="false" outlineLevel="0" collapsed="false">
      <c r="A555" s="3" t="s">
        <v>482</v>
      </c>
      <c r="B555" s="0" t="s">
        <v>73</v>
      </c>
      <c r="D555" s="14" t="n">
        <f aca="false">1</f>
        <v>1</v>
      </c>
      <c r="E555" s="14" t="n">
        <f aca="false">relB_27</f>
        <v>0.95</v>
      </c>
      <c r="F555" s="14" t="n">
        <f aca="false">relB_28</f>
        <v>0.9</v>
      </c>
      <c r="G555" s="14" t="n">
        <f aca="false">relB_29</f>
        <v>0.85</v>
      </c>
    </row>
    <row r="556" customFormat="false" ht="15" hidden="false" customHeight="false" outlineLevel="0" collapsed="false">
      <c r="A556" s="3" t="s">
        <v>440</v>
      </c>
      <c r="B556" s="0" t="s">
        <v>52</v>
      </c>
      <c r="D556" s="13" t="n">
        <f aca="false">$D$554*D555</f>
        <v>0.15870077644017</v>
      </c>
      <c r="E556" s="13" t="n">
        <f aca="false">$D$554*E555</f>
        <v>0.150765737618161</v>
      </c>
      <c r="F556" s="13" t="n">
        <f aca="false">$D$554*F555</f>
        <v>0.142830698796153</v>
      </c>
      <c r="G556" s="13" t="n">
        <f aca="false">$D$554*G555</f>
        <v>0.134895659974144</v>
      </c>
    </row>
    <row r="557" customFormat="false" ht="15" hidden="false" customHeight="false" outlineLevel="0" collapsed="false">
      <c r="A557" s="3" t="s">
        <v>483</v>
      </c>
      <c r="B557" s="0" t="s">
        <v>191</v>
      </c>
      <c r="C557" s="19" t="n">
        <f aca="false">a25_lc</f>
        <v>7.91384</v>
      </c>
      <c r="D557" s="19" t="n">
        <f aca="false">D553*D556</f>
        <v>22.922423184</v>
      </c>
      <c r="E557" s="19" t="n">
        <f aca="false">E553*E556</f>
        <v>49.2152457409455</v>
      </c>
      <c r="F557" s="19" t="n">
        <f aca="false">F553*F556</f>
        <v>57.708377763038</v>
      </c>
      <c r="G557" s="19" t="n">
        <f aca="false">G553*G556</f>
        <v>69.8476512225023</v>
      </c>
    </row>
    <row r="558" customFormat="false" ht="17.15" hidden="false" customHeight="false" outlineLevel="0" collapsed="false">
      <c r="A558" s="5" t="s">
        <v>484</v>
      </c>
    </row>
    <row r="559" customFormat="false" ht="17.15" hidden="false" customHeight="false" outlineLevel="0" collapsed="false">
      <c r="A559" s="3" t="s">
        <v>485</v>
      </c>
      <c r="B559" s="0" t="s">
        <v>191</v>
      </c>
      <c r="C559" s="19" t="n">
        <f aca="false">a25_sair</f>
        <v>5.35348</v>
      </c>
      <c r="D559" s="19" t="n">
        <f aca="false">a26_sair</f>
        <v>5.3485654096</v>
      </c>
      <c r="E559" s="19" t="n">
        <f aca="false">D559*(1+g_sair_27)</f>
        <v>5.08113713912</v>
      </c>
      <c r="F559" s="19" t="n">
        <f aca="false">E559*(1+g_sair_28)</f>
        <v>4.827080282164</v>
      </c>
      <c r="G559" s="19" t="n">
        <f aca="false">F559*(1+g_sair_29)</f>
        <v>4.5857262680558</v>
      </c>
    </row>
    <row r="560" customFormat="false" ht="15" hidden="false" customHeight="false" outlineLevel="0" collapsed="false">
      <c r="A560" s="3" t="s">
        <v>486</v>
      </c>
      <c r="B560" s="0" t="s">
        <v>191</v>
      </c>
      <c r="C560" s="19" t="n">
        <f aca="false">a25_nb</f>
        <v>6.28452</v>
      </c>
      <c r="D560" s="19" t="n">
        <f aca="false">a26_nb</f>
        <v>5.730605796</v>
      </c>
      <c r="E560" s="19" t="n">
        <f aca="false">D560*(1+g_nb_27)</f>
        <v>5.55868762212</v>
      </c>
      <c r="F560" s="19" t="n">
        <f aca="false">E560*(1+g_nb_28)</f>
        <v>5.55868762212</v>
      </c>
      <c r="G560" s="19" t="n">
        <f aca="false">F560*(1+g_nb_29)</f>
        <v>5.55868762212</v>
      </c>
    </row>
    <row r="561" customFormat="false" ht="15" hidden="false" customHeight="false" outlineLevel="0" collapsed="false">
      <c r="A561" s="3" t="s">
        <v>487</v>
      </c>
      <c r="B561" s="0" t="s">
        <v>191</v>
      </c>
      <c r="C561" s="19" t="n">
        <f aca="false">a25_oth</f>
        <v>3.72416</v>
      </c>
      <c r="D561" s="19" t="n">
        <f aca="false">a26_oth</f>
        <v>4.2024442504</v>
      </c>
      <c r="E561" s="19" t="n">
        <f aca="false">D561*(1+g_oth_27)</f>
        <v>4.2024442504</v>
      </c>
      <c r="F561" s="19" t="n">
        <f aca="false">E561*(1+g_oth_28)</f>
        <v>4.2024442504</v>
      </c>
      <c r="G561" s="19" t="n">
        <f aca="false">F561*(1+g_oth_29)</f>
        <v>4.2024442504</v>
      </c>
    </row>
    <row r="562" customFormat="false" ht="15" hidden="false" customHeight="false" outlineLevel="0" collapsed="false">
      <c r="A562" s="3" t="s">
        <v>371</v>
      </c>
      <c r="B562" s="0" t="s">
        <v>191</v>
      </c>
      <c r="C562" s="19" t="n">
        <f aca="false">C557+C559+C560+C561</f>
        <v>23.276</v>
      </c>
      <c r="D562" s="19" t="n">
        <f aca="false">D557+D559+D560+D561</f>
        <v>38.20403864</v>
      </c>
      <c r="E562" s="19" t="n">
        <f aca="false">E557+E559+E560+E561</f>
        <v>64.0575147525856</v>
      </c>
      <c r="F562" s="19" t="n">
        <f aca="false">F557+F559+F560+F561</f>
        <v>72.296589917722</v>
      </c>
      <c r="G562" s="19" t="n">
        <f aca="false">G557+G559+G560+G561</f>
        <v>84.1945093630781</v>
      </c>
    </row>
    <row r="563" customFormat="false" ht="15" hidden="false" customHeight="false" outlineLevel="0" collapsed="false">
      <c r="A563" s="3" t="s">
        <v>488</v>
      </c>
      <c r="B563" s="0" t="s">
        <v>52</v>
      </c>
      <c r="D563" s="13" t="n">
        <f aca="false">D562/C562-1</f>
        <v>0.641348970613508</v>
      </c>
      <c r="E563" s="13" t="n">
        <f aca="false">E562/D562-1</f>
        <v>0.676721023036468</v>
      </c>
      <c r="F563" s="13" t="n">
        <f aca="false">F562/E562-1</f>
        <v>0.128619962809343</v>
      </c>
      <c r="G563" s="13" t="n">
        <f aca="false">G562/F562-1</f>
        <v>0.1645709632902</v>
      </c>
    </row>
    <row r="564" customFormat="false" ht="17.15" hidden="false" customHeight="false" outlineLevel="0" collapsed="false">
      <c r="A564" s="3" t="s">
        <v>489</v>
      </c>
      <c r="B564" s="0" t="s">
        <v>52</v>
      </c>
      <c r="C564" s="13" t="n">
        <f aca="false">C557/C562</f>
        <v>0.34</v>
      </c>
      <c r="D564" s="13" t="n">
        <f aca="false">D557/D562</f>
        <v>0.6</v>
      </c>
      <c r="E564" s="13" t="n">
        <f aca="false">E557/E562</f>
        <v>0.768297770074807</v>
      </c>
      <c r="F564" s="13" t="n">
        <f aca="false">F557/F562</f>
        <v>0.798217147291645</v>
      </c>
      <c r="G564" s="13" t="n">
        <f aca="false">G557/G562</f>
        <v>0.829598649019892</v>
      </c>
    </row>
    <row r="565" customFormat="false" ht="17.15" hidden="false" customHeight="false" outlineLevel="0" collapsed="false">
      <c r="A565" s="3" t="s">
        <v>448</v>
      </c>
      <c r="B565" s="0" t="s">
        <v>436</v>
      </c>
      <c r="D565" s="18" t="n">
        <f aca="false">D557/fx/D549*1000</f>
        <v>30.6128148005446</v>
      </c>
      <c r="E565" s="18" t="n">
        <f aca="false">E557/fx/E549*1000</f>
        <v>36.9290723757003</v>
      </c>
      <c r="F565" s="18" t="n">
        <f aca="false">F557/fx/F549*1000</f>
        <v>42.700174374494</v>
      </c>
      <c r="G565" s="18" t="n">
        <f aca="false">G557/fx/G549*1000</f>
        <v>42.700174374494</v>
      </c>
    </row>
    <row r="566" customFormat="false" ht="17.15" hidden="false" customHeight="false" outlineLevel="0" collapsed="false">
      <c r="A566" s="5" t="s">
        <v>490</v>
      </c>
    </row>
    <row r="567" customFormat="false" ht="17.15" hidden="false" customHeight="false" outlineLevel="0" collapsed="false">
      <c r="A567" s="3" t="s">
        <v>491</v>
      </c>
      <c r="B567" s="0" t="s">
        <v>52</v>
      </c>
      <c r="D567" s="13" t="n">
        <f aca="false">a26_gp/D562-d_lc_hi*D564</f>
        <v>0.242156485550031</v>
      </c>
      <c r="H567" s="7" t="s">
        <v>492</v>
      </c>
    </row>
    <row r="568" customFormat="false" ht="15" hidden="false" customHeight="false" outlineLevel="0" collapsed="false">
      <c r="A568" s="3" t="s">
        <v>375</v>
      </c>
      <c r="B568" s="0" t="s">
        <v>191</v>
      </c>
      <c r="C568" s="19" t="n">
        <f aca="false">a25_gp</f>
        <v>6.372</v>
      </c>
      <c r="D568" s="19" t="n">
        <f aca="false">a26_gp</f>
        <v>11.0851495856</v>
      </c>
      <c r="E568" s="19" t="n">
        <f aca="false">$D$567*E562+d_lc_hi*E557</f>
        <v>19.449162304831</v>
      </c>
      <c r="F568" s="19" t="n">
        <f aca="false">$D$567*F562+d_lc_hi*F557</f>
        <v>22.1237583527704</v>
      </c>
      <c r="G568" s="19" t="n">
        <f aca="false">$D$567*G562+d_lc_hi*G557</f>
        <v>25.9760585877724</v>
      </c>
    </row>
    <row r="569" customFormat="false" ht="15" hidden="false" customHeight="false" outlineLevel="0" collapsed="false">
      <c r="A569" s="3" t="s">
        <v>378</v>
      </c>
      <c r="B569" s="0" t="s">
        <v>52</v>
      </c>
      <c r="C569" s="13" t="n">
        <f aca="false">C568/C562</f>
        <v>0.273758377728132</v>
      </c>
      <c r="D569" s="13" t="n">
        <f aca="false">D568/D562</f>
        <v>0.290156485550031</v>
      </c>
      <c r="E569" s="13" t="n">
        <f aca="false">E568/E562</f>
        <v>0.303620307156016</v>
      </c>
      <c r="F569" s="13" t="n">
        <f aca="false">F568/F562</f>
        <v>0.306013857333363</v>
      </c>
      <c r="G569" s="13" t="n">
        <f aca="false">G568/G562</f>
        <v>0.308524377471623</v>
      </c>
    </row>
    <row r="570" customFormat="false" ht="15" hidden="false" customHeight="false" outlineLevel="0" collapsed="false">
      <c r="A570" s="3" t="s">
        <v>493</v>
      </c>
      <c r="B570" s="0" t="s">
        <v>191</v>
      </c>
      <c r="C570" s="19" t="n">
        <f aca="false">a25_opx</f>
        <v>3.113</v>
      </c>
      <c r="D570" s="19" t="n">
        <f aca="false">a26_opx</f>
        <v>4.4038196704</v>
      </c>
      <c r="E570" s="19" t="n">
        <f aca="false">D570*(1+MAX(0,phi*E563))</f>
        <v>6.34092194960378</v>
      </c>
      <c r="F570" s="19" t="n">
        <f aca="false">E570*(1+MAX(0,phi*F563))</f>
        <v>6.87104189407152</v>
      </c>
      <c r="G570" s="19" t="n">
        <f aca="false">F570*(1+MAX(0,phi*G563))</f>
        <v>7.60604498322606</v>
      </c>
    </row>
    <row r="571" customFormat="false" ht="15" hidden="false" customHeight="false" outlineLevel="0" collapsed="false">
      <c r="A571" s="3" t="s">
        <v>380</v>
      </c>
      <c r="B571" s="0" t="s">
        <v>191</v>
      </c>
      <c r="C571" s="19" t="n">
        <f aca="false">C570</f>
        <v>3.113</v>
      </c>
      <c r="D571" s="19" t="n">
        <f aca="false">D570</f>
        <v>4.4038196704</v>
      </c>
      <c r="E571" s="19" t="n">
        <f aca="false">E570+0*E562</f>
        <v>6.34092194960378</v>
      </c>
      <c r="F571" s="19" t="n">
        <f aca="false">F570+0*F562</f>
        <v>6.87104189407152</v>
      </c>
      <c r="G571" s="19" t="n">
        <f aca="false">G570+0*G562</f>
        <v>7.60604498322606</v>
      </c>
    </row>
    <row r="572" customFormat="false" ht="15" hidden="false" customHeight="false" outlineLevel="0" collapsed="false">
      <c r="A572" s="3" t="s">
        <v>383</v>
      </c>
      <c r="B572" s="0" t="s">
        <v>191</v>
      </c>
      <c r="C572" s="19" t="n">
        <f aca="false">C568-C571</f>
        <v>3.259</v>
      </c>
      <c r="D572" s="19" t="n">
        <f aca="false">D568-D571</f>
        <v>6.6813299152</v>
      </c>
      <c r="E572" s="19" t="n">
        <f aca="false">E568-E571</f>
        <v>13.1082403552273</v>
      </c>
      <c r="F572" s="19" t="n">
        <f aca="false">F568-F571</f>
        <v>15.2527164586989</v>
      </c>
      <c r="G572" s="19" t="n">
        <f aca="false">G568-G571</f>
        <v>18.3700136045463</v>
      </c>
    </row>
    <row r="573" customFormat="false" ht="15" hidden="false" customHeight="false" outlineLevel="0" collapsed="false">
      <c r="A573" s="3" t="s">
        <v>386</v>
      </c>
      <c r="B573" s="0" t="s">
        <v>52</v>
      </c>
      <c r="C573" s="13" t="n">
        <f aca="false">C572/C562</f>
        <v>0.140015466575013</v>
      </c>
      <c r="D573" s="13" t="n">
        <f aca="false">D572/D562</f>
        <v>0.174885434970861</v>
      </c>
      <c r="E573" s="13" t="n">
        <f aca="false">E572/E562</f>
        <v>0.20463235899576</v>
      </c>
      <c r="F573" s="13" t="n">
        <f aca="false">F572/F562</f>
        <v>0.210974217125005</v>
      </c>
      <c r="G573" s="13" t="n">
        <f aca="false">G572/G562</f>
        <v>0.218185410705679</v>
      </c>
    </row>
    <row r="574" customFormat="false" ht="15" hidden="false" customHeight="false" outlineLevel="0" collapsed="false">
      <c r="A574" s="3" t="s">
        <v>387</v>
      </c>
      <c r="B574" s="0" t="s">
        <v>191</v>
      </c>
      <c r="C574" s="19" t="n">
        <f aca="false">a25_nop</f>
        <v>0.0184359999999999</v>
      </c>
      <c r="D574" s="19" t="n">
        <f aca="false">a26_nop</f>
        <v>-0.0226839999999999</v>
      </c>
      <c r="E574" s="19" t="n">
        <f aca="false">nop_f</f>
        <v>0</v>
      </c>
      <c r="F574" s="19" t="n">
        <f aca="false">nop_f</f>
        <v>0</v>
      </c>
      <c r="G574" s="19" t="n">
        <f aca="false">nop_f</f>
        <v>0</v>
      </c>
    </row>
    <row r="575" customFormat="false" ht="17.15" hidden="false" customHeight="false" outlineLevel="0" collapsed="false">
      <c r="A575" s="3" t="s">
        <v>234</v>
      </c>
      <c r="B575" s="0" t="s">
        <v>52</v>
      </c>
      <c r="C575" s="13" t="n">
        <f aca="false">a25_ni/(a25_oi+a25_nop)</f>
        <v>0.78475979393648</v>
      </c>
      <c r="D575" s="13" t="n">
        <f aca="false">a26_ni/(a26_oi+a26_nop)</f>
        <v>0.739465828331271</v>
      </c>
      <c r="E575" s="13" t="n">
        <f aca="false">nir_f</f>
        <v>0.74</v>
      </c>
      <c r="F575" s="13" t="n">
        <f aca="false">nir_f</f>
        <v>0.74</v>
      </c>
      <c r="G575" s="13" t="n">
        <f aca="false">nir_f</f>
        <v>0.74</v>
      </c>
    </row>
    <row r="576" customFormat="false" ht="15" hidden="false" customHeight="false" outlineLevel="0" collapsed="false">
      <c r="A576" s="3" t="s">
        <v>391</v>
      </c>
      <c r="B576" s="0" t="s">
        <v>191</v>
      </c>
      <c r="C576" s="19" t="n">
        <f aca="false">a25_ni</f>
        <v>2.572</v>
      </c>
      <c r="D576" s="19" t="n">
        <f aca="false">a26_ni</f>
        <v>4.923841117248</v>
      </c>
      <c r="E576" s="19" t="n">
        <f aca="false">(E572+E574)*E575</f>
        <v>9.70009786286817</v>
      </c>
      <c r="F576" s="19" t="n">
        <f aca="false">(F572+F574)*F575</f>
        <v>11.2870101794372</v>
      </c>
      <c r="G576" s="19" t="n">
        <f aca="false">(G572+G574)*G575</f>
        <v>13.5938100673643</v>
      </c>
    </row>
    <row r="577" customFormat="false" ht="15" hidden="false" customHeight="false" outlineLevel="0" collapsed="false">
      <c r="A577" s="3" t="s">
        <v>494</v>
      </c>
      <c r="B577" s="3" t="s">
        <v>217</v>
      </c>
      <c r="C577" s="21" t="n">
        <f aca="false">a25_sh</f>
        <v>0.0910120311394197</v>
      </c>
      <c r="D577" s="21" t="n">
        <f aca="false">a26_sh</f>
        <v>0.093076837</v>
      </c>
      <c r="E577" s="21" t="n">
        <f aca="false">D577*(1+sh_g)</f>
        <v>0.093076837</v>
      </c>
      <c r="F577" s="21" t="n">
        <f aca="false">E577*(1+sh_g)</f>
        <v>0.093076837</v>
      </c>
      <c r="G577" s="21" t="n">
        <f aca="false">F577*(1+sh_g)</f>
        <v>0.093076837</v>
      </c>
    </row>
    <row r="578" customFormat="false" ht="15" hidden="false" customHeight="false" outlineLevel="0" collapsed="false">
      <c r="A578" s="0" t="s">
        <v>398</v>
      </c>
      <c r="B578" s="0" t="s">
        <v>251</v>
      </c>
      <c r="C578" s="20" t="n">
        <f aca="false">C576/C577</f>
        <v>28.26</v>
      </c>
      <c r="D578" s="20" t="n">
        <f aca="false">D576/D577</f>
        <v>52.9008212563992</v>
      </c>
      <c r="E578" s="20" t="n">
        <f aca="false">E576/E577</f>
        <v>104.216023830592</v>
      </c>
      <c r="F578" s="20" t="n">
        <f aca="false">F576/F577</f>
        <v>121.265510767595</v>
      </c>
      <c r="G578" s="20" t="n">
        <f aca="false">G576/G577</f>
        <v>146.049334136314</v>
      </c>
    </row>
    <row r="579" customFormat="false" ht="17.15" hidden="false" customHeight="false" outlineLevel="0" collapsed="false">
      <c r="A579" s="0" t="s">
        <v>495</v>
      </c>
      <c r="B579" s="0" t="s">
        <v>52</v>
      </c>
      <c r="D579" s="13" t="n">
        <f aca="false">D578/C578-1</f>
        <v>0.871932811620636</v>
      </c>
      <c r="E579" s="13" t="n">
        <f aca="false">E578/D578-1</f>
        <v>0.97002657719583</v>
      </c>
      <c r="F579" s="13" t="n">
        <f aca="false">F578/E578-1</f>
        <v>0.163597557365241</v>
      </c>
      <c r="G579" s="13" t="n">
        <f aca="false">G578/F578-1</f>
        <v>0.204376522325605</v>
      </c>
    </row>
    <row r="582" customFormat="false" ht="17.15" hidden="false" customHeight="false" outlineLevel="0" collapsed="false">
      <c r="A582" s="1" t="s">
        <v>856</v>
      </c>
    </row>
    <row r="583" customFormat="false" ht="17.15" hidden="false" customHeight="false" outlineLevel="0" collapsed="false">
      <c r="A583" s="4" t="s">
        <v>21</v>
      </c>
      <c r="B583" s="4" t="s">
        <v>22</v>
      </c>
      <c r="C583" s="10" t="s">
        <v>365</v>
      </c>
      <c r="D583" s="10" t="s">
        <v>452</v>
      </c>
      <c r="E583" s="10" t="s">
        <v>453</v>
      </c>
      <c r="F583" s="10" t="s">
        <v>454</v>
      </c>
      <c r="G583" s="10" t="s">
        <v>455</v>
      </c>
      <c r="H583" s="4" t="s">
        <v>350</v>
      </c>
    </row>
    <row r="584" customFormat="false" ht="17.15" hidden="false" customHeight="false" outlineLevel="0" collapsed="false">
      <c r="A584" s="5" t="s">
        <v>471</v>
      </c>
    </row>
    <row r="585" customFormat="false" ht="17.15" hidden="false" customHeight="false" outlineLevel="0" collapsed="false">
      <c r="A585" s="0" t="s">
        <v>472</v>
      </c>
      <c r="B585" s="0" t="s">
        <v>32</v>
      </c>
      <c r="D585" s="20" t="n">
        <f aca="false">itc_26*1</f>
        <v>781.872916666666</v>
      </c>
      <c r="E585" s="20" t="n">
        <f aca="false">itc_27*1*1</f>
        <v>1565.35</v>
      </c>
      <c r="F585" s="20" t="n">
        <f aca="false">itc_28*um28_B*1</f>
        <v>1587.41111111111</v>
      </c>
      <c r="G585" s="20" t="n">
        <f aca="false">itc_29*um29_B*1</f>
        <v>1921.33173611111</v>
      </c>
    </row>
    <row r="586" customFormat="false" ht="17.15" hidden="false" customHeight="false" outlineLevel="0" collapsed="false">
      <c r="A586" s="3" t="s">
        <v>473</v>
      </c>
      <c r="B586" s="0" t="s">
        <v>32</v>
      </c>
      <c r="D586" s="20" t="n">
        <f aca="false">itpg_gb*(1-vr26)+itpg_vr*vr26</f>
        <v>33.41403216</v>
      </c>
      <c r="E586" s="20" t="n">
        <f aca="false">itpg_vr</f>
        <v>37.586352</v>
      </c>
      <c r="F586" s="20" t="n">
        <f aca="false">itpg_vr</f>
        <v>37.586352</v>
      </c>
      <c r="G586" s="20" t="n">
        <f aca="false">itpg_vr</f>
        <v>37.586352</v>
      </c>
    </row>
    <row r="587" customFormat="false" ht="17.15" hidden="false" customHeight="false" outlineLevel="0" collapsed="false">
      <c r="A587" s="3" t="s">
        <v>474</v>
      </c>
      <c r="B587" s="0" t="s">
        <v>431</v>
      </c>
      <c r="D587" s="17" t="n">
        <f aca="false">D585/D586</f>
        <v>23.3995380420639</v>
      </c>
      <c r="E587" s="17" t="n">
        <f aca="false">E585/E586</f>
        <v>41.6467658260637</v>
      </c>
      <c r="F587" s="17" t="n">
        <f aca="false">F585/F586</f>
        <v>42.2337105529984</v>
      </c>
      <c r="G587" s="17" t="n">
        <f aca="false">G585/G586</f>
        <v>51.1178029756948</v>
      </c>
    </row>
    <row r="588" customFormat="false" ht="17.15" hidden="false" customHeight="false" outlineLevel="0" collapsed="false">
      <c r="A588" s="3" t="s">
        <v>475</v>
      </c>
      <c r="B588" s="0" t="s">
        <v>52</v>
      </c>
      <c r="D588" s="13" t="n">
        <f aca="false">lpenB_26</f>
        <v>0.55</v>
      </c>
      <c r="E588" s="13" t="n">
        <f aca="false">lpenB_27</f>
        <v>0.75</v>
      </c>
      <c r="F588" s="13" t="n">
        <f aca="false">lpenB_28</f>
        <v>0.85</v>
      </c>
      <c r="G588" s="13" t="n">
        <f aca="false">lpenB_29</f>
        <v>0.9</v>
      </c>
    </row>
    <row r="589" customFormat="false" ht="17.15" hidden="false" customHeight="false" outlineLevel="0" collapsed="false">
      <c r="A589" s="3" t="s">
        <v>476</v>
      </c>
      <c r="B589" s="0" t="s">
        <v>436</v>
      </c>
      <c r="D589" s="18" t="n">
        <f aca="false">((1-vr26)*racks_gb*(cool_gb+mani)+vr26*racks_vr*(cool_vr+mani))/1000</f>
        <v>350.7208</v>
      </c>
      <c r="E589" s="18" t="n">
        <f aca="false">racks_vr*(cool_vr+mani)*lcadj_27/1000</f>
        <v>326.5912</v>
      </c>
      <c r="F589" s="18" t="n">
        <f aca="false">racks_vr*(cool_vr+mani)*lcadj_28/1000</f>
        <v>351.7136</v>
      </c>
      <c r="G589" s="18" t="n">
        <f aca="false">racks_vr*(cool_vr+mani)*lcadj_29/1000</f>
        <v>351.7136</v>
      </c>
      <c r="H589" s="3" t="s">
        <v>477</v>
      </c>
    </row>
    <row r="590" customFormat="false" ht="17.15" hidden="false" customHeight="false" outlineLevel="0" collapsed="false">
      <c r="A590" s="0" t="s">
        <v>478</v>
      </c>
      <c r="B590" s="0" t="s">
        <v>32</v>
      </c>
      <c r="D590" s="20" t="n">
        <f aca="false">D587*D588*D589/1000</f>
        <v>4.51368758595869</v>
      </c>
      <c r="E590" s="20" t="n">
        <f aca="false">E587*E588*E589/1000</f>
        <v>10.2011004204398</v>
      </c>
      <c r="F590" s="20" t="n">
        <f aca="false">F587*F588*F589/1000</f>
        <v>12.6260448229601</v>
      </c>
      <c r="G590" s="20" t="n">
        <f aca="false">G587*G588*G589/1000</f>
        <v>16.1809438578051</v>
      </c>
    </row>
    <row r="591" customFormat="false" ht="17.15" hidden="false" customHeight="false" outlineLevel="0" collapsed="false">
      <c r="A591" s="0" t="s">
        <v>479</v>
      </c>
      <c r="B591" s="0" t="s">
        <v>191</v>
      </c>
      <c r="D591" s="19" t="n">
        <f aca="false">D590*fx</f>
        <v>144.438002750678</v>
      </c>
      <c r="E591" s="19" t="n">
        <f aca="false">E590*fx</f>
        <v>326.435213454075</v>
      </c>
      <c r="F591" s="19" t="n">
        <f aca="false">F590*fx</f>
        <v>404.033434334723</v>
      </c>
      <c r="G591" s="19" t="n">
        <f aca="false">G590*fx</f>
        <v>517.790203449763</v>
      </c>
    </row>
    <row r="592" customFormat="false" ht="17.15" hidden="false" customHeight="false" outlineLevel="0" collapsed="false">
      <c r="A592" s="3" t="s">
        <v>480</v>
      </c>
      <c r="B592" s="0" t="s">
        <v>52</v>
      </c>
      <c r="D592" s="13" t="n">
        <f aca="false">a26_lc/D591</f>
        <v>0.15870077644017</v>
      </c>
      <c r="H592" s="7" t="s">
        <v>481</v>
      </c>
    </row>
    <row r="593" customFormat="false" ht="17.15" hidden="false" customHeight="false" outlineLevel="0" collapsed="false">
      <c r="A593" s="3" t="s">
        <v>482</v>
      </c>
      <c r="B593" s="0" t="s">
        <v>73</v>
      </c>
      <c r="D593" s="14" t="n">
        <f aca="false">1</f>
        <v>1</v>
      </c>
      <c r="E593" s="14" t="n">
        <f aca="false">relB_27</f>
        <v>0.95</v>
      </c>
      <c r="F593" s="14" t="n">
        <f aca="false">relB_28</f>
        <v>0.9</v>
      </c>
      <c r="G593" s="14" t="n">
        <f aca="false">relB_29</f>
        <v>0.85</v>
      </c>
    </row>
    <row r="594" customFormat="false" ht="15" hidden="false" customHeight="false" outlineLevel="0" collapsed="false">
      <c r="A594" s="3" t="s">
        <v>440</v>
      </c>
      <c r="B594" s="0" t="s">
        <v>52</v>
      </c>
      <c r="D594" s="13" t="n">
        <f aca="false">$D$592*D593</f>
        <v>0.15870077644017</v>
      </c>
      <c r="E594" s="13" t="n">
        <f aca="false">$D$592*E593</f>
        <v>0.150765737618161</v>
      </c>
      <c r="F594" s="13" t="n">
        <f aca="false">$D$592*F593</f>
        <v>0.142830698796153</v>
      </c>
      <c r="G594" s="13" t="n">
        <f aca="false">$D$592*G593</f>
        <v>0.134895659974144</v>
      </c>
    </row>
    <row r="595" customFormat="false" ht="15" hidden="false" customHeight="false" outlineLevel="0" collapsed="false">
      <c r="A595" s="3" t="s">
        <v>483</v>
      </c>
      <c r="B595" s="0" t="s">
        <v>191</v>
      </c>
      <c r="C595" s="19" t="n">
        <f aca="false">a25_lc</f>
        <v>7.91384</v>
      </c>
      <c r="D595" s="19" t="n">
        <f aca="false">D591*D594</f>
        <v>22.922423184</v>
      </c>
      <c r="E595" s="19" t="n">
        <f aca="false">E591*E594</f>
        <v>49.2152457409455</v>
      </c>
      <c r="F595" s="19" t="n">
        <f aca="false">F591*F594</f>
        <v>57.708377763038</v>
      </c>
      <c r="G595" s="19" t="n">
        <f aca="false">G591*G594</f>
        <v>69.8476512225023</v>
      </c>
    </row>
    <row r="596" customFormat="false" ht="17.15" hidden="false" customHeight="false" outlineLevel="0" collapsed="false">
      <c r="A596" s="5" t="s">
        <v>484</v>
      </c>
    </row>
    <row r="597" customFormat="false" ht="17.15" hidden="false" customHeight="false" outlineLevel="0" collapsed="false">
      <c r="A597" s="3" t="s">
        <v>485</v>
      </c>
      <c r="B597" s="0" t="s">
        <v>191</v>
      </c>
      <c r="C597" s="19" t="n">
        <f aca="false">a25_sair</f>
        <v>5.35348</v>
      </c>
      <c r="D597" s="19" t="n">
        <f aca="false">a26_sair</f>
        <v>5.3485654096</v>
      </c>
      <c r="E597" s="19" t="n">
        <f aca="false">D597*(1+g_sair_27)</f>
        <v>5.08113713912</v>
      </c>
      <c r="F597" s="19" t="n">
        <f aca="false">E597*(1+g_sair_28)</f>
        <v>4.827080282164</v>
      </c>
      <c r="G597" s="19" t="n">
        <f aca="false">F597*(1+g_sair_29)</f>
        <v>4.5857262680558</v>
      </c>
    </row>
    <row r="598" customFormat="false" ht="15" hidden="false" customHeight="false" outlineLevel="0" collapsed="false">
      <c r="A598" s="3" t="s">
        <v>486</v>
      </c>
      <c r="B598" s="0" t="s">
        <v>191</v>
      </c>
      <c r="C598" s="19" t="n">
        <f aca="false">a25_nb</f>
        <v>6.28452</v>
      </c>
      <c r="D598" s="19" t="n">
        <f aca="false">a26_nb</f>
        <v>5.730605796</v>
      </c>
      <c r="E598" s="19" t="n">
        <f aca="false">D598*(1+g_nb_27)</f>
        <v>5.55868762212</v>
      </c>
      <c r="F598" s="19" t="n">
        <f aca="false">E598*(1+g_nb_28)</f>
        <v>5.55868762212</v>
      </c>
      <c r="G598" s="19" t="n">
        <f aca="false">F598*(1+g_nb_29)</f>
        <v>5.55868762212</v>
      </c>
    </row>
    <row r="599" customFormat="false" ht="15" hidden="false" customHeight="false" outlineLevel="0" collapsed="false">
      <c r="A599" s="3" t="s">
        <v>487</v>
      </c>
      <c r="B599" s="0" t="s">
        <v>191</v>
      </c>
      <c r="C599" s="19" t="n">
        <f aca="false">a25_oth</f>
        <v>3.72416</v>
      </c>
      <c r="D599" s="19" t="n">
        <f aca="false">a26_oth</f>
        <v>4.2024442504</v>
      </c>
      <c r="E599" s="19" t="n">
        <f aca="false">D599*(1+g_oth_27)</f>
        <v>4.2024442504</v>
      </c>
      <c r="F599" s="19" t="n">
        <f aca="false">E599*(1+g_oth_28)</f>
        <v>4.2024442504</v>
      </c>
      <c r="G599" s="19" t="n">
        <f aca="false">F599*(1+g_oth_29)</f>
        <v>4.2024442504</v>
      </c>
    </row>
    <row r="600" customFormat="false" ht="15" hidden="false" customHeight="false" outlineLevel="0" collapsed="false">
      <c r="A600" s="3" t="s">
        <v>371</v>
      </c>
      <c r="B600" s="0" t="s">
        <v>191</v>
      </c>
      <c r="C600" s="19" t="n">
        <f aca="false">C595+C597+C598+C599</f>
        <v>23.276</v>
      </c>
      <c r="D600" s="19" t="n">
        <f aca="false">D595+D597+D598+D599</f>
        <v>38.20403864</v>
      </c>
      <c r="E600" s="19" t="n">
        <f aca="false">E595+E597+E598+E599</f>
        <v>64.0575147525856</v>
      </c>
      <c r="F600" s="19" t="n">
        <f aca="false">F595+F597+F598+F599</f>
        <v>72.296589917722</v>
      </c>
      <c r="G600" s="19" t="n">
        <f aca="false">G595+G597+G598+G599</f>
        <v>84.1945093630781</v>
      </c>
    </row>
    <row r="601" customFormat="false" ht="15" hidden="false" customHeight="false" outlineLevel="0" collapsed="false">
      <c r="A601" s="3" t="s">
        <v>488</v>
      </c>
      <c r="B601" s="0" t="s">
        <v>52</v>
      </c>
      <c r="D601" s="13" t="n">
        <f aca="false">D600/C600-1</f>
        <v>0.641348970613508</v>
      </c>
      <c r="E601" s="13" t="n">
        <f aca="false">E600/D600-1</f>
        <v>0.676721023036468</v>
      </c>
      <c r="F601" s="13" t="n">
        <f aca="false">F600/E600-1</f>
        <v>0.128619962809343</v>
      </c>
      <c r="G601" s="13" t="n">
        <f aca="false">G600/F600-1</f>
        <v>0.1645709632902</v>
      </c>
    </row>
    <row r="602" customFormat="false" ht="17.15" hidden="false" customHeight="false" outlineLevel="0" collapsed="false">
      <c r="A602" s="3" t="s">
        <v>489</v>
      </c>
      <c r="B602" s="0" t="s">
        <v>52</v>
      </c>
      <c r="C602" s="13" t="n">
        <f aca="false">C595/C600</f>
        <v>0.34</v>
      </c>
      <c r="D602" s="13" t="n">
        <f aca="false">D595/D600</f>
        <v>0.6</v>
      </c>
      <c r="E602" s="13" t="n">
        <f aca="false">E595/E600</f>
        <v>0.768297770074807</v>
      </c>
      <c r="F602" s="13" t="n">
        <f aca="false">F595/F600</f>
        <v>0.798217147291645</v>
      </c>
      <c r="G602" s="13" t="n">
        <f aca="false">G595/G600</f>
        <v>0.829598649019892</v>
      </c>
    </row>
    <row r="603" customFormat="false" ht="17.15" hidden="false" customHeight="false" outlineLevel="0" collapsed="false">
      <c r="A603" s="3" t="s">
        <v>448</v>
      </c>
      <c r="B603" s="0" t="s">
        <v>436</v>
      </c>
      <c r="D603" s="18" t="n">
        <f aca="false">D595/fx/D587*1000</f>
        <v>30.6128148005446</v>
      </c>
      <c r="E603" s="18" t="n">
        <f aca="false">E595/fx/E587*1000</f>
        <v>36.9290723757003</v>
      </c>
      <c r="F603" s="18" t="n">
        <f aca="false">F595/fx/F587*1000</f>
        <v>42.700174374494</v>
      </c>
      <c r="G603" s="18" t="n">
        <f aca="false">G595/fx/G587*1000</f>
        <v>42.700174374494</v>
      </c>
    </row>
    <row r="604" customFormat="false" ht="17.15" hidden="false" customHeight="false" outlineLevel="0" collapsed="false">
      <c r="A604" s="5" t="s">
        <v>490</v>
      </c>
    </row>
    <row r="605" customFormat="false" ht="17.15" hidden="false" customHeight="false" outlineLevel="0" collapsed="false">
      <c r="A605" s="3" t="s">
        <v>491</v>
      </c>
      <c r="B605" s="0" t="s">
        <v>52</v>
      </c>
      <c r="D605" s="13" t="n">
        <f aca="false">a26_gp/D600-d_lc*D602</f>
        <v>0.260156485550031</v>
      </c>
      <c r="H605" s="7" t="s">
        <v>492</v>
      </c>
    </row>
    <row r="606" customFormat="false" ht="15" hidden="false" customHeight="false" outlineLevel="0" collapsed="false">
      <c r="A606" s="3" t="s">
        <v>375</v>
      </c>
      <c r="B606" s="0" t="s">
        <v>191</v>
      </c>
      <c r="C606" s="19" t="n">
        <f aca="false">a25_gp</f>
        <v>6.372</v>
      </c>
      <c r="D606" s="19" t="n">
        <f aca="false">a26_gp</f>
        <v>11.0851495856</v>
      </c>
      <c r="E606" s="19" t="n">
        <f aca="false">$D$605*E600+d_lc*E595</f>
        <v>19.1257401981492</v>
      </c>
      <c r="F606" s="19" t="n">
        <f aca="false">$D$605*F600+d_lc*F595</f>
        <v>21.6938456383983</v>
      </c>
      <c r="G606" s="19" t="n">
        <f aca="false">$D$605*G600+d_lc*G595</f>
        <v>25.3961302196327</v>
      </c>
    </row>
    <row r="607" customFormat="false" ht="15" hidden="false" customHeight="false" outlineLevel="0" collapsed="false">
      <c r="A607" s="3" t="s">
        <v>378</v>
      </c>
      <c r="B607" s="0" t="s">
        <v>52</v>
      </c>
      <c r="C607" s="13" t="n">
        <f aca="false">C606/C600</f>
        <v>0.273758377728132</v>
      </c>
      <c r="D607" s="13" t="n">
        <f aca="false">D606/D600</f>
        <v>0.290156485550031</v>
      </c>
      <c r="E607" s="13" t="n">
        <f aca="false">E606/E600</f>
        <v>0.298571374053772</v>
      </c>
      <c r="F607" s="13" t="n">
        <f aca="false">F606/F600</f>
        <v>0.300067342914614</v>
      </c>
      <c r="G607" s="13" t="n">
        <f aca="false">G606/G600</f>
        <v>0.301636418001026</v>
      </c>
    </row>
    <row r="608" customFormat="false" ht="15" hidden="false" customHeight="false" outlineLevel="0" collapsed="false">
      <c r="A608" s="3" t="s">
        <v>493</v>
      </c>
      <c r="B608" s="0" t="s">
        <v>191</v>
      </c>
      <c r="C608" s="19" t="n">
        <f aca="false">a25_opx</f>
        <v>3.113</v>
      </c>
      <c r="D608" s="19" t="n">
        <f aca="false">a26_opx</f>
        <v>4.4038196704</v>
      </c>
      <c r="E608" s="19" t="n">
        <f aca="false">D608*(1+MAX(0,phi*E601))</f>
        <v>6.34092194960378</v>
      </c>
      <c r="F608" s="19" t="n">
        <f aca="false">E608*(1+MAX(0,phi*F601))</f>
        <v>6.87104189407152</v>
      </c>
      <c r="G608" s="19" t="n">
        <f aca="false">F608*(1+MAX(0,phi*G601))</f>
        <v>7.60604498322606</v>
      </c>
    </row>
    <row r="609" customFormat="false" ht="15" hidden="false" customHeight="false" outlineLevel="0" collapsed="false">
      <c r="A609" s="3" t="s">
        <v>380</v>
      </c>
      <c r="B609" s="0" t="s">
        <v>191</v>
      </c>
      <c r="C609" s="19" t="n">
        <f aca="false">C608</f>
        <v>3.113</v>
      </c>
      <c r="D609" s="19" t="n">
        <f aca="false">D608</f>
        <v>4.4038196704</v>
      </c>
      <c r="E609" s="19" t="n">
        <f aca="false">E608+opx_adj_hi*E600</f>
        <v>7.6220722446555</v>
      </c>
      <c r="F609" s="19" t="n">
        <f aca="false">F608+opx_adj_hi*F600</f>
        <v>8.31697369242596</v>
      </c>
      <c r="G609" s="19" t="n">
        <f aca="false">G608+opx_adj_hi*G600</f>
        <v>9.28993517048762</v>
      </c>
    </row>
    <row r="610" customFormat="false" ht="15" hidden="false" customHeight="false" outlineLevel="0" collapsed="false">
      <c r="A610" s="3" t="s">
        <v>383</v>
      </c>
      <c r="B610" s="0" t="s">
        <v>191</v>
      </c>
      <c r="C610" s="19" t="n">
        <f aca="false">C606-C609</f>
        <v>3.259</v>
      </c>
      <c r="D610" s="19" t="n">
        <f aca="false">D606-D609</f>
        <v>6.6813299152</v>
      </c>
      <c r="E610" s="19" t="n">
        <f aca="false">E606-E609</f>
        <v>11.5036679534937</v>
      </c>
      <c r="F610" s="19" t="n">
        <f aca="false">F606-F609</f>
        <v>13.3768719459723</v>
      </c>
      <c r="G610" s="19" t="n">
        <f aca="false">G606-G609</f>
        <v>16.1061950491451</v>
      </c>
    </row>
    <row r="611" customFormat="false" ht="15" hidden="false" customHeight="false" outlineLevel="0" collapsed="false">
      <c r="A611" s="3" t="s">
        <v>386</v>
      </c>
      <c r="B611" s="0" t="s">
        <v>52</v>
      </c>
      <c r="C611" s="13" t="n">
        <f aca="false">C610/C600</f>
        <v>0.140015466575013</v>
      </c>
      <c r="D611" s="13" t="n">
        <f aca="false">D610/D600</f>
        <v>0.174885434970861</v>
      </c>
      <c r="E611" s="13" t="n">
        <f aca="false">E610/E600</f>
        <v>0.179583425893516</v>
      </c>
      <c r="F611" s="13" t="n">
        <f aca="false">F610/F600</f>
        <v>0.185027702706255</v>
      </c>
      <c r="G611" s="13" t="n">
        <f aca="false">G610/G600</f>
        <v>0.191297451235082</v>
      </c>
    </row>
    <row r="612" customFormat="false" ht="15" hidden="false" customHeight="false" outlineLevel="0" collapsed="false">
      <c r="A612" s="3" t="s">
        <v>387</v>
      </c>
      <c r="B612" s="0" t="s">
        <v>191</v>
      </c>
      <c r="C612" s="19" t="n">
        <f aca="false">a25_nop</f>
        <v>0.0184359999999999</v>
      </c>
      <c r="D612" s="19" t="n">
        <f aca="false">a26_nop</f>
        <v>-0.0226839999999999</v>
      </c>
      <c r="E612" s="19" t="n">
        <f aca="false">nop_f</f>
        <v>0</v>
      </c>
      <c r="F612" s="19" t="n">
        <f aca="false">nop_f</f>
        <v>0</v>
      </c>
      <c r="G612" s="19" t="n">
        <f aca="false">nop_f</f>
        <v>0</v>
      </c>
    </row>
    <row r="613" customFormat="false" ht="17.15" hidden="false" customHeight="false" outlineLevel="0" collapsed="false">
      <c r="A613" s="3" t="s">
        <v>234</v>
      </c>
      <c r="B613" s="0" t="s">
        <v>52</v>
      </c>
      <c r="C613" s="13" t="n">
        <f aca="false">a25_ni/(a25_oi+a25_nop)</f>
        <v>0.78475979393648</v>
      </c>
      <c r="D613" s="13" t="n">
        <f aca="false">a26_ni/(a26_oi+a26_nop)</f>
        <v>0.739465828331271</v>
      </c>
      <c r="E613" s="13" t="n">
        <f aca="false">nir_f</f>
        <v>0.74</v>
      </c>
      <c r="F613" s="13" t="n">
        <f aca="false">nir_f</f>
        <v>0.74</v>
      </c>
      <c r="G613" s="13" t="n">
        <f aca="false">nir_f</f>
        <v>0.74</v>
      </c>
    </row>
    <row r="614" customFormat="false" ht="15" hidden="false" customHeight="false" outlineLevel="0" collapsed="false">
      <c r="A614" s="3" t="s">
        <v>391</v>
      </c>
      <c r="B614" s="0" t="s">
        <v>191</v>
      </c>
      <c r="C614" s="19" t="n">
        <f aca="false">a25_ni</f>
        <v>2.572</v>
      </c>
      <c r="D614" s="19" t="n">
        <f aca="false">a26_ni</f>
        <v>4.923841117248</v>
      </c>
      <c r="E614" s="19" t="n">
        <f aca="false">(E610+E612)*E613</f>
        <v>8.51271428558536</v>
      </c>
      <c r="F614" s="19" t="n">
        <f aca="false">(F610+F612)*F613</f>
        <v>9.89888524001952</v>
      </c>
      <c r="G614" s="19" t="n">
        <f aca="false">(G610+G612)*G613</f>
        <v>11.9185843363674</v>
      </c>
    </row>
    <row r="615" customFormat="false" ht="15" hidden="false" customHeight="false" outlineLevel="0" collapsed="false">
      <c r="A615" s="3" t="s">
        <v>494</v>
      </c>
      <c r="B615" s="3" t="s">
        <v>217</v>
      </c>
      <c r="C615" s="21" t="n">
        <f aca="false">a25_sh</f>
        <v>0.0910120311394197</v>
      </c>
      <c r="D615" s="21" t="n">
        <f aca="false">a26_sh</f>
        <v>0.093076837</v>
      </c>
      <c r="E615" s="21" t="n">
        <f aca="false">D615*(1+sh_g)</f>
        <v>0.093076837</v>
      </c>
      <c r="F615" s="21" t="n">
        <f aca="false">E615*(1+sh_g)</f>
        <v>0.093076837</v>
      </c>
      <c r="G615" s="21" t="n">
        <f aca="false">F615*(1+sh_g)</f>
        <v>0.093076837</v>
      </c>
    </row>
    <row r="616" customFormat="false" ht="15" hidden="false" customHeight="false" outlineLevel="0" collapsed="false">
      <c r="A616" s="0" t="s">
        <v>398</v>
      </c>
      <c r="B616" s="0" t="s">
        <v>251</v>
      </c>
      <c r="C616" s="20" t="n">
        <f aca="false">C614/C615</f>
        <v>28.26</v>
      </c>
      <c r="D616" s="20" t="n">
        <f aca="false">D614/D615</f>
        <v>52.9008212563992</v>
      </c>
      <c r="E616" s="20" t="n">
        <f aca="false">E614/E615</f>
        <v>91.4589983927511</v>
      </c>
      <c r="F616" s="20" t="n">
        <f aca="false">F614/F615</f>
        <v>106.351757956918</v>
      </c>
      <c r="G616" s="20" t="n">
        <f aca="false">G614/G615</f>
        <v>128.051024513944</v>
      </c>
    </row>
    <row r="617" customFormat="false" ht="17.15" hidden="false" customHeight="false" outlineLevel="0" collapsed="false">
      <c r="A617" s="0" t="s">
        <v>495</v>
      </c>
      <c r="B617" s="0" t="s">
        <v>52</v>
      </c>
      <c r="D617" s="13" t="n">
        <f aca="false">D616/C616-1</f>
        <v>0.871932811620636</v>
      </c>
      <c r="E617" s="13" t="n">
        <f aca="false">E616/D616-1</f>
        <v>0.728876721014756</v>
      </c>
      <c r="F617" s="13" t="n">
        <f aca="false">F616/E616-1</f>
        <v>0.162835366950043</v>
      </c>
      <c r="G617" s="13" t="n">
        <f aca="false">G616/F616-1</f>
        <v>0.204032984257919</v>
      </c>
    </row>
    <row r="620" customFormat="false" ht="17.15" hidden="false" customHeight="false" outlineLevel="0" collapsed="false">
      <c r="A620" s="1" t="s">
        <v>857</v>
      </c>
    </row>
    <row r="621" customFormat="false" ht="17.15" hidden="false" customHeight="false" outlineLevel="0" collapsed="false">
      <c r="A621" s="4" t="s">
        <v>21</v>
      </c>
      <c r="B621" s="4" t="s">
        <v>22</v>
      </c>
      <c r="C621" s="10" t="s">
        <v>365</v>
      </c>
      <c r="D621" s="10" t="s">
        <v>452</v>
      </c>
      <c r="E621" s="10" t="s">
        <v>453</v>
      </c>
      <c r="F621" s="10" t="s">
        <v>454</v>
      </c>
      <c r="G621" s="10" t="s">
        <v>455</v>
      </c>
      <c r="H621" s="4" t="s">
        <v>350</v>
      </c>
    </row>
    <row r="622" customFormat="false" ht="17.15" hidden="false" customHeight="false" outlineLevel="0" collapsed="false">
      <c r="A622" s="5" t="s">
        <v>471</v>
      </c>
    </row>
    <row r="623" customFormat="false" ht="17.15" hidden="false" customHeight="false" outlineLevel="0" collapsed="false">
      <c r="A623" s="0" t="s">
        <v>472</v>
      </c>
      <c r="B623" s="0" t="s">
        <v>32</v>
      </c>
      <c r="D623" s="20" t="n">
        <f aca="false">itc_26*1</f>
        <v>781.872916666666</v>
      </c>
      <c r="E623" s="20" t="n">
        <f aca="false">itc_27*1*1</f>
        <v>1565.35</v>
      </c>
      <c r="F623" s="20" t="n">
        <f aca="false">itc_28*um28_B*1</f>
        <v>1587.41111111111</v>
      </c>
      <c r="G623" s="20" t="n">
        <f aca="false">itc_29*um29_B*1</f>
        <v>1921.33173611111</v>
      </c>
    </row>
    <row r="624" customFormat="false" ht="17.15" hidden="false" customHeight="false" outlineLevel="0" collapsed="false">
      <c r="A624" s="3" t="s">
        <v>473</v>
      </c>
      <c r="B624" s="0" t="s">
        <v>32</v>
      </c>
      <c r="D624" s="20" t="n">
        <f aca="false">itpg_gb*(1-vr26)+itpg_vr*vr26</f>
        <v>33.41403216</v>
      </c>
      <c r="E624" s="20" t="n">
        <f aca="false">itpg_vr</f>
        <v>37.586352</v>
      </c>
      <c r="F624" s="20" t="n">
        <f aca="false">itpg_vr</f>
        <v>37.586352</v>
      </c>
      <c r="G624" s="20" t="n">
        <f aca="false">itpg_vr</f>
        <v>37.586352</v>
      </c>
    </row>
    <row r="625" customFormat="false" ht="17.15" hidden="false" customHeight="false" outlineLevel="0" collapsed="false">
      <c r="A625" s="3" t="s">
        <v>474</v>
      </c>
      <c r="B625" s="0" t="s">
        <v>431</v>
      </c>
      <c r="D625" s="17" t="n">
        <f aca="false">D623/D624</f>
        <v>23.3995380420639</v>
      </c>
      <c r="E625" s="17" t="n">
        <f aca="false">E623/E624</f>
        <v>41.6467658260637</v>
      </c>
      <c r="F625" s="17" t="n">
        <f aca="false">F623/F624</f>
        <v>42.2337105529984</v>
      </c>
      <c r="G625" s="17" t="n">
        <f aca="false">G623/G624</f>
        <v>51.1178029756948</v>
      </c>
    </row>
    <row r="626" customFormat="false" ht="17.15" hidden="false" customHeight="false" outlineLevel="0" collapsed="false">
      <c r="A626" s="3" t="s">
        <v>475</v>
      </c>
      <c r="B626" s="0" t="s">
        <v>52</v>
      </c>
      <c r="D626" s="13" t="n">
        <f aca="false">lpenB_26</f>
        <v>0.55</v>
      </c>
      <c r="E626" s="13" t="n">
        <f aca="false">lpenB_27</f>
        <v>0.75</v>
      </c>
      <c r="F626" s="13" t="n">
        <f aca="false">lpenB_28</f>
        <v>0.85</v>
      </c>
      <c r="G626" s="13" t="n">
        <f aca="false">lpenB_29</f>
        <v>0.9</v>
      </c>
    </row>
    <row r="627" customFormat="false" ht="17.15" hidden="false" customHeight="false" outlineLevel="0" collapsed="false">
      <c r="A627" s="3" t="s">
        <v>476</v>
      </c>
      <c r="B627" s="0" t="s">
        <v>436</v>
      </c>
      <c r="D627" s="18" t="n">
        <f aca="false">((1-vr26)*racks_gb*(cool_gb+mani)+vr26*racks_vr*(cool_vr+mani))/1000</f>
        <v>350.7208</v>
      </c>
      <c r="E627" s="18" t="n">
        <f aca="false">racks_vr*(cool_vr+mani)*lcadj_27/1000</f>
        <v>326.5912</v>
      </c>
      <c r="F627" s="18" t="n">
        <f aca="false">racks_vr*(cool_vr+mani)*lcadj_28/1000</f>
        <v>351.7136</v>
      </c>
      <c r="G627" s="18" t="n">
        <f aca="false">racks_vr*(cool_vr+mani)*lcadj_29/1000</f>
        <v>351.7136</v>
      </c>
      <c r="H627" s="3" t="s">
        <v>477</v>
      </c>
    </row>
    <row r="628" customFormat="false" ht="17.15" hidden="false" customHeight="false" outlineLevel="0" collapsed="false">
      <c r="A628" s="0" t="s">
        <v>478</v>
      </c>
      <c r="B628" s="0" t="s">
        <v>32</v>
      </c>
      <c r="D628" s="20" t="n">
        <f aca="false">D625*D626*D627/1000</f>
        <v>4.51368758595869</v>
      </c>
      <c r="E628" s="20" t="n">
        <f aca="false">E625*E626*E627/1000</f>
        <v>10.2011004204398</v>
      </c>
      <c r="F628" s="20" t="n">
        <f aca="false">F625*F626*F627/1000</f>
        <v>12.6260448229601</v>
      </c>
      <c r="G628" s="20" t="n">
        <f aca="false">G625*G626*G627/1000</f>
        <v>16.1809438578051</v>
      </c>
    </row>
    <row r="629" customFormat="false" ht="17.15" hidden="false" customHeight="false" outlineLevel="0" collapsed="false">
      <c r="A629" s="0" t="s">
        <v>479</v>
      </c>
      <c r="B629" s="0" t="s">
        <v>191</v>
      </c>
      <c r="D629" s="19" t="n">
        <f aca="false">D628*fx</f>
        <v>144.438002750678</v>
      </c>
      <c r="E629" s="19" t="n">
        <f aca="false">E628*fx</f>
        <v>326.435213454075</v>
      </c>
      <c r="F629" s="19" t="n">
        <f aca="false">F628*fx</f>
        <v>404.033434334723</v>
      </c>
      <c r="G629" s="19" t="n">
        <f aca="false">G628*fx</f>
        <v>517.790203449763</v>
      </c>
    </row>
    <row r="630" customFormat="false" ht="17.15" hidden="false" customHeight="false" outlineLevel="0" collapsed="false">
      <c r="A630" s="3" t="s">
        <v>480</v>
      </c>
      <c r="B630" s="0" t="s">
        <v>52</v>
      </c>
      <c r="D630" s="13" t="n">
        <f aca="false">a26_lc/D629</f>
        <v>0.15870077644017</v>
      </c>
      <c r="H630" s="7" t="s">
        <v>481</v>
      </c>
    </row>
    <row r="631" customFormat="false" ht="17.15" hidden="false" customHeight="false" outlineLevel="0" collapsed="false">
      <c r="A631" s="3" t="s">
        <v>482</v>
      </c>
      <c r="B631" s="0" t="s">
        <v>73</v>
      </c>
      <c r="D631" s="14" t="n">
        <f aca="false">1</f>
        <v>1</v>
      </c>
      <c r="E631" s="14" t="n">
        <f aca="false">relB_27</f>
        <v>0.95</v>
      </c>
      <c r="F631" s="14" t="n">
        <f aca="false">relB_28</f>
        <v>0.9</v>
      </c>
      <c r="G631" s="14" t="n">
        <f aca="false">relB_29</f>
        <v>0.85</v>
      </c>
    </row>
    <row r="632" customFormat="false" ht="15" hidden="false" customHeight="false" outlineLevel="0" collapsed="false">
      <c r="A632" s="3" t="s">
        <v>440</v>
      </c>
      <c r="B632" s="0" t="s">
        <v>52</v>
      </c>
      <c r="D632" s="13" t="n">
        <f aca="false">$D$630*D631</f>
        <v>0.15870077644017</v>
      </c>
      <c r="E632" s="13" t="n">
        <f aca="false">$D$630*E631</f>
        <v>0.150765737618161</v>
      </c>
      <c r="F632" s="13" t="n">
        <f aca="false">$D$630*F631</f>
        <v>0.142830698796153</v>
      </c>
      <c r="G632" s="13" t="n">
        <f aca="false">$D$630*G631</f>
        <v>0.134895659974144</v>
      </c>
    </row>
    <row r="633" customFormat="false" ht="15" hidden="false" customHeight="false" outlineLevel="0" collapsed="false">
      <c r="A633" s="3" t="s">
        <v>483</v>
      </c>
      <c r="B633" s="0" t="s">
        <v>191</v>
      </c>
      <c r="C633" s="19" t="n">
        <f aca="false">a25_lc</f>
        <v>7.91384</v>
      </c>
      <c r="D633" s="19" t="n">
        <f aca="false">D629*D632</f>
        <v>22.922423184</v>
      </c>
      <c r="E633" s="19" t="n">
        <f aca="false">E629*E632</f>
        <v>49.2152457409455</v>
      </c>
      <c r="F633" s="19" t="n">
        <f aca="false">F629*F632</f>
        <v>57.708377763038</v>
      </c>
      <c r="G633" s="19" t="n">
        <f aca="false">G629*G632</f>
        <v>69.8476512225023</v>
      </c>
    </row>
    <row r="634" customFormat="false" ht="17.15" hidden="false" customHeight="false" outlineLevel="0" collapsed="false">
      <c r="A634" s="5" t="s">
        <v>484</v>
      </c>
    </row>
    <row r="635" customFormat="false" ht="17.15" hidden="false" customHeight="false" outlineLevel="0" collapsed="false">
      <c r="A635" s="3" t="s">
        <v>485</v>
      </c>
      <c r="B635" s="0" t="s">
        <v>191</v>
      </c>
      <c r="C635" s="19" t="n">
        <f aca="false">a25_sair</f>
        <v>5.35348</v>
      </c>
      <c r="D635" s="19" t="n">
        <f aca="false">a26_sair</f>
        <v>5.3485654096</v>
      </c>
      <c r="E635" s="19" t="n">
        <f aca="false">D635*(1+g_sair_27)</f>
        <v>5.08113713912</v>
      </c>
      <c r="F635" s="19" t="n">
        <f aca="false">E635*(1+g_sair_28)</f>
        <v>4.827080282164</v>
      </c>
      <c r="G635" s="19" t="n">
        <f aca="false">F635*(1+g_sair_29)</f>
        <v>4.5857262680558</v>
      </c>
    </row>
    <row r="636" customFormat="false" ht="15" hidden="false" customHeight="false" outlineLevel="0" collapsed="false">
      <c r="A636" s="3" t="s">
        <v>486</v>
      </c>
      <c r="B636" s="0" t="s">
        <v>191</v>
      </c>
      <c r="C636" s="19" t="n">
        <f aca="false">a25_nb</f>
        <v>6.28452</v>
      </c>
      <c r="D636" s="19" t="n">
        <f aca="false">a26_nb</f>
        <v>5.730605796</v>
      </c>
      <c r="E636" s="19" t="n">
        <f aca="false">D636*(1+g_nb_27)</f>
        <v>5.55868762212</v>
      </c>
      <c r="F636" s="19" t="n">
        <f aca="false">E636*(1+g_nb_28)</f>
        <v>5.55868762212</v>
      </c>
      <c r="G636" s="19" t="n">
        <f aca="false">F636*(1+g_nb_29)</f>
        <v>5.55868762212</v>
      </c>
    </row>
    <row r="637" customFormat="false" ht="15" hidden="false" customHeight="false" outlineLevel="0" collapsed="false">
      <c r="A637" s="3" t="s">
        <v>487</v>
      </c>
      <c r="B637" s="0" t="s">
        <v>191</v>
      </c>
      <c r="C637" s="19" t="n">
        <f aca="false">a25_oth</f>
        <v>3.72416</v>
      </c>
      <c r="D637" s="19" t="n">
        <f aca="false">a26_oth</f>
        <v>4.2024442504</v>
      </c>
      <c r="E637" s="19" t="n">
        <f aca="false">D637*(1+g_oth_27)</f>
        <v>4.2024442504</v>
      </c>
      <c r="F637" s="19" t="n">
        <f aca="false">E637*(1+g_oth_28)</f>
        <v>4.2024442504</v>
      </c>
      <c r="G637" s="19" t="n">
        <f aca="false">F637*(1+g_oth_29)</f>
        <v>4.2024442504</v>
      </c>
    </row>
    <row r="638" customFormat="false" ht="15" hidden="false" customHeight="false" outlineLevel="0" collapsed="false">
      <c r="A638" s="3" t="s">
        <v>371</v>
      </c>
      <c r="B638" s="0" t="s">
        <v>191</v>
      </c>
      <c r="C638" s="19" t="n">
        <f aca="false">C633+C635+C636+C637</f>
        <v>23.276</v>
      </c>
      <c r="D638" s="19" t="n">
        <f aca="false">D633+D635+D636+D637</f>
        <v>38.20403864</v>
      </c>
      <c r="E638" s="19" t="n">
        <f aca="false">E633+E635+E636+E637</f>
        <v>64.0575147525856</v>
      </c>
      <c r="F638" s="19" t="n">
        <f aca="false">F633+F635+F636+F637</f>
        <v>72.296589917722</v>
      </c>
      <c r="G638" s="19" t="n">
        <f aca="false">G633+G635+G636+G637</f>
        <v>84.1945093630781</v>
      </c>
    </row>
    <row r="639" customFormat="false" ht="15" hidden="false" customHeight="false" outlineLevel="0" collapsed="false">
      <c r="A639" s="3" t="s">
        <v>488</v>
      </c>
      <c r="B639" s="0" t="s">
        <v>52</v>
      </c>
      <c r="D639" s="13" t="n">
        <f aca="false">D638/C638-1</f>
        <v>0.641348970613508</v>
      </c>
      <c r="E639" s="13" t="n">
        <f aca="false">E638/D638-1</f>
        <v>0.676721023036468</v>
      </c>
      <c r="F639" s="13" t="n">
        <f aca="false">F638/E638-1</f>
        <v>0.128619962809343</v>
      </c>
      <c r="G639" s="13" t="n">
        <f aca="false">G638/F638-1</f>
        <v>0.1645709632902</v>
      </c>
    </row>
    <row r="640" customFormat="false" ht="17.15" hidden="false" customHeight="false" outlineLevel="0" collapsed="false">
      <c r="A640" s="3" t="s">
        <v>489</v>
      </c>
      <c r="B640" s="0" t="s">
        <v>52</v>
      </c>
      <c r="C640" s="13" t="n">
        <f aca="false">C633/C638</f>
        <v>0.34</v>
      </c>
      <c r="D640" s="13" t="n">
        <f aca="false">D633/D638</f>
        <v>0.6</v>
      </c>
      <c r="E640" s="13" t="n">
        <f aca="false">E633/E638</f>
        <v>0.768297770074807</v>
      </c>
      <c r="F640" s="13" t="n">
        <f aca="false">F633/F638</f>
        <v>0.798217147291645</v>
      </c>
      <c r="G640" s="13" t="n">
        <f aca="false">G633/G638</f>
        <v>0.829598649019892</v>
      </c>
    </row>
    <row r="641" customFormat="false" ht="17.15" hidden="false" customHeight="false" outlineLevel="0" collapsed="false">
      <c r="A641" s="3" t="s">
        <v>448</v>
      </c>
      <c r="B641" s="0" t="s">
        <v>436</v>
      </c>
      <c r="D641" s="18" t="n">
        <f aca="false">D633/fx/D625*1000</f>
        <v>30.6128148005446</v>
      </c>
      <c r="E641" s="18" t="n">
        <f aca="false">E633/fx/E625*1000</f>
        <v>36.9290723757003</v>
      </c>
      <c r="F641" s="18" t="n">
        <f aca="false">F633/fx/F625*1000</f>
        <v>42.700174374494</v>
      </c>
      <c r="G641" s="18" t="n">
        <f aca="false">G633/fx/G625*1000</f>
        <v>42.700174374494</v>
      </c>
    </row>
    <row r="642" customFormat="false" ht="17.15" hidden="false" customHeight="false" outlineLevel="0" collapsed="false">
      <c r="A642" s="5" t="s">
        <v>490</v>
      </c>
    </row>
    <row r="643" customFormat="false" ht="17.15" hidden="false" customHeight="false" outlineLevel="0" collapsed="false">
      <c r="A643" s="3" t="s">
        <v>491</v>
      </c>
      <c r="B643" s="0" t="s">
        <v>52</v>
      </c>
      <c r="D643" s="13" t="n">
        <f aca="false">a26_gp/D638-d_lc*D640</f>
        <v>0.260156485550031</v>
      </c>
      <c r="H643" s="7" t="s">
        <v>492</v>
      </c>
    </row>
    <row r="644" customFormat="false" ht="15" hidden="false" customHeight="false" outlineLevel="0" collapsed="false">
      <c r="A644" s="3" t="s">
        <v>375</v>
      </c>
      <c r="B644" s="0" t="s">
        <v>191</v>
      </c>
      <c r="C644" s="19" t="n">
        <f aca="false">a25_gp</f>
        <v>6.372</v>
      </c>
      <c r="D644" s="19" t="n">
        <f aca="false">a26_gp</f>
        <v>11.0851495856</v>
      </c>
      <c r="E644" s="19" t="n">
        <f aca="false">$D$643*E638+d_lc*E633</f>
        <v>19.1257401981492</v>
      </c>
      <c r="F644" s="19" t="n">
        <f aca="false">$D$643*F638+d_lc*F633</f>
        <v>21.6938456383983</v>
      </c>
      <c r="G644" s="19" t="n">
        <f aca="false">$D$643*G638+d_lc*G633</f>
        <v>25.3961302196327</v>
      </c>
    </row>
    <row r="645" customFormat="false" ht="15" hidden="false" customHeight="false" outlineLevel="0" collapsed="false">
      <c r="A645" s="3" t="s">
        <v>378</v>
      </c>
      <c r="B645" s="0" t="s">
        <v>52</v>
      </c>
      <c r="C645" s="13" t="n">
        <f aca="false">C644/C638</f>
        <v>0.273758377728132</v>
      </c>
      <c r="D645" s="13" t="n">
        <f aca="false">D644/D638</f>
        <v>0.290156485550031</v>
      </c>
      <c r="E645" s="13" t="n">
        <f aca="false">E644/E638</f>
        <v>0.298571374053772</v>
      </c>
      <c r="F645" s="13" t="n">
        <f aca="false">F644/F638</f>
        <v>0.300067342914614</v>
      </c>
      <c r="G645" s="13" t="n">
        <f aca="false">G644/G638</f>
        <v>0.301636418001026</v>
      </c>
    </row>
    <row r="646" customFormat="false" ht="15" hidden="false" customHeight="false" outlineLevel="0" collapsed="false">
      <c r="A646" s="3" t="s">
        <v>493</v>
      </c>
      <c r="B646" s="0" t="s">
        <v>191</v>
      </c>
      <c r="C646" s="19" t="n">
        <f aca="false">a25_opx</f>
        <v>3.113</v>
      </c>
      <c r="D646" s="19" t="n">
        <f aca="false">a26_opx</f>
        <v>4.4038196704</v>
      </c>
      <c r="E646" s="19" t="n">
        <f aca="false">D646*(1+MAX(0,phi*E639))</f>
        <v>6.34092194960378</v>
      </c>
      <c r="F646" s="19" t="n">
        <f aca="false">E646*(1+MAX(0,phi*F639))</f>
        <v>6.87104189407152</v>
      </c>
      <c r="G646" s="19" t="n">
        <f aca="false">F646*(1+MAX(0,phi*G639))</f>
        <v>7.60604498322606</v>
      </c>
    </row>
    <row r="647" customFormat="false" ht="15" hidden="false" customHeight="false" outlineLevel="0" collapsed="false">
      <c r="A647" s="3" t="s">
        <v>380</v>
      </c>
      <c r="B647" s="0" t="s">
        <v>191</v>
      </c>
      <c r="C647" s="19" t="n">
        <f aca="false">C646</f>
        <v>3.113</v>
      </c>
      <c r="D647" s="19" t="n">
        <f aca="false">D646</f>
        <v>4.4038196704</v>
      </c>
      <c r="E647" s="19" t="n">
        <f aca="false">E646+0*E638</f>
        <v>6.34092194960378</v>
      </c>
      <c r="F647" s="19" t="n">
        <f aca="false">F646+0*F638</f>
        <v>6.87104189407152</v>
      </c>
      <c r="G647" s="19" t="n">
        <f aca="false">G646+0*G638</f>
        <v>7.60604498322606</v>
      </c>
    </row>
    <row r="648" customFormat="false" ht="15" hidden="false" customHeight="false" outlineLevel="0" collapsed="false">
      <c r="A648" s="3" t="s">
        <v>383</v>
      </c>
      <c r="B648" s="0" t="s">
        <v>191</v>
      </c>
      <c r="C648" s="19" t="n">
        <f aca="false">C644-C647</f>
        <v>3.259</v>
      </c>
      <c r="D648" s="19" t="n">
        <f aca="false">D644-D647</f>
        <v>6.6813299152</v>
      </c>
      <c r="E648" s="19" t="n">
        <f aca="false">E644-E647</f>
        <v>12.7848182485454</v>
      </c>
      <c r="F648" s="19" t="n">
        <f aca="false">F644-F647</f>
        <v>14.8228037443268</v>
      </c>
      <c r="G648" s="19" t="n">
        <f aca="false">G644-G647</f>
        <v>17.7900852364067</v>
      </c>
    </row>
    <row r="649" customFormat="false" ht="15" hidden="false" customHeight="false" outlineLevel="0" collapsed="false">
      <c r="A649" s="3" t="s">
        <v>386</v>
      </c>
      <c r="B649" s="0" t="s">
        <v>52</v>
      </c>
      <c r="C649" s="13" t="n">
        <f aca="false">C648/C638</f>
        <v>0.140015466575013</v>
      </c>
      <c r="D649" s="13" t="n">
        <f aca="false">D648/D638</f>
        <v>0.174885434970861</v>
      </c>
      <c r="E649" s="13" t="n">
        <f aca="false">E648/E638</f>
        <v>0.199583425893516</v>
      </c>
      <c r="F649" s="13" t="n">
        <f aca="false">F648/F638</f>
        <v>0.205027702706255</v>
      </c>
      <c r="G649" s="13" t="n">
        <f aca="false">G648/G638</f>
        <v>0.211297451235082</v>
      </c>
    </row>
    <row r="650" customFormat="false" ht="15" hidden="false" customHeight="false" outlineLevel="0" collapsed="false">
      <c r="A650" s="3" t="s">
        <v>387</v>
      </c>
      <c r="B650" s="0" t="s">
        <v>191</v>
      </c>
      <c r="C650" s="19" t="n">
        <f aca="false">a25_nop</f>
        <v>0.0184359999999999</v>
      </c>
      <c r="D650" s="19" t="n">
        <f aca="false">a26_nop</f>
        <v>-0.0226839999999999</v>
      </c>
      <c r="E650" s="19" t="n">
        <f aca="false">nop_f</f>
        <v>0</v>
      </c>
      <c r="F650" s="19" t="n">
        <f aca="false">nop_f</f>
        <v>0</v>
      </c>
      <c r="G650" s="19" t="n">
        <f aca="false">nop_f</f>
        <v>0</v>
      </c>
    </row>
    <row r="651" customFormat="false" ht="17.15" hidden="false" customHeight="false" outlineLevel="0" collapsed="false">
      <c r="A651" s="3" t="s">
        <v>234</v>
      </c>
      <c r="B651" s="0" t="s">
        <v>52</v>
      </c>
      <c r="C651" s="13" t="n">
        <f aca="false">a25_ni/(a25_oi+a25_nop)</f>
        <v>0.78475979393648</v>
      </c>
      <c r="D651" s="13" t="n">
        <f aca="false">a26_ni/(a26_oi+a26_nop)</f>
        <v>0.739465828331271</v>
      </c>
      <c r="E651" s="13" t="n">
        <f aca="false">nir_f_lo</f>
        <v>0.72</v>
      </c>
      <c r="F651" s="13" t="n">
        <f aca="false">nir_f_lo</f>
        <v>0.72</v>
      </c>
      <c r="G651" s="13" t="n">
        <f aca="false">nir_f_lo</f>
        <v>0.72</v>
      </c>
    </row>
    <row r="652" customFormat="false" ht="15" hidden="false" customHeight="false" outlineLevel="0" collapsed="false">
      <c r="A652" s="3" t="s">
        <v>391</v>
      </c>
      <c r="B652" s="0" t="s">
        <v>191</v>
      </c>
      <c r="C652" s="19" t="n">
        <f aca="false">a25_ni</f>
        <v>2.572</v>
      </c>
      <c r="D652" s="19" t="n">
        <f aca="false">a26_ni</f>
        <v>4.923841117248</v>
      </c>
      <c r="E652" s="19" t="n">
        <f aca="false">(E648+E650)*E651</f>
        <v>9.20506913895271</v>
      </c>
      <c r="F652" s="19" t="n">
        <f aca="false">(F648+F650)*F651</f>
        <v>10.6724186959153</v>
      </c>
      <c r="G652" s="19" t="n">
        <f aca="false">(G648+G650)*G651</f>
        <v>12.8088613702128</v>
      </c>
    </row>
    <row r="653" customFormat="false" ht="15" hidden="false" customHeight="false" outlineLevel="0" collapsed="false">
      <c r="A653" s="3" t="s">
        <v>494</v>
      </c>
      <c r="B653" s="3" t="s">
        <v>217</v>
      </c>
      <c r="C653" s="21" t="n">
        <f aca="false">a25_sh</f>
        <v>0.0910120311394197</v>
      </c>
      <c r="D653" s="21" t="n">
        <f aca="false">a26_sh</f>
        <v>0.093076837</v>
      </c>
      <c r="E653" s="21" t="n">
        <f aca="false">D653*(1+sh_g)</f>
        <v>0.093076837</v>
      </c>
      <c r="F653" s="21" t="n">
        <f aca="false">E653*(1+sh_g)</f>
        <v>0.093076837</v>
      </c>
      <c r="G653" s="21" t="n">
        <f aca="false">F653*(1+sh_g)</f>
        <v>0.093076837</v>
      </c>
    </row>
    <row r="654" customFormat="false" ht="15" hidden="false" customHeight="false" outlineLevel="0" collapsed="false">
      <c r="A654" s="0" t="s">
        <v>398</v>
      </c>
      <c r="B654" s="0" t="s">
        <v>251</v>
      </c>
      <c r="C654" s="20" t="n">
        <f aca="false">C652/C653</f>
        <v>28.26</v>
      </c>
      <c r="D654" s="20" t="n">
        <f aca="false">D652/D653</f>
        <v>52.9008212563992</v>
      </c>
      <c r="E654" s="20" t="n">
        <f aca="false">E652/E653</f>
        <v>98.897528489851</v>
      </c>
      <c r="F654" s="20" t="n">
        <f aca="false">F652/F653</f>
        <v>114.662455664617</v>
      </c>
      <c r="G654" s="20" t="n">
        <f aca="false">G652/G653</f>
        <v>137.615993227325</v>
      </c>
    </row>
    <row r="655" customFormat="false" ht="17.15" hidden="false" customHeight="false" outlineLevel="0" collapsed="false">
      <c r="A655" s="0" t="s">
        <v>495</v>
      </c>
      <c r="B655" s="0" t="s">
        <v>52</v>
      </c>
      <c r="D655" s="13" t="n">
        <f aca="false">D654/C654-1</f>
        <v>0.871932811620636</v>
      </c>
      <c r="E655" s="13" t="n">
        <f aca="false">E654/D654-1</f>
        <v>0.869489473717533</v>
      </c>
      <c r="F655" s="13" t="n">
        <f aca="false">F654/E654-1</f>
        <v>0.159406685035448</v>
      </c>
      <c r="G655" s="13" t="n">
        <f aca="false">G654/F654-1</f>
        <v>0.2001835511865</v>
      </c>
    </row>
    <row r="658" customFormat="false" ht="17.15" hidden="false" customHeight="false" outlineLevel="0" collapsed="false">
      <c r="A658" s="1" t="s">
        <v>858</v>
      </c>
    </row>
    <row r="659" customFormat="false" ht="17.15" hidden="false" customHeight="false" outlineLevel="0" collapsed="false">
      <c r="A659" s="4" t="s">
        <v>21</v>
      </c>
      <c r="B659" s="4" t="s">
        <v>22</v>
      </c>
      <c r="C659" s="10" t="s">
        <v>365</v>
      </c>
      <c r="D659" s="10" t="s">
        <v>452</v>
      </c>
      <c r="E659" s="10" t="s">
        <v>453</v>
      </c>
      <c r="F659" s="10" t="s">
        <v>454</v>
      </c>
      <c r="G659" s="10" t="s">
        <v>455</v>
      </c>
      <c r="H659" s="4" t="s">
        <v>350</v>
      </c>
    </row>
    <row r="660" customFormat="false" ht="17.15" hidden="false" customHeight="false" outlineLevel="0" collapsed="false">
      <c r="A660" s="5" t="s">
        <v>471</v>
      </c>
    </row>
    <row r="661" customFormat="false" ht="17.15" hidden="false" customHeight="false" outlineLevel="0" collapsed="false">
      <c r="A661" s="0" t="s">
        <v>472</v>
      </c>
      <c r="B661" s="0" t="s">
        <v>32</v>
      </c>
      <c r="D661" s="20" t="n">
        <f aca="false">itc_26*1</f>
        <v>781.872916666666</v>
      </c>
      <c r="E661" s="20" t="n">
        <f aca="false">itc_27*1*1</f>
        <v>1565.35</v>
      </c>
      <c r="F661" s="20" t="n">
        <f aca="false">itc_28*um28_B*1</f>
        <v>1587.41111111111</v>
      </c>
      <c r="G661" s="20" t="n">
        <f aca="false">itc_29*um29_B*1</f>
        <v>1921.33173611111</v>
      </c>
    </row>
    <row r="662" customFormat="false" ht="17.15" hidden="false" customHeight="false" outlineLevel="0" collapsed="false">
      <c r="A662" s="3" t="s">
        <v>473</v>
      </c>
      <c r="B662" s="0" t="s">
        <v>32</v>
      </c>
      <c r="D662" s="20" t="n">
        <f aca="false">itpg_gb*(1-vr26)+itpg_vr*vr26</f>
        <v>33.41403216</v>
      </c>
      <c r="E662" s="20" t="n">
        <f aca="false">itpg_vr</f>
        <v>37.586352</v>
      </c>
      <c r="F662" s="20" t="n">
        <f aca="false">itpg_vr</f>
        <v>37.586352</v>
      </c>
      <c r="G662" s="20" t="n">
        <f aca="false">itpg_vr</f>
        <v>37.586352</v>
      </c>
    </row>
    <row r="663" customFormat="false" ht="17.15" hidden="false" customHeight="false" outlineLevel="0" collapsed="false">
      <c r="A663" s="3" t="s">
        <v>474</v>
      </c>
      <c r="B663" s="0" t="s">
        <v>431</v>
      </c>
      <c r="D663" s="17" t="n">
        <f aca="false">D661/D662</f>
        <v>23.3995380420639</v>
      </c>
      <c r="E663" s="17" t="n">
        <f aca="false">E661/E662</f>
        <v>41.6467658260637</v>
      </c>
      <c r="F663" s="17" t="n">
        <f aca="false">F661/F662</f>
        <v>42.2337105529984</v>
      </c>
      <c r="G663" s="17" t="n">
        <f aca="false">G661/G662</f>
        <v>51.1178029756948</v>
      </c>
    </row>
    <row r="664" customFormat="false" ht="17.15" hidden="false" customHeight="false" outlineLevel="0" collapsed="false">
      <c r="A664" s="3" t="s">
        <v>475</v>
      </c>
      <c r="B664" s="0" t="s">
        <v>52</v>
      </c>
      <c r="D664" s="13" t="n">
        <f aca="false">lpenB_26</f>
        <v>0.55</v>
      </c>
      <c r="E664" s="13" t="n">
        <f aca="false">lpenB_27</f>
        <v>0.75</v>
      </c>
      <c r="F664" s="13" t="n">
        <f aca="false">lpenB_28</f>
        <v>0.85</v>
      </c>
      <c r="G664" s="13" t="n">
        <f aca="false">lpenB_29</f>
        <v>0.9</v>
      </c>
    </row>
    <row r="665" customFormat="false" ht="17.15" hidden="false" customHeight="false" outlineLevel="0" collapsed="false">
      <c r="A665" s="3" t="s">
        <v>476</v>
      </c>
      <c r="B665" s="0" t="s">
        <v>436</v>
      </c>
      <c r="D665" s="18" t="n">
        <f aca="false">((1-vr26)*racks_gb*(cool_gb+mani)+vr26*racks_vr*(cool_vr+mani))/1000</f>
        <v>350.7208</v>
      </c>
      <c r="E665" s="18" t="n">
        <f aca="false">racks_vr*(cool_vr+mani)*lcadj_27/1000</f>
        <v>326.5912</v>
      </c>
      <c r="F665" s="18" t="n">
        <f aca="false">racks_vr*(cool_vr+mani)*lcadj_28/1000</f>
        <v>351.7136</v>
      </c>
      <c r="G665" s="18" t="n">
        <f aca="false">racks_vr*(cool_vr+mani)*lcadj_29/1000</f>
        <v>351.7136</v>
      </c>
      <c r="H665" s="3" t="s">
        <v>477</v>
      </c>
    </row>
    <row r="666" customFormat="false" ht="17.15" hidden="false" customHeight="false" outlineLevel="0" collapsed="false">
      <c r="A666" s="0" t="s">
        <v>478</v>
      </c>
      <c r="B666" s="0" t="s">
        <v>32</v>
      </c>
      <c r="D666" s="20" t="n">
        <f aca="false">D663*D664*D665/1000</f>
        <v>4.51368758595869</v>
      </c>
      <c r="E666" s="20" t="n">
        <f aca="false">E663*E664*E665/1000</f>
        <v>10.2011004204398</v>
      </c>
      <c r="F666" s="20" t="n">
        <f aca="false">F663*F664*F665/1000</f>
        <v>12.6260448229601</v>
      </c>
      <c r="G666" s="20" t="n">
        <f aca="false">G663*G664*G665/1000</f>
        <v>16.1809438578051</v>
      </c>
    </row>
    <row r="667" customFormat="false" ht="17.15" hidden="false" customHeight="false" outlineLevel="0" collapsed="false">
      <c r="A667" s="0" t="s">
        <v>479</v>
      </c>
      <c r="B667" s="0" t="s">
        <v>191</v>
      </c>
      <c r="D667" s="19" t="n">
        <f aca="false">D666*fx</f>
        <v>144.438002750678</v>
      </c>
      <c r="E667" s="19" t="n">
        <f aca="false">E666*fx</f>
        <v>326.435213454075</v>
      </c>
      <c r="F667" s="19" t="n">
        <f aca="false">F666*fx</f>
        <v>404.033434334723</v>
      </c>
      <c r="G667" s="19" t="n">
        <f aca="false">G666*fx</f>
        <v>517.790203449763</v>
      </c>
    </row>
    <row r="668" customFormat="false" ht="17.15" hidden="false" customHeight="false" outlineLevel="0" collapsed="false">
      <c r="A668" s="3" t="s">
        <v>480</v>
      </c>
      <c r="B668" s="0" t="s">
        <v>52</v>
      </c>
      <c r="D668" s="13" t="n">
        <f aca="false">a26_lc/D667</f>
        <v>0.15870077644017</v>
      </c>
      <c r="H668" s="7" t="s">
        <v>481</v>
      </c>
    </row>
    <row r="669" customFormat="false" ht="17.15" hidden="false" customHeight="false" outlineLevel="0" collapsed="false">
      <c r="A669" s="3" t="s">
        <v>482</v>
      </c>
      <c r="B669" s="0" t="s">
        <v>73</v>
      </c>
      <c r="D669" s="14" t="n">
        <f aca="false">1</f>
        <v>1</v>
      </c>
      <c r="E669" s="14" t="n">
        <f aca="false">relB_27</f>
        <v>0.95</v>
      </c>
      <c r="F669" s="14" t="n">
        <f aca="false">relB_28</f>
        <v>0.9</v>
      </c>
      <c r="G669" s="14" t="n">
        <f aca="false">relB_29</f>
        <v>0.85</v>
      </c>
    </row>
    <row r="670" customFormat="false" ht="15" hidden="false" customHeight="false" outlineLevel="0" collapsed="false">
      <c r="A670" s="3" t="s">
        <v>440</v>
      </c>
      <c r="B670" s="0" t="s">
        <v>52</v>
      </c>
      <c r="D670" s="13" t="n">
        <f aca="false">$D$668*D669</f>
        <v>0.15870077644017</v>
      </c>
      <c r="E670" s="13" t="n">
        <f aca="false">$D$668*E669</f>
        <v>0.150765737618161</v>
      </c>
      <c r="F670" s="13" t="n">
        <f aca="false">$D$668*F669</f>
        <v>0.142830698796153</v>
      </c>
      <c r="G670" s="13" t="n">
        <f aca="false">$D$668*G669</f>
        <v>0.134895659974144</v>
      </c>
    </row>
    <row r="671" customFormat="false" ht="15" hidden="false" customHeight="false" outlineLevel="0" collapsed="false">
      <c r="A671" s="3" t="s">
        <v>483</v>
      </c>
      <c r="B671" s="0" t="s">
        <v>191</v>
      </c>
      <c r="C671" s="19" t="n">
        <f aca="false">a25_lc</f>
        <v>7.91384</v>
      </c>
      <c r="D671" s="19" t="n">
        <f aca="false">D667*D670</f>
        <v>22.922423184</v>
      </c>
      <c r="E671" s="19" t="n">
        <f aca="false">E667*E670</f>
        <v>49.2152457409455</v>
      </c>
      <c r="F671" s="19" t="n">
        <f aca="false">F667*F670</f>
        <v>57.708377763038</v>
      </c>
      <c r="G671" s="19" t="n">
        <f aca="false">G667*G670</f>
        <v>69.8476512225023</v>
      </c>
    </row>
    <row r="672" customFormat="false" ht="17.15" hidden="false" customHeight="false" outlineLevel="0" collapsed="false">
      <c r="A672" s="5" t="s">
        <v>484</v>
      </c>
    </row>
    <row r="673" customFormat="false" ht="17.15" hidden="false" customHeight="false" outlineLevel="0" collapsed="false">
      <c r="A673" s="3" t="s">
        <v>485</v>
      </c>
      <c r="B673" s="0" t="s">
        <v>191</v>
      </c>
      <c r="C673" s="19" t="n">
        <f aca="false">a25_sair</f>
        <v>5.35348</v>
      </c>
      <c r="D673" s="19" t="n">
        <f aca="false">a26_sair</f>
        <v>5.3485654096</v>
      </c>
      <c r="E673" s="19" t="n">
        <f aca="false">D673*(1+g_sair_27)</f>
        <v>5.08113713912</v>
      </c>
      <c r="F673" s="19" t="n">
        <f aca="false">E673*(1+g_sair_28)</f>
        <v>4.827080282164</v>
      </c>
      <c r="G673" s="19" t="n">
        <f aca="false">F673*(1+g_sair_29)</f>
        <v>4.5857262680558</v>
      </c>
    </row>
    <row r="674" customFormat="false" ht="15" hidden="false" customHeight="false" outlineLevel="0" collapsed="false">
      <c r="A674" s="3" t="s">
        <v>486</v>
      </c>
      <c r="B674" s="0" t="s">
        <v>191</v>
      </c>
      <c r="C674" s="19" t="n">
        <f aca="false">a25_nb</f>
        <v>6.28452</v>
      </c>
      <c r="D674" s="19" t="n">
        <f aca="false">a26_nb</f>
        <v>5.730605796</v>
      </c>
      <c r="E674" s="19" t="n">
        <f aca="false">D674*(1+g_nb_27)</f>
        <v>5.55868762212</v>
      </c>
      <c r="F674" s="19" t="n">
        <f aca="false">E674*(1+g_nb_28)</f>
        <v>5.55868762212</v>
      </c>
      <c r="G674" s="19" t="n">
        <f aca="false">F674*(1+g_nb_29)</f>
        <v>5.55868762212</v>
      </c>
    </row>
    <row r="675" customFormat="false" ht="15" hidden="false" customHeight="false" outlineLevel="0" collapsed="false">
      <c r="A675" s="3" t="s">
        <v>487</v>
      </c>
      <c r="B675" s="0" t="s">
        <v>191</v>
      </c>
      <c r="C675" s="19" t="n">
        <f aca="false">a25_oth</f>
        <v>3.72416</v>
      </c>
      <c r="D675" s="19" t="n">
        <f aca="false">a26_oth</f>
        <v>4.2024442504</v>
      </c>
      <c r="E675" s="19" t="n">
        <f aca="false">D675*(1+g_oth_27)</f>
        <v>4.2024442504</v>
      </c>
      <c r="F675" s="19" t="n">
        <f aca="false">E675*(1+g_oth_28)</f>
        <v>4.2024442504</v>
      </c>
      <c r="G675" s="19" t="n">
        <f aca="false">F675*(1+g_oth_29)</f>
        <v>4.2024442504</v>
      </c>
    </row>
    <row r="676" customFormat="false" ht="15" hidden="false" customHeight="false" outlineLevel="0" collapsed="false">
      <c r="A676" s="3" t="s">
        <v>371</v>
      </c>
      <c r="B676" s="0" t="s">
        <v>191</v>
      </c>
      <c r="C676" s="19" t="n">
        <f aca="false">C671+C673+C674+C675</f>
        <v>23.276</v>
      </c>
      <c r="D676" s="19" t="n">
        <f aca="false">D671+D673+D674+D675</f>
        <v>38.20403864</v>
      </c>
      <c r="E676" s="19" t="n">
        <f aca="false">E671+E673+E674+E675</f>
        <v>64.0575147525856</v>
      </c>
      <c r="F676" s="19" t="n">
        <f aca="false">F671+F673+F674+F675</f>
        <v>72.296589917722</v>
      </c>
      <c r="G676" s="19" t="n">
        <f aca="false">G671+G673+G674+G675</f>
        <v>84.1945093630781</v>
      </c>
    </row>
    <row r="677" customFormat="false" ht="15" hidden="false" customHeight="false" outlineLevel="0" collapsed="false">
      <c r="A677" s="3" t="s">
        <v>488</v>
      </c>
      <c r="B677" s="0" t="s">
        <v>52</v>
      </c>
      <c r="D677" s="13" t="n">
        <f aca="false">D676/C676-1</f>
        <v>0.641348970613508</v>
      </c>
      <c r="E677" s="13" t="n">
        <f aca="false">E676/D676-1</f>
        <v>0.676721023036468</v>
      </c>
      <c r="F677" s="13" t="n">
        <f aca="false">F676/E676-1</f>
        <v>0.128619962809343</v>
      </c>
      <c r="G677" s="13" t="n">
        <f aca="false">G676/F676-1</f>
        <v>0.1645709632902</v>
      </c>
    </row>
    <row r="678" customFormat="false" ht="17.15" hidden="false" customHeight="false" outlineLevel="0" collapsed="false">
      <c r="A678" s="3" t="s">
        <v>489</v>
      </c>
      <c r="B678" s="0" t="s">
        <v>52</v>
      </c>
      <c r="C678" s="13" t="n">
        <f aca="false">C671/C676</f>
        <v>0.34</v>
      </c>
      <c r="D678" s="13" t="n">
        <f aca="false">D671/D676</f>
        <v>0.6</v>
      </c>
      <c r="E678" s="13" t="n">
        <f aca="false">E671/E676</f>
        <v>0.768297770074807</v>
      </c>
      <c r="F678" s="13" t="n">
        <f aca="false">F671/F676</f>
        <v>0.798217147291645</v>
      </c>
      <c r="G678" s="13" t="n">
        <f aca="false">G671/G676</f>
        <v>0.829598649019892</v>
      </c>
    </row>
    <row r="679" customFormat="false" ht="17.15" hidden="false" customHeight="false" outlineLevel="0" collapsed="false">
      <c r="A679" s="3" t="s">
        <v>448</v>
      </c>
      <c r="B679" s="0" t="s">
        <v>436</v>
      </c>
      <c r="D679" s="18" t="n">
        <f aca="false">D671/fx/D663*1000</f>
        <v>30.6128148005446</v>
      </c>
      <c r="E679" s="18" t="n">
        <f aca="false">E671/fx/E663*1000</f>
        <v>36.9290723757003</v>
      </c>
      <c r="F679" s="18" t="n">
        <f aca="false">F671/fx/F663*1000</f>
        <v>42.700174374494</v>
      </c>
      <c r="G679" s="18" t="n">
        <f aca="false">G671/fx/G663*1000</f>
        <v>42.700174374494</v>
      </c>
    </row>
    <row r="680" customFormat="false" ht="17.15" hidden="false" customHeight="false" outlineLevel="0" collapsed="false">
      <c r="A680" s="5" t="s">
        <v>490</v>
      </c>
    </row>
    <row r="681" customFormat="false" ht="17.15" hidden="false" customHeight="false" outlineLevel="0" collapsed="false">
      <c r="A681" s="3" t="s">
        <v>491</v>
      </c>
      <c r="B681" s="0" t="s">
        <v>52</v>
      </c>
      <c r="D681" s="13" t="n">
        <f aca="false">a26_gp/D676-d_lc*D678</f>
        <v>0.260156485550031</v>
      </c>
      <c r="H681" s="7" t="s">
        <v>492</v>
      </c>
    </row>
    <row r="682" customFormat="false" ht="15" hidden="false" customHeight="false" outlineLevel="0" collapsed="false">
      <c r="A682" s="3" t="s">
        <v>375</v>
      </c>
      <c r="B682" s="0" t="s">
        <v>191</v>
      </c>
      <c r="C682" s="19" t="n">
        <f aca="false">a25_gp</f>
        <v>6.372</v>
      </c>
      <c r="D682" s="19" t="n">
        <f aca="false">a26_gp</f>
        <v>11.0851495856</v>
      </c>
      <c r="E682" s="19" t="n">
        <f aca="false">$D$681*E676+d_lc*E671</f>
        <v>19.1257401981492</v>
      </c>
      <c r="F682" s="19" t="n">
        <f aca="false">$D$681*F676+d_lc*F671</f>
        <v>21.6938456383983</v>
      </c>
      <c r="G682" s="19" t="n">
        <f aca="false">$D$681*G676+d_lc*G671</f>
        <v>25.3961302196327</v>
      </c>
    </row>
    <row r="683" customFormat="false" ht="15" hidden="false" customHeight="false" outlineLevel="0" collapsed="false">
      <c r="A683" s="3" t="s">
        <v>378</v>
      </c>
      <c r="B683" s="0" t="s">
        <v>52</v>
      </c>
      <c r="C683" s="13" t="n">
        <f aca="false">C682/C676</f>
        <v>0.273758377728132</v>
      </c>
      <c r="D683" s="13" t="n">
        <f aca="false">D682/D676</f>
        <v>0.290156485550031</v>
      </c>
      <c r="E683" s="13" t="n">
        <f aca="false">E682/E676</f>
        <v>0.298571374053772</v>
      </c>
      <c r="F683" s="13" t="n">
        <f aca="false">F682/F676</f>
        <v>0.300067342914614</v>
      </c>
      <c r="G683" s="13" t="n">
        <f aca="false">G682/G676</f>
        <v>0.301636418001026</v>
      </c>
    </row>
    <row r="684" customFormat="false" ht="15" hidden="false" customHeight="false" outlineLevel="0" collapsed="false">
      <c r="A684" s="3" t="s">
        <v>493</v>
      </c>
      <c r="B684" s="0" t="s">
        <v>191</v>
      </c>
      <c r="C684" s="19" t="n">
        <f aca="false">a25_opx</f>
        <v>3.113</v>
      </c>
      <c r="D684" s="19" t="n">
        <f aca="false">a26_opx</f>
        <v>4.4038196704</v>
      </c>
      <c r="E684" s="19" t="n">
        <f aca="false">D684*(1+MAX(0,phi*E677))</f>
        <v>6.34092194960378</v>
      </c>
      <c r="F684" s="19" t="n">
        <f aca="false">E684*(1+MAX(0,phi*F677))</f>
        <v>6.87104189407152</v>
      </c>
      <c r="G684" s="19" t="n">
        <f aca="false">F684*(1+MAX(0,phi*G677))</f>
        <v>7.60604498322606</v>
      </c>
    </row>
    <row r="685" customFormat="false" ht="15" hidden="false" customHeight="false" outlineLevel="0" collapsed="false">
      <c r="A685" s="3" t="s">
        <v>380</v>
      </c>
      <c r="B685" s="0" t="s">
        <v>191</v>
      </c>
      <c r="C685" s="19" t="n">
        <f aca="false">C684</f>
        <v>3.113</v>
      </c>
      <c r="D685" s="19" t="n">
        <f aca="false">D684</f>
        <v>4.4038196704</v>
      </c>
      <c r="E685" s="19" t="n">
        <f aca="false">E684+0*E676</f>
        <v>6.34092194960378</v>
      </c>
      <c r="F685" s="19" t="n">
        <f aca="false">F684+0*F676</f>
        <v>6.87104189407152</v>
      </c>
      <c r="G685" s="19" t="n">
        <f aca="false">G684+0*G676</f>
        <v>7.60604498322606</v>
      </c>
    </row>
    <row r="686" customFormat="false" ht="15" hidden="false" customHeight="false" outlineLevel="0" collapsed="false">
      <c r="A686" s="3" t="s">
        <v>383</v>
      </c>
      <c r="B686" s="0" t="s">
        <v>191</v>
      </c>
      <c r="C686" s="19" t="n">
        <f aca="false">C682-C685</f>
        <v>3.259</v>
      </c>
      <c r="D686" s="19" t="n">
        <f aca="false">D682-D685</f>
        <v>6.6813299152</v>
      </c>
      <c r="E686" s="19" t="n">
        <f aca="false">E682-E685</f>
        <v>12.7848182485454</v>
      </c>
      <c r="F686" s="19" t="n">
        <f aca="false">F682-F685</f>
        <v>14.8228037443268</v>
      </c>
      <c r="G686" s="19" t="n">
        <f aca="false">G682-G685</f>
        <v>17.7900852364067</v>
      </c>
    </row>
    <row r="687" customFormat="false" ht="15" hidden="false" customHeight="false" outlineLevel="0" collapsed="false">
      <c r="A687" s="3" t="s">
        <v>386</v>
      </c>
      <c r="B687" s="0" t="s">
        <v>52</v>
      </c>
      <c r="C687" s="13" t="n">
        <f aca="false">C686/C676</f>
        <v>0.140015466575013</v>
      </c>
      <c r="D687" s="13" t="n">
        <f aca="false">D686/D676</f>
        <v>0.174885434970861</v>
      </c>
      <c r="E687" s="13" t="n">
        <f aca="false">E686/E676</f>
        <v>0.199583425893516</v>
      </c>
      <c r="F687" s="13" t="n">
        <f aca="false">F686/F676</f>
        <v>0.205027702706255</v>
      </c>
      <c r="G687" s="13" t="n">
        <f aca="false">G686/G676</f>
        <v>0.211297451235082</v>
      </c>
    </row>
    <row r="688" customFormat="false" ht="15" hidden="false" customHeight="false" outlineLevel="0" collapsed="false">
      <c r="A688" s="3" t="s">
        <v>387</v>
      </c>
      <c r="B688" s="0" t="s">
        <v>191</v>
      </c>
      <c r="C688" s="19" t="n">
        <f aca="false">a25_nop</f>
        <v>0.0184359999999999</v>
      </c>
      <c r="D688" s="19" t="n">
        <f aca="false">a26_nop</f>
        <v>-0.0226839999999999</v>
      </c>
      <c r="E688" s="19" t="n">
        <f aca="false">nop_f</f>
        <v>0</v>
      </c>
      <c r="F688" s="19" t="n">
        <f aca="false">nop_f</f>
        <v>0</v>
      </c>
      <c r="G688" s="19" t="n">
        <f aca="false">nop_f</f>
        <v>0</v>
      </c>
    </row>
    <row r="689" customFormat="false" ht="17.15" hidden="false" customHeight="false" outlineLevel="0" collapsed="false">
      <c r="A689" s="3" t="s">
        <v>234</v>
      </c>
      <c r="B689" s="0" t="s">
        <v>52</v>
      </c>
      <c r="C689" s="13" t="n">
        <f aca="false">a25_ni/(a25_oi+a25_nop)</f>
        <v>0.78475979393648</v>
      </c>
      <c r="D689" s="13" t="n">
        <f aca="false">a26_ni/(a26_oi+a26_nop)</f>
        <v>0.739465828331271</v>
      </c>
      <c r="E689" s="13" t="n">
        <f aca="false">nir_f_hi</f>
        <v>0.78</v>
      </c>
      <c r="F689" s="13" t="n">
        <f aca="false">nir_f_hi</f>
        <v>0.78</v>
      </c>
      <c r="G689" s="13" t="n">
        <f aca="false">nir_f_hi</f>
        <v>0.78</v>
      </c>
    </row>
    <row r="690" customFormat="false" ht="15" hidden="false" customHeight="false" outlineLevel="0" collapsed="false">
      <c r="A690" s="3" t="s">
        <v>391</v>
      </c>
      <c r="B690" s="0" t="s">
        <v>191</v>
      </c>
      <c r="C690" s="19" t="n">
        <f aca="false">a25_ni</f>
        <v>2.572</v>
      </c>
      <c r="D690" s="19" t="n">
        <f aca="false">a26_ni</f>
        <v>4.923841117248</v>
      </c>
      <c r="E690" s="19" t="n">
        <f aca="false">(E686+E688)*E689</f>
        <v>9.97215823386544</v>
      </c>
      <c r="F690" s="19" t="n">
        <f aca="false">(F686+F688)*F689</f>
        <v>11.5617869205749</v>
      </c>
      <c r="G690" s="19" t="n">
        <f aca="false">(G686+G688)*G689</f>
        <v>13.8762664843972</v>
      </c>
    </row>
    <row r="691" customFormat="false" ht="15" hidden="false" customHeight="false" outlineLevel="0" collapsed="false">
      <c r="A691" s="3" t="s">
        <v>494</v>
      </c>
      <c r="B691" s="3" t="s">
        <v>217</v>
      </c>
      <c r="C691" s="21" t="n">
        <f aca="false">a25_sh</f>
        <v>0.0910120311394197</v>
      </c>
      <c r="D691" s="21" t="n">
        <f aca="false">a26_sh</f>
        <v>0.093076837</v>
      </c>
      <c r="E691" s="21" t="n">
        <f aca="false">D691*(1+sh_g)</f>
        <v>0.093076837</v>
      </c>
      <c r="F691" s="21" t="n">
        <f aca="false">E691*(1+sh_g)</f>
        <v>0.093076837</v>
      </c>
      <c r="G691" s="21" t="n">
        <f aca="false">F691*(1+sh_g)</f>
        <v>0.093076837</v>
      </c>
    </row>
    <row r="692" customFormat="false" ht="15" hidden="false" customHeight="false" outlineLevel="0" collapsed="false">
      <c r="A692" s="0" t="s">
        <v>398</v>
      </c>
      <c r="B692" s="0" t="s">
        <v>251</v>
      </c>
      <c r="C692" s="20" t="n">
        <f aca="false">C690/C691</f>
        <v>28.26</v>
      </c>
      <c r="D692" s="20" t="n">
        <f aca="false">D690/D691</f>
        <v>52.9008212563992</v>
      </c>
      <c r="E692" s="20" t="n">
        <f aca="false">E690/E691</f>
        <v>107.138989197339</v>
      </c>
      <c r="F692" s="20" t="n">
        <f aca="false">F690/F691</f>
        <v>124.217660303335</v>
      </c>
      <c r="G692" s="20" t="n">
        <f aca="false">G690/G691</f>
        <v>149.083992662935</v>
      </c>
    </row>
    <row r="693" customFormat="false" ht="17.15" hidden="false" customHeight="false" outlineLevel="0" collapsed="false">
      <c r="A693" s="0" t="s">
        <v>495</v>
      </c>
      <c r="B693" s="0" t="s">
        <v>52</v>
      </c>
      <c r="D693" s="13" t="n">
        <f aca="false">D692/C692-1</f>
        <v>0.871932811620636</v>
      </c>
      <c r="E693" s="13" t="n">
        <f aca="false">E692/D692-1</f>
        <v>1.02528026319399</v>
      </c>
      <c r="F693" s="13" t="n">
        <f aca="false">F692/E692-1</f>
        <v>0.159406685035448</v>
      </c>
      <c r="G693" s="13" t="n">
        <f aca="false">G692/F692-1</f>
        <v>0.2001835511865</v>
      </c>
    </row>
    <row r="696" customFormat="false" ht="17.15" hidden="false" customHeight="false" outlineLevel="0" collapsed="false">
      <c r="A696" s="1" t="s">
        <v>859</v>
      </c>
    </row>
    <row r="697" customFormat="false" ht="17.15" hidden="false" customHeight="false" outlineLevel="0" collapsed="false">
      <c r="A697" s="4" t="s">
        <v>21</v>
      </c>
      <c r="B697" s="4" t="s">
        <v>22</v>
      </c>
      <c r="C697" s="10" t="s">
        <v>365</v>
      </c>
      <c r="D697" s="10" t="s">
        <v>452</v>
      </c>
      <c r="E697" s="10" t="s">
        <v>453</v>
      </c>
      <c r="F697" s="10" t="s">
        <v>454</v>
      </c>
      <c r="G697" s="10" t="s">
        <v>455</v>
      </c>
      <c r="H697" s="4" t="s">
        <v>350</v>
      </c>
    </row>
    <row r="698" customFormat="false" ht="17.15" hidden="false" customHeight="false" outlineLevel="0" collapsed="false">
      <c r="A698" s="5" t="s">
        <v>471</v>
      </c>
    </row>
    <row r="699" customFormat="false" ht="17.15" hidden="false" customHeight="false" outlineLevel="0" collapsed="false">
      <c r="A699" s="0" t="s">
        <v>472</v>
      </c>
      <c r="B699" s="0" t="s">
        <v>32</v>
      </c>
      <c r="D699" s="20" t="n">
        <f aca="false">itc_26*1</f>
        <v>781.872916666666</v>
      </c>
      <c r="E699" s="20" t="n">
        <f aca="false">itc_27*1*1</f>
        <v>1565.35</v>
      </c>
      <c r="F699" s="20" t="n">
        <f aca="false">itc_28*um28_B*1</f>
        <v>1587.41111111111</v>
      </c>
      <c r="G699" s="20" t="n">
        <f aca="false">itc_29*um29_B*1</f>
        <v>1921.33173611111</v>
      </c>
    </row>
    <row r="700" customFormat="false" ht="17.15" hidden="false" customHeight="false" outlineLevel="0" collapsed="false">
      <c r="A700" s="3" t="s">
        <v>473</v>
      </c>
      <c r="B700" s="0" t="s">
        <v>32</v>
      </c>
      <c r="D700" s="20" t="n">
        <f aca="false">itpg_gb*(1-vr26)+itpg_vr*vr26</f>
        <v>33.41403216</v>
      </c>
      <c r="E700" s="20" t="n">
        <f aca="false">itpg_vr</f>
        <v>37.586352</v>
      </c>
      <c r="F700" s="20" t="n">
        <f aca="false">itpg_vr</f>
        <v>37.586352</v>
      </c>
      <c r="G700" s="20" t="n">
        <f aca="false">itpg_vr</f>
        <v>37.586352</v>
      </c>
    </row>
    <row r="701" customFormat="false" ht="17.15" hidden="false" customHeight="false" outlineLevel="0" collapsed="false">
      <c r="A701" s="3" t="s">
        <v>474</v>
      </c>
      <c r="B701" s="0" t="s">
        <v>431</v>
      </c>
      <c r="D701" s="17" t="n">
        <f aca="false">D699/D700</f>
        <v>23.3995380420639</v>
      </c>
      <c r="E701" s="17" t="n">
        <f aca="false">E699/E700</f>
        <v>41.6467658260637</v>
      </c>
      <c r="F701" s="17" t="n">
        <f aca="false">F699/F700</f>
        <v>42.2337105529984</v>
      </c>
      <c r="G701" s="17" t="n">
        <f aca="false">G699/G700</f>
        <v>51.1178029756948</v>
      </c>
    </row>
    <row r="702" customFormat="false" ht="17.15" hidden="false" customHeight="false" outlineLevel="0" collapsed="false">
      <c r="A702" s="3" t="s">
        <v>475</v>
      </c>
      <c r="B702" s="0" t="s">
        <v>52</v>
      </c>
      <c r="D702" s="13" t="n">
        <f aca="false">lpenB_26</f>
        <v>0.55</v>
      </c>
      <c r="E702" s="13" t="n">
        <f aca="false">lpenB_27</f>
        <v>0.75</v>
      </c>
      <c r="F702" s="13" t="n">
        <f aca="false">lpenB_28</f>
        <v>0.85</v>
      </c>
      <c r="G702" s="13" t="n">
        <f aca="false">lpenB_29</f>
        <v>0.9</v>
      </c>
    </row>
    <row r="703" customFormat="false" ht="17.15" hidden="false" customHeight="false" outlineLevel="0" collapsed="false">
      <c r="A703" s="3" t="s">
        <v>476</v>
      </c>
      <c r="B703" s="0" t="s">
        <v>436</v>
      </c>
      <c r="D703" s="18" t="n">
        <f aca="false">((1-vr26)*racks_gb*(cool_gb+mani)+vr26*racks_vr*(cool_vr+mani))/1000</f>
        <v>350.7208</v>
      </c>
      <c r="E703" s="18" t="n">
        <f aca="false">racks_vr*(cool_vr+mani)*lcadj_27/1000</f>
        <v>326.5912</v>
      </c>
      <c r="F703" s="18" t="n">
        <f aca="false">racks_vr*(cool_vr+mani)*lcadj_28/1000</f>
        <v>351.7136</v>
      </c>
      <c r="G703" s="18" t="n">
        <f aca="false">racks_vr*(cool_vr+mani)*lcadj_29/1000</f>
        <v>351.7136</v>
      </c>
      <c r="H703" s="3" t="s">
        <v>477</v>
      </c>
    </row>
    <row r="704" customFormat="false" ht="17.15" hidden="false" customHeight="false" outlineLevel="0" collapsed="false">
      <c r="A704" s="0" t="s">
        <v>478</v>
      </c>
      <c r="B704" s="0" t="s">
        <v>32</v>
      </c>
      <c r="D704" s="20" t="n">
        <f aca="false">D701*D702*D703/1000</f>
        <v>4.51368758595869</v>
      </c>
      <c r="E704" s="20" t="n">
        <f aca="false">E701*E702*E703/1000</f>
        <v>10.2011004204398</v>
      </c>
      <c r="F704" s="20" t="n">
        <f aca="false">F701*F702*F703/1000</f>
        <v>12.6260448229601</v>
      </c>
      <c r="G704" s="20" t="n">
        <f aca="false">G701*G702*G703/1000</f>
        <v>16.1809438578051</v>
      </c>
    </row>
    <row r="705" customFormat="false" ht="17.15" hidden="false" customHeight="false" outlineLevel="0" collapsed="false">
      <c r="A705" s="0" t="s">
        <v>479</v>
      </c>
      <c r="B705" s="0" t="s">
        <v>191</v>
      </c>
      <c r="D705" s="19" t="n">
        <f aca="false">D704*fx</f>
        <v>144.438002750678</v>
      </c>
      <c r="E705" s="19" t="n">
        <f aca="false">E704*fx</f>
        <v>326.435213454075</v>
      </c>
      <c r="F705" s="19" t="n">
        <f aca="false">F704*fx</f>
        <v>404.033434334723</v>
      </c>
      <c r="G705" s="19" t="n">
        <f aca="false">G704*fx</f>
        <v>517.790203449763</v>
      </c>
    </row>
    <row r="706" customFormat="false" ht="17.15" hidden="false" customHeight="false" outlineLevel="0" collapsed="false">
      <c r="A706" s="3" t="s">
        <v>480</v>
      </c>
      <c r="B706" s="0" t="s">
        <v>52</v>
      </c>
      <c r="D706" s="13" t="n">
        <f aca="false">a26_lcLL/D705</f>
        <v>0.145475711736822</v>
      </c>
      <c r="H706" s="7" t="s">
        <v>481</v>
      </c>
    </row>
    <row r="707" customFormat="false" ht="17.15" hidden="false" customHeight="false" outlineLevel="0" collapsed="false">
      <c r="A707" s="3" t="s">
        <v>482</v>
      </c>
      <c r="B707" s="0" t="s">
        <v>73</v>
      </c>
      <c r="D707" s="14" t="n">
        <f aca="false">1</f>
        <v>1</v>
      </c>
      <c r="E707" s="14" t="n">
        <f aca="false">relB_27</f>
        <v>0.95</v>
      </c>
      <c r="F707" s="14" t="n">
        <f aca="false">relB_28</f>
        <v>0.9</v>
      </c>
      <c r="G707" s="14" t="n">
        <f aca="false">relB_29</f>
        <v>0.85</v>
      </c>
    </row>
    <row r="708" customFormat="false" ht="15" hidden="false" customHeight="false" outlineLevel="0" collapsed="false">
      <c r="A708" s="3" t="s">
        <v>440</v>
      </c>
      <c r="B708" s="0" t="s">
        <v>52</v>
      </c>
      <c r="D708" s="13" t="n">
        <f aca="false">$D$706*D707</f>
        <v>0.145475711736822</v>
      </c>
      <c r="E708" s="13" t="n">
        <f aca="false">$D$706*E707</f>
        <v>0.138201926149981</v>
      </c>
      <c r="F708" s="13" t="n">
        <f aca="false">$D$706*F707</f>
        <v>0.13092814056314</v>
      </c>
      <c r="G708" s="13" t="n">
        <f aca="false">$D$706*G707</f>
        <v>0.123654354976299</v>
      </c>
    </row>
    <row r="709" customFormat="false" ht="15" hidden="false" customHeight="false" outlineLevel="0" collapsed="false">
      <c r="A709" s="3" t="s">
        <v>483</v>
      </c>
      <c r="B709" s="0" t="s">
        <v>191</v>
      </c>
      <c r="C709" s="19" t="n">
        <f aca="false">a25_lc</f>
        <v>7.91384</v>
      </c>
      <c r="D709" s="19" t="n">
        <f aca="false">D705*D708</f>
        <v>21.012221252</v>
      </c>
      <c r="E709" s="19" t="n">
        <f aca="false">E705*E708</f>
        <v>45.1139752625334</v>
      </c>
      <c r="F709" s="19" t="n">
        <f aca="false">F705*F708</f>
        <v>52.8993462827849</v>
      </c>
      <c r="G709" s="19" t="n">
        <f aca="false">G705*G708</f>
        <v>64.0270136206271</v>
      </c>
    </row>
    <row r="710" customFormat="false" ht="17.15" hidden="false" customHeight="false" outlineLevel="0" collapsed="false">
      <c r="A710" s="5" t="s">
        <v>484</v>
      </c>
    </row>
    <row r="711" customFormat="false" ht="17.15" hidden="false" customHeight="false" outlineLevel="0" collapsed="false">
      <c r="A711" s="3" t="s">
        <v>485</v>
      </c>
      <c r="B711" s="0" t="s">
        <v>191</v>
      </c>
      <c r="C711" s="19" t="n">
        <f aca="false">a25_sair</f>
        <v>5.35348</v>
      </c>
      <c r="D711" s="19" t="n">
        <f aca="false">a26_sairLL</f>
        <v>7.2587673416</v>
      </c>
      <c r="E711" s="19" t="n">
        <f aca="false">D711*(1+g_sair_27)</f>
        <v>6.89582897452</v>
      </c>
      <c r="F711" s="19" t="n">
        <f aca="false">E711*(1+g_sair_28)</f>
        <v>6.551037525794</v>
      </c>
      <c r="G711" s="19" t="n">
        <f aca="false">F711*(1+g_sair_29)</f>
        <v>6.2234856495043</v>
      </c>
    </row>
    <row r="712" customFormat="false" ht="15" hidden="false" customHeight="false" outlineLevel="0" collapsed="false">
      <c r="A712" s="3" t="s">
        <v>486</v>
      </c>
      <c r="B712" s="0" t="s">
        <v>191</v>
      </c>
      <c r="C712" s="19" t="n">
        <f aca="false">a25_nb</f>
        <v>6.28452</v>
      </c>
      <c r="D712" s="19" t="n">
        <f aca="false">a26_nb</f>
        <v>5.730605796</v>
      </c>
      <c r="E712" s="19" t="n">
        <f aca="false">D712*(1+g_nb_27)</f>
        <v>5.55868762212</v>
      </c>
      <c r="F712" s="19" t="n">
        <f aca="false">E712*(1+g_nb_28)</f>
        <v>5.55868762212</v>
      </c>
      <c r="G712" s="19" t="n">
        <f aca="false">F712*(1+g_nb_29)</f>
        <v>5.55868762212</v>
      </c>
    </row>
    <row r="713" customFormat="false" ht="15" hidden="false" customHeight="false" outlineLevel="0" collapsed="false">
      <c r="A713" s="3" t="s">
        <v>487</v>
      </c>
      <c r="B713" s="0" t="s">
        <v>191</v>
      </c>
      <c r="C713" s="19" t="n">
        <f aca="false">a25_oth</f>
        <v>3.72416</v>
      </c>
      <c r="D713" s="19" t="n">
        <f aca="false">a26_oth</f>
        <v>4.2024442504</v>
      </c>
      <c r="E713" s="19" t="n">
        <f aca="false">D713*(1+g_oth_27)</f>
        <v>4.2024442504</v>
      </c>
      <c r="F713" s="19" t="n">
        <f aca="false">E713*(1+g_oth_28)</f>
        <v>4.2024442504</v>
      </c>
      <c r="G713" s="19" t="n">
        <f aca="false">F713*(1+g_oth_29)</f>
        <v>4.2024442504</v>
      </c>
    </row>
    <row r="714" customFormat="false" ht="15" hidden="false" customHeight="false" outlineLevel="0" collapsed="false">
      <c r="A714" s="3" t="s">
        <v>371</v>
      </c>
      <c r="B714" s="0" t="s">
        <v>191</v>
      </c>
      <c r="C714" s="19" t="n">
        <f aca="false">C709+C711+C712+C713</f>
        <v>23.276</v>
      </c>
      <c r="D714" s="19" t="n">
        <f aca="false">D709+D711+D712+D713</f>
        <v>38.20403864</v>
      </c>
      <c r="E714" s="19" t="n">
        <f aca="false">E709+E711+E712+E713</f>
        <v>61.7709361095734</v>
      </c>
      <c r="F714" s="19" t="n">
        <f aca="false">F709+F711+F712+F713</f>
        <v>69.2115156810989</v>
      </c>
      <c r="G714" s="19" t="n">
        <f aca="false">G709+G711+G712+G713</f>
        <v>80.0116311426514</v>
      </c>
    </row>
    <row r="715" customFormat="false" ht="15" hidden="false" customHeight="false" outlineLevel="0" collapsed="false">
      <c r="A715" s="3" t="s">
        <v>488</v>
      </c>
      <c r="B715" s="0" t="s">
        <v>52</v>
      </c>
      <c r="D715" s="13" t="n">
        <f aca="false">D714/C714-1</f>
        <v>0.641348970613508</v>
      </c>
      <c r="E715" s="13" t="n">
        <f aca="false">E714/D714-1</f>
        <v>0.616869271116762</v>
      </c>
      <c r="F715" s="13" t="n">
        <f aca="false">F714/E714-1</f>
        <v>0.120454376121593</v>
      </c>
      <c r="G715" s="13" t="n">
        <f aca="false">G714/F714-1</f>
        <v>0.156045064976116</v>
      </c>
    </row>
    <row r="716" customFormat="false" ht="17.15" hidden="false" customHeight="false" outlineLevel="0" collapsed="false">
      <c r="A716" s="3" t="s">
        <v>489</v>
      </c>
      <c r="B716" s="0" t="s">
        <v>52</v>
      </c>
      <c r="C716" s="13" t="n">
        <f aca="false">C709/C714</f>
        <v>0.34</v>
      </c>
      <c r="D716" s="13" t="n">
        <f aca="false">D709/D714</f>
        <v>0.55</v>
      </c>
      <c r="E716" s="13" t="n">
        <f aca="false">E709/E714</f>
        <v>0.730343072387753</v>
      </c>
      <c r="F716" s="13" t="n">
        <f aca="false">F709/F714</f>
        <v>0.764314229535523</v>
      </c>
      <c r="G716" s="13" t="n">
        <f aca="false">G709/G714</f>
        <v>0.800221326652801</v>
      </c>
    </row>
    <row r="717" customFormat="false" ht="17.15" hidden="false" customHeight="false" outlineLevel="0" collapsed="false">
      <c r="A717" s="3" t="s">
        <v>448</v>
      </c>
      <c r="B717" s="0" t="s">
        <v>436</v>
      </c>
      <c r="D717" s="18" t="n">
        <f aca="false">D709/fx/D701*1000</f>
        <v>28.0617469004992</v>
      </c>
      <c r="E717" s="18" t="n">
        <f aca="false">E709/fx/E701*1000</f>
        <v>33.8516496777253</v>
      </c>
      <c r="F717" s="18" t="n">
        <f aca="false">F709/fx/F701*1000</f>
        <v>39.1418265099528</v>
      </c>
      <c r="G717" s="18" t="n">
        <f aca="false">G709/fx/G701*1000</f>
        <v>39.1418265099528</v>
      </c>
    </row>
    <row r="718" customFormat="false" ht="17.15" hidden="false" customHeight="false" outlineLevel="0" collapsed="false">
      <c r="A718" s="5" t="s">
        <v>490</v>
      </c>
    </row>
    <row r="719" customFormat="false" ht="17.15" hidden="false" customHeight="false" outlineLevel="0" collapsed="false">
      <c r="A719" s="3" t="s">
        <v>491</v>
      </c>
      <c r="B719" s="0" t="s">
        <v>52</v>
      </c>
      <c r="D719" s="13" t="n">
        <f aca="false">a26_gp/D714-d_lc*D716</f>
        <v>0.262656485550031</v>
      </c>
      <c r="H719" s="7" t="s">
        <v>492</v>
      </c>
    </row>
    <row r="720" customFormat="false" ht="15" hidden="false" customHeight="false" outlineLevel="0" collapsed="false">
      <c r="A720" s="3" t="s">
        <v>375</v>
      </c>
      <c r="B720" s="0" t="s">
        <v>191</v>
      </c>
      <c r="C720" s="19" t="n">
        <f aca="false">a25_gp</f>
        <v>6.372</v>
      </c>
      <c r="D720" s="19" t="n">
        <f aca="false">a26_gp</f>
        <v>11.0851495856</v>
      </c>
      <c r="E720" s="19" t="n">
        <f aca="false">$D$719*E714+d_lc*E709</f>
        <v>18.4802357508028</v>
      </c>
      <c r="F720" s="19" t="n">
        <f aca="false">$D$719*F714+d_lc*F709</f>
        <v>20.8238207825276</v>
      </c>
      <c r="G720" s="19" t="n">
        <f aca="false">$D$719*G714+d_lc*G709</f>
        <v>24.2169245200856</v>
      </c>
    </row>
    <row r="721" customFormat="false" ht="15" hidden="false" customHeight="false" outlineLevel="0" collapsed="false">
      <c r="A721" s="3" t="s">
        <v>378</v>
      </c>
      <c r="B721" s="0" t="s">
        <v>52</v>
      </c>
      <c r="C721" s="13" t="n">
        <f aca="false">C720/C714</f>
        <v>0.273758377728132</v>
      </c>
      <c r="D721" s="13" t="n">
        <f aca="false">D720/D714</f>
        <v>0.290156485550031</v>
      </c>
      <c r="E721" s="13" t="n">
        <f aca="false">E720/E714</f>
        <v>0.299173639169419</v>
      </c>
      <c r="F721" s="13" t="n">
        <f aca="false">F720/F714</f>
        <v>0.300872197026808</v>
      </c>
      <c r="G721" s="13" t="n">
        <f aca="false">G720/G714</f>
        <v>0.302667551882671</v>
      </c>
    </row>
    <row r="722" customFormat="false" ht="15" hidden="false" customHeight="false" outlineLevel="0" collapsed="false">
      <c r="A722" s="3" t="s">
        <v>493</v>
      </c>
      <c r="B722" s="0" t="s">
        <v>191</v>
      </c>
      <c r="C722" s="19" t="n">
        <f aca="false">a25_opx</f>
        <v>3.113</v>
      </c>
      <c r="D722" s="19" t="n">
        <f aca="false">a26_opx</f>
        <v>4.4038196704</v>
      </c>
      <c r="E722" s="19" t="n">
        <f aca="false">D722*(1+MAX(0,phi*E715))</f>
        <v>6.16959734003605</v>
      </c>
      <c r="F722" s="19" t="n">
        <f aca="false">E722*(1+MAX(0,phi*F715))</f>
        <v>6.65264808907111</v>
      </c>
      <c r="G722" s="19" t="n">
        <f aca="false">F722*(1+MAX(0,phi*G715))</f>
        <v>7.32742147623063</v>
      </c>
    </row>
    <row r="723" customFormat="false" ht="15" hidden="false" customHeight="false" outlineLevel="0" collapsed="false">
      <c r="A723" s="3" t="s">
        <v>380</v>
      </c>
      <c r="B723" s="0" t="s">
        <v>191</v>
      </c>
      <c r="C723" s="19" t="n">
        <f aca="false">C722</f>
        <v>3.113</v>
      </c>
      <c r="D723" s="19" t="n">
        <f aca="false">D722</f>
        <v>4.4038196704</v>
      </c>
      <c r="E723" s="19" t="n">
        <f aca="false">E722+0*E714</f>
        <v>6.16959734003605</v>
      </c>
      <c r="F723" s="19" t="n">
        <f aca="false">F722+0*F714</f>
        <v>6.65264808907111</v>
      </c>
      <c r="G723" s="19" t="n">
        <f aca="false">G722+0*G714</f>
        <v>7.32742147623063</v>
      </c>
    </row>
    <row r="724" customFormat="false" ht="15" hidden="false" customHeight="false" outlineLevel="0" collapsed="false">
      <c r="A724" s="3" t="s">
        <v>383</v>
      </c>
      <c r="B724" s="0" t="s">
        <v>191</v>
      </c>
      <c r="C724" s="19" t="n">
        <f aca="false">C720-C723</f>
        <v>3.259</v>
      </c>
      <c r="D724" s="19" t="n">
        <f aca="false">D720-D723</f>
        <v>6.6813299152</v>
      </c>
      <c r="E724" s="19" t="n">
        <f aca="false">E720-E723</f>
        <v>12.3106384107667</v>
      </c>
      <c r="F724" s="19" t="n">
        <f aca="false">F720-F723</f>
        <v>14.1711726934564</v>
      </c>
      <c r="G724" s="19" t="n">
        <f aca="false">G720-G723</f>
        <v>16.889503043855</v>
      </c>
    </row>
    <row r="725" customFormat="false" ht="15" hidden="false" customHeight="false" outlineLevel="0" collapsed="false">
      <c r="A725" s="3" t="s">
        <v>386</v>
      </c>
      <c r="B725" s="0" t="s">
        <v>52</v>
      </c>
      <c r="C725" s="13" t="n">
        <f aca="false">C724/C714</f>
        <v>0.140015466575013</v>
      </c>
      <c r="D725" s="13" t="n">
        <f aca="false">D724/D714</f>
        <v>0.174885434970861</v>
      </c>
      <c r="E725" s="13" t="n">
        <f aca="false">E724/E714</f>
        <v>0.19929499512407</v>
      </c>
      <c r="F725" s="13" t="n">
        <f aca="false">F724/F714</f>
        <v>0.204751659517933</v>
      </c>
      <c r="G725" s="13" t="n">
        <f aca="false">G724/G714</f>
        <v>0.211088098100924</v>
      </c>
    </row>
    <row r="726" customFormat="false" ht="15" hidden="false" customHeight="false" outlineLevel="0" collapsed="false">
      <c r="A726" s="3" t="s">
        <v>387</v>
      </c>
      <c r="B726" s="0" t="s">
        <v>191</v>
      </c>
      <c r="C726" s="19" t="n">
        <f aca="false">a25_nop</f>
        <v>0.0184359999999999</v>
      </c>
      <c r="D726" s="19" t="n">
        <f aca="false">a26_nop</f>
        <v>-0.0226839999999999</v>
      </c>
      <c r="E726" s="19" t="n">
        <f aca="false">nop_f</f>
        <v>0</v>
      </c>
      <c r="F726" s="19" t="n">
        <f aca="false">nop_f</f>
        <v>0</v>
      </c>
      <c r="G726" s="19" t="n">
        <f aca="false">nop_f</f>
        <v>0</v>
      </c>
    </row>
    <row r="727" customFormat="false" ht="17.15" hidden="false" customHeight="false" outlineLevel="0" collapsed="false">
      <c r="A727" s="3" t="s">
        <v>234</v>
      </c>
      <c r="B727" s="0" t="s">
        <v>52</v>
      </c>
      <c r="C727" s="13" t="n">
        <f aca="false">a25_ni/(a25_oi+a25_nop)</f>
        <v>0.78475979393648</v>
      </c>
      <c r="D727" s="13" t="n">
        <f aca="false">a26_ni/(a26_oi+a26_nop)</f>
        <v>0.739465828331271</v>
      </c>
      <c r="E727" s="13" t="n">
        <f aca="false">nir_f</f>
        <v>0.74</v>
      </c>
      <c r="F727" s="13" t="n">
        <f aca="false">nir_f</f>
        <v>0.74</v>
      </c>
      <c r="G727" s="13" t="n">
        <f aca="false">nir_f</f>
        <v>0.74</v>
      </c>
    </row>
    <row r="728" customFormat="false" ht="15" hidden="false" customHeight="false" outlineLevel="0" collapsed="false">
      <c r="A728" s="3" t="s">
        <v>391</v>
      </c>
      <c r="B728" s="0" t="s">
        <v>191</v>
      </c>
      <c r="C728" s="19" t="n">
        <f aca="false">a25_ni</f>
        <v>2.572</v>
      </c>
      <c r="D728" s="19" t="n">
        <f aca="false">a26_ni</f>
        <v>4.923841117248</v>
      </c>
      <c r="E728" s="19" t="n">
        <f aca="false">(E724+E726)*E727</f>
        <v>9.10987242396736</v>
      </c>
      <c r="F728" s="19" t="n">
        <f aca="false">(F724+F726)*F727</f>
        <v>10.4866677931578</v>
      </c>
      <c r="G728" s="19" t="n">
        <f aca="false">(G724+G726)*G727</f>
        <v>12.4982322524527</v>
      </c>
    </row>
    <row r="729" customFormat="false" ht="15" hidden="false" customHeight="false" outlineLevel="0" collapsed="false">
      <c r="A729" s="3" t="s">
        <v>494</v>
      </c>
      <c r="B729" s="3" t="s">
        <v>217</v>
      </c>
      <c r="C729" s="21" t="n">
        <f aca="false">a25_sh</f>
        <v>0.0910120311394197</v>
      </c>
      <c r="D729" s="21" t="n">
        <f aca="false">a26_sh</f>
        <v>0.093076837</v>
      </c>
      <c r="E729" s="21" t="n">
        <f aca="false">D729*(1+sh_g)</f>
        <v>0.093076837</v>
      </c>
      <c r="F729" s="21" t="n">
        <f aca="false">E729*(1+sh_g)</f>
        <v>0.093076837</v>
      </c>
      <c r="G729" s="21" t="n">
        <f aca="false">F729*(1+sh_g)</f>
        <v>0.093076837</v>
      </c>
    </row>
    <row r="730" customFormat="false" ht="15" hidden="false" customHeight="false" outlineLevel="0" collapsed="false">
      <c r="A730" s="0" t="s">
        <v>398</v>
      </c>
      <c r="B730" s="0" t="s">
        <v>251</v>
      </c>
      <c r="C730" s="20" t="n">
        <f aca="false">C728/C729</f>
        <v>28.26</v>
      </c>
      <c r="D730" s="20" t="n">
        <f aca="false">D728/D729</f>
        <v>52.9008212563992</v>
      </c>
      <c r="E730" s="20" t="n">
        <f aca="false">E728/E729</f>
        <v>97.8747529201853</v>
      </c>
      <c r="F730" s="20" t="n">
        <f aca="false">F728/F729</f>
        <v>112.66678296296</v>
      </c>
      <c r="G730" s="20" t="n">
        <f aca="false">G728/G729</f>
        <v>134.278652512146</v>
      </c>
    </row>
    <row r="731" customFormat="false" ht="17.15" hidden="false" customHeight="false" outlineLevel="0" collapsed="false">
      <c r="A731" s="0" t="s">
        <v>495</v>
      </c>
      <c r="B731" s="0" t="s">
        <v>52</v>
      </c>
      <c r="D731" s="13" t="n">
        <f aca="false">D730/C730-1</f>
        <v>0.871932811620636</v>
      </c>
      <c r="E731" s="13" t="n">
        <f aca="false">E730/D730-1</f>
        <v>0.85015564211767</v>
      </c>
      <c r="F731" s="13" t="n">
        <f aca="false">F730/E730-1</f>
        <v>0.151132233813524</v>
      </c>
      <c r="G731" s="13" t="n">
        <f aca="false">G730/F730-1</f>
        <v>0.19182112935888</v>
      </c>
    </row>
    <row r="734" customFormat="false" ht="17.15" hidden="false" customHeight="false" outlineLevel="0" collapsed="false">
      <c r="A734" s="1" t="s">
        <v>860</v>
      </c>
    </row>
    <row r="735" customFormat="false" ht="17.15" hidden="false" customHeight="false" outlineLevel="0" collapsed="false">
      <c r="A735" s="4" t="s">
        <v>21</v>
      </c>
      <c r="B735" s="4" t="s">
        <v>22</v>
      </c>
      <c r="C735" s="10" t="s">
        <v>365</v>
      </c>
      <c r="D735" s="10" t="s">
        <v>452</v>
      </c>
      <c r="E735" s="10" t="s">
        <v>453</v>
      </c>
      <c r="F735" s="10" t="s">
        <v>454</v>
      </c>
      <c r="G735" s="10" t="s">
        <v>455</v>
      </c>
      <c r="H735" s="4" t="s">
        <v>350</v>
      </c>
    </row>
    <row r="736" customFormat="false" ht="17.15" hidden="false" customHeight="false" outlineLevel="0" collapsed="false">
      <c r="A736" s="5" t="s">
        <v>471</v>
      </c>
    </row>
    <row r="737" customFormat="false" ht="17.15" hidden="false" customHeight="false" outlineLevel="0" collapsed="false">
      <c r="A737" s="0" t="s">
        <v>472</v>
      </c>
      <c r="B737" s="0" t="s">
        <v>32</v>
      </c>
      <c r="D737" s="20" t="n">
        <f aca="false">itc_26*1</f>
        <v>781.872916666666</v>
      </c>
      <c r="E737" s="20" t="n">
        <f aca="false">itc_27*1*1</f>
        <v>1565.35</v>
      </c>
      <c r="F737" s="20" t="n">
        <f aca="false">itc_28*um28_B*1</f>
        <v>1587.41111111111</v>
      </c>
      <c r="G737" s="20" t="n">
        <f aca="false">itc_29*um29_B*1</f>
        <v>1921.33173611111</v>
      </c>
    </row>
    <row r="738" customFormat="false" ht="17.15" hidden="false" customHeight="false" outlineLevel="0" collapsed="false">
      <c r="A738" s="3" t="s">
        <v>473</v>
      </c>
      <c r="B738" s="0" t="s">
        <v>32</v>
      </c>
      <c r="D738" s="20" t="n">
        <f aca="false">itpg_gb*(1-vr26)+itpg_vr*vr26</f>
        <v>33.41403216</v>
      </c>
      <c r="E738" s="20" t="n">
        <f aca="false">itpg_vr</f>
        <v>37.586352</v>
      </c>
      <c r="F738" s="20" t="n">
        <f aca="false">itpg_vr</f>
        <v>37.586352</v>
      </c>
      <c r="G738" s="20" t="n">
        <f aca="false">itpg_vr</f>
        <v>37.586352</v>
      </c>
    </row>
    <row r="739" customFormat="false" ht="17.15" hidden="false" customHeight="false" outlineLevel="0" collapsed="false">
      <c r="A739" s="3" t="s">
        <v>474</v>
      </c>
      <c r="B739" s="0" t="s">
        <v>431</v>
      </c>
      <c r="D739" s="17" t="n">
        <f aca="false">D737/D738</f>
        <v>23.3995380420639</v>
      </c>
      <c r="E739" s="17" t="n">
        <f aca="false">E737/E738</f>
        <v>41.6467658260637</v>
      </c>
      <c r="F739" s="17" t="n">
        <f aca="false">F737/F738</f>
        <v>42.2337105529984</v>
      </c>
      <c r="G739" s="17" t="n">
        <f aca="false">G737/G738</f>
        <v>51.1178029756948</v>
      </c>
    </row>
    <row r="740" customFormat="false" ht="17.15" hidden="false" customHeight="false" outlineLevel="0" collapsed="false">
      <c r="A740" s="3" t="s">
        <v>475</v>
      </c>
      <c r="B740" s="0" t="s">
        <v>52</v>
      </c>
      <c r="D740" s="13" t="n">
        <f aca="false">lpenB_26</f>
        <v>0.55</v>
      </c>
      <c r="E740" s="13" t="n">
        <f aca="false">lpenB_27</f>
        <v>0.75</v>
      </c>
      <c r="F740" s="13" t="n">
        <f aca="false">lpenB_28</f>
        <v>0.85</v>
      </c>
      <c r="G740" s="13" t="n">
        <f aca="false">lpenB_29</f>
        <v>0.9</v>
      </c>
    </row>
    <row r="741" customFormat="false" ht="17.15" hidden="false" customHeight="false" outlineLevel="0" collapsed="false">
      <c r="A741" s="3" t="s">
        <v>476</v>
      </c>
      <c r="B741" s="0" t="s">
        <v>436</v>
      </c>
      <c r="D741" s="18" t="n">
        <f aca="false">((1-vr26)*racks_gb*(cool_gb+mani)+vr26*racks_vr*(cool_vr+mani))/1000</f>
        <v>350.7208</v>
      </c>
      <c r="E741" s="18" t="n">
        <f aca="false">racks_vr*(cool_vr+mani)*lcadj_27/1000</f>
        <v>326.5912</v>
      </c>
      <c r="F741" s="18" t="n">
        <f aca="false">racks_vr*(cool_vr+mani)*lcadj_28/1000</f>
        <v>351.7136</v>
      </c>
      <c r="G741" s="18" t="n">
        <f aca="false">racks_vr*(cool_vr+mani)*lcadj_29/1000</f>
        <v>351.7136</v>
      </c>
      <c r="H741" s="3" t="s">
        <v>477</v>
      </c>
    </row>
    <row r="742" customFormat="false" ht="17.15" hidden="false" customHeight="false" outlineLevel="0" collapsed="false">
      <c r="A742" s="0" t="s">
        <v>478</v>
      </c>
      <c r="B742" s="0" t="s">
        <v>32</v>
      </c>
      <c r="D742" s="20" t="n">
        <f aca="false">D739*D740*D741/1000</f>
        <v>4.51368758595869</v>
      </c>
      <c r="E742" s="20" t="n">
        <f aca="false">E739*E740*E741/1000</f>
        <v>10.2011004204398</v>
      </c>
      <c r="F742" s="20" t="n">
        <f aca="false">F739*F740*F741/1000</f>
        <v>12.6260448229601</v>
      </c>
      <c r="G742" s="20" t="n">
        <f aca="false">G739*G740*G741/1000</f>
        <v>16.1809438578051</v>
      </c>
    </row>
    <row r="743" customFormat="false" ht="17.15" hidden="false" customHeight="false" outlineLevel="0" collapsed="false">
      <c r="A743" s="0" t="s">
        <v>479</v>
      </c>
      <c r="B743" s="0" t="s">
        <v>191</v>
      </c>
      <c r="D743" s="19" t="n">
        <f aca="false">D742*fx</f>
        <v>144.438002750678</v>
      </c>
      <c r="E743" s="19" t="n">
        <f aca="false">E742*fx</f>
        <v>326.435213454075</v>
      </c>
      <c r="F743" s="19" t="n">
        <f aca="false">F742*fx</f>
        <v>404.033434334723</v>
      </c>
      <c r="G743" s="19" t="n">
        <f aca="false">G742*fx</f>
        <v>517.790203449763</v>
      </c>
    </row>
    <row r="744" customFormat="false" ht="17.15" hidden="false" customHeight="false" outlineLevel="0" collapsed="false">
      <c r="A744" s="3" t="s">
        <v>480</v>
      </c>
      <c r="B744" s="0" t="s">
        <v>52</v>
      </c>
      <c r="D744" s="13" t="n">
        <f aca="false">a26_lcLH/D743</f>
        <v>0.166635815262178</v>
      </c>
      <c r="H744" s="7" t="s">
        <v>481</v>
      </c>
    </row>
    <row r="745" customFormat="false" ht="17.15" hidden="false" customHeight="false" outlineLevel="0" collapsed="false">
      <c r="A745" s="3" t="s">
        <v>482</v>
      </c>
      <c r="B745" s="0" t="s">
        <v>73</v>
      </c>
      <c r="D745" s="14" t="n">
        <f aca="false">1</f>
        <v>1</v>
      </c>
      <c r="E745" s="14" t="n">
        <f aca="false">relB_27</f>
        <v>0.95</v>
      </c>
      <c r="F745" s="14" t="n">
        <f aca="false">relB_28</f>
        <v>0.9</v>
      </c>
      <c r="G745" s="14" t="n">
        <f aca="false">relB_29</f>
        <v>0.85</v>
      </c>
    </row>
    <row r="746" customFormat="false" ht="15" hidden="false" customHeight="false" outlineLevel="0" collapsed="false">
      <c r="A746" s="3" t="s">
        <v>440</v>
      </c>
      <c r="B746" s="0" t="s">
        <v>52</v>
      </c>
      <c r="D746" s="13" t="n">
        <f aca="false">$D$744*D745</f>
        <v>0.166635815262178</v>
      </c>
      <c r="E746" s="13" t="n">
        <f aca="false">$D$744*E745</f>
        <v>0.158304024499069</v>
      </c>
      <c r="F746" s="13" t="n">
        <f aca="false">$D$744*F745</f>
        <v>0.14997223373596</v>
      </c>
      <c r="G746" s="13" t="n">
        <f aca="false">$D$744*G745</f>
        <v>0.141640442972852</v>
      </c>
    </row>
    <row r="747" customFormat="false" ht="15" hidden="false" customHeight="false" outlineLevel="0" collapsed="false">
      <c r="A747" s="3" t="s">
        <v>483</v>
      </c>
      <c r="B747" s="0" t="s">
        <v>191</v>
      </c>
      <c r="C747" s="19" t="n">
        <f aca="false">a25_lc</f>
        <v>7.91384</v>
      </c>
      <c r="D747" s="19" t="n">
        <f aca="false">D743*D746</f>
        <v>24.0685443432</v>
      </c>
      <c r="E747" s="19" t="n">
        <f aca="false">E743*E746</f>
        <v>51.6760080279928</v>
      </c>
      <c r="F747" s="19" t="n">
        <f aca="false">F743*F746</f>
        <v>60.5937966511899</v>
      </c>
      <c r="G747" s="19" t="n">
        <f aca="false">G743*G746</f>
        <v>73.3400337836274</v>
      </c>
    </row>
    <row r="748" customFormat="false" ht="17.15" hidden="false" customHeight="false" outlineLevel="0" collapsed="false">
      <c r="A748" s="5" t="s">
        <v>484</v>
      </c>
    </row>
    <row r="749" customFormat="false" ht="17.15" hidden="false" customHeight="false" outlineLevel="0" collapsed="false">
      <c r="A749" s="3" t="s">
        <v>485</v>
      </c>
      <c r="B749" s="0" t="s">
        <v>191</v>
      </c>
      <c r="C749" s="19" t="n">
        <f aca="false">a25_sair</f>
        <v>5.35348</v>
      </c>
      <c r="D749" s="19" t="n">
        <f aca="false">a26_sairLH</f>
        <v>4.2024442504</v>
      </c>
      <c r="E749" s="19" t="n">
        <f aca="false">D749*(1+g_sair_27)</f>
        <v>3.99232203788</v>
      </c>
      <c r="F749" s="19" t="n">
        <f aca="false">E749*(1+g_sair_28)</f>
        <v>3.792705935986</v>
      </c>
      <c r="G749" s="19" t="n">
        <f aca="false">F749*(1+g_sair_29)</f>
        <v>3.6030706391867</v>
      </c>
    </row>
    <row r="750" customFormat="false" ht="15" hidden="false" customHeight="false" outlineLevel="0" collapsed="false">
      <c r="A750" s="3" t="s">
        <v>486</v>
      </c>
      <c r="B750" s="0" t="s">
        <v>191</v>
      </c>
      <c r="C750" s="19" t="n">
        <f aca="false">a25_nb</f>
        <v>6.28452</v>
      </c>
      <c r="D750" s="19" t="n">
        <f aca="false">a26_nb</f>
        <v>5.730605796</v>
      </c>
      <c r="E750" s="19" t="n">
        <f aca="false">D750*(1+g_nb_27)</f>
        <v>5.55868762212</v>
      </c>
      <c r="F750" s="19" t="n">
        <f aca="false">E750*(1+g_nb_28)</f>
        <v>5.55868762212</v>
      </c>
      <c r="G750" s="19" t="n">
        <f aca="false">F750*(1+g_nb_29)</f>
        <v>5.55868762212</v>
      </c>
    </row>
    <row r="751" customFormat="false" ht="15" hidden="false" customHeight="false" outlineLevel="0" collapsed="false">
      <c r="A751" s="3" t="s">
        <v>487</v>
      </c>
      <c r="B751" s="0" t="s">
        <v>191</v>
      </c>
      <c r="C751" s="19" t="n">
        <f aca="false">a25_oth</f>
        <v>3.72416</v>
      </c>
      <c r="D751" s="19" t="n">
        <f aca="false">a26_oth</f>
        <v>4.2024442504</v>
      </c>
      <c r="E751" s="19" t="n">
        <f aca="false">D751*(1+g_oth_27)</f>
        <v>4.2024442504</v>
      </c>
      <c r="F751" s="19" t="n">
        <f aca="false">E751*(1+g_oth_28)</f>
        <v>4.2024442504</v>
      </c>
      <c r="G751" s="19" t="n">
        <f aca="false">F751*(1+g_oth_29)</f>
        <v>4.2024442504</v>
      </c>
    </row>
    <row r="752" customFormat="false" ht="15" hidden="false" customHeight="false" outlineLevel="0" collapsed="false">
      <c r="A752" s="3" t="s">
        <v>371</v>
      </c>
      <c r="B752" s="0" t="s">
        <v>191</v>
      </c>
      <c r="C752" s="19" t="n">
        <f aca="false">C747+C749+C750+C751</f>
        <v>23.276</v>
      </c>
      <c r="D752" s="19" t="n">
        <f aca="false">D747+D749+D750+D751</f>
        <v>38.20403864</v>
      </c>
      <c r="E752" s="19" t="n">
        <f aca="false">E747+E749+E750+E751</f>
        <v>65.4294619383928</v>
      </c>
      <c r="F752" s="19" t="n">
        <f aca="false">F747+F749+F750+F751</f>
        <v>74.1476344596959</v>
      </c>
      <c r="G752" s="19" t="n">
        <f aca="false">G747+G749+G750+G751</f>
        <v>86.7042362953341</v>
      </c>
    </row>
    <row r="753" customFormat="false" ht="15" hidden="false" customHeight="false" outlineLevel="0" collapsed="false">
      <c r="A753" s="3" t="s">
        <v>488</v>
      </c>
      <c r="B753" s="0" t="s">
        <v>52</v>
      </c>
      <c r="D753" s="13" t="n">
        <f aca="false">D752/C752-1</f>
        <v>0.641348970613508</v>
      </c>
      <c r="E753" s="13" t="n">
        <f aca="false">E752/D752-1</f>
        <v>0.712632074188291</v>
      </c>
      <c r="F753" s="13" t="n">
        <f aca="false">F752/E752-1</f>
        <v>0.133245364748864</v>
      </c>
      <c r="G753" s="13" t="n">
        <f aca="false">G752/F752-1</f>
        <v>0.169345953207226</v>
      </c>
    </row>
    <row r="754" customFormat="false" ht="17.15" hidden="false" customHeight="false" outlineLevel="0" collapsed="false">
      <c r="A754" s="3" t="s">
        <v>489</v>
      </c>
      <c r="B754" s="0" t="s">
        <v>52</v>
      </c>
      <c r="C754" s="13" t="n">
        <f aca="false">C747/C752</f>
        <v>0.34</v>
      </c>
      <c r="D754" s="13" t="n">
        <f aca="false">D747/D752</f>
        <v>0.63</v>
      </c>
      <c r="E754" s="13" t="n">
        <f aca="false">E747/E752</f>
        <v>0.789797233494752</v>
      </c>
      <c r="F754" s="13" t="n">
        <f aca="false">F747/F752</f>
        <v>0.817204717220299</v>
      </c>
      <c r="G754" s="13" t="n">
        <f aca="false">G747/G752</f>
        <v>0.845864480413792</v>
      </c>
    </row>
    <row r="755" customFormat="false" ht="17.15" hidden="false" customHeight="false" outlineLevel="0" collapsed="false">
      <c r="A755" s="3" t="s">
        <v>448</v>
      </c>
      <c r="B755" s="0" t="s">
        <v>436</v>
      </c>
      <c r="D755" s="18" t="n">
        <f aca="false">D747/fx/D739*1000</f>
        <v>32.1434555405719</v>
      </c>
      <c r="E755" s="18" t="n">
        <f aca="false">E747/fx/E739*1000</f>
        <v>38.7755259944853</v>
      </c>
      <c r="F755" s="18" t="n">
        <f aca="false">F747/fx/F739*1000</f>
        <v>44.8351830932187</v>
      </c>
      <c r="G755" s="18" t="n">
        <f aca="false">G747/fx/G739*1000</f>
        <v>44.8351830932187</v>
      </c>
    </row>
    <row r="756" customFormat="false" ht="17.15" hidden="false" customHeight="false" outlineLevel="0" collapsed="false">
      <c r="A756" s="5" t="s">
        <v>490</v>
      </c>
    </row>
    <row r="757" customFormat="false" ht="17.15" hidden="false" customHeight="false" outlineLevel="0" collapsed="false">
      <c r="A757" s="3" t="s">
        <v>491</v>
      </c>
      <c r="B757" s="0" t="s">
        <v>52</v>
      </c>
      <c r="D757" s="13" t="n">
        <f aca="false">a26_gp/D752-d_lc*D754</f>
        <v>0.258656485550031</v>
      </c>
      <c r="H757" s="7" t="s">
        <v>492</v>
      </c>
    </row>
    <row r="758" customFormat="false" ht="15" hidden="false" customHeight="false" outlineLevel="0" collapsed="false">
      <c r="A758" s="3" t="s">
        <v>375</v>
      </c>
      <c r="B758" s="0" t="s">
        <v>191</v>
      </c>
      <c r="C758" s="19" t="n">
        <f aca="false">a25_gp</f>
        <v>6.372</v>
      </c>
      <c r="D758" s="19" t="n">
        <f aca="false">a26_gp</f>
        <v>11.0851495856</v>
      </c>
      <c r="E758" s="19" t="n">
        <f aca="false">$D$757*E752+d_lc*E747</f>
        <v>19.5075550778139</v>
      </c>
      <c r="F758" s="19" t="n">
        <f aca="false">$D$757*F752+d_lc*F747</f>
        <v>22.2084563737528</v>
      </c>
      <c r="G758" s="19" t="n">
        <f aca="false">$D$757*G752+d_lc*G747</f>
        <v>26.093614731632</v>
      </c>
    </row>
    <row r="759" customFormat="false" ht="15" hidden="false" customHeight="false" outlineLevel="0" collapsed="false">
      <c r="A759" s="3" t="s">
        <v>378</v>
      </c>
      <c r="B759" s="0" t="s">
        <v>52</v>
      </c>
      <c r="C759" s="13" t="n">
        <f aca="false">C758/C752</f>
        <v>0.273758377728132</v>
      </c>
      <c r="D759" s="13" t="n">
        <f aca="false">D758/D752</f>
        <v>0.290156485550031</v>
      </c>
      <c r="E759" s="13" t="n">
        <f aca="false">E758/E752</f>
        <v>0.298146347224769</v>
      </c>
      <c r="F759" s="13" t="n">
        <f aca="false">F758/F752</f>
        <v>0.299516721411046</v>
      </c>
      <c r="G759" s="13" t="n">
        <f aca="false">G758/G752</f>
        <v>0.300949709570721</v>
      </c>
    </row>
    <row r="760" customFormat="false" ht="15" hidden="false" customHeight="false" outlineLevel="0" collapsed="false">
      <c r="A760" s="3" t="s">
        <v>493</v>
      </c>
      <c r="B760" s="0" t="s">
        <v>191</v>
      </c>
      <c r="C760" s="19" t="n">
        <f aca="false">a25_opx</f>
        <v>3.113</v>
      </c>
      <c r="D760" s="19" t="n">
        <f aca="false">a26_opx</f>
        <v>4.4038196704</v>
      </c>
      <c r="E760" s="19" t="n">
        <f aca="false">D760*(1+MAX(0,phi*E753))</f>
        <v>6.44371671534443</v>
      </c>
      <c r="F760" s="19" t="n">
        <f aca="false">E760*(1+MAX(0,phi*F753))</f>
        <v>7.0018037149928</v>
      </c>
      <c r="G760" s="19" t="n">
        <f aca="false">F760*(1+MAX(0,phi*G753))</f>
        <v>7.77252634577828</v>
      </c>
    </row>
    <row r="761" customFormat="false" ht="15" hidden="false" customHeight="false" outlineLevel="0" collapsed="false">
      <c r="A761" s="3" t="s">
        <v>380</v>
      </c>
      <c r="B761" s="0" t="s">
        <v>191</v>
      </c>
      <c r="C761" s="19" t="n">
        <f aca="false">C760</f>
        <v>3.113</v>
      </c>
      <c r="D761" s="19" t="n">
        <f aca="false">D760</f>
        <v>4.4038196704</v>
      </c>
      <c r="E761" s="19" t="n">
        <f aca="false">E760+0*E752</f>
        <v>6.44371671534443</v>
      </c>
      <c r="F761" s="19" t="n">
        <f aca="false">F760+0*F752</f>
        <v>7.0018037149928</v>
      </c>
      <c r="G761" s="19" t="n">
        <f aca="false">G760+0*G752</f>
        <v>7.77252634577828</v>
      </c>
    </row>
    <row r="762" customFormat="false" ht="15" hidden="false" customHeight="false" outlineLevel="0" collapsed="false">
      <c r="A762" s="3" t="s">
        <v>383</v>
      </c>
      <c r="B762" s="0" t="s">
        <v>191</v>
      </c>
      <c r="C762" s="19" t="n">
        <f aca="false">C758-C761</f>
        <v>3.259</v>
      </c>
      <c r="D762" s="19" t="n">
        <f aca="false">D758-D761</f>
        <v>6.6813299152</v>
      </c>
      <c r="E762" s="19" t="n">
        <f aca="false">E758-E761</f>
        <v>13.0638383624694</v>
      </c>
      <c r="F762" s="19" t="n">
        <f aca="false">F758-F761</f>
        <v>15.20665265876</v>
      </c>
      <c r="G762" s="19" t="n">
        <f aca="false">G758-G761</f>
        <v>18.3210883858537</v>
      </c>
    </row>
    <row r="763" customFormat="false" ht="15" hidden="false" customHeight="false" outlineLevel="0" collapsed="false">
      <c r="A763" s="3" t="s">
        <v>386</v>
      </c>
      <c r="B763" s="0" t="s">
        <v>52</v>
      </c>
      <c r="C763" s="13" t="n">
        <f aca="false">C762/C752</f>
        <v>0.140015466575013</v>
      </c>
      <c r="D763" s="13" t="n">
        <f aca="false">D762/D752</f>
        <v>0.174885434970861</v>
      </c>
      <c r="E763" s="13" t="n">
        <f aca="false">E762/E752</f>
        <v>0.199662934333315</v>
      </c>
      <c r="F763" s="13" t="n">
        <f aca="false">F762/F752</f>
        <v>0.205086146976487</v>
      </c>
      <c r="G763" s="13" t="n">
        <f aca="false">G762/G752</f>
        <v>0.211305573622123</v>
      </c>
    </row>
    <row r="764" customFormat="false" ht="15" hidden="false" customHeight="false" outlineLevel="0" collapsed="false">
      <c r="A764" s="3" t="s">
        <v>387</v>
      </c>
      <c r="B764" s="0" t="s">
        <v>191</v>
      </c>
      <c r="C764" s="19" t="n">
        <f aca="false">a25_nop</f>
        <v>0.0184359999999999</v>
      </c>
      <c r="D764" s="19" t="n">
        <f aca="false">a26_nop</f>
        <v>-0.0226839999999999</v>
      </c>
      <c r="E764" s="19" t="n">
        <f aca="false">nop_f</f>
        <v>0</v>
      </c>
      <c r="F764" s="19" t="n">
        <f aca="false">nop_f</f>
        <v>0</v>
      </c>
      <c r="G764" s="19" t="n">
        <f aca="false">nop_f</f>
        <v>0</v>
      </c>
    </row>
    <row r="765" customFormat="false" ht="17.15" hidden="false" customHeight="false" outlineLevel="0" collapsed="false">
      <c r="A765" s="3" t="s">
        <v>234</v>
      </c>
      <c r="B765" s="0" t="s">
        <v>52</v>
      </c>
      <c r="C765" s="13" t="n">
        <f aca="false">a25_ni/(a25_oi+a25_nop)</f>
        <v>0.78475979393648</v>
      </c>
      <c r="D765" s="13" t="n">
        <f aca="false">a26_ni/(a26_oi+a26_nop)</f>
        <v>0.739465828331271</v>
      </c>
      <c r="E765" s="13" t="n">
        <f aca="false">nir_f</f>
        <v>0.74</v>
      </c>
      <c r="F765" s="13" t="n">
        <f aca="false">nir_f</f>
        <v>0.74</v>
      </c>
      <c r="G765" s="13" t="n">
        <f aca="false">nir_f</f>
        <v>0.74</v>
      </c>
    </row>
    <row r="766" customFormat="false" ht="15" hidden="false" customHeight="false" outlineLevel="0" collapsed="false">
      <c r="A766" s="3" t="s">
        <v>391</v>
      </c>
      <c r="B766" s="0" t="s">
        <v>191</v>
      </c>
      <c r="C766" s="19" t="n">
        <f aca="false">a25_ni</f>
        <v>2.572</v>
      </c>
      <c r="D766" s="19" t="n">
        <f aca="false">a26_ni</f>
        <v>4.923841117248</v>
      </c>
      <c r="E766" s="19" t="n">
        <f aca="false">(E762+E764)*E765</f>
        <v>9.66724038822739</v>
      </c>
      <c r="F766" s="19" t="n">
        <f aca="false">(F762+F764)*F765</f>
        <v>11.2529229674824</v>
      </c>
      <c r="G766" s="19" t="n">
        <f aca="false">(G762+G764)*G765</f>
        <v>13.5576054055317</v>
      </c>
    </row>
    <row r="767" customFormat="false" ht="15" hidden="false" customHeight="false" outlineLevel="0" collapsed="false">
      <c r="A767" s="3" t="s">
        <v>494</v>
      </c>
      <c r="B767" s="3" t="s">
        <v>217</v>
      </c>
      <c r="C767" s="21" t="n">
        <f aca="false">a25_sh</f>
        <v>0.0910120311394197</v>
      </c>
      <c r="D767" s="21" t="n">
        <f aca="false">a26_sh</f>
        <v>0.093076837</v>
      </c>
      <c r="E767" s="21" t="n">
        <f aca="false">D767*(1+sh_g)</f>
        <v>0.093076837</v>
      </c>
      <c r="F767" s="21" t="n">
        <f aca="false">E767*(1+sh_g)</f>
        <v>0.093076837</v>
      </c>
      <c r="G767" s="21" t="n">
        <f aca="false">F767*(1+sh_g)</f>
        <v>0.093076837</v>
      </c>
    </row>
    <row r="768" customFormat="false" ht="15" hidden="false" customHeight="false" outlineLevel="0" collapsed="false">
      <c r="A768" s="0" t="s">
        <v>398</v>
      </c>
      <c r="B768" s="0" t="s">
        <v>251</v>
      </c>
      <c r="C768" s="20" t="n">
        <f aca="false">C766/C767</f>
        <v>28.26</v>
      </c>
      <c r="D768" s="20" t="n">
        <f aca="false">D766/D767</f>
        <v>52.9008212563992</v>
      </c>
      <c r="E768" s="20" t="n">
        <f aca="false">E766/E767</f>
        <v>103.863009313771</v>
      </c>
      <c r="F768" s="20" t="n">
        <f aca="false">F766/F767</f>
        <v>120.899284184769</v>
      </c>
      <c r="G768" s="20" t="n">
        <f aca="false">G766/G767</f>
        <v>145.660358070953</v>
      </c>
    </row>
    <row r="769" customFormat="false" ht="17.15" hidden="false" customHeight="false" outlineLevel="0" collapsed="false">
      <c r="A769" s="0" t="s">
        <v>495</v>
      </c>
      <c r="B769" s="0" t="s">
        <v>52</v>
      </c>
      <c r="D769" s="13" t="n">
        <f aca="false">D768/C768-1</f>
        <v>0.871932811620636</v>
      </c>
      <c r="E769" s="13" t="n">
        <f aca="false">E768/D768-1</f>
        <v>0.963353438510326</v>
      </c>
      <c r="F769" s="13" t="n">
        <f aca="false">F768/E768-1</f>
        <v>0.164026393838934</v>
      </c>
      <c r="G769" s="13" t="n">
        <f aca="false">G768/F768-1</f>
        <v>0.204807448225598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861</v>
      </c>
    </row>
    <row r="2" customFormat="false" ht="17.15" hidden="false" customHeight="false" outlineLevel="0" collapsed="false">
      <c r="A2" s="3" t="s">
        <v>862</v>
      </c>
      <c r="B2" s="0" t="s">
        <v>863</v>
      </c>
    </row>
    <row r="3" customFormat="false" ht="17.15" hidden="false" customHeight="false" outlineLevel="0" collapsed="false">
      <c r="A3" s="3" t="s">
        <v>864</v>
      </c>
      <c r="B3" s="0" t="s">
        <v>865</v>
      </c>
    </row>
    <row r="4" customFormat="false" ht="17.15" hidden="false" customHeight="false" outlineLevel="0" collapsed="false">
      <c r="A4" s="3" t="s">
        <v>866</v>
      </c>
      <c r="B4" s="0" t="s">
        <v>210</v>
      </c>
    </row>
    <row r="5" customFormat="false" ht="17.15" hidden="false" customHeight="false" outlineLevel="0" collapsed="false">
      <c r="A5" s="3" t="s">
        <v>867</v>
      </c>
      <c r="B5" s="0" t="s">
        <v>868</v>
      </c>
    </row>
    <row r="6" customFormat="false" ht="17.15" hidden="false" customHeight="false" outlineLevel="0" collapsed="false">
      <c r="A6" s="3" t="s">
        <v>869</v>
      </c>
      <c r="B6" s="0" t="s">
        <v>870</v>
      </c>
    </row>
    <row r="7" customFormat="false" ht="17.15" hidden="false" customHeight="false" outlineLevel="0" collapsed="false">
      <c r="A7" s="3" t="s">
        <v>871</v>
      </c>
      <c r="B7" s="0" t="s">
        <v>872</v>
      </c>
    </row>
    <row r="8" customFormat="false" ht="17.15" hidden="false" customHeight="false" outlineLevel="0" collapsed="false">
      <c r="A8" s="3" t="s">
        <v>873</v>
      </c>
      <c r="B8" s="0" t="s">
        <v>248</v>
      </c>
    </row>
    <row r="9" customFormat="false" ht="17.15" hidden="false" customHeight="false" outlineLevel="0" collapsed="false">
      <c r="A9" s="3" t="s">
        <v>874</v>
      </c>
      <c r="B9" s="0" t="s">
        <v>266</v>
      </c>
    </row>
    <row r="10" customFormat="false" ht="17.15" hidden="false" customHeight="false" outlineLevel="0" collapsed="false">
      <c r="A10" s="3" t="s">
        <v>875</v>
      </c>
      <c r="B10" s="0" t="s">
        <v>876</v>
      </c>
    </row>
    <row r="11" customFormat="false" ht="17.15" hidden="false" customHeight="false" outlineLevel="0" collapsed="false">
      <c r="A11" s="3" t="s">
        <v>877</v>
      </c>
      <c r="B11" s="0" t="s">
        <v>271</v>
      </c>
    </row>
    <row r="12" customFormat="false" ht="17.15" hidden="false" customHeight="false" outlineLevel="0" collapsed="false">
      <c r="A12" s="3" t="s">
        <v>878</v>
      </c>
      <c r="B12" s="0" t="s">
        <v>879</v>
      </c>
    </row>
    <row r="13" customFormat="false" ht="17.15" hidden="false" customHeight="false" outlineLevel="0" collapsed="false">
      <c r="A13" s="3" t="s">
        <v>880</v>
      </c>
      <c r="B13" s="0" t="s">
        <v>881</v>
      </c>
    </row>
    <row r="14" customFormat="false" ht="17.15" hidden="false" customHeight="false" outlineLevel="0" collapsed="false">
      <c r="A14" s="3" t="s">
        <v>882</v>
      </c>
      <c r="B14" s="0" t="s">
        <v>883</v>
      </c>
    </row>
    <row r="15" customFormat="false" ht="17.15" hidden="false" customHeight="false" outlineLevel="0" collapsed="false">
      <c r="A15" s="3" t="s">
        <v>884</v>
      </c>
      <c r="B15" s="0" t="s">
        <v>885</v>
      </c>
    </row>
    <row r="16" customFormat="false" ht="17.15" hidden="false" customHeight="false" outlineLevel="0" collapsed="false">
      <c r="A16" s="3" t="s">
        <v>886</v>
      </c>
    </row>
    <row r="17" customFormat="false" ht="17.15" hidden="false" customHeight="false" outlineLevel="0" collapsed="false">
      <c r="A17" s="3" t="s">
        <v>887</v>
      </c>
      <c r="B17" s="3" t="s">
        <v>888</v>
      </c>
    </row>
    <row r="18" customFormat="false" ht="15" hidden="false" customHeight="false" outlineLevel="0" collapsed="false">
      <c r="A18" s="0" t="s">
        <v>889</v>
      </c>
      <c r="B18" s="3" t="s">
        <v>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2026-10-30T00:25:08Z</dcterms:created>
  <dc:creator>openpyxl</dc:creator>
  <dc:description/>
  <dc:language>en-US</dc:language>
  <cp:lastModifiedBy/>
  <dcterms:modified xsi:type="dcterms:W3CDTF">2026-10-30T00:25:09Z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